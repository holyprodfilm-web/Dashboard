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плата объектов" sheetId="1" r:id="rId5"/>
    <sheet state="visible" name="Информация по подрядчикам" sheetId="2" r:id="rId6"/>
    <sheet state="visible" name="Даты оплат (Тимошина)" sheetId="3" r:id="rId7"/>
    <sheet state="visible" name="Подрядчики" sheetId="4" r:id="rId8"/>
    <sheet state="visible" name="24 объекта" sheetId="5" r:id="rId9"/>
    <sheet state="visible" name="График оплат" sheetId="6" r:id="rId10"/>
    <sheet state="visible" name="дубляж платежек" sheetId="7" r:id="rId11"/>
    <sheet state="visible" name="Долгопрудный копия" sheetId="8" r:id="rId12"/>
    <sheet state="hidden" name="Выверка Денег  (исходник)" sheetId="9" r:id="rId13"/>
  </sheets>
  <definedNames>
    <definedName hidden="1" localSheetId="0" name="Z_047691D1_2340_4A7D_8676_F2E1ABD02897_.wvu.FilterData">'Оплата объектов'!$A$4:$AN$504</definedName>
    <definedName hidden="1" localSheetId="7" name="Z_047691D1_2340_4A7D_8676_F2E1ABD02897_.wvu.FilterData">'Долгопрудный копия'!$A$4:$AO$505</definedName>
    <definedName hidden="1" localSheetId="0" name="Z_1EBF60C3_2653_4782_AE72_4581171A90A6_.wvu.FilterData">'Оплата объектов'!$A$2:$AN$504</definedName>
    <definedName hidden="1" localSheetId="7" name="Z_1EBF60C3_2653_4782_AE72_4581171A90A6_.wvu.FilterData">'Долгопрудный копия'!$A$2:$AO$505</definedName>
  </definedNames>
  <calcPr/>
  <customWorkbookViews>
    <customWorkbookView activeSheetId="0" maximized="1" windowHeight="0" windowWidth="0" guid="{047691D1-2340-4A7D-8676-F2E1ABD02897}" name="Фильтр 1"/>
    <customWorkbookView activeSheetId="0" maximized="1" windowHeight="0" windowWidth="0" guid="{1EBF60C3-2653-4782-AE72-4581171A90A6}" name="Фильтр 2"/>
  </customWorkbookViews>
  <pivotCaches>
    <pivotCache cacheId="0"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21">
      <text>
        <t xml:space="preserve">89 дней</t>
      </text>
    </comment>
    <comment authorId="0" ref="B319">
      <text>
        <t xml:space="preserve">100</t>
      </text>
    </comment>
    <comment authorId="0" ref="B317">
      <text>
        <t xml:space="preserve">100</t>
      </text>
    </comment>
    <comment authorId="0" ref="B315">
      <text>
        <t xml:space="preserve">100</t>
      </text>
    </comment>
    <comment authorId="0" ref="B313">
      <text>
        <t xml:space="preserve">90</t>
      </text>
    </comment>
    <comment authorId="0" ref="B183">
      <text>
        <t xml:space="preserve">86 дней</t>
      </text>
    </comment>
    <comment authorId="0" ref="B311">
      <text>
        <t xml:space="preserve">226 </t>
      </text>
    </comment>
    <comment authorId="0" ref="B181">
      <text>
        <t xml:space="preserve">86 дней</t>
      </text>
    </comment>
    <comment authorId="0" ref="B179">
      <text>
        <t xml:space="preserve">85 дней</t>
      </text>
    </comment>
    <comment authorId="0" ref="B338">
      <text>
        <t xml:space="preserve">90</t>
      </text>
    </comment>
    <comment authorId="0" ref="B177">
      <text>
        <t xml:space="preserve">101 день</t>
      </text>
    </comment>
    <comment authorId="0" ref="B336">
      <text>
        <t xml:space="preserve">90</t>
      </text>
    </comment>
    <comment authorId="0" ref="B175">
      <text>
        <t xml:space="preserve">268 дней</t>
      </text>
    </comment>
    <comment authorId="0" ref="B334">
      <text>
        <t xml:space="preserve">100</t>
      </text>
    </comment>
    <comment authorId="0" ref="B173">
      <text>
        <t xml:space="preserve">274 дня</t>
      </text>
    </comment>
    <comment authorId="0" ref="B332">
      <text>
        <t xml:space="preserve">100</t>
      </text>
    </comment>
    <comment authorId="0" ref="B171">
      <text>
        <t xml:space="preserve">261 день</t>
      </text>
    </comment>
    <comment authorId="0" ref="B330">
      <text>
        <t xml:space="preserve">100</t>
      </text>
    </comment>
    <comment authorId="0" ref="B328">
      <text>
        <t xml:space="preserve">100</t>
      </text>
    </comment>
    <comment authorId="0" ref="B326">
      <text>
        <t xml:space="preserve">100
</t>
      </text>
    </comment>
    <comment authorId="0" ref="B324">
      <text>
        <t xml:space="preserve">90</t>
      </text>
    </comment>
    <comment authorId="0" ref="B322">
      <text>
        <t xml:space="preserve">90</t>
      </text>
    </comment>
    <comment authorId="0" ref="B320">
      <text>
        <t xml:space="preserve">226 дней</t>
      </text>
    </comment>
    <comment authorId="0" ref="B318">
      <text>
        <t xml:space="preserve">100</t>
      </text>
    </comment>
    <comment authorId="0" ref="B316">
      <text>
        <t xml:space="preserve">100</t>
      </text>
    </comment>
    <comment authorId="0" ref="B314">
      <text>
        <t xml:space="preserve">100
</t>
      </text>
    </comment>
    <comment authorId="0" ref="B184">
      <text>
        <t xml:space="preserve">274 дня</t>
      </text>
    </comment>
    <comment authorId="0" ref="B312">
      <text>
        <t xml:space="preserve">100</t>
      </text>
    </comment>
    <comment authorId="0" ref="B182">
      <text>
        <t xml:space="preserve">85 дней</t>
      </text>
    </comment>
    <comment authorId="0" ref="B180">
      <text>
        <t xml:space="preserve">85 дней</t>
      </text>
    </comment>
    <comment authorId="0" ref="B308">
      <text>
        <t xml:space="preserve">90</t>
      </text>
    </comment>
    <comment authorId="0" ref="B339">
      <text>
        <t xml:space="preserve">Вот этот вот</t>
      </text>
    </comment>
    <comment authorId="0" ref="B178">
      <text>
        <t xml:space="preserve">101 день</t>
      </text>
    </comment>
    <comment authorId="0" ref="B337">
      <text>
        <t xml:space="preserve">100</t>
      </text>
    </comment>
    <comment authorId="0" ref="B176">
      <text>
        <t xml:space="preserve">267 дней</t>
      </text>
    </comment>
    <comment authorId="0" ref="B335">
      <text>
        <t xml:space="preserve">100</t>
      </text>
    </comment>
    <comment authorId="0" ref="B174">
      <text>
        <t xml:space="preserve">перенос на 2026 год</t>
      </text>
    </comment>
    <comment authorId="0" ref="B333">
      <text>
        <t xml:space="preserve">100</t>
      </text>
    </comment>
    <comment authorId="0" ref="B172">
      <text>
        <t xml:space="preserve">109 дней</t>
      </text>
    </comment>
    <comment authorId="0" ref="B331">
      <text>
        <t xml:space="preserve">100
</t>
      </text>
    </comment>
    <comment authorId="0" ref="B170">
      <text>
        <t xml:space="preserve">75 дней/199</t>
      </text>
    </comment>
    <comment authorId="0" ref="B329">
      <text>
        <t xml:space="preserve">100</t>
      </text>
    </comment>
    <comment authorId="0" ref="B327">
      <text>
        <t xml:space="preserve">100</t>
      </text>
    </comment>
    <comment authorId="0" ref="B325">
      <text>
        <t xml:space="preserve">100</t>
      </text>
    </comment>
    <comment authorId="0" ref="B100">
      <text>
        <t xml:space="preserve">142</t>
      </text>
    </comment>
    <comment authorId="0" ref="B323">
      <text>
        <t xml:space="preserve">75</t>
      </text>
    </comment>
  </commentList>
</comments>
</file>

<file path=xl/sharedStrings.xml><?xml version="1.0" encoding="utf-8"?>
<sst xmlns="http://schemas.openxmlformats.org/spreadsheetml/2006/main" count="26995" uniqueCount="4574">
  <si>
    <t>УИН</t>
  </si>
  <si>
    <t>ОМСУ</t>
  </si>
  <si>
    <t>Мероприятие</t>
  </si>
  <si>
    <t>Подрядчики</t>
  </si>
  <si>
    <t>Тип</t>
  </si>
  <si>
    <t>МОГЭ положительное заключение получено</t>
  </si>
  <si>
    <t>В МОГЭ заходили?</t>
  </si>
  <si>
    <t>Типовая причина</t>
  </si>
  <si>
    <t>СМР завершен</t>
  </si>
  <si>
    <t>Остаток СМР</t>
  </si>
  <si>
    <t>СГ %</t>
  </si>
  <si>
    <t>Оплачено</t>
  </si>
  <si>
    <t>Сумма контракта</t>
  </si>
  <si>
    <t>Выплачено</t>
  </si>
  <si>
    <t>Остаток</t>
  </si>
  <si>
    <t>Остаток %</t>
  </si>
  <si>
    <t>Сданы ИП/КС</t>
  </si>
  <si>
    <t>Сумма СМР</t>
  </si>
  <si>
    <t>Сумма подписанных КС</t>
  </si>
  <si>
    <t>Типовые причины</t>
  </si>
  <si>
    <t>Завершающая документация (принята/подписана частично/на проверке/возвращена с замечаниями)</t>
  </si>
  <si>
    <t>Причина не оплаты</t>
  </si>
  <si>
    <t>Действия проектной команды</t>
  </si>
  <si>
    <t>Предполагаемая 
Даты оплаты</t>
  </si>
  <si>
    <t>Даты оплаты (Тимошина Т.Б)</t>
  </si>
  <si>
    <t>Комментарий</t>
  </si>
  <si>
    <t>выверено РП ПИК</t>
  </si>
  <si>
    <t>Комментарии 10.04.2026</t>
  </si>
  <si>
    <t>Комментраии 27.04.2026</t>
  </si>
  <si>
    <t>Комментарий РП на 19.06.2026</t>
  </si>
  <si>
    <t>Комментарий после ВКС от ПО и ОМСУ</t>
  </si>
  <si>
    <t>Заметки</t>
  </si>
  <si>
    <t>Ситуация по оплате</t>
  </si>
  <si>
    <t>Подсчет общий (в разработке)</t>
  </si>
  <si>
    <t>ИТОГО</t>
  </si>
  <si>
    <t>1000004745.5327935684</t>
  </si>
  <si>
    <t>Люберцы</t>
  </si>
  <si>
    <t>Строительство блочно-модульной котельной мощностью 31,7 Мвт по адресу: Московская область, г. Люберцы, ул. Попова, около дом д. 12 (в т.ч. ПИР)</t>
  </si>
  <si>
    <t>АО ГК ЕКС</t>
  </si>
  <si>
    <t>БМК</t>
  </si>
  <si>
    <t>Нет</t>
  </si>
  <si>
    <t>Заходили</t>
  </si>
  <si>
    <t>Долгая передача исходных данных от ОМСУ подрядчику</t>
  </si>
  <si>
    <t>ПНР не проведен</t>
  </si>
  <si>
    <t>Отсутствие тех.прис</t>
  </si>
  <si>
    <t>Частично</t>
  </si>
  <si>
    <t>СМР не завершен</t>
  </si>
  <si>
    <t>СМР не завершен. Нет договоров на траспортировку газа. План предоставления договоров на траспортировку газа от Заказчика до 20.06.2026 . Выход из МОГЭ до 20.06.2026 тех часть. Устраняют замечания МОГЭ раздел ВО.</t>
  </si>
  <si>
    <t>Провели совещание + ВКС с Мосолблазом по техпрису.</t>
  </si>
  <si>
    <t>Нет МОГЭ</t>
  </si>
  <si>
    <t>Оплачено, руб. (план): 155 188 696.20 
Оплачено, руб. (факт): 155 188 696.20 
Процент оплаты: 29.77 %</t>
  </si>
  <si>
    <t>Не вышли из МОГЭ</t>
  </si>
  <si>
    <t xml:space="preserve">Выход из МОГЭ до 20.06.2026 с тех часть, дальше перезаход с полным комплектом документов.  Положительное заключение не получить на данный момент, в связи с отсутствием ТУ на газоснабжение. У ОМСУ отсутсвуют лимиты финансирования, изыскивают средства.  План предоставления договоров на транспортировку газа Заказчиком до 25.06.2026 г. СМР не завершен в части ПНР.  ПНР запланирован до 10.08.2026.
</t>
  </si>
  <si>
    <r>
      <rPr>
        <rFont val="Times New Roman"/>
        <color theme="1"/>
        <sz val="12.0"/>
      </rPr>
      <t xml:space="preserve">БМК собрана. Вопрос по тех. Прис Газ. Отсутствует договор на транспортировку газа. (срыв сроков передачи документации Подрядчику). Договор на транспортировку газа - в работе (на подписании договора). 1.Положительное заключение МОГЭ Ждем информацию от РП. Требуется уменьшение стоимости по тех.прис. Электрика тоже отсутсвует. (после перерасчета после получение исходных данных) </t>
    </r>
    <r>
      <rPr>
        <rFont val="Times New Roman"/>
        <b/>
        <color theme="1"/>
        <sz val="12.0"/>
      </rPr>
      <t>Очное совещание.</t>
    </r>
    <r>
      <rPr>
        <rFont val="Times New Roman"/>
        <color theme="1"/>
        <sz val="12.0"/>
      </rPr>
      <t xml:space="preserve"> Нужен допник на продление сроков.</t>
    </r>
  </si>
  <si>
    <t>Количество объектов</t>
  </si>
  <si>
    <t>1000003937.1000004803</t>
  </si>
  <si>
    <t>Одинцовский</t>
  </si>
  <si>
    <t>Реконструкция котельной №1 c установкой дополнительного котла на 5 МВт по адресу: Московская область, Одинцовский г.о., г. Звенигород, ул. Нахабинское шоссе д.2 (в т.ч. ПИР)</t>
  </si>
  <si>
    <t>ООО ЛЕГИОНСТРОЙГРУПП</t>
  </si>
  <si>
    <t>Котельная</t>
  </si>
  <si>
    <t>Да</t>
  </si>
  <si>
    <t>Благоустройство</t>
  </si>
  <si>
    <t>Финансовые трудности подрядчиков</t>
  </si>
  <si>
    <t>ИД на проверке в УТНКР нет Дополнительного соглашения нет. Нет БГ</t>
  </si>
  <si>
    <t>СМР не завершен в части благоустройства.</t>
  </si>
  <si>
    <t>Оплачено, руб. (план): 71 084 755.00
Оплачено, руб. (факт): 71 084 755.00
Процент оплаты: 50.00 %</t>
  </si>
  <si>
    <t>Не подписано КС в УТНКР</t>
  </si>
  <si>
    <t xml:space="preserve">Монтажные работы завершены. Теплоноситель подается по новому трубопроводу. СМР не завершен в части восстановления благоустройства. </t>
  </si>
  <si>
    <t>1. МОГЭ (F=Нет)</t>
  </si>
  <si>
    <t>1000003985.1000004851</t>
  </si>
  <si>
    <t>Солнечногорск</t>
  </si>
  <si>
    <t>Реконструкция котельной № 271 (Выстрел) по адресу: Московская область, г.о. Солнечногорск (в т.ч. ПИР)</t>
  </si>
  <si>
    <t>Низкий темп производства работ подрядной</t>
  </si>
  <si>
    <t>ИД сдана частично, замечания УТНКР, оплата произведена частично</t>
  </si>
  <si>
    <t>Идет согласование ИД. Доп.согласования с эксплуатирующей организацией. Ожидается исполнение договора техприс по увеличению электрич. мощности с ОборонЭнерго. Плановая дата завершения СМР - 20.09.2026. Крайняя дата оплаты 30.09.2026</t>
  </si>
  <si>
    <t>Проведено совещание с проектной командой,определили сроки исправление замечаний ИД в УТНКР</t>
  </si>
  <si>
    <t>Оплачено, руб. (план): 511 668 445.60
Оплачено, руб. (факт): 511 668 445.60
Процент оплаты: 68.99 %</t>
  </si>
  <si>
    <t>СМР ведутся.
ПНР: выполнен для котлов №2  №4, №3
Необходимо выполнить до окончания строительства:
- пусконаладочные работы котла №1 (план 22.06.2026)
                             получить тех. прис (договор заключен, аванс оплачен 30.06.26).  ПНР - июль. ИД, КС - частично согласованы и приняты. (на данный момент меняется юр.лицо подписанта, в связи с этим не могут сдать ИД, КС). Плановая дата оплаты 30.09.2026</t>
  </si>
  <si>
    <t xml:space="preserve">ПНР - тех. Прис не выполнен (договор заключен, аванс оплачен). Тех прис до 30.06. ПНР - июль. Переоформление ликвидатора.ИД, КС - частично согласованы и приняты. </t>
  </si>
  <si>
    <t>ПНР - тех. Прис не выполнен (договор заключен, аванс оплачен). Тех прис до 30.06. ПНР - июль. Переоформление ликвидатора.ИД, КС - частично согласованы и приняты. (меняется подписант)</t>
  </si>
  <si>
    <t>2. СМР (I=Нет)</t>
  </si>
  <si>
    <t>1000003675.1000004539</t>
  </si>
  <si>
    <t>Ступино</t>
  </si>
  <si>
    <t>Капитальный ремонт участков тепловых сетей от котельной ТЭЦ-17 (от ТК94 до ТК107) по адресу: Московская область, г.о. Ступино, от пр-т Победы по ул. Горького (в т.ч. ПИР)</t>
  </si>
  <si>
    <t>ООО РОУД ГРУПП</t>
  </si>
  <si>
    <t>Сети</t>
  </si>
  <si>
    <t>299 933 679,69</t>
  </si>
  <si>
    <t>165 584 162,09</t>
  </si>
  <si>
    <t>134 349 517,60</t>
  </si>
  <si>
    <t>"Замечания не устранимы, требуется повторный заход в МОГЭ"</t>
  </si>
  <si>
    <t>Дополн. согл. не заключено</t>
  </si>
  <si>
    <t>Согласование по 65.1 получено 12.05.2026
Повторное прохождение МОГЭ, плановая дата выхода 15.06.2026</t>
  </si>
  <si>
    <t>Проведено ВКС</t>
  </si>
  <si>
    <t>МОГЭ получено
ИД На проверке</t>
  </si>
  <si>
    <t>Оплачено, руб. (план): 83 642 750.00 
Оплачено, руб. (факт): 83 642 750.00 
Процент оплаты: 50.00 %</t>
  </si>
  <si>
    <t>Не сдана ИД в УТНКР.
Не подписан КС-2
выплачен аванс</t>
  </si>
  <si>
    <t>Согласование по 65.1 получено 12.05.2026
Положительное заключение МОГЭ получено 15.06.2026 (повторное прохождение по конструктиву тепловых камер)
СМР выполнен. В период ОЗП 2025-2026 тепло было запущено по новой схеме.
ИД в процессе передачи на проверку УТНКР.
(08.06.2026 - выставлены замечания УТНКР, документация на устранении подрядчиком)
02.06.2026 - заказчик подписал акты КС на сумму 162 337 413,81 руб.</t>
  </si>
  <si>
    <t>3. УТНКР (S=Нет)</t>
  </si>
  <si>
    <t>1000004062.1000004938</t>
  </si>
  <si>
    <t>Чехов</t>
  </si>
  <si>
    <t>Реконструкция котельной № 4 по адресу: Московская область, г.о. Чехов, ул. Гагарина, стр.42б (в т.ч. ПИР)</t>
  </si>
  <si>
    <t>ООО РСПК</t>
  </si>
  <si>
    <t>Монтаж не завершен</t>
  </si>
  <si>
    <t>МОГЭ не получено</t>
  </si>
  <si>
    <t>Оплачено, руб. (план): 70 116 310.00 
Оплачено, руб. (факт): 70 116 310.00 
Процент оплаты: 24.99 %</t>
  </si>
  <si>
    <t>СМР не завершен.
МОГЭ - не получено</t>
  </si>
  <si>
    <t>Положительное заключение МОГЭ получено 13.05.2026
Тепломеханическое оборудование смонтировано, работает (ОЗП 2025-2026 тепло было запущено по новой схеме)
СМР не завершен в части общестроительных работ. Плановая дата завершения работ 30.07.2026</t>
  </si>
  <si>
    <r>
      <rPr>
        <rFont val="Times New Roman"/>
        <color theme="1"/>
        <sz val="12.0"/>
      </rPr>
      <t xml:space="preserve">СМР - выполнить общестрой. Вопросы по хим водоподготовке. (выявлена неисправность). До 30.06 окончание СМР. Идет частичная сдача ИД в УТНКР - до 30.06. ГПР на оставшиеся работы Заказчику не предоставлен. (09.06) Заказчику и РП. </t>
    </r>
    <r>
      <rPr>
        <rFont val="Times New Roman"/>
        <color rgb="FFFF0000"/>
        <sz val="12.0"/>
      </rPr>
      <t>На 10.06 ГПР РП не предоставлен</t>
    </r>
  </si>
  <si>
    <t>4. Оплачено (M=Нет)</t>
  </si>
  <si>
    <t>1000002771.1000003461</t>
  </si>
  <si>
    <t>Балашиха</t>
  </si>
  <si>
    <t>Строительство участков тепловой сети от котельной 2-33 до котельной 2-35 (перемычка) (в т.ч. ПИР) г.о. Балашиха</t>
  </si>
  <si>
    <t>ООО РКС</t>
  </si>
  <si>
    <t>Оплата 2025</t>
  </si>
  <si>
    <t>Оплата выполнена</t>
  </si>
  <si>
    <t>оплачен</t>
  </si>
  <si>
    <t>Контракт закртыт и оплачен. Закрытие не на полную сумму договора</t>
  </si>
  <si>
    <t>5. УТНКР (S=Частично)</t>
  </si>
  <si>
    <t>1000002770.1000003460</t>
  </si>
  <si>
    <t>Строительство участков тепловой сети от котельной 2-22 до ГТУ ТЭЦ АО «МОЭГ» (перемычка), в т.ч. ПИР в г.о. Балашиха</t>
  </si>
  <si>
    <t>6. Оплачено (M=Частично)</t>
  </si>
  <si>
    <t>1000002767.1000003457</t>
  </si>
  <si>
    <t>Капитальный ремонт участков тепловых сетей от Котельной 2-35 (магистральная теплотрасса от кот. 35 до мкр. Кучино (участки 1-2, 3-4, 5-6, 7-8), УТ-8) ( в т.ч. ПИР) в г.о. Балашиха</t>
  </si>
  <si>
    <t>1000004219.1000005135</t>
  </si>
  <si>
    <t>Строительство участка тепловой сети между тепловыми сетями ГТУ ТЭЦ АО "МОЭГ" и котельной АО "ЕСЭ-Кубань" по адресу: Московская область, г.о. Балашиха, на перекрестке ул. Корнилаева с ул. Струве от ТК1-а до ТК1-б (в т.ч. ПИР)</t>
  </si>
  <si>
    <t>4036450991.4036451211</t>
  </si>
  <si>
    <t>Богородский</t>
  </si>
  <si>
    <t>Строительство тепловой сети от п. Зеленый до мкр. 30 км д. Щемилово Богородского городского округа Московской области</t>
  </si>
  <si>
    <t>ООО ЕВРО СТРОЙ</t>
  </si>
  <si>
    <t>146 539 612</t>
  </si>
  <si>
    <t>Оплачено, руб. (план): 143 367 489.50 
Оплачено, руб. (факт): 143 367 489.50 
Процент оплаты: 92.94 %</t>
  </si>
  <si>
    <t>Объект оплачен по факту выполненных работ. Расторжение договора в процессе. Завершение работ Хозспособ либо заключение с новым ПО</t>
  </si>
  <si>
    <t>1000004640.5327935557</t>
  </si>
  <si>
    <t>Коломна</t>
  </si>
  <si>
    <t>Капитальный ремонт участков тепловых сетей по адресу: Московская обл., г.о.Коломна, п.Сергиевский (в т.ч. ПИР)</t>
  </si>
  <si>
    <t>ООО РУССТРОЙТЕХНОЛОГИИ</t>
  </si>
  <si>
    <t>СМР не закончен
Получено положительное заключение МОГЭ 26.05.2026
Договор заключен по КЧС
Режим ЧС закончился, планируются новые торги на оставшийся объём</t>
  </si>
  <si>
    <t>Оплачено, руб. (план): 60 000 000.00 
Оплачено, руб. (факт): 30 000 000.00 
Процент оплаты: 12.16 %</t>
  </si>
  <si>
    <t>СМР не завершен. перенесенный объект из 2026. Было перезаключение контракта.</t>
  </si>
  <si>
    <t>СМР не завершен. перенесенный объект из 2026. Было перезаключение контракта в МОГЭ с 13.04.2026
26.05.2026. КС-2 и ИТД не представлялись.Плановая дата предачи ИД в УТНКР 15.06.2026</t>
  </si>
  <si>
    <t>Получено положительное заключение МОГЭ 26.05.2026
СМР не закончен
Договор заключен по КЧС
Режим ЧС закончился, планируются новые торги на оставшийся объём. Плановая дата объявления торгов 30.06.2026</t>
  </si>
  <si>
    <t>1000004851.5327935896</t>
  </si>
  <si>
    <t>Наро-Фоминский</t>
  </si>
  <si>
    <t>Капитальный ремонт котельной № 13 по адресу: г. Наро-Фоминск, ул. Полубоярова (в т.ч. ПИР)</t>
  </si>
  <si>
    <t>ООО СК МАГИРУС</t>
  </si>
  <si>
    <t>92613 117,45</t>
  </si>
  <si>
    <t>4520 741,57</t>
  </si>
  <si>
    <t>88092 375,88</t>
  </si>
  <si>
    <t>Исполнительная документация не подписана с Заказчиком</t>
  </si>
  <si>
    <t>ПИР оплачен. МОГЭ получено. Оплата СМР плановая дата 15.06.2026</t>
  </si>
  <si>
    <t>Устраняют замечания УТНКР по ИД, всего 3 замечания. Срок до 05.06.2026</t>
  </si>
  <si>
    <t>Оплачено, руб. (план): 27 783 935.23
Оплачено, руб. (факт): 27 783 935.23
Процент оплаты: 29.99 %</t>
  </si>
  <si>
    <t>Получено положительное заключение МОГЭ 30.12.2025
СМР завершен. ИД передана в УТНКР . Ожидаем подписание КС</t>
  </si>
  <si>
    <t>1000009842.5327941644</t>
  </si>
  <si>
    <t>Капитальный ремонт котельных, ЦТП, сетей теплоснабжения и ГВС в муниципальном округе Чехов Московской области</t>
  </si>
  <si>
    <t>ТС и ГВС</t>
  </si>
  <si>
    <t>В МОГЭ</t>
  </si>
  <si>
    <t>Корректировка ТЗ</t>
  </si>
  <si>
    <t>274 226 250,00</t>
  </si>
  <si>
    <t>МОГЭ не получено, необходимо внесение изменений в ТЗ к конракту, плановая дата захода в МОГЭ 15.06.2026
СМР не завершен</t>
  </si>
  <si>
    <t>Проведены очные совещания</t>
  </si>
  <si>
    <t>Оплачено, руб. (план): 82 267 875.00 
Оплачено, руб. (факт): 82 267 875.00 
Процент оплаты: 30.00 %</t>
  </si>
  <si>
    <r>
      <rPr>
        <rFont val="Times New Roman"/>
        <color theme="1"/>
        <sz val="12.0"/>
      </rPr>
      <t xml:space="preserve">МОГЭ не получено, необходимо внесение изменений в ТЗ к конракту, плановая дата захода в МОГЭ 25.06.2026
В контракте 16 мероприятий 
(10 сетей, 3 ЦТП, 3 Котельные)
Исключение 1 сети из этого контракта до 05.06.2026 (Написано письмо 155-01 исх-6695 с предложением от ОМСУ на исключение) для прохождения экспертизы
Входной контроль МОГЭ по 11 мероприятиям из контракта с 05.06.2026. Договор с МОГЭ - не подписан
до 25.06.2026 - загрузка оставшихся 4-х объектов
Тепловые сети
1. Тепловая сеть (перемычка) между котельной № 24 и № 23 д. Крюково Ду=100, 394 м) – приступили к СМР, СГ 75%
2. Сети отопления и ГВС от ТК-1 через ТК-см до ТК-3 по адресу: ул. Весенняя м.о. Чехов (в т.ч. ПИР) - приступили к СМР, СГ 70%
3. Тепловые сети от ТК-6 до ТК-31 и до корпуса №9 больницы им. Яковенко м.о. Чехов, п. Мещерское (в т.ч. ПИР); - приступили к СМР, СГ 90%
4. Тепловые сети от ТК-1 до ЦТП-9 ул. Весенняя, г. Чехов (в т.ч. ПИР) - приступили к СМР, СГ 60%
5. Тепловые сети от ТК-4 до ТК-5, вдоль дома 23/2 ул. Полиграфистов, г. Чехов, (в т. Ч. ПИР) - приступили к СМР, СГ 45%
6. Тепловые сети от ТК-1 до ТК-2, Котельная № 5 м. о. Чехов, п. Мещерское (в т.ч. ПИР) - приступили к СМР, СГ 90%
7. Теплотрасса (участок от ЦТП № 2, п. Столбовая через ТК-5 до ТК-6 ул. Парковая, (в т. ч. ПИР)); - приступили к СМР, СГ 90%
8. Тепловые сети от точки подключения к котельной № 38 ул. Комсомольская до поликлиники ул. Гагарина (ЦРБ) (ликвидация котельной №13) г. Чехов (в т. ч. ПИР); - приступили к СМР, СГ 20%
9. Теплотрасса (участок от ЦТП-15 ул. Комсомольская через ТК-15 до ТК-18, (в т. ч. ПИР)); - приступили к СМР, СГ 76%
10. Тепловые сети от д. 33а ул. Ильича до здания котельной № 12 г. Чехов (в т. ч. ПИР); - приступили к СМР, СГ 65%.
</t>
    </r>
    <r>
      <rPr>
        <rFont val="Times New Roman"/>
        <b/>
        <color theme="1"/>
        <sz val="12.0"/>
      </rPr>
      <t>Котельные</t>
    </r>
    <r>
      <rPr>
        <rFont val="Times New Roman"/>
        <color theme="1"/>
        <sz val="12.0"/>
      </rPr>
      <t xml:space="preserve">
11. Котельная № 14 по адресу: ул. Чехова, 81А, г.о. Чехов (в т.ч. ПИР); - начало СМР (замена секций водоподогревателей скоростных - 11 шт.)(80%)
Ведутся работы по замене 6 секций теплообменников
Выполнено:
• с 10.03.2026 – подрядчиком ведутся сварочные работы по монтажу фланцев, катушек, переходов на группу теплообменников
• Проведены работы по замене 5 секций теплообменников, монтаж калачей
12. Котельная № 28 по адресу: м.о. Чехов, п. Васькино, стр. 3а, (в части замены котла и оборудования) (в т.ч. ПИР);
Выполнено:
• Проведены пусконаладочные и режимно-наладочные работы
• Котел КСВа-2,5Гс ст. №1 – рабочий, сейчас в резерве
• Монтаж приборов КИП и А, газового оборудования, блока управления котлом
• Подрядчик произвел работы по укладке греющей системы (уложена сетка, проброшен кабель) готов к приему бетона
13. Капитальный ремонт котельной №5, расположенной по адресу: м.о. Чехов, п. Мещерское, стр. 15а, (в части ремонта БАГВ и дымовой трубы) (в т.ч. ПИР);
Выполнено:
• Доставка конструкций БАГВ запланирована на 31.03.2026.
• Получено согласование от МОПБ им. В.И. Яковенко о подвозе металлоконструкции БАГВ через территорию больницы
• Демонтаж БАГВ, подготовка площадки под монтаж нового
• Произведен ремонт, устранение дефектов и покраска дымовой трубы
• Выполнены работы по укреплению конструкций верхней части ствола дымовой трубы, для обеспечения герметичности и прочности произведена обработка комплексными составами улучшающими пластичность, водонепроницаемость и устойчивость к агрессивным средам.
ЦТП
14. ЦТП - 15 по адресу: м.о. Чехов, ул. Комсомольская (в т.ч. ПИР); - антинакипной аппарат, СМР - 80%;
Выполнено:
• Подключение электропитания аппарата
• Монтаж трубопроводов обвязки аппарата Азов – пока в работу не введен
• Демонтирован один БАГВ
• Доставлены конструкции нового БАГВ
15. ЦТП - 8 по адресу: м.о. Чехов, ул. Береговая, стр. 33 (в т.ч. ПИР); - СМР (замена теплообменного оборудования, системы сетевых насосов)- СГ 50%;
Выполнено:
• Два сетевых насоса смонтированы, не подключены (отсутствует преобразователь частоты)
• Пластинчатый теплообменник системы отопления смонтирован – в работу не подключен.
16. ЦТП - 4 по адресу: м.о. Чехов, ул. Московская, стр. 95а (в т.ч. ПИР). - СМР (замена теплообменного оборудования, системы сетевых насосов)- СГ 20%
Выполнено:
• Пластинчатый теплообменник ГВС смонтирован – в работу не подключен
• Два насоса ГВС установлены – в работу не подключены
Плановая дата выхода из МОГЭ - 10.08.2026
Плановая дата завершения СМР - 30.07.2026</t>
    </r>
  </si>
  <si>
    <r>
      <rPr>
        <rFont val="Times New Roman"/>
        <color theme="1"/>
        <sz val="12.0"/>
      </rPr>
      <t xml:space="preserve">МОГЭ - заход ? (письмо об исключении мероприятия из аварийного контракта. 1 из 16. Мероприятие выполнено подрядчиком) СМР - низкая динамика. Вернуться с обратной связью по одному мероприятию к РП до конца недели. </t>
    </r>
    <r>
      <rPr>
        <rFont val="Times New Roman"/>
        <b/>
        <color theme="1"/>
        <sz val="12.0"/>
      </rPr>
      <t>Очное совещание</t>
    </r>
  </si>
  <si>
    <t>1000004515.5327935426</t>
  </si>
  <si>
    <t>Капитальный ремонт участков тепловых сетей в от ЦТП-1 котельной "Заречье" по ул. Декабристов, ул. 28 Июня, ул. Белякова в г. Ногинск, г.о. Богородский: от ЦТП-1 до ТК-1; от ТК-1 до ТК-2; от ТК-2 до ж.д. №1 по ул. 28 Июня; транзит в ж.д. №1 по ул. 28 Июня; от УЗ-3 до ж.д. №5 по ул. 28 Июня; от ж.д. №5 по ул. 28 Июня до ж.д. №14 по ул. Декабристов; транзит в ж.д. №14 по ул. Декабристов, от ж.д. №14 по ул. Декабристов до ТК-4; от ТК-4 до ж.д. №12 по ул. Декабристов; между ж.д. №12-10, № 10-8 по ул. Декабристов, транзит в ж.д. №10 и №8 по ул. Декабристов; от ж.д. №8 по ул. Декабристов до УЗ-4; от УЗ-4 до ж.д. №29 по ул. Белякова; транзит в ж.д. №29 по ул. Белякова; от ж.д. №29 по ул. Белякова до перемычки ГВС на ж.д. №25 (в подвале ж.д. №31 по ул. Белякова); от перемычки ГВС на ж.д. №25; транзит в ж.д. №6 по ул. Декабристов; от ж.д. №6 по ул. Декабристов до ж.д. №35а по ул. Белякова; от ТК-14 до ж.д. №17 по ул. Белякова, в т.ч. Транзит в ж.д. №17 по ул. Белякова; транзит в ж.д. №19 по ул. Белякова; от ж.д. №19 до ж.д. №12 по ул. Белякова; транзит в ж.д. №21 по ул. Белякова от УЗ-2 до ж.д. №1Б по ул. 28 Июня; транзит в ж.д. №1Б по ул. 28 Июня; от УЗ-1 до ж.д. №1 по ул. Белякова; транзит в ж.д. №1 по ул. Белякова; от УЗ-3 до ж.д. №5а по ул. 28 Июня; от ТК-12 до ответвления в ж.д. №5 по ул. Белякова; от ответвления в ж.д. №5 по ул. Белякова; от ТК-12 до ответвления в ж.д. №7 по ул. Белякова; от ответвления в ж.д. №7 по ул. Белякова до ответвления в ж.д. №9 по ул. Белякова; от ответвления в ж.д. №9 по ул. Белякова до ответвления в ж.д. №11 по ул. Белякова; от ответвления в ж.д. №11 по ул. Белякова; до ответвления в ж.д. №13 по ул. Белякова" от ответвления в ж.д. №13 по ул. Белякова до ж.д. №19 по ул. Белякова (в т.ч. ПИР)</t>
  </si>
  <si>
    <t>ООО СТРОЙ ГРУПП</t>
  </si>
  <si>
    <t>Оплачено, руб. (план): 109 901 514.21 
Оплачено, руб. (факт): 109 901 514.21 
Процент оплаты: 76.04 %</t>
  </si>
  <si>
    <t>МОГЭ прошли
Лимиты доведены на увеличение стоимости по заключению МОГЭ. Софинансирование местного бюджета доведено. Закрытие после сдачи всех работ (ориентировочно 30.06.2026)</t>
  </si>
  <si>
    <t>1000004516.5327935427</t>
  </si>
  <si>
    <t>Капитальный ремонт участков тепловых сетей от ЦТП-2 котельной "Заречье" по ул. Декабристов, ул. 28 Июня, в г. Ногинск, г.о. Богородский: от ЦТП-2 до ТК-1; от ТК-1 до ТК-2; от ТК-2 до ж.д. №7 по ул. 28 Июня; от ТК-2 до ж.д. №9 по ул. Декабристов; от ТК-1 до ж.д. №5а по ул. Декабристов; транзитный трубопровод в ж.д. №5а по ул. Декабристов от УЗ-1 до внешней стены дома (в сторону дома №5б по ул. Декабристов); транзитный трубопровод в ж.д. №5а по ул. Декабристов от УЗ-1 до внешней стены дома (в сторону дома №5 по ул. Декабристов); от ж.д. №5а до ж.д. №5 по ул. Декабристов; от ж.д. №5 по ул. Декабристов до ТК-4; от ТК-4 до ж.д. №3а по ул. Декабристов;
 от ТК-4 до ж.д. №3б по ул. Декабристов (в т.ч. ПИР)</t>
  </si>
  <si>
    <t>АО АГУНА</t>
  </si>
  <si>
    <t>26 989 927,5</t>
  </si>
  <si>
    <t>Оплачен</t>
  </si>
  <si>
    <t>Оплачено, руб. (план): 16 592 233.29 
Оплачено, руб. (факт): 16 592 233.29 
Процент оплаты: 58.40 %</t>
  </si>
  <si>
    <t>Полностью оплачен</t>
  </si>
  <si>
    <t>1000001486.1000001395</t>
  </si>
  <si>
    <t>Домодедово</t>
  </si>
  <si>
    <t>Реконструкция тепловой сети котельной г. Домодедово, мкр. Центральный: "25 лет Октября", ул. Корнеева, ул. Каширское шоссе (в т.ч. ПИР)</t>
  </si>
  <si>
    <t>ООО ТЕПЛОПОРТ</t>
  </si>
  <si>
    <t>190 085 000</t>
  </si>
  <si>
    <t>30 576 573</t>
  </si>
  <si>
    <t>159 508 427</t>
  </si>
  <si>
    <t>Низкий темп устранения замечания УТНКР</t>
  </si>
  <si>
    <t>Ид не предоставлена</t>
  </si>
  <si>
    <t>не предоставлена ИД (план. до 05.06.26)
Замечания УТНКР - 14. Необходимо выполнить: сварные стыки: ду219 - 14 шт, ду76-10 шт., выполнить устройство ТК-3 шт., выполнить подключение соцобъектов - 1, подключение МКД-1. СГ-94%</t>
  </si>
  <si>
    <t>Проведено совещание с проектной командой,определили сроки исправление замечаний ИД в УТНКР.</t>
  </si>
  <si>
    <t>Осталось благоустройство</t>
  </si>
  <si>
    <t>Оплачено, руб. (план): 57 025 500.00
Оплачено, руб. (факт): 57 025 500.00
Процент оплаты: 30.00 %</t>
  </si>
  <si>
    <t>ИД сдана в УТНКР, находится на проверке. Устраняют замечания.Ожидаемая сдача закрытия ИД, КС к 15.07.2026 г. Оплата 20 июля. Ждут БГ.</t>
  </si>
  <si>
    <t>Готовятся документы для дальнейшней сдачи в УТНКР. Оплата начало июля.</t>
  </si>
  <si>
    <t>1000004801.5327935840</t>
  </si>
  <si>
    <t>Капитальный ремонт ЦТП котельной №2» (в части замены трубной части подогревателей, замены сетевых насосов) по адресу: Московская область, Богородский городской округ, р.п. Обухово, ул. Комбинат, д. 21а (в т.ч. ПИР)</t>
  </si>
  <si>
    <t>АО НПТО ЖКХ</t>
  </si>
  <si>
    <t>2 279 715</t>
  </si>
  <si>
    <t>Оплачено, руб. (план): 2 399 700.00 
Оплачено, руб. (факт): 2 399 700.00 
Процент оплаты: 100.00 %</t>
  </si>
  <si>
    <t>1000004081.1000004957</t>
  </si>
  <si>
    <t>Капитальный ремонт котельной "Климова-2" (в части замены котла) по адресу: Московская область, г.о. Богородский, г. Ногинск, ул. Климова, д.42г (в т.ч. ПИР)</t>
  </si>
  <si>
    <t>ООО РЕСУРС</t>
  </si>
  <si>
    <t>13 118 768,5</t>
  </si>
  <si>
    <t>Оплачено, руб. (план): 15 085 437.50 
Оплачено, руб. (факт): 11 735 437.50 
Процент оплаты: 84.98 %</t>
  </si>
  <si>
    <t>1000004804.5327935843</t>
  </si>
  <si>
    <t>Капитальный ремонт котельной «Воровского» (в части замены трубной части подогревателей, замены сетевого насоса) по адресу: Московская область, Богородский городской округ, р.п. Воровского, ул. Мира, д. 1а (в т.ч. ПИР)</t>
  </si>
  <si>
    <t>2 095 776</t>
  </si>
  <si>
    <t>Оплачено, руб. (план): 1 838 400.00 
Оплачено, руб. (факт): 1 838 400.00 
Процент оплаты: 100.00 %</t>
  </si>
  <si>
    <t>1000004810.5327935849</t>
  </si>
  <si>
    <t>Капитальный ремонт котельной «Фабрика» (в части замены трубной части подогревателей, капитального ремонта котла) по адресу: Московская область, Богородский городской округ, д. Большое Буньково, мкр. Фабрики (в т.ч. ПИР)</t>
  </si>
  <si>
    <t>ООО РСК ИМПУЛЬС</t>
  </si>
  <si>
    <t>25 180 349,6</t>
  </si>
  <si>
    <t>Оплачено в 2026</t>
  </si>
  <si>
    <t>Оплачено, руб. (план): 26 160 709.77 
Оплачено, руб. (факт): 26 160 709.77 
Процент оплаты: 98.69 %</t>
  </si>
  <si>
    <t>Полностью оплачен (ранее была кредиторка)</t>
  </si>
  <si>
    <t>СМР закончен. Документы подписаны, Оплата произведена. Контракт закрыт.</t>
  </si>
  <si>
    <t>1000004802.5327935841</t>
  </si>
  <si>
    <t>Капитальный ремонт котельной № 2 (в части капитального ремонта котла, капитального ремонта кровли) по адресу: Московская область, Богородский городской округ, р.п. Обухово, ул. Комбинат, д. 21а (в т.ч. ПИР)</t>
  </si>
  <si>
    <t>1000004513.5327935424</t>
  </si>
  <si>
    <t>Капитальный ремонт участков тепловых сетей по адресу: Московская область, г.о. Богородский, р.п. Обухово, ул. Энтузиастов: от ТК-14 до ТК-14а; от ТК-16 до ТК-17 (в т.ч. ПИР)</t>
  </si>
  <si>
    <t>10 416 047</t>
  </si>
  <si>
    <t>Оплачено, руб. (план): 8 079 644.90 
Оплачено, руб. (факт): 8 079 644.90 
Процент оплаты: 73.69 %</t>
  </si>
  <si>
    <t>1000004174.1000005068</t>
  </si>
  <si>
    <t>Капитальный ремонт котельной "Климова-0" по адресу: Московская область, г.о. Богородский, г. Ногинск, ул. Климова, д. 42г (в т.ч. ПИР)</t>
  </si>
  <si>
    <t>ООО МТ-ПРОЕКТ</t>
  </si>
  <si>
    <t>37 341 089,5</t>
  </si>
  <si>
    <t>Оплачено, руб. (план): 31 042 198.42 
Оплачено, руб. (факт): 31 042 198.42 
Процент оплаты: 78.97 %</t>
  </si>
  <si>
    <t>1000003984.1000004850</t>
  </si>
  <si>
    <t>Шатура</t>
  </si>
  <si>
    <t>Строительство БМК мощностью 15 МВт по адресу: Московская область, г.о. Шатура, п. Шатурторф (в т.ч. ПИР)</t>
  </si>
  <si>
    <t>АО МОСОБЛГАЗ</t>
  </si>
  <si>
    <t>ИД сдана частично, замечания УТНКР, оплата произведена частично, не завершены работы по ПНР</t>
  </si>
  <si>
    <t>не завершен ПНР (проводится внутренний ПНР), предъявление УТНКР и главстройнадзору до 25.06.20206
не полностью сдана ИД (план сдачи 25.06.2026)
не устранены замечания УТНКР. устраняются замечания по ИД (план сдачи до 25.06.2026)</t>
  </si>
  <si>
    <t>Проведено совещание. ПНР в процессе. ИД частично сдана в УТНКР.</t>
  </si>
  <si>
    <t>Оплачено, руб. (план): 235 437 784.61
Оплачено, руб. (факт): 235 437 784.61
Процент оплаты: 96.40 %</t>
  </si>
  <si>
    <t>не сданы работы по ПНР под нагрузкой, благоустройству. Процент выплат 96,4%</t>
  </si>
  <si>
    <t>СМР завершен
сдана ИД 
не устранены замечания УТНКР. устраняются замечания по ИД (план сдачи до 15.07.2026)</t>
  </si>
  <si>
    <r>
      <rPr>
        <rFont val="Times New Roman"/>
        <color theme="1"/>
        <sz val="12.0"/>
      </rPr>
      <t xml:space="preserve">Остаток оплаты до  15.07.2026 
После устранения оставшихся замечаний по ИД. Оплата - </t>
    </r>
    <r>
      <rPr>
        <rFont val="Times New Roman"/>
        <b/>
        <color theme="1"/>
        <sz val="12.0"/>
      </rPr>
      <t xml:space="preserve">конец июля. </t>
    </r>
  </si>
  <si>
    <t>1000000902.1000000587</t>
  </si>
  <si>
    <t>Капитальный ремонт сетей теплоснабжения и ГВС в р.п.Менделеево (в т.ч. ПИР+СМР)</t>
  </si>
  <si>
    <t>ООО СТАЙЛГРУПП</t>
  </si>
  <si>
    <t>Оформление ТС в муниципальную собственность</t>
  </si>
  <si>
    <t>Идет согласование ИД. Крайняя дата оплаты 15.11.2026
Для завершения работ необходимо принять в муниципальную собственность 4км ТС, дата заседания назначена на 01.06.2026.
Плановая дата захода в МОГЭ 10.07.2026.</t>
  </si>
  <si>
    <t>Проведено совещание с проектной командой,определили сроки окончания СМР и предоставления ИД в УТНКР</t>
  </si>
  <si>
    <t>Оплачено, руб. (план): 401 155 715.50
Оплачено, руб. (факт): 401 155 715.50
Процент оплаты: 68.99 %</t>
  </si>
  <si>
    <t>Идет согласование ИД. Крайняя дата оплаты 15.11.2026
Для завершения работ необходимо принять в муниципальную собственность 4км ТС, идет процедура передачи прав собственности, срок завершения 18.06.2026 
Плановая дата захода в МОГЭ 10.07.2026.</t>
  </si>
  <si>
    <t>1000005622.5327937029</t>
  </si>
  <si>
    <t>Бронницы</t>
  </si>
  <si>
    <t>Капитальный ремонт котельной № 405 «ДКВР» по адресу: Московская область, г. Бронницы, ул. Красная, военный городок 11/1 (в т.ч. ПИР)</t>
  </si>
  <si>
    <t>ООО ТЭСКИП</t>
  </si>
  <si>
    <t>Оплачено, руб. (план): 166 235 895.43
Оплачено, руб. (факт): 166 235 895.43
Процент оплаты: 90.77 %</t>
  </si>
  <si>
    <t>закрыто под факт исполнение в 2025году 90.77 %</t>
  </si>
  <si>
    <t>1000004360.1000005357</t>
  </si>
  <si>
    <t>Власиха</t>
  </si>
  <si>
    <t>Капитальный ремонт участков тепловых сетей от Котельной №3 по адресу: Московская область, г.о. Власиха: от МКД ул. Маршала Жукова д.22 до МКД ул. Маршала Жукова д.21, от ТК-2 до ТК-4, от опуска сети в землю до ввода в служебное здание №1 (в т.ч. ПИР)</t>
  </si>
  <si>
    <t>МУП БЛАГОУСТРОЙСТВО И РАЗВИТИЕ ГОРОДСКОГО ОКРУГА ВЛАСИХА</t>
  </si>
  <si>
    <t>Расторгнут под факт</t>
  </si>
  <si>
    <t>Оплачено, руб. (план): 12 333 851.97
Оплачено, руб. (факт): 12 333 851.97
Процент оплаты: 81.52 %</t>
  </si>
  <si>
    <t>Контракт расторгнут под факт</t>
  </si>
  <si>
    <t>1000004352.1000005344</t>
  </si>
  <si>
    <t>Волоколамский</t>
  </si>
  <si>
    <t>Капитальный ремонт участков тепловой сети по адресу: Московская область, Волоколамский г.о., п.Сычево ТК 1- ТК 32 (в т.ч. ПИР)</t>
  </si>
  <si>
    <t>ООО ВЫМПЕЛСТРОЙ</t>
  </si>
  <si>
    <t>Низкий темп разработки ПИР подрядчиком</t>
  </si>
  <si>
    <t>233480 360,00</t>
  </si>
  <si>
    <t>СМР ведется</t>
  </si>
  <si>
    <t>СМР ведется. Подрядчиком проведено натурное обследование на Объекте. Было выявлено, что замена сети теплоснабжения невозможна без замены ГВС. Трубопроводы диаметром от 100 мм до 250 мм имеет протяженность 1380 м по траншее, а общую протяженность трубопроводов 5520 м.
Заказчику предоставлено экспертное заключение от 29.08.2025
№ 03/2025 по Объекту о невозможности замены только трубопроводов отопления без замены трубопроводов ГВС.
Подрядчик письмом от 14.10.2025 № информирует, что в связи с увеличением объема работ срок получения положительного заключения ГАУ «Мособлгосэкспертиза» по Объекту - до 01.08.2026.</t>
  </si>
  <si>
    <t>Оплачено, руб. (план): 73 730 640.00
Оплачено, руб. (факт): 73 730 640.00
Процент оплаты: 30.00 %</t>
  </si>
  <si>
    <t xml:space="preserve">
Находится в МОГЭ на проверке комплектности с 05.06.2026 г. 
СМР ведутся  СГ-50%
Подрядчиком было предоставлено 29.08.2025 экспертное о невозможности замены только трубопроводов отопления без замены трубопроводов ГВС.
В МОГЭ зашли с четырехтрубной системой. </t>
  </si>
  <si>
    <t xml:space="preserve">После прохождения МОГЭ, Администрация планирует расторгнуть контракт с ООО ВЫМПЕЛСТРОЙ и заключить контракт с новым Подрядчиком на завершение работ. Планируется очное совещание. </t>
  </si>
  <si>
    <t>1000004916.5327936004</t>
  </si>
  <si>
    <t>Дмитровский</t>
  </si>
  <si>
    <t>Строительство БМК по адресу: Московская область, Дмитровский г.о., р.п. Икша, ул. Рабочая (в т.ч. ПИР)</t>
  </si>
  <si>
    <t>ООО КЭС ГРУПП</t>
  </si>
  <si>
    <t>234 694 928,39</t>
  </si>
  <si>
    <t>Ведется СМР</t>
  </si>
  <si>
    <t>не закончено СМР, не получено положительное заключение МОГЭ (20.05.2026 подрядчику направлен договор для подписания для входа в МОГЭ) плановая дата выхода 26.06.26</t>
  </si>
  <si>
    <t>Проведен ВКС 20.05.2026</t>
  </si>
  <si>
    <t>МОГЭ нет</t>
  </si>
  <si>
    <t>Оплачено, руб. (факт): 73 084 829.21 
Процент оплаты: 30.00 %</t>
  </si>
  <si>
    <t>Нет МОГЭ
Ведется СМР</t>
  </si>
  <si>
    <t>4036470831.4036471081</t>
  </si>
  <si>
    <t>Строительство блочно-модульной котельной (БМК), расположенная по адресу: Московская область, городской округ Шатура, поселок Радовицкий, ул. Спортивная, д. 13 (в том числе ПИР и ТП)</t>
  </si>
  <si>
    <t>Расторжение контракта (новый подрядчик)</t>
  </si>
  <si>
    <t>170 176 758,78</t>
  </si>
  <si>
    <t>20 863 612,27</t>
  </si>
  <si>
    <t>149 313 146,51</t>
  </si>
  <si>
    <t>Контракт расторгнут</t>
  </si>
  <si>
    <t>новый контракт заключен с ООО Строй Групп 20.04.2026. 
Работы на стройплощадке не возобновлены.
Договор на сборку БМК не заключен.
План завершения СМР 25.11.2026.</t>
  </si>
  <si>
    <t>Оплачено, руб. (план): 112 134 062.05
Оплачено, руб. (факт): 112 134 062.05
Возврат оплат, руб.: 94 661 390.75
Процент оплаты: 55.47 %</t>
  </si>
  <si>
    <t>контракт расторгнут под факт. Процент оплаты 55.47 %</t>
  </si>
  <si>
    <t>новый подрядчик Строй Групп к работам не приступил.
Заключен догвор на сборку и поставку БМК с заводом (срок до 25.06.2026)
срок сдачи декабрь 2026 года</t>
  </si>
  <si>
    <t>1000004638.5327935555</t>
  </si>
  <si>
    <t>Реконструкция котельной № 27 по адресу: Московская область, г.о. Чехов, п. Новый Быт, ул. НАТИ, стр. 10-1 (в т.ч. ПИР)</t>
  </si>
  <si>
    <t>МОГЭ получено
СМР не завершен</t>
  </si>
  <si>
    <t>Оплачено, руб. (план): 71 445 762.00 
Оплачено, руб. (факт): 71 445 762.00 
Процент оплаты: 30.00 %</t>
  </si>
  <si>
    <t>Положительное заключение МОГЭ получено 05.03.2026 
Тепломеханическое оборудование смонтировано, работает (ОЗП 2025-2026 тепло было запущено по новой схеме) 
СМР не завершен в части общестроительных работ. 
Плановая дата завершения работ 15.07.2026. Идет подготовка ИД и КС. Ожидаемый срок сдачи до 30.07.2026. Оплата до 15.08.2026</t>
  </si>
  <si>
    <r>
      <rPr>
        <rFont val="Times New Roman"/>
        <color theme="1"/>
        <sz val="12.0"/>
      </rPr>
      <t xml:space="preserve">СМР общестрой и ИД - до 30.06. Далее подгрузка в ПИК. Предоставить ГПР по оставшимся работам РП и Заказчику. </t>
    </r>
    <r>
      <rPr>
        <rFont val="Times New Roman"/>
        <color rgb="FFFF0000"/>
        <sz val="12.0"/>
      </rPr>
      <t>На 10.06 ГПР РП не предоставлен</t>
    </r>
  </si>
  <si>
    <t>1000004530.5327935441</t>
  </si>
  <si>
    <t>Павлово-Посадский</t>
  </si>
  <si>
    <t>Реконструкция участков тепловых сетей и сетей ГВС от котельной "Городок" по адресу: Московская область, г.о.Павловский Посад, ул. Городковская, 73а корп.30, до тепловой камеры ТК-1Г (в т.ч. ПИР)</t>
  </si>
  <si>
    <t>ООО ПСК-71</t>
  </si>
  <si>
    <t>Не заходили ни разу</t>
  </si>
  <si>
    <t>Длительное согласование ПИР с Заказчиком</t>
  </si>
  <si>
    <t>Попадание в зоны ЗОУИТ</t>
  </si>
  <si>
    <t>СМР не завершен, контракт не продлен (МИНЖКХ)</t>
  </si>
  <si>
    <t xml:space="preserve">СМР не завершен. (план завершения до 15.09.2026г
Продление сроков ПИР всвязи с поздним согласованием Заказчиком направления трассы (19.05.2026), а также необходимостью разрабатывать дополнительные разделы (прохождением в водоохранной зоне).
Отсутствует заключение МОГЭ ввиду длительного согласования схемы теплосети с заказчиком.
Перенос объекта утвержден рабочей группой, изменение в ГП будет в актуальной версии ГП (до 25.06.2026)
</t>
  </si>
  <si>
    <t>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
20.05 .2026 проведена ВКС с МинЖКХ по вопросу реализации объектов и завершению СМР.</t>
  </si>
  <si>
    <t>оплачен только аванс, БГ не получена, требуется продление контракта</t>
  </si>
  <si>
    <t>Оплачено, руб. (план): 69 261 204.46
Оплачено, руб. (факт): 69 261 204.46
Процент оплаты: 29.99 %</t>
  </si>
  <si>
    <t>выплачен аванс, проект не прошел экспертизу МОГЭ. Отсутствует возможность закрытия контракта. сумма выплат 29.99 %</t>
  </si>
  <si>
    <t>необходимо продление договора после внесения изменений в ГП. Срок актуалисзации ГП после 15.07.2026. 
После - заключение допсоглашения на продление сроков контракта. 
Необходим заход в экспертизу для получения положительного заключения МОГЭ (срок до 22.07.2026).
завершение выполнения СМР до 01.09.2026.</t>
  </si>
  <si>
    <t>1000004460.5327935369</t>
  </si>
  <si>
    <t>Реконструкция участков тепловых сетей по адресу: Московская область, Одинцовский г.о., пос. Старый Городок (в т.ч. ПИР)</t>
  </si>
  <si>
    <t>ООО СК ИМПЕРИЯ</t>
  </si>
  <si>
    <t>Длительное прохождение НТС</t>
  </si>
  <si>
    <t>226 238 888,70</t>
  </si>
  <si>
    <t>9 140 963,17</t>
  </si>
  <si>
    <t>217 097 925,53</t>
  </si>
  <si>
    <t>Зашли в МОГЭ. Плановая дата выхода 29.07.2026
СМР не завершен, плановая дата врезки 30.07.2026 г.</t>
  </si>
  <si>
    <t>Оплачено, руб. (план): 67 871 666.61
Оплачено, руб. (факт): 67 871 666.61
Процент оплаты: 30.00 %</t>
  </si>
  <si>
    <t>Документы в МОГЭ поданы. 
Плановая дата выхода из МОГЭ - 30.06.2026 
СМР не завершен, плановая дата врезки и завершения благоустройства 30.06.2026 г. 
Плановая дата оплаты - конец августа начало сентября.</t>
  </si>
  <si>
    <t>В МОГЭ - 30.06 выход. НТС пройден (6 месяцев проходили). СМР - врезки и благоустройство 30.06. Финансирование есть. Плановая дата оплаты - конец августа начало сентября.</t>
  </si>
  <si>
    <t xml:space="preserve">Плановая дата выхода из МОГЭ - до 29.07.2026 </t>
  </si>
  <si>
    <t>1000003881.1000004747</t>
  </si>
  <si>
    <t>Строительство блочного теплового пункта котельной №2 по адресу: Московская область, г.о. Власиха (в т.ч. ПИР)</t>
  </si>
  <si>
    <t>ООО ГЛАВСТРОЙ</t>
  </si>
  <si>
    <t>ЦТП</t>
  </si>
  <si>
    <t>Отсутствие тех.приса</t>
  </si>
  <si>
    <t>СМР не завершены</t>
  </si>
  <si>
    <t>СМР не завершен. Идет частичное согласование ИД. Крайняя дата оплаты 30.09.2026</t>
  </si>
  <si>
    <t>МОГЭ нет.</t>
  </si>
  <si>
    <t>Оплачено, руб. (план): 63 339 444.00
Оплачено, руб. (факт): 63 339 444.00
Процент оплаты: 30.00 %</t>
  </si>
  <si>
    <t>Выход из могэ до 28.06. Готовы оплатить ПИР и СМР после предоставления документов. Осталось выполнить наружные теплосети, опоры. Электрика и автоматизация - конец июня. ПНР - 15.07(окончание). Оплата - начало сентября. Сложность сдачи ИД в УТНКР</t>
  </si>
  <si>
    <t>1000004713.5327935641</t>
  </si>
  <si>
    <t>Реконструкция участка тепловой сети по адресу: Московская область, г.о. Власиха, от ул. Заозерная д. 15 до ДС № 5 Звездочка (в т.ч. ПИР)</t>
  </si>
  <si>
    <t>ООО ТАРИУС ЭНЕРГО</t>
  </si>
  <si>
    <t>21 786 778,08</t>
  </si>
  <si>
    <t>17 033 079,50</t>
  </si>
  <si>
    <t>4 753 698,58</t>
  </si>
  <si>
    <t>Оплачена 2026</t>
  </si>
  <si>
    <t>Оплата выполнена по факту выполненных работ (рассторгли контракт).</t>
  </si>
  <si>
    <t>Оплачено, руб. (план): 24 277 092.73
Оплачено, руб. (факт): 21 472 733.23
Процент оплаты: 76.39 %</t>
  </si>
  <si>
    <t>1000003983.1000004849</t>
  </si>
  <si>
    <t>Строительство БМК по адресу: Московская область, Дмитровский г.о., п.Автополигон (в т.ч. ПИР)</t>
  </si>
  <si>
    <t>ООО СЗ ФОРМУЛА РЕМОНТА</t>
  </si>
  <si>
    <t>Необходимость проведения НТС</t>
  </si>
  <si>
    <t>252 984 999,70</t>
  </si>
  <si>
    <t>Не передавалась</t>
  </si>
  <si>
    <t>не закончено СМР, не получено положительное заключение МОГЭ
14.05.2026 - Результаты рассмотрения документации
Плановая дата захода в МОГЭ - 15.06.2026</t>
  </si>
  <si>
    <t>Проведен внутренний ВКС в рабочем порядке 13.05.2026</t>
  </si>
  <si>
    <t>Оплачено, руб. (факт): 113 653 785.12 
Процент оплаты: 44.42 %</t>
  </si>
  <si>
    <t>4036517181.4036517411</t>
  </si>
  <si>
    <t>Строительство котельной для жилого дома по адресу: Московская область, г. Волоколамск, ул. Северное шоссе, д.12</t>
  </si>
  <si>
    <t>был ООО ГРАНДХИТ</t>
  </si>
  <si>
    <t>14 542 572,92</t>
  </si>
  <si>
    <t>1 878 750,00</t>
  </si>
  <si>
    <t>12 663 822,92</t>
  </si>
  <si>
    <t>Оплачено, руб. (план): 45 011 848.52
Оплачено, руб. (факт): 45 011 848.52
Процент оплаты: 29.99 %</t>
  </si>
  <si>
    <t>Контракт расторгнут, объект перенесен на 2026г.</t>
  </si>
  <si>
    <t>6068648911.6068649151</t>
  </si>
  <si>
    <t>Капитальный ремонт тепловых сетей г. Волоколамск (в т.ч. ПИР)</t>
  </si>
  <si>
    <t>28624 355,28</t>
  </si>
  <si>
    <t>Оплата выполнена, Подрядчик должен вернуть часть аванса</t>
  </si>
  <si>
    <t>Оплачено, руб. (план): 59 849 706.67
Оплачено, руб. (факт): 78 562 709.46
Возврат оплат, руб.: 18 713 002.79
Процент оплаты: 100.00 %</t>
  </si>
  <si>
    <t>Объект оплачен. Цена контракта была снижена</t>
  </si>
  <si>
    <t>6068649261.6068649501</t>
  </si>
  <si>
    <t>Капитальный ремонт тепловых сетей с. Осташево (в т.ч. ПИР)</t>
  </si>
  <si>
    <t>ООО АСК-38</t>
  </si>
  <si>
    <t>контракт расторгнут</t>
  </si>
  <si>
    <t>199 850 550,00</t>
  </si>
  <si>
    <t>Оплачено, руб. (план): 53 383 453.26
Оплачено, руб. (факт): 7 018 012.40
Возврат оплат, руб.: 6 599 558.72
Процент оплаты: 3.33 %</t>
  </si>
  <si>
    <t>6068649611.6068649851</t>
  </si>
  <si>
    <t>Капитальный ремонт тепловых сетей с. Ярополец (в т.ч. ПИР)</t>
  </si>
  <si>
    <t>5 852 298,19</t>
  </si>
  <si>
    <t>Исполнено, руб. (план): 6 160 313.88 
Исполнено, руб. (факт): 0.00
Процент исполнения: 0.00 %</t>
  </si>
  <si>
    <t>СМР завершен. КС подписана УТНКР. В связи с окончанием БГ в 2024г. Оплата работ возможна при обращении подрядчика в суд.</t>
  </si>
  <si>
    <t>6068648551.6068648801</t>
  </si>
  <si>
    <t>Капитальный ремонт тепловых сетей с. Ивановское (в т.ч. ПИР)</t>
  </si>
  <si>
    <t>3 642 443,88.</t>
  </si>
  <si>
    <t>Контракт расторгнут. Судебные разбирательства. В Экспертизу Подрядчик зайти не смог, т.к. получено заключение МОГЭ в 2022 году на три объекта Ботово, Ивановское, Ярополец. Отдельно на Ивановское зайти нельзя!</t>
  </si>
  <si>
    <t>Исполнено, руб. (план): 3 834 151.45 
Исполнено, руб. (факт): 0.00
Процент исполнения: 0.00 %</t>
  </si>
  <si>
    <t>1000004693.5327935621</t>
  </si>
  <si>
    <t>Строительство БМК на 7,5 МВт по адресу: Московская область, г.о. Люберцы, д. Марусино, в районе домов ул. Заречная д. 25а (в т.ч. ПИР)</t>
  </si>
  <si>
    <t>СМР не завершен, нет техприса, по газу. В ОМСУ отсуствуют средства на техприс. В планах ОМСУ решение вопроса по лимитам на техприс до 15.07.26. Для техприса по газу необходим индивидуальный проект. Срок реализации индивидуальных проектов по техпрису два года согласно регламента Мособлгаз. ПНР возможен после решения вопроса с техприсом по газу. Срок ПНР на 03.06.2026 не определен. Заход в МОГЭ после 15.07.2026</t>
  </si>
  <si>
    <t>Оплачено, руб. (план): 55 945 946.78 
Оплачено, руб. (факт): 55 945 946.78 
Процент оплаты: 29.11 %</t>
  </si>
  <si>
    <t>БМК собрана на площадке. Тех. Прис отсутствует. Отсутствуют финансы на тех. Прис (газ и электрика). У Заказчика. Попытки снизить стоимость на тех.прис. Стоимость выходит по цене самой БМК. Очное совещание. Пригласить МОГ</t>
  </si>
  <si>
    <r>
      <rPr>
        <rFont val="Times New Roman"/>
        <color theme="1"/>
        <sz val="12.0"/>
      </rPr>
      <t xml:space="preserve">БМК собрана на площадке. Тех. Прис отсутствует. Отсутствуют финансы на тех. Прис (газ и электрика). У Заказчика. Попытки снизить стоимость на тех.прис. Стоимость выходит по цене самой БМК. </t>
    </r>
    <r>
      <rPr>
        <rFont val="Times New Roman"/>
        <b/>
        <color theme="1"/>
        <sz val="12.0"/>
      </rPr>
      <t>Очное совещание. Пригласить МОГ</t>
    </r>
  </si>
  <si>
    <t>1000004462.5327935371</t>
  </si>
  <si>
    <t>Капитальный ремонт участков тепловых сетей от ЦТП Северо-Западный г.о.Ступино (от ЦТП Северо-Западный до ТК-97, ТК-271, ТК-303, ТК-270) (в т.ч. ПИР)</t>
  </si>
  <si>
    <t>127 616 640,00</t>
  </si>
  <si>
    <t>СМР завершён.
В МОГЭ
Плановая дата выхода 09.06.2026</t>
  </si>
  <si>
    <t>Заключили договор МОГЭ 27.04.2026 
Плановая дата выхода 24.06.2026 
СМР выполнен в полном объеме. 
Благоустройство выполнено. 
Замечания устраняются в рабочем порядке. 
ИД подготовлена. 
Замечания от УТНКР устраняются. 
ПИР оплата - июль. Оплата - август.</t>
  </si>
  <si>
    <r>
      <rPr>
        <rFont val="Times New Roman"/>
        <color theme="1"/>
        <sz val="12.0"/>
      </rPr>
      <t xml:space="preserve">МОГЭ выход - 08.06 - 11.06 Продление МОГЭ до 17.06. Увелничение до 30%.  Замечания устраняются в рабочем порядке. ИД подготовлена. Замечания от УТНКР устраняются. Подписание доп соглашения проработать. </t>
    </r>
    <r>
      <rPr>
        <rFont val="Times New Roman"/>
        <b/>
        <color theme="1"/>
        <sz val="12.0"/>
      </rPr>
      <t xml:space="preserve">Оплата - август. ПИР оплата - июль. </t>
    </r>
  </si>
  <si>
    <t>4036485401.4036485611</t>
  </si>
  <si>
    <t>ГКУ МО МОС АВС</t>
  </si>
  <si>
    <t>Строительство блочно-модульной котельной для ГКУЗ Московской области "Детский бронхолегочный санаторий "Озерский" по адресу: Озерский район, пл. Карла Маркса, д. 11 (в т.ч. ПИР)</t>
  </si>
  <si>
    <t>Оплачено, руб. (план): 12 273 414.60
Оплачено, руб. (факт): 12 273 414.60
Процент оплаты: 71.09 %</t>
  </si>
  <si>
    <t>Цастичная оплата. Цена контракта была снижена</t>
  </si>
  <si>
    <t>4036554811.4036555021</t>
  </si>
  <si>
    <t>Строительство блочно-модульной котельной для ГКУЗ Московской области "Детский бронхолегочный санаторий "Озерский" по адресу: Озерский район, ул. Крюкова, д. 26 (в т.ч. ПИР)</t>
  </si>
  <si>
    <t>Оплачено, руб. (план): 15 044 635.62
Оплачено, руб. (факт): 15 044 635.62
Процент оплаты: 96.37 %</t>
  </si>
  <si>
    <t>1000003865.1000004731</t>
  </si>
  <si>
    <t>Лыткарино</t>
  </si>
  <si>
    <t>Капитальный ремонт участков тепловых сетей от котельной № 1 по адресу: Московская область, г.о. Лыткарино, квартал 2, мкр.5, стр.5а (от ТК-302а до ТК-11) (в т.ч. ПИР)</t>
  </si>
  <si>
    <t>ООО РБК СТРОЙИНВЕСТ</t>
  </si>
  <si>
    <t>Повторный заход в МОГЭ с уточнеными объемами с устранеными до 10.06.2026. Не завершено благоустройство. (тратуары, бордюры, финальное благоустройство).</t>
  </si>
  <si>
    <t>Проведено совещание с проектной командой , определили сроки устранения замечаний МОГЭ до 05.06.2026</t>
  </si>
  <si>
    <t>Оплачено, руб. (план): 56 630 544.00 
Оплачено, руб. (факт): 56 630 544.00 
Процент оплаты: 30.00 %</t>
  </si>
  <si>
    <t>4036493601.4036493811</t>
  </si>
  <si>
    <t>Строительство блочно-модульной котельной для ГАУ СО Московской области "Ступинский комплексный центр социального обслуживания населения" по адресу: Ступинский муниципальный район, с. Липитино, ул. Клубная (в т.ч. ПИР)</t>
  </si>
  <si>
    <t>ООО ПРОМСТРОЙЭКСПЕРТИЗА</t>
  </si>
  <si>
    <t>Контракт рассторгнут</t>
  </si>
  <si>
    <t>Судебное разбирательство
Частично оплата</t>
  </si>
  <si>
    <t>42 786,55</t>
  </si>
  <si>
    <t>Контракт №1
Оплачено, руб. (план): 13 586 618.90
Оплачено, руб. (факт): 13 586 618.90
Процент оплаты: 45.00 %
Контрактк №2
Оплачено, руб. (план): 3 253 044.41
Оплачено, руб. (факт): 3 253 044.41
Возврат оплат, руб.: 3 253 044.41
Процент оплаты: 30.00 %</t>
  </si>
  <si>
    <t>Контракт рсторгнут</t>
  </si>
  <si>
    <t>4036524811.4036525021</t>
  </si>
  <si>
    <t>Строительство блочно-модульной котельной для ГБСУ СО Московской области "Денежниковский психоневрологический интернат" по адресу: Раменский муниципальный район, п. Денежниково, д. 24 (в т.ч. ПИР)</t>
  </si>
  <si>
    <t>ООО ТЕЗА-СТРОЙ</t>
  </si>
  <si>
    <t>4036452661.4036452871</t>
  </si>
  <si>
    <t>Строительство блочно-модульной котельной для ГБУЗ Московской области "Можайская центральная районная больница", филиал "Клементьевская участковая больница" по адресу: Можайский муниципальный район, Клементьевское сельское поселение, д. Клементьево (в т.ч. ПИР)</t>
  </si>
  <si>
    <t>23 778 506,63</t>
  </si>
  <si>
    <t>Оплачено, руб. (план): 18 534 168.42
Оплачено, руб. (факт): 18 534 168.42
Процент оплаты: 74.04 %</t>
  </si>
  <si>
    <t>4036465361.4036465571</t>
  </si>
  <si>
    <t>Строительство блочно-модульной котельной для ГБУЗ Московской области "Психиатрическая больница N 4" по адресу: Рузский муниципальный район, с. Покровское (Рузский городской округ) (в т.ч. ПИР)</t>
  </si>
  <si>
    <t>ООО МОСПРОЕКТ</t>
  </si>
  <si>
    <t>Контракт №1 (поставка БМК)
Оплачено, руб. (план): 41 319 324,73 Оплачено, руб. (факт): 41 319 324,73 Процент оплаты: 100%
Контракт №2 (СМР)
Оплачено, руб. (план): 5 319 000,00 Оплачено, руб. (факт): 5 319 000,00
Возврат оплат, руб: 5 319 000,00
Процент оплаты:30,00%</t>
  </si>
  <si>
    <t>1000004058.1000004933</t>
  </si>
  <si>
    <t>Реконструкция Котельной №53 по адресу: Московская область, г.о. Наро-Фоминск, п. Калининец (в т.ч. ПИР)</t>
  </si>
  <si>
    <t>ООО УНИСТРОЙ</t>
  </si>
  <si>
    <t>297436 148,50</t>
  </si>
  <si>
    <t>27336 187,74</t>
  </si>
  <si>
    <t>270099 960,76</t>
  </si>
  <si>
    <t>Проведено совещание с проектной командой о необходимости скорейшего завершения работ до 15.07.2026</t>
  </si>
  <si>
    <t>Оплачено, руб. (план): 182 302 533.00
Оплачено, руб. (факт): 182 302 533.00
Процент оплаты: 61.29 %</t>
  </si>
  <si>
    <t>1000000726.1000000396</t>
  </si>
  <si>
    <t>Капитальный ремонт газовой котельной по адресу: Дмитровский г.о., п. Деденево, ул. Набережная, дом 21г, стр.1 (замена котла)</t>
  </si>
  <si>
    <t>ООО АЛЬФАСТРОЙ</t>
  </si>
  <si>
    <t>22 462 790,00</t>
  </si>
  <si>
    <t>-</t>
  </si>
  <si>
    <t>Выполнена оплата по факту работ</t>
  </si>
  <si>
    <t>Контракт расторгнут 10.12.2025 по факту выполненных работ
Оплачено, руб. (факт): 22 462 790.06 
Процент оплаты: 99.87 %
Оплата выполнена</t>
  </si>
  <si>
    <t>1000003575.1000004374</t>
  </si>
  <si>
    <t>Капитальный ремонт тепловой сети по адресу: Московская область, Дмитровский г.о., г. Дмитров, ул. Водников 25 (от котельной до ТК-А2) (у детской поликлиники) (в т.ч. ПИР)</t>
  </si>
  <si>
    <t>ООО АРХИН</t>
  </si>
  <si>
    <t>19 902 847,41</t>
  </si>
  <si>
    <t>Контракт расторгнут 29.12.2025 по факту выполненных работ
Оплачено, руб. (факт): 19 429 310.61 
Процент оплаты: 84.71 %
Оплата выполнена</t>
  </si>
  <si>
    <t>1000003579.1000004378</t>
  </si>
  <si>
    <t>Капитальный ремонт участков тепловой сети по адресу: Московская область, Дмитровский г.о., г. Дмитров, ул. Водников , д.27 (от ТК-С20 до ТК-С20в) (в т.ч. ПИР)</t>
  </si>
  <si>
    <t>14 301 954,82</t>
  </si>
  <si>
    <t>Контракт расторгнут 20.01.2026 по факту выполненных работ
Оплачено, руб. (факт): 15 120 966.82
Процент оплаты: 86.28 %
Оплата выполнена</t>
  </si>
  <si>
    <t>1000003580.1000004379</t>
  </si>
  <si>
    <t>Капитальный ремонт участков тепловой сети по адресу: Московская область, Дмитровский г.о., г. Дмитров, ул. Водников , д.27 (от ТК-С22 до ТК-С22а) (в т.ч. ПИР)</t>
  </si>
  <si>
    <t>15 474 284,05</t>
  </si>
  <si>
    <t>Контракт на этапе расторжеия на этапе выполненых работ
Оплачено, руб. (факт): 16 515 644.05
Процент оплаты: 78.01 %
Оплата выполнена</t>
  </si>
  <si>
    <t>1000003582.1000004381</t>
  </si>
  <si>
    <t>Капитальный ремонт участков тепловой сети по адресу: Московская область, Дмитровский г.о., г. Дмитров, ул. Водников, д. 27 (от ТК-С14 до перехода дороги ул.Комсомольская) (в т.ч. ПИР)</t>
  </si>
  <si>
    <t>15 643 488,98</t>
  </si>
  <si>
    <t>Контракт расторгнут 29.12.2025 по факту выполненных работ
Оплачено, руб. (факт): 16 355 052.98
Процент оплаты: 86.52 %
Оплата выполнена</t>
  </si>
  <si>
    <t>1000003584.1000004383</t>
  </si>
  <si>
    <t>Капитальный ремонт участков тепловой сети по адресу: Московская область, Дмитровский г.о., г. Дмитров, ул. Водников, д. 27 (от Садовая 2 до ТК-А1) (в т.ч. ПИР)</t>
  </si>
  <si>
    <t>28 180 826,11</t>
  </si>
  <si>
    <t>Контракт расторгнут 29.12.2025 по факту выполненных работ
Оплачено, руб. (факт): 29 466 242.11
Процент оплаты: 94.98 %
Оплата выполнена</t>
  </si>
  <si>
    <t>1000003581.1000004380</t>
  </si>
  <si>
    <t>Капитальный ремонт участков тепловой сети по адресу: Московская область, Дмитровский г.о., г. Дмитров, ул. Водников, д. 27 (от ТК-С1 до ТК-С13а) (в т.ч. ПИР)</t>
  </si>
  <si>
    <t>ООО ИМПУЛЬСЭНЕРГОСТРОЙ</t>
  </si>
  <si>
    <t>36 098 857,74</t>
  </si>
  <si>
    <t>Контракт расторгнут 29.12.2025 по факту выполненных работ
Оплачено, руб. (факт): 37 488 666.54 
Процент оплаты: 93.17 %
Оплата выполнена</t>
  </si>
  <si>
    <t>1000004845.5327935890</t>
  </si>
  <si>
    <t>Капитальный ремонт котельной № 14 по адресу: Наро-Фоминский г.о., г. Апрелевка, ул. Апрелевская, д.65 (в т.ч. ПИР)</t>
  </si>
  <si>
    <t>ООО СЗСМЭУ</t>
  </si>
  <si>
    <t>240258 676,86</t>
  </si>
  <si>
    <t>6899 892,67</t>
  </si>
  <si>
    <t>233358 784,19</t>
  </si>
  <si>
    <t>Смр не завершен</t>
  </si>
  <si>
    <t>Оплачено, руб. (план): 73 870 366.04
Оплачено, руб. (факт): 73 870 366.04
Процент оплаты: 30.74 %</t>
  </si>
  <si>
    <t>1000004843.5327935888</t>
  </si>
  <si>
    <t>Капитальный ремонт котельной № 50 (в части замены 3-х котлов и оборудования) по адресу: Московская область, г.о. Наро-Фоминск, р.п. Селятино, ул. Промышленная, зд. 20 (в т.ч. ПИР)</t>
  </si>
  <si>
    <t>ООО СК ВЕКТОР</t>
  </si>
  <si>
    <t>159471 993,91</t>
  </si>
  <si>
    <t>7828 966,65</t>
  </si>
  <si>
    <t>151643 027,26</t>
  </si>
  <si>
    <t>Оплачено, руб. (план): 47 841 598.18
Оплачено, руб. (факт): 47 841 598.18
Процент оплаты: 30.00 %</t>
  </si>
  <si>
    <t>1000003578.1000004377</t>
  </si>
  <si>
    <t>Капитальный ремонт участков тепловой сети по адресу: Московская область, Дмитровский г.о., г. Дмитров, ул. Профессиональная (от котельной до ТК-П1 ул.Профессиональная) (в т.ч. ПИР)</t>
  </si>
  <si>
    <t>45 695 127,17</t>
  </si>
  <si>
    <t>Оплачено, руб. (факт): 47 271 234.81
Процент оплаты: 95.90 %</t>
  </si>
  <si>
    <t>Кредиторская задолженность
Оплата до 15.04.2026</t>
  </si>
  <si>
    <t>1000003583.1000004382</t>
  </si>
  <si>
    <t>Капитальный ремонт участков тепловой сети по адресу: Московская область, Дмитровский г.о., г. Дмитров, ул. Водников, д. 27 (от перехода дороги ул.Комсомольская у школы №2 до ТК-С20) (в т.ч. ПИР)</t>
  </si>
  <si>
    <t>55 521 608,23</t>
  </si>
  <si>
    <t>Контракт расторгнут по факту выполненных работ
Оплачено, руб. (факт): 56 879 672.26
Возврат оплат, руб.: 993 919.68
Процент оплаты: 92.62 %</t>
  </si>
  <si>
    <t>1000004450.5327935358</t>
  </si>
  <si>
    <t>Реконструкция тепловых сетей котельной по адресу: Московская обл., Одинцовский г.о., г. Звенигород, ул. Ленина, д.30 ( в т .ч. ПИР)</t>
  </si>
  <si>
    <t>ООО ВМО-ПРОЕКТ</t>
  </si>
  <si>
    <t>121 513 290,00</t>
  </si>
  <si>
    <t>5 949 658,68</t>
  </si>
  <si>
    <t>115 563 631,32</t>
  </si>
  <si>
    <t>Нет МОГЭ
Заход после НТС</t>
  </si>
  <si>
    <t>Назначение очного совещания с Тактаровым Р.Ф. (вопрос о расторжении, либо изменении контракта)
Дата уточняется</t>
  </si>
  <si>
    <t>Ведется СМР 25%</t>
  </si>
  <si>
    <t>Оплачено, руб. (план): 12 151 329.00
Оплачено, руб. (факт): 12 151 329.00
Процент оплаты: 10.00 %</t>
  </si>
  <si>
    <t>Ведется СМР. СГ 25%</t>
  </si>
  <si>
    <t>Работы приостановлены по требованию Заказчика. Причина - отсутствие разрешения ГУКН. Получением разрешения занимается ОМСУ. У подрядной организации весь материал на месте.После получения разрешения на продолжение работ, смр будет закончен в течении 45 суток.</t>
  </si>
  <si>
    <t>1000004083.1000004959</t>
  </si>
  <si>
    <t>Егорьевск</t>
  </si>
  <si>
    <t>Капитальный ремонт котельной (в части замены насосов, котла ПТВМ с автоматизацией) по адресу: Московская область, г. Егорьевск, Касимовское шоссе, д.3А</t>
  </si>
  <si>
    <t>ЗАО ПК КОТЛОСТРОЙ</t>
  </si>
  <si>
    <t>Спор из-за объемов выполненных работ</t>
  </si>
  <si>
    <t>Замечания ИД</t>
  </si>
  <si>
    <t>Замечания ИД. Не устранено 23 замечаний. Срок устранения до 10.06.2026</t>
  </si>
  <si>
    <t>Проведен вкс. Определен срок устранения замечания до 10.06.2026</t>
  </si>
  <si>
    <t>Оплачено, руб. (план): 42 224 866.02 
Оплачено, руб. (факт): 42 224 866.02 
Процент оплаты: 28.52 %
остаток 102985 по результатам МОГЭ остаток средств 2300</t>
  </si>
  <si>
    <t>работы выполнены на 100%.. Заказчик готов оплачивать
Замечания по ИД у УТНКР.
Ориентировочное устранение замечаний до 10.06.2026 , оплата 10.07.2026</t>
  </si>
  <si>
    <t>4036510481.4036510711</t>
  </si>
  <si>
    <t>Строительство котельной №37,п.Сычево,Школьный пр.,д.4, г.о. Волоколамский (в т.ч. ПИР, ТП)</t>
  </si>
  <si>
    <t>141036 621,97</t>
  </si>
  <si>
    <t>СМР ведется
Объект в 65.1</t>
  </si>
  <si>
    <t xml:space="preserve">
 Получено положительное заключение. от 03.04.2026
Работы начато 18.04.2025. СГ - 13 %. 
Залита плита под котельную, ведутся работы по плите под дизельное топливохранилище. 
БМК монтируется на заводе г. Балашов, Саратовской области, куплены 3 котла и горелочные устройства. 
В настоящее время работы приостановлены.
Необходимо выполнить до завершения монтажа:
- Сборку БМК на заводе
- Доставку БМК на объект
- Устройство фундамента
- Монтаж БМК на объекте
- Устройство инженерных сете
Подрядчик ожидает заключения доп. согл по 65.1, после чего будет увеличен аванс до новой стоимости контракта. После этого подрядчик возобновит работы на объекте.
Цена контракта, руб.: 150 тыс. руб
Аванс: 45 тыс.руб
Заключение МОГЭ: 420 тыс.руб
Новый аванс с учетом новый цены контракта: 126 тыс.руб. 
Тех.присоедениение: 
ВС/ВО - получен,находятся на оплате до 18.06.2026
ГС - получен, оплачен
ЭС - получен, находятся на оплате до 18.06.2026
ТС - получен, находятся на оплате до 18.06.2026
"</t>
  </si>
  <si>
    <t>1000003576.1000004375</t>
  </si>
  <si>
    <t>Капитальный ремонт тепловой сети по адресу: Московская область, Дмитровский г.о., г. Дмитров, ул. Водников 25 (от ТК-А4 до ТК-А6) (в т.ч. ПИР)</t>
  </si>
  <si>
    <t>26 514 205,28</t>
  </si>
  <si>
    <t>Оплачено, руб. (факт): 27 910 921.28 
Процент оплаты: 79.26 %</t>
  </si>
  <si>
    <t>4036503591.4036503841</t>
  </si>
  <si>
    <t>Строительство блочно-модульной котельной (БМК), расположенная по адресу: Московская область, городской округ Шатура, поселок Бакшеево, ул. Комсомольская, д. 2 (в том числе ПИР и ТП)</t>
  </si>
  <si>
    <t>ООО ПРОФИСТРОЙ</t>
  </si>
  <si>
    <t>204 591 787,84</t>
  </si>
  <si>
    <t>14 811 277,47</t>
  </si>
  <si>
    <t>189 780 510,37</t>
  </si>
  <si>
    <t>СМР не завершен, оплачен только аванс</t>
  </si>
  <si>
    <t>СМР не завершен. План завершения - 18.11.2026.
Необходимо продление срока действия контракта.
не подготовлена и не сдана ИД по работам нового подрядчика, не устранены замечания УТНКР.</t>
  </si>
  <si>
    <t>Проведено совещание. Подрядчик обещал увеличить количество людей и темпы работ на объекте. Актуальный ГПР будет направлен до 23.06.2026.
Совместно с МЭФ прорабатывается вариант продления сроков действия контракта</t>
  </si>
  <si>
    <t>Оплачено, руб. (план): 102 295 893.92
Оплачено, руб. (факт): 102 295 893.92
Процент оплаты: 50.00 %</t>
  </si>
  <si>
    <t>новый контракт по КЧС, выплачен аванс 50%</t>
  </si>
  <si>
    <t xml:space="preserve">СМР не завершен. План завершения - 18.11.2026.
Необходимо продление срока действия контракта.
ИД сдана не  вполном объеме по работам нового подрядчика, не устранены замечания УТНКР.
Прорабатывается механизм закрытия работ начатых предыдущим подрядчиком, законченных текущим подрядчиком.
Договор с ЦНИЛ по освидетелствованию таких работ не заключен. План заключения до 15.07.2026
</t>
  </si>
  <si>
    <t>1000004327.1000005318</t>
  </si>
  <si>
    <t>Капитальный ремонт участков тепловой сети по адресу: Московская область, Дмитровский г.о., г. Дмитров, ул. Профессиональная (от ТК-П2 до ТК-П3) (в т.ч. ПИР)</t>
  </si>
  <si>
    <t>ООО ТРАССТРОЙ</t>
  </si>
  <si>
    <t>24 317 028,86</t>
  </si>
  <si>
    <t>Контракт расторгнут, произведена оплата 
по факту выполненных работ
Оплачено, руб. (факт): 26 108 412.86 
Процент оплаты: 87.14 %</t>
  </si>
  <si>
    <t>1000004328.1000005319</t>
  </si>
  <si>
    <t>Капитальный ремонт участков тепловой сети по адресу: Московская область, Дмитровский г.о., г.Дмитров, ул. Профессиональная (от ТК-П3 до ТК-По ул.Оборонная) (в т.ч. ПИР)</t>
  </si>
  <si>
    <t>46 885 806,50</t>
  </si>
  <si>
    <t>Контракт расторгнут, произведена оплата по факту 
выполненных работ
Оплачено, руб. (факт): 49 141 806.50 
Процент оплаты: 89.70 %</t>
  </si>
  <si>
    <t>1000004396.1000005422</t>
  </si>
  <si>
    <t>Сергиево-Посадский</t>
  </si>
  <si>
    <t>Капитальный ремонт участков тепловых сетей по адресу: Московская область, Сергиево-Посадский г.о., г. Хотьково, от К-6 на МОПБ № 5 (в т.ч. ПИР)</t>
  </si>
  <si>
    <t>ООО ГЕОМАР</t>
  </si>
  <si>
    <t>127 811 737,43</t>
  </si>
  <si>
    <t>58 266 714,70</t>
  </si>
  <si>
    <t>69 545 022,73</t>
  </si>
  <si>
    <t>не закончено СМР, подрячдик приостанавливал работы на объекте в связи с заключением ДС по 65.1, выход на объект 25.05.2026
СМР завершение до 01.08.2026</t>
  </si>
  <si>
    <t>Проведен ВКС 13.05.2026</t>
  </si>
  <si>
    <t>Оплачено, руб. (факт): 31 691 240.00 
Процент оплаты: 35.00 %</t>
  </si>
  <si>
    <t>Ведется СМР
Не сдан ИД/Не подписано КС в УТНКР</t>
  </si>
  <si>
    <t>1000003658.1000004522</t>
  </si>
  <si>
    <t>Капитальный ремонт участков тепловых сетей от т.6 до т.46 от ТЭЦ-23 по адресу: Московская область, г.о. Балашиха, мкр. Янтарный, кв. Изумрудный (в т.ч. ПИР)</t>
  </si>
  <si>
    <t>Не завершены СМР</t>
  </si>
  <si>
    <t>Заказчик выставляет замечания подрядчику</t>
  </si>
  <si>
    <t>Оплачено все кроме Благоустройства, благоустройство не выполнено до конца</t>
  </si>
  <si>
    <t>СМР не завершен в части благоустройства. Планируется завершить до 30.05.2026</t>
  </si>
  <si>
    <t>после получения БГ по замещающему источнику</t>
  </si>
  <si>
    <t>Осталось благоустройство. Остатки КС-2 по СМР приняты УТНКР и подгружены в ПИК</t>
  </si>
  <si>
    <t>Благоустройство в стадии завершения. Замечания к выполненным работам по укладке плитки. Срок устранения до 15.07. Оплата до 30.07</t>
  </si>
  <si>
    <t>Благоустройство в стадии завершения. Проблема с выкладкой плитки. Жителей не устраивает рисунок плитки. Пытаются найти компромисс с решением данного вопроса. Контракт до 20.07. ИД сданы без благоустройства.</t>
  </si>
  <si>
    <t>4035945181.4035945351</t>
  </si>
  <si>
    <t>Наружные сети водоснабжения, водоотведения и теплоснабжения г.о. Шатура (реконструкция) ПИР</t>
  </si>
  <si>
    <t>Только проектирование.
Нет заключения МОГЭ. (план захода 30.06.2026). Задержка связана с длительным представлением исходных данных для проектирования со стороны Заказчика.</t>
  </si>
  <si>
    <t>Проведено совещание. Заказчик взял на себя обязательство акутуализировать нагрузки и проверить представленную документацию.
Подрядчик обещал усилиться в разработке разделов ПИР.
необходимо разделение ПИР на несколько титулов (мероприятий) отдельно заходить в МОГЭ водопроводом, трубопроводами водоотведения, трубопроводами горячего водоснабжения и отопления.</t>
  </si>
  <si>
    <t>ОМСУ готовит заявку на корректировку сроков реализации контракта</t>
  </si>
  <si>
    <t>136 403,98</t>
  </si>
  <si>
    <t>Оплачено, руб. (план): 40 921 194.00
Оплачено, руб. (факт): 40 921 194.00
Процент оплаты: 30.00 %</t>
  </si>
  <si>
    <t>Контракт только ПИР. Выплачен аванс 30%</t>
  </si>
  <si>
    <t>Только проектирование!!!
СМР будет отдельным контрактом!
Нет заключения МОГЭ. (план захода 15.07.2026). 
Задержка связана с длительным представлением исходных данных для проектирования со стороны Заказчика.</t>
  </si>
  <si>
    <t>1000008996.5327940612</t>
  </si>
  <si>
    <t>Дзержинский</t>
  </si>
  <si>
    <t>Аварийно-восстановительные работы на теплотрассе от ТЭЦ до центральной бойлерной 120019 в городском округе Дзержинский Московской области (капитальный ремонт, в т.ч. ПИР)</t>
  </si>
  <si>
    <t>АО МИСК</t>
  </si>
  <si>
    <t>Осталась благоустройство</t>
  </si>
  <si>
    <t>не сдана ИД. Срок предоставления ИД до 15.07.2026</t>
  </si>
  <si>
    <t>провели ВКС, определили срок окончания работ и сдачи ИД до 15.07. 2026</t>
  </si>
  <si>
    <t>до 30.08. 2026</t>
  </si>
  <si>
    <t>Частично оплачен (90%)
ИД не сдавалась</t>
  </si>
  <si>
    <t>Оплачено, руб. (план): 1 570 081 728.71 
Оплачено, руб. (факт): 1 570 081 728.71 
Процент оплаты: 94.27 %</t>
  </si>
  <si>
    <t>ИД не сдано. Осталось благоустройство.</t>
  </si>
  <si>
    <t>1000004175.1000005069</t>
  </si>
  <si>
    <t>Капитальный ремонт участков тепловых сетей от котельной "Заречье" до ЦТП-1 по адресу: Московская область, г.о. Богородский, г. Ногинск, ул. Белякова, д. 2 (в т.ч. ПИР)</t>
  </si>
  <si>
    <t>ООО ИНВЕСТСТРОЙ</t>
  </si>
  <si>
    <t>Выявление доп. объема работ</t>
  </si>
  <si>
    <t>231 857 703,00</t>
  </si>
  <si>
    <t>88 889 697,53</t>
  </si>
  <si>
    <t>142 968 005,47</t>
  </si>
  <si>
    <t>Нет могэ</t>
  </si>
  <si>
    <t>СМР не завершен
монтаж трубы (400 метров)
Повторный заход в могэ до 30.06.2026 из за увеличения обьемов работ (большая стоимость грузоподьемных кранов - порядка 30 миллионов)</t>
  </si>
  <si>
    <t>Проведен вкс</t>
  </si>
  <si>
    <t>Оплачен Аванс</t>
  </si>
  <si>
    <t>Оплачено, руб. (план): 109 890 820.63 
Оплачено, руб. (факт): 109 890 820.63 
Процент оплаты: 53.84 %</t>
  </si>
  <si>
    <t>Не сданы ИД/КС</t>
  </si>
  <si>
    <t>Работы приостановлены до повторного выхода согласованной документации из МОГЭ. Повторный заход в могэ до 30.06.2026 из за увеличения обьемов работ (большая стоимость грузоподьемных кранов - порядка 30 миллионов). Теплоснабжение осуществляется по старой схеме.</t>
  </si>
  <si>
    <t>1000004663.5327935581</t>
  </si>
  <si>
    <t>Капитальный ремонт тепловой сети, от квартальной котельной по адресу: Московская область, г.о. Люберцы, г. Люберцы, пос. Калинина, д.44а, до ЦТП АО «Люберецкая теплосеть» №№ 1, 5, 8, 10, 12, 42, 46 (в т.ч. ПИР)</t>
  </si>
  <si>
    <t>ООО ИСК</t>
  </si>
  <si>
    <t>Принята</t>
  </si>
  <si>
    <t>Замечания устранены . УТНКР подписал. ОМСУ ждет документв от Заказчика на оплату.</t>
  </si>
  <si>
    <t>Проведено совещание с проектной командой , определили сроки устранения замечаний ИД в УТНКР</t>
  </si>
  <si>
    <t>Оплачено, руб. (план): 44 013 986.77 
Оплачено, руб. (факт): 38 699 694.00 
Процент оплаты: 28.50 %</t>
  </si>
  <si>
    <t>1000004676.5327935596</t>
  </si>
  <si>
    <t>Кашира</t>
  </si>
  <si>
    <t>Реконструкция участков тепловых сетей от котельной 90 МВт, расположенной по адресу: Московская область, г.о. Кашира, д. Горки, вдоль улиц Садовая, Кржижановского, 8 Марта, Центральная, Юбилейная, Вахрушева, Масленникова, Клубная (в т.ч. ПИР)</t>
  </si>
  <si>
    <t>121 540 899,64</t>
  </si>
  <si>
    <t>8 из 10 участков ИД подптсана, 2 на проверке. Сдача всей ИД и КС до 09.6. Замечания УТНКР(41): Благоустройство</t>
  </si>
  <si>
    <t>Оплачено, руб. (план): 36 462 269.89
Оплачено, руб. (факт): 36 462 269.89
Процент оплаты: 28.49 %</t>
  </si>
  <si>
    <t>ПИР оплачены. . ИД передана 10.06. на проверку УТНКР. Оплату произвести планируют до  01.07.2026</t>
  </si>
  <si>
    <t>ПИР оплачены. . ИД - 1 участок. Подписание 08.06. 10.06. на проверку УТНКР. Оплата 01.07</t>
  </si>
  <si>
    <t>1000004432.5327935340</t>
  </si>
  <si>
    <t>Строительство БМК на 6 МВт по адресу: Московская область, г.о. Богородский, г. Ногинск, ул. Жарова (в т.ч. ПИР)</t>
  </si>
  <si>
    <t>ООО РАДУГА</t>
  </si>
  <si>
    <t>149 580 683,69</t>
  </si>
  <si>
    <t>135 024 157,56</t>
  </si>
  <si>
    <t>14 556 526,13</t>
  </si>
  <si>
    <t>Завершающая документация собрана, подписана.</t>
  </si>
  <si>
    <t>ИД сдана</t>
  </si>
  <si>
    <t>Ид не сдана</t>
  </si>
  <si>
    <t>Оплачено, руб. (план): 69 104 838.07 
Оплачено, руб. (факт): 69 104 838.07 
Процент оплаты: 56.64 %</t>
  </si>
  <si>
    <t>Требуется доп согл об увелич лимитов.</t>
  </si>
  <si>
    <t>Подрядчик подгружает документы о закрытии. Акт о закрытии предполагается до 26.06.2026</t>
  </si>
  <si>
    <t>4036472001.4036472231</t>
  </si>
  <si>
    <t>Талдомский</t>
  </si>
  <si>
    <t>Строительство автоматизированной блочно-модульной котельной производительностью 11,0 МВт по адресу: Талдомский район, р.п. Северный, ул. Садовая, д. 12</t>
  </si>
  <si>
    <t>134 595 347,70</t>
  </si>
  <si>
    <t>не закончено СМР
Плановая дата завершения СМР до 01.09.2026
Низкая динамика работы подрядчиком</t>
  </si>
  <si>
    <t>Проведен ВКС 15.05.2026</t>
  </si>
  <si>
    <t>Оплачено, руб. (факт): 45 307 288.80 
Процент оплаты: 30.00 %</t>
  </si>
  <si>
    <t>Ведется СМР (предварительная дата окончания 30.09.2026).
До настоящего времени Подрядчиком не предоставлены ИД,КС на выполненные виды работ.</t>
  </si>
  <si>
    <t>СМР - ведется. До 15.07.2026 будет проведен ПНР. Сдача объекта до 01.08.26 С 09.06.2026 идет сдача ИД в УТНКР до 10.07.26 Оплата от 20.07.26 до 01.08.26</t>
  </si>
  <si>
    <t>СМР - ведется, дымовая труба, оборудование внутри БМК. В конце месяца будет проведен ПНР. Сдача объекта до 01.08. Частичная сдача ИД в УТНКР. До 10.07. Оплата от 20.07 до 01.08</t>
  </si>
  <si>
    <t>1000003646.1000004507</t>
  </si>
  <si>
    <t>Дубна</t>
  </si>
  <si>
    <t>Реконструкция котельной №3 (в части замены котла и установки дополнительного котла) по адресу: Московская область, г.о. Дубна, ул. Тверская, д. 20а (в т.ч. ПИР)</t>
  </si>
  <si>
    <t>Проведение дополнительных инж. изысканий в соответствии с ЗНП</t>
  </si>
  <si>
    <t>123 299 610,00</t>
  </si>
  <si>
    <t>Находятся в МОГЭ с 21.05.2026 
плановая дата выхода 02.07.26</t>
  </si>
  <si>
    <t>Внутренний ВКС с подрядчиком 15.05.2026</t>
  </si>
  <si>
    <t>Оплачено, руб. (факт): 38 133 900.00 
Процент оплаты: 30.00 %</t>
  </si>
  <si>
    <t>1000004517.5327935428</t>
  </si>
  <si>
    <t>Капитальный ремонт участков тепловых сетей по адресу: Московская область, г.о. Богородский, г.Электроугли, мкр. Светлый: от ТК-29 до ТК-33 по ул. Трудовая; от ТК-33 до ТК-36 по ул. Чехова; от ТК-24 до ТК-32; от ТК-6 до ТК-25; от ТК-10 до ТК-17; от ТК-10 до ТК-13; от ТК-5 до ТК-3; от ТК-5 до ТК-10 (в т.ч. ПИР)</t>
  </si>
  <si>
    <t>90 473 613,28</t>
  </si>
  <si>
    <t>31 012 613,90</t>
  </si>
  <si>
    <t>59 460 999,38</t>
  </si>
  <si>
    <t>Оплачены ПИРы, Завершающая документация собрана, подписана.</t>
  </si>
  <si>
    <t>Благоустройство завершено. ИД в процессе сбора для передачи в УТНКР. Срок до 30.05.2026г.</t>
  </si>
  <si>
    <t>Оплачено, руб. (план): 10 215 534.25
Оплачено, руб. (факт): 10 215 534.25
Процент оплаты: 10.32 %</t>
  </si>
  <si>
    <t>Не сданы ИД/КС 03.04 подача на частичное закрытие</t>
  </si>
  <si>
    <t>СМР завершен. Благоустройство выполнено. Закрывающие документы подписаны. Поданы документы на оплату контракта.</t>
  </si>
  <si>
    <t>1000002844.1000003588</t>
  </si>
  <si>
    <t>Пушкинский</t>
  </si>
  <si>
    <t>Капитальный ремонт котельной №2 (в части замены и монтажа котлов, насосов, дымовой трубы, резервно-топливного хозяйства, химической водоподготовки, горелок, теплообменников, автоматики и оборудования) по адресу: Московская область, г.о. Пушкинский, п. Лесной, ул. Центральная, 1 (в т.ч. ПИР)</t>
  </si>
  <si>
    <t>ООО ДАКОРП</t>
  </si>
  <si>
    <t>136 833 194,74</t>
  </si>
  <si>
    <t>57 031 254,69</t>
  </si>
  <si>
    <t>79 801 940,05</t>
  </si>
  <si>
    <r>
      <rPr>
        <rFont val="&quot;Times New Roman&quot;, serif"/>
        <b/>
        <color theme="1"/>
        <sz val="12.0"/>
      </rPr>
      <t>СМР не завершен, плановая дата завершения 01.09.2026</t>
    </r>
    <r>
      <rPr>
        <rFont val="&quot;Times New Roman&quot;, serif"/>
        <b/>
        <color theme="1"/>
        <sz val="11.0"/>
      </rPr>
      <t>, не оформлена ИД</t>
    </r>
  </si>
  <si>
    <t>Совещания с ОМСУ, РСО - корректировка ГПР и сроков реализации</t>
  </si>
  <si>
    <t>Оплачено частично, СМР не завершены</t>
  </si>
  <si>
    <t>1000004453.5327935362</t>
  </si>
  <si>
    <t>Реконструкция участков тепловых сетей котельной № 278 по адресу: Московская область, Одинцовский г.о., городок Кубинка-1, Кубинка (в т.ч. ПИР)</t>
  </si>
  <si>
    <t>ООО МОНТАЖ</t>
  </si>
  <si>
    <t>175 874 000,00</t>
  </si>
  <si>
    <t>8 793 470,00</t>
  </si>
  <si>
    <t>167 080 530,00</t>
  </si>
  <si>
    <t>Назначен НТС 27.05.2026</t>
  </si>
  <si>
    <t>Оплачено, руб. (план): 87 937 000.00
Оплачено, руб. (факт): 87 937 000.00
Процент оплаты: 50.00 %</t>
  </si>
  <si>
    <t>СМР выполнен на 60%. Работы приостановлены до прохождения НТС и получения положительного заключения МОГЭ. Часть теплоносителя идет по новому трубопроводу, часть по старому. Угрозы прохождения ОЗП нет.</t>
  </si>
  <si>
    <t>1000000938.1000000625</t>
  </si>
  <si>
    <t>Аварийно-восстановительные работы сетей теплоснабжения и ГВС в р.п. Менделеево г. о. Солнечногорск</t>
  </si>
  <si>
    <t>Идет согласование ИД. Крайняя дата оплаты 30.06.2026</t>
  </si>
  <si>
    <t>трассу и благоустройство сдали, осталось демонтаж на бумаге</t>
  </si>
  <si>
    <t>Оплачено, руб. (план): 128 926 758.39
Оплачено, руб. (факт): 128 926 758.39
Процент оплаты: 50.00 %</t>
  </si>
  <si>
    <t>Не подписано частично КС в УТНКР</t>
  </si>
  <si>
    <t>Трассу и благоустройство сдали в УТНКР, осталось демонтаж на бумаге</t>
  </si>
  <si>
    <t>1000003998.1000004864</t>
  </si>
  <si>
    <t>Капитальный ремонт котельной (в части замены котла) по адресу: Московская область, Дмитровский г.о., г. Яхрома ул. Ленина (в т.ч. ПИР)</t>
  </si>
  <si>
    <t>26 794 792,56</t>
  </si>
  <si>
    <t>Контракт расторгнут 14.10.2025 по факту выполненных работ
Оплачено, руб. (факт): 28 258 912.56
Процент оплаты: 95.64 %
Оплата выполнена</t>
  </si>
  <si>
    <t>1000004000.1000004866</t>
  </si>
  <si>
    <t>Капитальный ремонт котельной (в части замены котла) по адресу: Московская область, Дмитровский г.о., п. опытного хозяйства "Ермолино", ул. Центральная (в т.ч. ПИР)</t>
  </si>
  <si>
    <t>13 700 390,65</t>
  </si>
  <si>
    <t>Контракт расторгнут 09.02.2026 по факту выполненных работ
Оплачено, руб. (факт): 14 416 450.65
Процент оплаты: 90.57 %
Оплата выполнена</t>
  </si>
  <si>
    <t>1000004852.5327935897</t>
  </si>
  <si>
    <t>Капитальный ремонт котельной № 7 (в части замены 2-х котлов и оборудования) по адресу: г. Наро-Фоминск, ул. Ленина (в т.ч. ПИР)</t>
  </si>
  <si>
    <t>114663 859,70</t>
  </si>
  <si>
    <t>5629 148,69</t>
  </si>
  <si>
    <t>109034 711,01</t>
  </si>
  <si>
    <t>Зашли в экспертизу 13.04.2026. Выданы замечания в части документации по разделу Промбеза и СД. Выход из МОГЭ 12.06.2026. Остальные разделы согласованы. Неоходимо завершить общестроительные работы и благоустройство. Количество не устраненных замечаний УТНКР (3) Планируемая дата завершения 15.07.2026</t>
  </si>
  <si>
    <t>Оплачено, руб. (план): 34 399 157.91
Оплачено, руб. (факт): 34 399 157.91
Процент оплаты: 30.00</t>
  </si>
  <si>
    <t>1000003996.1000004862</t>
  </si>
  <si>
    <t>Капитальный ремонт котельной "Студенческий проезд" по адресу: Московская область, г.о. Пушкино, Студенческий проезд д.39А (в т.ч. ПИР)</t>
  </si>
  <si>
    <t>ООО ЛИДЕР</t>
  </si>
  <si>
    <t>99 858 414,00</t>
  </si>
  <si>
    <t>СМР не завершен, не реализован тех прис электрика - 20.05.2026 подана новая заявка на 243 кВт, газ - договор заключен - плановая дата выполнения 15.10.2026 - нужно переврезать ГРУ, ВРУ. 
Возможна частичная оплата на 80 млн руб., у ОМСУ отсуствует бюджет на оплату, прорабатывается замещение бюджета из МинЖКХ</t>
  </si>
  <si>
    <t>ВКС с ОМСУ/РСО/ПО</t>
  </si>
  <si>
    <t>КС частично оформлены (76 млн)не доведен местный лимит для оплаты, не скорректирвана ГП с учетом увеличения стоимости мероприятия после НТС (волна 4)</t>
  </si>
  <si>
    <t>Оплачено, руб. (план): 26 278 530.00 
Оплачено, руб. (факт): 26 278 530.00 
Процент оплаты: 25.00 %</t>
  </si>
  <si>
    <t>КС на оформлении на сумму 76 млн руб.</t>
  </si>
  <si>
    <t>1000004597.5327935512</t>
  </si>
  <si>
    <t>Подольск</t>
  </si>
  <si>
    <t>Капитальный ремонт участков тепловой сети от котельной по адресу: г.о.Подольск, ул.Гайдара 11, вдоль улиц Высотная, Гайдара, Готвальда, Свердлова, Кирова, Ленинградский пр-д, Юбилейная, Красногвардейский бульвар, Ленинградская (в т.ч. ПИР)</t>
  </si>
  <si>
    <t>ООО МОИК</t>
  </si>
  <si>
    <t>ИД в УТНКР подписана в полном объеме. Повторныйт заход в МОГЭ по доп. объемам. Срок рассмотрения 15 дней</t>
  </si>
  <si>
    <t>Проведено совещание с проектной командой, зам. Министра по оплате округом объектов. Составлена дорожная карта оплаты.</t>
  </si>
  <si>
    <t>Оплачено, руб. (план): 137 865 246.32
Оплачено, руб. (факт): 137 865 246.32
Процент оплаты: 84.87 %</t>
  </si>
  <si>
    <t>01.07.2026 документация загружена в ПИК. Ожидают оплату до 15.07.2026</t>
  </si>
  <si>
    <t>1000004070.1000004946</t>
  </si>
  <si>
    <t>Лосино-Петровский</t>
  </si>
  <si>
    <t>Строительство БМК на 6 МВт по адресу: Московская область, г.о. Лосино-Петровский д. Мизиново (в т.ч. ПИР)</t>
  </si>
  <si>
    <t>"Длительное согласования с ведомствами (Ростехнадзор, МОГ и тд)"</t>
  </si>
  <si>
    <t>СМР не завершен. Задержка СМР связана с приостановкой работ в связи с попаданием БМК в охранную зону Трансгаз Москва. Вопрос решен, СМР возобнавлен.</t>
  </si>
  <si>
    <t>Уточнен ГПР со сроком реализации до 01.09.2026</t>
  </si>
  <si>
    <t>Оплачено, руб. (план): 74 608 944.78 
Оплачено, руб. (факт): 74 608 944.78 
Процент оплаты: 50.00 %</t>
  </si>
  <si>
    <t>Не вышли из МОГЭ. СМР не выполнен</t>
  </si>
  <si>
    <t>Нужно доп соглашение на закрытие ПИР и увеличение стоимости (менее 30%). Есть тех. Вопросы с ПИК. (15.06). 
СМР окончание - сентябрь. Оплата - октябрь</t>
  </si>
  <si>
    <t>Вышли из МОГЭ. Вопрос с Трангаз Москва решен. Работы на объекте ведутся. Нужно доп соглашение на закрытие ПИР и увеличение стоимости (менее 30%). Есть тех. Вопросы с ПИК. (понедельник-вторник). 
СМР - сентябрь. Оплата - октябрь</t>
  </si>
  <si>
    <t>1000005173.5327936565</t>
  </si>
  <si>
    <t>Капитальный ремонт котельной (в части замены котла) по адресу: Московская область, Дмитровский г.о., п. Новосиньково, д. 79, стр. 1 (в т.ч. ПИР)</t>
  </si>
  <si>
    <t>9 921 375,66</t>
  </si>
  <si>
    <t>Контракт расторгнут 09.02.2026 по факту выполненных работ
Оплачено, руб. (факт): 12 435 135.66 
Процент оплаты: 98.59 %
Оплата выполнена</t>
  </si>
  <si>
    <t>1000000880.1000000565</t>
  </si>
  <si>
    <t>Можайский (АО МОСОБЛТЕПЛО)</t>
  </si>
  <si>
    <t>Капитальный ремонт сетей теплоснабжения пос. Строитель г.о. Можайск (в т.ч. ПИР)</t>
  </si>
  <si>
    <t>АО МОСОБЛТЕПЛО</t>
  </si>
  <si>
    <t>136 040 000,00</t>
  </si>
  <si>
    <t>68 946 227,25</t>
  </si>
  <si>
    <t>Необходимо завершить СМР и выполнить благоустройство (тратуары, бордюры, финальное благоустройство) Плановая дата завершения работ 30.06.2026</t>
  </si>
  <si>
    <t>Проведено выездное совещание на объете.</t>
  </si>
  <si>
    <t>Оплачено, руб. (план): 70 625 023.95
Оплачено, руб. (факт): 70 625 023.95
Процент оплаты: 49.31 %</t>
  </si>
  <si>
    <t>СМР - 30.06 договорной срок. На объекте 20 персонала. МОГЭ - получено. ИД - должны сдать без проблем. Идет частичное закрытие. Оплата - проблема с субсидией. Двойное финансирование Минэнерго и МинЖКХ. 
"Перечислено в 2025 году подрядчику ООО «ГраффитСтрой» от АО «МОСОБЛТЕПЛО» по объекту на сумму 70 625 023,95 руб. (МинЖКХ) 
По объекту работы приняты в 2025г АО «МОСОБЛТЕПЛО» на основании  Актов о приемки и КС-2 на общую сумму 39 521 462,77  руб.
В связи  с  не предоставлением от подрядчика ООО «ГраффитСтрой» всех Актов о приемки работ и КС-2 в 2025г. образовалась дебиторская задолженность на конец 2025г в размере 72 460 297,23 руб. (МинЖКХ)
Срок действия по соглашению: 31.12.2025 не продлен!"</t>
  </si>
  <si>
    <t>СМР - 30.06 договорной срок. На объекте 20 персонала. МОГЭ - получено. ИД - должны сдать без проблем. Идет частичное закрытие. Оплата - проблема с субсидией. Двойное финансирование Минэнерго и МинЖКХ.  Доведены лимиты.  Возврат субсидий</t>
  </si>
  <si>
    <t>1000004187.1000005081</t>
  </si>
  <si>
    <t>Щёлково</t>
  </si>
  <si>
    <t>Строительство БМК на 12 МВт по адресу: Московская область, г.о. Щелково, п. Фряново, ул. Первомайская (в т.ч. ПИР)</t>
  </si>
  <si>
    <t>107 874 326,58</t>
  </si>
  <si>
    <t>115 887 049,00</t>
  </si>
  <si>
    <t>69 438 907,74</t>
  </si>
  <si>
    <t>на проверке</t>
  </si>
  <si>
    <t>замечанеия устранены. Подгружено в ПИК на подписании</t>
  </si>
  <si>
    <t>срок устранения замечаний до 01.06.2026</t>
  </si>
  <si>
    <t>Оплачено, руб. (план): 60 784 263.56 
Оплачено, руб. (факт): 60 784 263.56 
Процент оплаты: 46.67 %</t>
  </si>
  <si>
    <t>ИД сдано частично. СМР выполнен</t>
  </si>
  <si>
    <t>ОПЛАЧЕНО</t>
  </si>
  <si>
    <t>СМР завершен. Документы загружены. После проверки оплата. Проверка сегодня-завтра. Оплата конец след.недели</t>
  </si>
  <si>
    <t>Оплачено под факт выполненных работ. Идет процесс возврата средств</t>
  </si>
  <si>
    <t>1000004180.1000005074</t>
  </si>
  <si>
    <t>Строительство БМК мощностью 6,0 МВт по адресу: Московская область, г.Кашира ул. 1-ая Дзержинская (в т.ч. ПИР)</t>
  </si>
  <si>
    <t>ООО МЕГАПОЛИС</t>
  </si>
  <si>
    <t>122 151 403,66</t>
  </si>
  <si>
    <t>плановый выход из МОГЭ - 04.06.2026г. устранение замечаний ПСД, в МОГЭ с 21.03.2026, не закончены СМР (план. до 30.06.) Замечания УТНКР(13): Проектно-изыскательские работы • Инженерные системы</t>
  </si>
  <si>
    <t>Проведено совещание с проектной командой,на ускорение спроизводства ПИР</t>
  </si>
  <si>
    <t>Оплачено, руб. (план): 59 950 000.00
Оплачено, руб. (факт): 59 950 000.00
Процент оплаты: 46.37 %</t>
  </si>
  <si>
    <t>1000004231.1000005147</t>
  </si>
  <si>
    <t>Котельники</t>
  </si>
  <si>
    <t>Капитальный ремонт участков тепловых сетей от ЦТП "Ковровый" по адресу: Московская область, г.о. Котельники, мкр.Ковровый, д.47 (от камеры ТКМ Дзержинское ш. д. 4 до тепловой камеры 18 мкр. Ковровый, д. 14), в т.ч. ПИР</t>
  </si>
  <si>
    <t>ООО СТРОЙСНАБ</t>
  </si>
  <si>
    <t>Заключено дополнительное соглашение после выхода МОГЭ и доведения лимитов, ИД не подписана утнкр. Плановая дата оплаты до 15.06.2026</t>
  </si>
  <si>
    <t>Цена контракта, руб.: 41 960 320.00 
Оплачено, руб. (факт): 11 965 000.00 
Процент оплаты: 28.51 % (аванс)
Остаток к оплате после НТС 68037250. Выплата после доведения лимитов</t>
  </si>
  <si>
    <t>по результатам НТС увеличена сумма контракта.</t>
  </si>
  <si>
    <t>1000004008.1000004874</t>
  </si>
  <si>
    <t>Долгопрудный</t>
  </si>
  <si>
    <t>Капитальный ремонт котельной по адресу: Московская область, г.о. Долгопрудный, ул. Первомайская, д.40 ( в т.ч. ПИР)</t>
  </si>
  <si>
    <t>ООО ЭНЕРГОРЕМСТРОЙ</t>
  </si>
  <si>
    <t>Оплачено, руб. (план): 124 329 716.15 
Оплачено, руб. (факт): 124 329 716.15 
Процент оплаты: 99.78 %</t>
  </si>
  <si>
    <t>Работы закрыты под факт выполнения</t>
  </si>
  <si>
    <t>1000004093.1000004969</t>
  </si>
  <si>
    <t>Капитальный ремонт котельной по адресу: Московская область, г.о. Щелково, Фряновское ш. (в т.ч. ПИР)</t>
  </si>
  <si>
    <t>69 339 471,00</t>
  </si>
  <si>
    <t>77 166 736,90</t>
  </si>
  <si>
    <t>67 725 572,82</t>
  </si>
  <si>
    <t>Проведено совещание с проектной командой , определили сроки предоставления ИД в УТНКР до 01.06.2026</t>
  </si>
  <si>
    <t>Оплачено, руб. (план): 18 848 155.79 
Оплачено, руб. (факт): 16 182 349.47 
Процент оплаты: 18.69 %</t>
  </si>
  <si>
    <t>ИД сдано частично. Осталось отделочные работы</t>
  </si>
  <si>
    <t>1000003995.1000004861</t>
  </si>
  <si>
    <t>Капитальный ремонт котельной по адресу: Московская область, г.о.Солнечногорск, п. Миронцево (в т.ч. ПИР)</t>
  </si>
  <si>
    <t>"Повторное МОГЭ, корретировка объемов"</t>
  </si>
  <si>
    <t>Плановая дата захода в МОГЭ 29.05.2026. Идет согласование ИД. Крайняя дата оплаты 20.09.2026</t>
  </si>
  <si>
    <t>Оплачено, руб. (план): 150 565 289.84
Оплачено, руб. (факт): 150 565 289.84
Процент оплаты: 68.99 %</t>
  </si>
  <si>
    <t>Будет перезаход в МОГЭ</t>
  </si>
  <si>
    <t>Работы завершены. Подготовка ИД. Подготовка к сдаче объекта. В МОГЭ (корректировка КАЦ). Оплата сентябрь 2026</t>
  </si>
  <si>
    <t>МОГЭ зашли - 01.06. ИД КС - в работе. Оплата - сентябрь</t>
  </si>
  <si>
    <t>1000003952.1000004818</t>
  </si>
  <si>
    <t>Строительство БМК мощностью 6 МВт по адресу: Московская область, г.о. Ступино, с. Татариново</t>
  </si>
  <si>
    <t>133 859 580,00</t>
  </si>
  <si>
    <t>КС не подгружены в ПИК
ИД исправление замечаний</t>
  </si>
  <si>
    <t>МОГЭ получено</t>
  </si>
  <si>
    <t>Оплачено, руб. (план): 66 929 790.00 
Оплачено, руб. (факт): 66 929 790.00 
Процент оплаты: 50.00 %</t>
  </si>
  <si>
    <t>Положительное заключение МОГЭ - получено. 
СМР не завершён, ПНР не проведен 
(для проведения ПНР - необходимо выйти на нагрузку) 
Плановая дата заключения дополнительного соглашения - 25.06.2026 
Плановая дата оплаты - 30.07.2026</t>
  </si>
  <si>
    <r>
      <rPr>
        <rFont val="Times New Roman"/>
        <color theme="1"/>
        <sz val="12.0"/>
      </rPr>
      <t xml:space="preserve">ПНР - не выполнен (в связи с потерями БМК уходила в аварию). Частичное закрытие. Документы грузятся в ПИК сегодня. Основная часть будет оплачена. ПНР - </t>
    </r>
    <r>
      <rPr>
        <rFont val="Times New Roman"/>
        <b/>
        <color theme="1"/>
        <sz val="12.0"/>
      </rPr>
      <t>оплата сентябрь</t>
    </r>
    <r>
      <rPr>
        <rFont val="Times New Roman"/>
        <color theme="1"/>
        <sz val="12.0"/>
      </rPr>
      <t xml:space="preserve">? </t>
    </r>
    <r>
      <rPr>
        <rFont val="Times New Roman"/>
        <color theme="5"/>
        <sz val="12.0"/>
      </rPr>
      <t xml:space="preserve">Провести ПНР летом! </t>
    </r>
  </si>
  <si>
    <t>1000004016.1000004882</t>
  </si>
  <si>
    <t>Капитальный ремонт участков тепловых сетей от к.1308/10 до ТК-3 в г.о. Котельники (в т.ч.ПИР)</t>
  </si>
  <si>
    <t>Согласование по 65.1</t>
  </si>
  <si>
    <t>Сдали ИД, КС
Подали документы на оплату 22.05.2026</t>
  </si>
  <si>
    <t>Проведено совещание с проектной командой , пределили сроки предоставления ИД в УТНКР</t>
  </si>
  <si>
    <t>не определено</t>
  </si>
  <si>
    <t>Цена контракта, руб.: 74 133 890.00 
Оплачено, руб. (факт): 21 128 157.00 
Процент оплаты: 28.49 % (аванс)
Остаток к оплате после НТС 80 112 370. Выплата после доведения лимитов</t>
  </si>
  <si>
    <t>1000004350.1000005342</t>
  </si>
  <si>
    <t>Капитальный ремонт участков тепловых сетей котельной «Бригадная» (в/ч Ильинское) от котельной в направлении ж.д. 50 ул. Бригадная в г.о. Домодедово (в т.ч. ПИР)</t>
  </si>
  <si>
    <t>21 723 049,85</t>
  </si>
  <si>
    <t>ИД сдана частично</t>
  </si>
  <si>
    <t>Оплачено, руб. (план): 27 723 568.95
Оплачено, руб. (факт): 27 723 568.95
Процент оплаты: 97.46 %</t>
  </si>
  <si>
    <t>1000004351.1000005343</t>
  </si>
  <si>
    <t>Капитальный ремонт участков тепловых сетей котельной «Бригадная» (в/ч Ильинское) к ж.д. 105, 106, 107, 108, 109, 110, объектам в/ч в г.о. Домодедово (в т.ч. ПИР)</t>
  </si>
  <si>
    <t>79 255 368,51</t>
  </si>
  <si>
    <t>Оплачено, руб. (план): 88 945 642.52
Оплачено, руб. (факт): 88 945 642.52
Процент оплаты: 93.52 %</t>
  </si>
  <si>
    <t>оплачен без благоустройства</t>
  </si>
  <si>
    <t>1000003571.1000004369</t>
  </si>
  <si>
    <t>Капитальный ремонт участка теплосети по адресу: Московская область, г.о. Дубна, от ул. 9 Мая до ул. Вокзальная, от Павильона задвижек до ЦТП-3 (в т.ч. ПИР)</t>
  </si>
  <si>
    <t>ООО ВКС ПРОЕКТ</t>
  </si>
  <si>
    <t>103 668 778,94</t>
  </si>
  <si>
    <t>Оплата по факту выполненных работ</t>
  </si>
  <si>
    <t>Контракт расторгнут 14.10.2025 в одностороннем порядке
Оплачено, руб. (факт): 114 953 824.63
Процент оплаты: 91.34 %
Оплата выполнена</t>
  </si>
  <si>
    <t>1000003572.1000004370</t>
  </si>
  <si>
    <t>Капитальный ремонт участка теплосети по адресу: Московская область, г.о. Дубна, ул. Вернова, от ул. Промышленная до павильона задвижек (в т.ч. ПИР)</t>
  </si>
  <si>
    <t>был ООО ВКС ПРОЕКТ</t>
  </si>
  <si>
    <t>48 965 081,32</t>
  </si>
  <si>
    <t>Оплачен частично</t>
  </si>
  <si>
    <t>Не закончено СМР, не заключен новый контракт</t>
  </si>
  <si>
    <t>Внутренний ВКС с ОМСУ 12.05.2026</t>
  </si>
  <si>
    <t>Контракт расторгнут, СГ 17%</t>
  </si>
  <si>
    <t>Контракт расторгнут 14.10.2025 в одностороннем порядке
Оплачено, руб. (факт): 18 244 530.85
Процент оплаты: 32.67 %
Оплата выполнена</t>
  </si>
  <si>
    <t>1000003975.1000004841</t>
  </si>
  <si>
    <t>Лотошино</t>
  </si>
  <si>
    <t>Реконструкция котельной №16 по адресу: Московская область, г.о. Лотошино, с.Микулино, ул. Микрорайон, д.19 (в т.ч. ПИР)</t>
  </si>
  <si>
    <t>Смена проектировщика</t>
  </si>
  <si>
    <t>Получено отрицательное заключение МОГЭ (замечания по тех.части ,СД) , повторный заход в МОГЭ до 20.06.2026, необходимо завершить общестроительные работы. Количество не устраненных замечаний УТНКР (13) Плановая дата завршения работ 15.08.2026</t>
  </si>
  <si>
    <t>Проведено очное совещание о необходимости скорейшего завершения работ</t>
  </si>
  <si>
    <t>Оплачено, руб. (план): 54 752 387.05
Оплачено, руб. (факт): 54 752 387.05
Процент оплаты: 45.99 %</t>
  </si>
  <si>
    <t>Нет МОГЭ
Осталось выполнить общестроительные работы.</t>
  </si>
  <si>
    <t>Получено отрицательное заключение МОГЭ, повторный заход в МОГЭ до 20.06.2026, необходимо завершить общестроительные работы. Количество не устраненных замечаний УТНКР (10). Плановая дата завршения работ 15.08.2026</t>
  </si>
  <si>
    <t>МОГЭ - исходная документация. Обратная связь до среды</t>
  </si>
  <si>
    <t>1000003648.1000004509</t>
  </si>
  <si>
    <t>Капитальный ремонт котельной №1 (в части замены кабеля резервного питания) по адресу: Московская область, г.о. Дубна, ул. Промышленная, д. 6 (в т.ч. ПИР)</t>
  </si>
  <si>
    <t>2 921 774,59</t>
  </si>
  <si>
    <t>Оплачено, руб. (факт): 4 489 928.93
Процент оплаты: 71.48 %
Оплата выполнена по факту выполненых работ.</t>
  </si>
  <si>
    <t>1000003647.1000004508</t>
  </si>
  <si>
    <t>Капитальный ремонт котельной №1 (в части замены котла) по адресу: Московская область, г.о. Дубна, ул. Промышленная, д. 6 (в т.ч. ПИР)</t>
  </si>
  <si>
    <t>65 328 660,67</t>
  </si>
  <si>
    <t>Закрыто по факту выполненных работ
Оплачено, руб. (факт): 68 565 785.67
Процент оплаты: 96.44 %
Оплата выполнена</t>
  </si>
  <si>
    <t>1000003973.1000004839</t>
  </si>
  <si>
    <t>Реконструкция котельной №14 по адресу: Московская область, г.о. Лотошино,д. Михалёво, д.28 (в т.ч. ПИР)</t>
  </si>
  <si>
    <t>Оплачено, руб. (план): 54 752 387.45
Оплачено, руб. (факт): 54 752 387.45
Процент оплаты: 45.99 %</t>
  </si>
  <si>
    <t>1000004278.1000005217</t>
  </si>
  <si>
    <t>Реконструкция участков тепловых сетей по адресу: Московская область, Дмитровский г.о., с. Внуково, д. 127 от котельной до мкр. Внуковский (в т.ч. ПИР)</t>
  </si>
  <si>
    <t>ООО ТК СТРОЙ</t>
  </si>
  <si>
    <t>119 681 306,57</t>
  </si>
  <si>
    <t>не закончено СМР
13.02.2026 - Отказ в приеме и рассмотрении заявления
Заявителем представлен неполный комплект документов, необходимых для предоставления услуги
Плановая дата захода 30.06.26</t>
  </si>
  <si>
    <t>Проведено очное совещание 21.05.2026</t>
  </si>
  <si>
    <t>МОГЭ нет
Получены замечанич УТНКР по ИД</t>
  </si>
  <si>
    <t>Оплачено, руб. (факт): 61 719 461.31 
Процент оплаты: 49.00 %</t>
  </si>
  <si>
    <t>Нет МОГЭ
Выплачен аванс</t>
  </si>
  <si>
    <t>Объект перешел в собственность московской области, идет процедура возврата в ОМСУ. До 12.06.2026 планиреутся возврат в ОМСУ.
Низкий темп выполнения СМР
У подрядной организации выявлены системные финансовые проблемы
Не получено положительное заключение МОГЭ (отсутствие финансирования для оплаты договора со стороны ООО ТК СТРОЙ)
13.02.2026 подана заявка, получен отказ (неполный комплект документов)
Плановая дата захода 30.06.26
Превышение стоимости контракта 39%, планируется НТС (со стороны подрядчика рассматривается возможность оптимизации стоимости до 30%)
СМР начат - 22.06.2025
С 14.04.2026 - работы приостановлены
СГ - 15%
Согласно ГПР на текущую дату должен быть выполнен монтаж ткплотрассы общей протяженностью 1,1 км из 1,3 км</t>
  </si>
  <si>
    <t>1000004641.5327935558</t>
  </si>
  <si>
    <t>Капитальный ремонт участка теплосети по адресу: Московская область, г.о. Дубна, ул. Энтузиастов, от ТК-44А до ТК-43А (в т.ч. ПИР)</t>
  </si>
  <si>
    <t>ООО ЭЛЕКТРЕТИКА</t>
  </si>
  <si>
    <t>Контракт расторгнут 02.09.2025 в одностороннем порядкеОплачено, руб. (факт): 2 328 336.00
Процент оплаты: 33.90 %</t>
  </si>
  <si>
    <t>1000004281.1000005220</t>
  </si>
  <si>
    <t>Строительство БМК на 3 МВт по адресу: Московская область, Одинцовский г.о., п. ПМС-4 (в т.ч. ПИР)</t>
  </si>
  <si>
    <t>ООО ГАЗЭНЕРГО ПРОМСЕРВИС</t>
  </si>
  <si>
    <t>90 000 000,00</t>
  </si>
  <si>
    <t>4 968 324,46</t>
  </si>
  <si>
    <t>85 031 675,54</t>
  </si>
  <si>
    <t>Нет тех приса по газу и электрике (планируемый срок до 31.07.2026)
нет МОГЭ
Заход до 12.06.2026</t>
  </si>
  <si>
    <t>Оплачено, руб. (план): 27 000 000.00
Оплачено, руб. (факт): 27 000 000.00
Процент оплаты: 30.00 %</t>
  </si>
  <si>
    <t>Низкий темп разработки ПИР подрядной организацией. Планируемый срок захода в МОГЭ 20.06.26г.
Нет тех приса по газу и электрике (планируемый срок до 31.07.2026)
ПНР запланирован на 30.08.2026г.</t>
  </si>
  <si>
    <t>1000004639.5327935556</t>
  </si>
  <si>
    <t>Капитальный ремонт участков тепловых сетей от Котельной "7 квартал" до ул. Смурякова, 16 в г.о. Пушкинский, г. Ивантеевка (в т.ч. ПИР)</t>
  </si>
  <si>
    <t>ООО СПМК МАГИСТРАЛЬ</t>
  </si>
  <si>
    <t>119 312 488,00</t>
  </si>
  <si>
    <t>ИД оформлена, на проверке УТНКР плановый срок 10.06.2026</t>
  </si>
  <si>
    <t>Оформление ИД</t>
  </si>
  <si>
    <t>Оплачено, руб. (план): 62 800 000.00 
Оплачено, руб. (факт): 62 800 000.00 
Процент оплаты: 50.00 %</t>
  </si>
  <si>
    <t>ИД оформлена, на проверке УТНКР плановый срок 14.07.2026</t>
  </si>
  <si>
    <t>1000003963.1000004829</t>
  </si>
  <si>
    <t>Реконструкция котельной №4 по адресу: Московская область, г.о. Лотошино, п.Лотошино, ул.Спортивная, д. 9 (в т.ч. ПИР)</t>
  </si>
  <si>
    <t>Подрядчик находится в МОГЭ, выход из МОГЭ до 20.06.2026. Необходимо завершить общестроительные работы и финальное благоустройстово. Количество не устраненных замечаний УТНКР (17) Плановая дата завершения работ 01.07.2026</t>
  </si>
  <si>
    <t>нет МОГЭ</t>
  </si>
  <si>
    <t>Оплачено, руб. (план): 52 927 314.62
Оплачено, руб. (факт): 52 927 314.62
Процент оплаты: 45.99 %</t>
  </si>
  <si>
    <t xml:space="preserve">МОГЭ - устраняются замечания. Работы ведутся. Осталось благоустройство. Котельная в работе. Плановая дата завершения СМР - 30.06.-10.07. 
Частичная оплата - июль-август. </t>
  </si>
  <si>
    <t>1000000808.1000000489</t>
  </si>
  <si>
    <t>Капитальный ремонт сетей теплоснабжения п. Рязановский (в т.ч. ПИР)</t>
  </si>
  <si>
    <t>ООО ЭКОМОНТАЖ</t>
  </si>
  <si>
    <t>Оплачено, руб. (план): 156 167 391.10 
Оплачено, руб. (факт): 156 167 391.10 
Возврат оплат, руб.: 0.01 
Процент оплаты: 99.99 %</t>
  </si>
  <si>
    <t>СМР завершен. Работы оплачено</t>
  </si>
  <si>
    <t>1000002866.1000003615</t>
  </si>
  <si>
    <t>Капитальный ремонт участков тепловых сетей вдоль улицы Октябрьская от ТК-5 до ТК-3 на ж/д 87 ул. Александра Невского от котельной по адресу: Московская область, г. Егорьевск, ул. Парижской Коммуны д. 1б (в т.ч. ПИР)</t>
  </si>
  <si>
    <t>ООО ГАЗПРОЕКТМОНТАЖ</t>
  </si>
  <si>
    <t>Оплачено, руб. (план): 11 636 726.03
Оплачено, руб. (факт): 11 636 726.03
Процент оплаты: 90.80 %
работы завершены 100% , возврат 1178,39</t>
  </si>
  <si>
    <t>СМР завершен. Работы оплачены.</t>
  </si>
  <si>
    <t>1000004020.1000004886</t>
  </si>
  <si>
    <t>Серебряные Пруды</t>
  </si>
  <si>
    <t>Реконструкция теплосети с. Мочилы</t>
  </si>
  <si>
    <t>101 404 462,31</t>
  </si>
  <si>
    <t>39 355 040,61</t>
  </si>
  <si>
    <t>62 049 421,70</t>
  </si>
  <si>
    <t>Плановая дата формирования заявки на оплату до 01.04.2026</t>
  </si>
  <si>
    <t>не завершено благоустройство, план выполнения до 01.07.2026, не сдано ИД</t>
  </si>
  <si>
    <t>благоустройство</t>
  </si>
  <si>
    <t>Оплачено, руб. (план): 30 421 338.69 
Оплачено, руб. (факт): 30 421 338.69 
Процент оплаты: 29.99 %</t>
  </si>
  <si>
    <t>Оформление ИД, КС</t>
  </si>
  <si>
    <t>Не выполнено благоустройство по причине низкого темпа подрядной организациии. 
Плановая дата завершения благоустройства - 30.07.2026</t>
  </si>
  <si>
    <t>1000004458.5327935367</t>
  </si>
  <si>
    <t>Реконструкция участков тепловых сетей по адресу: Московская область, Одинцовский г.о., р.п. Большие Вяземы, ул. Городок 17 (в т.ч. ПИР)</t>
  </si>
  <si>
    <t>Благоустройство, Монтаж не завершен</t>
  </si>
  <si>
    <t>87 446 027,20</t>
  </si>
  <si>
    <t>4 461 540,00</t>
  </si>
  <si>
    <t>82 984 487,20</t>
  </si>
  <si>
    <t>Благоустройство не завершено
Зашли в МОГЭ. 
Плановая дата выхода 29.07.2026</t>
  </si>
  <si>
    <t>Оплачено, руб. (план): 26 233 808.16
Оплачено, руб. (факт): 26 233 808.16
Процент оплаты: 30.00 %</t>
  </si>
  <si>
    <t>Документы в МОГЭ поданы. 
Плановая дата выхода из МОГЭ - 30.06.2026
Плановая дата завершения благоустройства 30.06.2026
Плановая дата оплаты - конец июля начало августа.</t>
  </si>
  <si>
    <t>Объект выполнен. Находится в МОГЭ. Выход конец июня. Благоустройство остается выполнить. До 30.06. Оплата - конец июля - начало августа</t>
  </si>
  <si>
    <t>Плановая дата выхода из МОГЭ - до 29.07.2026</t>
  </si>
  <si>
    <t>1000003965.1000004831</t>
  </si>
  <si>
    <t>Реконструкция котельной №6 по адресу: Московская область, г.о. Лотошино, ул. 2-я Ветеринарная, д.23 (в т.ч. ПИР)</t>
  </si>
  <si>
    <t>Подрядчик находится в МОГЭ, выход из МОГЭ до 18.06.2026, необходимо завершить общестроительные работы. Количество не устраненных замечаний УТНКР (8). Плановая дата завршения работ 15.08.2026</t>
  </si>
  <si>
    <t>Оплачено, руб. (план): 21 900 959.58
Оплачено, руб. (факт): 21 900 959.58
Процент оплаты: 27.59 %</t>
  </si>
  <si>
    <t>Нет МОГЭ
Остались общестроительные работы</t>
  </si>
  <si>
    <t>Подрядчик находится в МОГЭ, выход из МОГЭ до 25.06.2026, необходимо завершить общестроительные работы. Количество не устраненных замечаний УТНКР (8). Плановая дата завршения работ 15.08.2026</t>
  </si>
  <si>
    <r>
      <rPr>
        <rFont val="Times New Roman"/>
        <color theme="1"/>
        <sz val="12.0"/>
      </rPr>
      <t xml:space="preserve">Работы ведутся. МОГЭ - выход 25.06. СМР завершение - 15.08. Благоустройство - 01.09. 
</t>
    </r>
    <r>
      <rPr>
        <rFont val="Times New Roman"/>
        <b/>
        <color theme="1"/>
        <sz val="12.0"/>
      </rPr>
      <t>Оплата - октябрь</t>
    </r>
  </si>
  <si>
    <t>1000004844.5327935889</t>
  </si>
  <si>
    <t>Капитальный ремонт котельной № 4 (в части замены 2-х котлов и оборудования) по адресу: г. Наро-Фоминск, ул. Московская, зд. 40 д (в т.ч. ПИР)</t>
  </si>
  <si>
    <t>Неоходимо завершить общестроительные работы и благоустройство. Количество не устраненных замечаний УТНКР (6). Планируемая дата завершения 15.07.2026</t>
  </si>
  <si>
    <t>Оплачено, руб. (план): 57 217 265.99
Оплачено, руб. (факт): 57 217 265.99
Процент оплаты: 49.89 %</t>
  </si>
  <si>
    <t>Положительное заключение экспертизы получено.Неоходимо завершить общестроительные работы и благоустройство. Количество не устраненных замечаний УТНКР (6). Планируемая дата завершения 15.07.2026</t>
  </si>
  <si>
    <t>1000004568.5327935482</t>
  </si>
  <si>
    <t>Строительство теплогенерирующей установки по адресу: Московская область, г.о. Егорьевск, д.Колычево, ул.Зинаиды Самсоновой, участок 34А (в т.ч. ПИР)</t>
  </si>
  <si>
    <t>ООО СИТИ ИТИ РИТЕЙЛ</t>
  </si>
  <si>
    <t>ТГУ</t>
  </si>
  <si>
    <t>Исключен из ГП</t>
  </si>
  <si>
    <t>мероприятие исключено</t>
  </si>
  <si>
    <t>1000000801.1000000482</t>
  </si>
  <si>
    <t>Капитальный ремонт сетей теплоснабжения с. Починки</t>
  </si>
  <si>
    <t>ООО АРТ СТРОЙ</t>
  </si>
  <si>
    <t>Оплачено, руб. (план): 24 330 031.22 
Оплачено, руб. (факт): 24 330 031.22 
Процент оплаты: 93.09 %
выплачено верно остаток перенесли на 26</t>
  </si>
  <si>
    <t>Работы выполнены на 100%. Расторглись по факту выполнения.</t>
  </si>
  <si>
    <t>1000001803.1000001890</t>
  </si>
  <si>
    <t>Капитальный ремонт сетей теплоснабжения п. Новый (в т.ч. ПИР)</t>
  </si>
  <si>
    <t>Оплачено, руб. (план): 29 195 818.50 
Оплачено, руб. (факт): 29 195 818.50 
Процент оплаты: 80.60 %
выплачено верно остаток перенесли на 26</t>
  </si>
  <si>
    <t>1000003953.1000004819</t>
  </si>
  <si>
    <t>Строительство БМК на 8 МВт по адресу: Московская область, г.о. Ступино, п. Жилёво, ул. Северная</t>
  </si>
  <si>
    <t>114 234 790,00</t>
  </si>
  <si>
    <t>Нет МОГЭ
СМР не завершен</t>
  </si>
  <si>
    <t>СМР не завершен
МОГЭ не получено, плановая дата выхода 05.06.2026</t>
  </si>
  <si>
    <t>Оплачено, руб. (план): 57 117 395.00 
Оплачено, руб. (факт): 57 117 395.00 
Процент оплаты: 50.00 %</t>
  </si>
  <si>
    <t>СМР не завершен
МОГЭ не получено</t>
  </si>
  <si>
    <t>Подрядчик заходил на корретировку ПИР: 
Заключен договор с МОГЭ 17.03.2026
Получено положительное заключение МОГЭ от 08.06.2026
СМР не завершен по причине отсутсвия технологического присоединения по газоснабжению. Администрация направила заявку в Мособлгаз 10.06.2026</t>
  </si>
  <si>
    <r>
      <rPr>
        <rFont val="Times New Roman"/>
        <color theme="1"/>
        <sz val="12.0"/>
      </rPr>
      <t xml:space="preserve">Тех. Прис по газу и электрике - заключение МОГЭ без него. Перезаключение договоров - на ОМСУ вместо РСО (неделя ждем ответ по ГАЗУ)  </t>
    </r>
    <r>
      <rPr>
        <rFont val="Times New Roman"/>
        <b/>
        <color theme="1"/>
        <sz val="12.0"/>
      </rPr>
      <t xml:space="preserve">Закрытие оплат основная масса - июль-август (65.1). Проработать обоснования. </t>
    </r>
  </si>
  <si>
    <t>1000003852.1000004718</t>
  </si>
  <si>
    <t>Капитальный ремонт участков тепловых сетей от котельной по адресу: Московская область, г.о. Егорьевск, д. Старое (в т.ч. ПИР)</t>
  </si>
  <si>
    <t>ООО ТЕХНОЕВРОСТРОЙ</t>
  </si>
  <si>
    <t>Оплачено, руб. (план): 33 578 600.29
Оплачено, руб. (факт): 33 578 600.29
Процент оплаты: 100.00 %</t>
  </si>
  <si>
    <t>8349299111.8349299431</t>
  </si>
  <si>
    <t>Реконструкция котельной, расположенной по адресу: Московская область, Одинцовский г.о., п. д/х "Жуковка", Жуковка-2 (в т.ч. ПИР)</t>
  </si>
  <si>
    <t>ООО М1 ГАЗЭКСПЛУАТАЦИЯ</t>
  </si>
  <si>
    <t>209 305 736,96</t>
  </si>
  <si>
    <t>147 538 877,38</t>
  </si>
  <si>
    <t>61 766 859,58</t>
  </si>
  <si>
    <t>ИД сдана частично, СМР не закончены. Нет Дополнительного соглашения. Нет БГ</t>
  </si>
  <si>
    <t>СМР завершен, идет устранение 6 замечаний УТНКР. ПНР до 20.07.2026г.</t>
  </si>
  <si>
    <t>не перенесены лимиты с 2025 г. на 2026</t>
  </si>
  <si>
    <t>Оплачено, руб. (план): 172 219 209.73
Оплачено, руб. (факт): 172 219 209.73
Процент оплаты: 75.81 %</t>
  </si>
  <si>
    <t>СМР завершен, идет устранение замечаний УТНКР. ПНР до 20.07.2026г.</t>
  </si>
  <si>
    <t>1000003664.1000004528</t>
  </si>
  <si>
    <t>Жуковский</t>
  </si>
  <si>
    <t>Реконструкция участков тепловых сетей от котельной МП "Теплоцентраль" (от ТК-1401 до ТК1406) в г.о. Жуковский (в т.ч. ПИР)</t>
  </si>
  <si>
    <t>ООО ОПТИМГРУПП</t>
  </si>
  <si>
    <t>Цена договора, руб.: 224 118 930.00
Оплачено, руб. (факт): 163 181 852.52 
Процент оплаты: 72.81 %
Работы окончены.</t>
  </si>
  <si>
    <t>Расторгнут по факту выполнения работ
по результатам НТС увеличена сумма контракта.</t>
  </si>
  <si>
    <t>1000003660.1000004524</t>
  </si>
  <si>
    <t>Капитальный ремонт участков тепловых сетей по адресу: Московская область, г.о. Пушкинский, г. Ивантеевка, Центральный проезд, от ТК-1 до ТК у дома 17 (в т.ч. ПИР)</t>
  </si>
  <si>
    <t>Финансовые трудности у ПО</t>
  </si>
  <si>
    <t>101 944 155,00</t>
  </si>
  <si>
    <t>СМР не завершен (теплосеть), отсутствие МОГЭ</t>
  </si>
  <si>
    <t>Плановая дата выхода из МОГЭ - 13.07.2026, СМР не завершен переключение на новую теплосеть, вырезать перспективные краны, благоустройство.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</si>
  <si>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отсутсвтие БГ</t>
  </si>
  <si>
    <t>Оплачено, руб. (план): 53 657 450.00 
Оплачено, руб. (факт): 53 657 450.00 
Процент оплаты: 50.00 %</t>
  </si>
  <si>
    <t>Отсутствует заключение МОГЭ</t>
  </si>
  <si>
    <t>Не получено положительное заключениез МОГЭ - плановая дата получения заключения 13.07.2026. СМР не завершен необходимо переключение на новую теплосеть, вырезать перспективные краны, благоустройство. Отсутствие финансирования для производства работ,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</si>
  <si>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1000004091.1000004967</t>
  </si>
  <si>
    <t>Капитальный ремонт котельной №9 по адресу: Московская область, г.о. Щелково, ул. Механизаторов</t>
  </si>
  <si>
    <t>40 686 455,00</t>
  </si>
  <si>
    <t>59 332 303,00</t>
  </si>
  <si>
    <t>53 403 645,78</t>
  </si>
  <si>
    <t>Замечания ИД. 11 замечаний.Устранение замечаний до 01.06.2026</t>
  </si>
  <si>
    <t>Оплачено, руб. (план): 39 719 071.22 
Оплачено, руб. (факт): 39 719 071.22 
Процент оплаты: 42.65 %</t>
  </si>
  <si>
    <t>ИД КС на проверке в УТНКР. Подгрузка в ПИК как и оплата до 25.06</t>
  </si>
  <si>
    <t>ИД КС на проверке в УТНКР. Подгрузка в ПИК на след неделе как и оплата.</t>
  </si>
  <si>
    <t>4035769611.4035769801</t>
  </si>
  <si>
    <t>Звёздный городок</t>
  </si>
  <si>
    <t>Капитальный ремонт тепловых сетей и сетей горячего водоснабжения п. ЗАТО Звёздный городок Московской области</t>
  </si>
  <si>
    <t>83 641 811,6</t>
  </si>
  <si>
    <t>Исполнено, руб. (план): 88 044 012.17 Исполнено, руб. (факт): 88 044 012.17 Процент исполнения: 100.00 %</t>
  </si>
  <si>
    <t>Объект закрыт и оплачен</t>
  </si>
  <si>
    <t>1000004398.1000005426</t>
  </si>
  <si>
    <t>Истра</t>
  </si>
  <si>
    <t>Капитальный ремонт участков тепловых сетей от котельной по адресу: Московская область, г. Истра, с. Павловская Слобода (в т.ч. ПИР)</t>
  </si>
  <si>
    <t>ООО АЛЬФА СТРОЙ</t>
  </si>
  <si>
    <t>Оплачено, руб. (план): 214 183 170.46
Оплачено, руб. (факт): 214 183 170.46
Процент оплаты: 99.88 %</t>
  </si>
  <si>
    <t>1000004399.1000005427</t>
  </si>
  <si>
    <t>Капитальный ремонт участков тепловых сетей от котельной по адресу: Московская область, г. Истра, с. Рождествено (в т.ч. ПИР)</t>
  </si>
  <si>
    <t>Оплачено, руб. (план): 109 513 677.72
Оплачено, руб. (факт): 109 513 677.72
Процент оплаты: 99.99 %</t>
  </si>
  <si>
    <t>1000004401.1000005429</t>
  </si>
  <si>
    <t>Капитальный ремонт участков тепловых сетей от котельной по адресу: Московская область, г. Истра, д. Покровское (в т.ч. ПИР)</t>
  </si>
  <si>
    <t>Оплачено, руб. (план): 94 251 488.56
Оплачено, руб. (факт): 94 251 488.56
Процент оплаты: 99.99 %</t>
  </si>
  <si>
    <t>1000004397.1000005425</t>
  </si>
  <si>
    <t>Капитальный ремонт участков тепловых сетей от котельной №8 по адресу: Московская область, г. Дедовск, ул.Гагарина, д.18 (в т.ч. ПИР)</t>
  </si>
  <si>
    <t>Контракт исполнен</t>
  </si>
  <si>
    <t>Оплачено, руб. (план): 195 435 661.85
Оплачено, руб. (факт): 195 435 661.85
Процент оплаты: 100.00 %</t>
  </si>
  <si>
    <t>1000003997.1000004863</t>
  </si>
  <si>
    <t>Капитальный ремонт котельной по адресу: Московская область, г.Истра, с. Онуфриево (в т.ч. ПИР)</t>
  </si>
  <si>
    <t>ООО КСК</t>
  </si>
  <si>
    <t>Оплачено, руб. (план): 106 478 795.57
Оплачено, руб. (факт): 106 478 795.57
Процент оплаты: 95.44 %</t>
  </si>
  <si>
    <t>1000001459.1000001351</t>
  </si>
  <si>
    <t>Реконструкция сетей теплоснабжения от ул. Клубная до ул. Садовая в мкр. Кашира-2 городского округа Кашира Московской области, (в т.ч. ПИР)</t>
  </si>
  <si>
    <t>594 491 147,65</t>
  </si>
  <si>
    <t>559 362 530,37</t>
  </si>
  <si>
    <t>35 128 617,28</t>
  </si>
  <si>
    <t>Оплачено, руб. (план): 577 626 629.37
Оплачено, руб. (факт): 452 023 605.65
Процент оплаты: 76.88 %</t>
  </si>
  <si>
    <t>1000004452.5327935361</t>
  </si>
  <si>
    <t>Реконструкция участков тепловых сетей котельной по адресу: Московская область, Одинцовский г.о., г. Звенигород, пр-д Ветеранов, д.6 (в т.ч. ПИР)</t>
  </si>
  <si>
    <t>60 285 821,00</t>
  </si>
  <si>
    <t>7 301 798,64</t>
  </si>
  <si>
    <t>52 984 022,36</t>
  </si>
  <si>
    <t>Благоустройство в стадии завершения, идет сбор полного комплекта ИД для сдачи в УТНКР. Срок до 15.06.2026г.</t>
  </si>
  <si>
    <t>Оплачено, руб. (план): 7 447 641.00
Оплачено, руб. (факт): 7 447 641.00
Процент оплаты: 30.00 %</t>
  </si>
  <si>
    <t>Благоустройство в стадии завершения, идет сбор полного комплекта ИД для сдачи в УТНКР. Срок до 30.06.2026г.</t>
  </si>
  <si>
    <t>1000004056.1000004931</t>
  </si>
  <si>
    <t>Реконструкция Котельной №42 по адресу: г.о.Коломна, п. Заречный 1,4 МВт со снижением мощности до 1,4 МВт (в т.ч. ПИР)</t>
  </si>
  <si>
    <t>Не доведены лимиты от ГРБС</t>
  </si>
  <si>
    <t>Исправлялись заменчания ИД</t>
  </si>
  <si>
    <t>Проведено выездное совещание</t>
  </si>
  <si>
    <t>Оплачено, руб. (план): 11 200 500.89 
Оплачено, руб. (факт): 11 200 500.89 
Процент оплаты: 28.50 %</t>
  </si>
  <si>
    <t>СМР закончен. Объект выполнен. КС-2 не подгружено в ПИК. ИД не сдана.</t>
  </si>
  <si>
    <t>Положительное заключение МОГЭ - получено 12.02.2026
НТС пройден 12.12.2025
СМР выполнен в полном объёме.
ПНР - проведён
Благоустройство - выполнено
Ожидается доведение лимитов до заказчика. Оплата 15.07.2026</t>
  </si>
  <si>
    <t>1000004025.1000004891</t>
  </si>
  <si>
    <t>Краснознаменск</t>
  </si>
  <si>
    <t>Реконструкция участка тепловой сети по адресу: Московская область, г.о. Краснознаменск, ул. Победы от ТК134 до ТК121 (в т.ч. ПИР)</t>
  </si>
  <si>
    <t>ООО ИНЖГОРСТРОЙ</t>
  </si>
  <si>
    <t>СМР не завершен, объект перенесен на 2026. СГ-1%</t>
  </si>
  <si>
    <t>Оплачено, руб. (план): 24 765 015.85
Оплачено, руб. (факт): 24 765 015.85
Процент оплаты: 34.99 %</t>
  </si>
  <si>
    <t>Положительное заключение получено. СМР не завершен, СГ-1%
Плановая дата завершения СМР 03.10.2026.</t>
  </si>
  <si>
    <t>Оплаты 08.06-11.06</t>
  </si>
  <si>
    <t>1000003889.1000004755</t>
  </si>
  <si>
    <t>Капитальный ремонт ЦТП № 2А по адресу:Московская область, г.о.Лыткарино, мкр.5, квартал 2, стр.10 (в т.ч. ПИР)</t>
  </si>
  <si>
    <t>ООО ИНДЖЕТ</t>
  </si>
  <si>
    <t>54 845 103,03</t>
  </si>
  <si>
    <t>36 255 557,29</t>
  </si>
  <si>
    <t>устраняют замечания ИД. Завершают общестрой. Всего 28 замечаний</t>
  </si>
  <si>
    <t>Проведено совещание с проектной командой , определили сроки предоставления ИД в УТНКР до 15.06.2026</t>
  </si>
  <si>
    <t>Оплачено, руб. (план): 20 775 525.74
Оплачено, руб. (факт): 20 775 525.74
Процент оплаты: 31.64 %</t>
  </si>
  <si>
    <t>ИД сдано частично. Остались общестроительные работы</t>
  </si>
  <si>
    <t>устраняют замечания ИД. Завершают общестрой. Всего 21 замечание</t>
  </si>
  <si>
    <t>1000004923.5327936011</t>
  </si>
  <si>
    <t>Капитальный ремонт котельной «Школьная-2» по адресу: Московская область, г.о. Пушкинский, г. Ивантеевка, ул. Школьная, д.15а (в т.ч. ПИР)</t>
  </si>
  <si>
    <t>ООО ТВЭЛ</t>
  </si>
  <si>
    <t>Отсутствие доп.ника</t>
  </si>
  <si>
    <t>97 556 668,00</t>
  </si>
  <si>
    <t>Не подписано доп соглашение - нет местного бюджета. Высвобождение денег с объектов МинЖКХ - плановая дата 05.06.2026, 
Документы на оплату подготовлены</t>
  </si>
  <si>
    <t>Оформление ИД, оплачено частично</t>
  </si>
  <si>
    <t>Оплачено, руб. (план): 51 437 720.00 
Оплачено, руб. (факт): 51 437 720.00 
Процент оплаты: 50.00 %</t>
  </si>
  <si>
    <t>не оформлена ИД, не подписаны КС, общестроительные работы</t>
  </si>
  <si>
    <t>Не заключено дополнительное соглашение с подрядной организацией по причине отсутствия местного бюджета - высвобождение бюджета от МинЖКХ. Планируемая дата закрытия контракта 14.07.2026</t>
  </si>
  <si>
    <t>1000003596.1000004398</t>
  </si>
  <si>
    <t>Реконструкция котельной по адресу: Московская область, г.о.Солнечногорск, п.Стекольный завод (в т.ч.ПИР)</t>
  </si>
  <si>
    <t>156 799 316,94</t>
  </si>
  <si>
    <t>ИД согласование ИД. Требуется подписание доп.согл. на включение незапланированных объемов работ по установке 3 котла в рамках стоимости контракта (вместо благоустройства). 
Плановая дата завершения СМР по 3 котлу 30.09.2026. Крайняя дата оплаты 30.11.2026.</t>
  </si>
  <si>
    <t>Оплачено, руб. (план): 139 007 074.15
Оплачено, руб. (факт): 139 007 074.15
Процент оплаты: 73.08 %</t>
  </si>
  <si>
    <t xml:space="preserve">СМР ведутся,
Осталось выполнить: ремонт фасада здания, замена кровли, установка окон и дверей, внутренняя отделка котельного зала и бытовых помещений, монтаж ГСВ с установкой ГРУ и автоматикой, Подключение ВРУ, установка баков дизельного топлива, Монтаж пожарной сигнализации. Плановый срок завершения 31.08.2026                         
Для проведения ПНР необходимо выполнить реконструкцию водозаборного узла (требуется мероприятие в ГП Мин.ЖКХ)
</t>
  </si>
  <si>
    <t xml:space="preserve">СМР - фасад здания и благоустройство, баки, монтаж пожарки. Будет ли замена 3 котла? Профицит мощности.  Подрядчик направил обоснования что требуется замена, ОМСУ не отвечает. Требуется 40 куб. Поступает 15 куб.(перенос на 2027?). Требуется проработка с МинЖКХ </t>
  </si>
  <si>
    <t>1000003938.1000004804</t>
  </si>
  <si>
    <t>Строительство БМК на 5 МВт по адресу: Московская область, Одинцовский г.о., дер. Хлюпино (в т.ч. ПИР)</t>
  </si>
  <si>
    <t>ПНР не проведен, Благоустройство</t>
  </si>
  <si>
    <t>69 994 551,62</t>
  </si>
  <si>
    <t>Нет тех присов по газу и электрике. 
СМР не завершен 
Идет устранение 4 замечаний УТНКР
Требуется прохождение НТС</t>
  </si>
  <si>
    <t>Оплачено, руб. (план): 21 457 681.41
Оплачено, руб. (факт): 21 457 681.41
Процент оплаты: 30.00 %</t>
  </si>
  <si>
    <t>Нет тех присов по газу и электрике. Строительная готовность90%. Оталось провести ПНР на БМК и закончить благоустройство на тепловых сетях. ПНР на БМК будет проведен после выполнения тех. присоединения по газу.
Требуется прохождение НТС</t>
  </si>
  <si>
    <t>1000003944.1000004810</t>
  </si>
  <si>
    <t>Реконструкция котельной МОВИР по адресу: Московская область, г.о.Ступино, п.Михнево, ул.Тимирязева, д.1 (в т.ч. ПИР)</t>
  </si>
  <si>
    <t>91 557 165,00</t>
  </si>
  <si>
    <t>СМР не завешен</t>
  </si>
  <si>
    <t>НТС не пройден, корретировка штабного решенияя. Направлено письмо в адрес министрества от 02.06.2026 на изменение мощности в ГП с 3,5 МВт на 10,5 МВт.</t>
  </si>
  <si>
    <t>Оплачено, руб. (план): 49 759 325.00 
Оплачено, руб. (факт): 49 759 325.00 
Процент оплаты: 50.00 %</t>
  </si>
  <si>
    <t xml:space="preserve">МОГЭ - не получено положительное заключение, нужен НТС. Проведен НТС 09.06.2026 - выставлены ряд замечаний от МЭФ.
Необходима корретировка штабного решения в части мощности котельной.
Плановая дата захода в МОГЭ по тех.части - 10.07.2026 </t>
  </si>
  <si>
    <t>Необходимо провести НТС - направили документы на проверку 04.06. Если замечания устранены, заходить в МОГЭ.</t>
  </si>
  <si>
    <t>1000004060.1000004935</t>
  </si>
  <si>
    <t>Реконструкция котельной (в части замены котла) по адресу: Московская область, г.о. Жуковский, ул. Энергетическая, д. 17 (в т.ч. ПИР)</t>
  </si>
  <si>
    <t>Зашли повторно в МОГЭ 10.05.2026 в связи с необходимостью разработки дополнительных разделов ПИР связанных с мероприятием реконструкция. Выход из МОГЭ до 15.07.2026.Не завершен ПНР. ПНР запланирован на 25.06.2026.</t>
  </si>
  <si>
    <t>Проведено совещание с проектной командой , определили сроки предоставления ИД в УТНКР после выхода из МОГЭ</t>
  </si>
  <si>
    <t>Оплачено, руб. (план): 47 643 465.60
Оплачено, руб. (факт): 47 643 465.60
Процент оплаты: 48.33 %</t>
  </si>
  <si>
    <t>СМР не завершен
Окончание СМР 20.05.2026
ПНР 30.05.2026
Повторно зашли в МОГЭ 03.05.2026</t>
  </si>
  <si>
    <t>1000004510.5327935421</t>
  </si>
  <si>
    <t>Капитальный ремонт участков тепловых сетей от ЦТП № 5 котельной № 2-35 по адресу: г.о. Балашиха, мкр.Павлино, д.34Д на участках: от ЦТП до тепловых вводов потребителей мкр.Павлино, 12 стр.1 (школа № 12), по ул. Горького до ЦТП 8 на участках: от ТК-1 до ЦТП № 8 (в т.ч. ПИР)</t>
  </si>
  <si>
    <t>Лимиты довели на этой неделе, допник не заключен еще</t>
  </si>
  <si>
    <t>Долгое подписание ДС после МОГЭ. Лимиты доведены в марте 2026. ДС подписан. Приемка ПИР до 29.05.2026. Приемка СМР до 12.06.2026. Документы на рассмотрении УТНКР</t>
  </si>
  <si>
    <t>Прошли НТС с увеличением суммы. Пир не принят. Будет доп на новую цену и потом сдача УТНКР</t>
  </si>
  <si>
    <t xml:space="preserve">Долгое подписание ДС после МОГЭ. Оплачены ПИР. Оплата выполнена </t>
  </si>
  <si>
    <t>Оплачены ПИР. Да этой неделе загрузка СМР. После проверки, оплата. До конца следующей недели оплата</t>
  </si>
  <si>
    <t>1000001747.1000001732</t>
  </si>
  <si>
    <t>Реконструкция теплосети и ГВС от котельной №2 р.п. Серебряные Пруды (в т.ч. ПИР)</t>
  </si>
  <si>
    <t>308 705 049,70</t>
  </si>
  <si>
    <t>205 326 226,52</t>
  </si>
  <si>
    <t>103 378 823,18</t>
  </si>
  <si>
    <t>Оплачено, руб. (план): 278 395 708.98 
Оплачено, руб. (факт): 278 395 708.98 
Процент оплаты: 85.68 %</t>
  </si>
  <si>
    <t>Оплата частично, оформление ИД, КС</t>
  </si>
  <si>
    <t>1000004431.5327935339</t>
  </si>
  <si>
    <t>Строительство БМК на 2 МВт по адресу: Московская область, г.о. Богородский, г. Электроугли, мкр. Вишняковские Дачи, ул.Длинная (в т.ч. ПИР)</t>
  </si>
  <si>
    <t>78 174 883,50</t>
  </si>
  <si>
    <t>Лимиты не доведены,</t>
  </si>
  <si>
    <t>ИД не сдана
Переоформление ГПЗ на участок</t>
  </si>
  <si>
    <t>Оплачено, руб. (план): 39 052 046.66 
Оплачено, руб. (факт): 39 052 046.66 
Процент оплаты: 58.95 %</t>
  </si>
  <si>
    <t>Требуется доп согл об увелич лимитов</t>
  </si>
  <si>
    <t>СМР не начат. Идет переоформление ГПЗУ на участок</t>
  </si>
  <si>
    <t>1000004014.1000004880</t>
  </si>
  <si>
    <t>Капитальный ремонт участков тепловых сетей от котельной №14 по адресу: Московская область, г.о. Лотошино,д. Михалёво, д.28 (в т.ч. ПИР)</t>
  </si>
  <si>
    <t>Устранение замечаний по ИД. Количество не устраненных замечаний УТНКР (20) (план. до 20.06.2026)</t>
  </si>
  <si>
    <t>Оплачено, руб. (план): 18 335 623.80
Оплачено, руб. (факт): 18 335 623.80
Процент оплаты: 28.98 %</t>
  </si>
  <si>
    <t>Нет МОГЭ. Ожидание устранений замечаний
СМР и благоустройство выполнено</t>
  </si>
  <si>
    <t>Положительное заключение получено. 
СМР завершено(есть замечания).Устранения замечаний  30.06.2026(благоустройство  и камеры)Устранение замечаний по ИД. Количество не устраненных замечаний УТНКР (20) (Срок до 30.06.2026)
Оплата - 30.07.2026</t>
  </si>
  <si>
    <t>МОГЭ - получено. СМР выполнен - есть замечания. Устранения 30.06 (благо и камеры). Оплата - конец июля</t>
  </si>
  <si>
    <t>1000004282.1000005223</t>
  </si>
  <si>
    <t>Строительство БМК мощностью 4,0 МВт по адресу: Московская область, г. Кашира, ул. Ильича (в т.ч. ПИР)</t>
  </si>
  <si>
    <t>ООО СОВРЕМЕННЫЕ ТЕХНОЛОГИИ ТЕПЛОСНАБЖЕНИЯ</t>
  </si>
  <si>
    <t>87 292 766,39</t>
  </si>
  <si>
    <t>77 173 870,13</t>
  </si>
  <si>
    <t>10 118 896,26</t>
  </si>
  <si>
    <t>Оплачено, руб. (план): 92 301 790.89
Оплачено, руб. (факт): 92 301 790.89
Процент оплаты: 97.60 %</t>
  </si>
  <si>
    <t>1000004524.5327935435</t>
  </si>
  <si>
    <t>Строительство БМК на 3,4 МВт по адресу: Московская область, Павлово-Посадский г.о., д.Алферово, д.2/1 (в т.ч. ПИР)</t>
  </si>
  <si>
    <t>ООО ТПП КОНТУР</t>
  </si>
  <si>
    <t>СМР не завершен.
Перенос объекта утвержден рабочей группой, изменение в ГП не вносилось. контракт не продлен (МИНЖКХ). 
БМК на сборочной площадке Фортис. (поставка после завершения оплаты подрядчиком). 
Договора техприс заключены, не оплачены.
Документация в МОГЭ с 15.04.2026
До выхода из МОГЭ нет возможности заключить договор стройконтроля для частичной сдачи объекта</t>
  </si>
  <si>
    <t>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
20.05 .2026 проведена ВКС с МинЖКХ по вопросу реализации объектов и завершению СМР.</t>
  </si>
  <si>
    <t>оплачен только аванс, БГ не получена,</t>
  </si>
  <si>
    <t>Оплачено, руб. (план): 19 220 025.82
Оплачено, руб. (факт): 19 220 025.82
Процент оплаты: 30.00 %</t>
  </si>
  <si>
    <t>СМР не завершен.
Перенос объекта утвержден рабочей группой, изменение в ГП не внесено, не утверждено в АП ГП (срок до 15.07.2026)
 контракт не продлен (МИНЖКХ). 
Документация в выпущена из МОГЭ с результатами рассмотрения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на сборочной площадке Фортис. СГ 88% (поставка после завершения оплаты подрядчиком). 
(план завершения СМР до 15.10.2026)
Договора техприс заключены, не оплачены.
До выхода из МОГЭ отсутствует возможность заключить договор стройконтроля для частичной сдачи и закрытия объекта</t>
  </si>
  <si>
    <t>1000004688.5327935616</t>
  </si>
  <si>
    <t>Реконструкция участков тепловой сети по адресу: Московская область, г.о. Власиха, по ул. Заозерная (перевод потребителей на 2-ой контур отопления) (в т.ч. ПИР)</t>
  </si>
  <si>
    <t>53 499 008.15</t>
  </si>
  <si>
    <t>Ид сдана частично</t>
  </si>
  <si>
    <t>Идет согласование ИД. Оплачено частично. Крайняя дата оплаты 20.07.2026</t>
  </si>
  <si>
    <t>Нет дополнительного соглашения. Нет БГ</t>
  </si>
  <si>
    <t>Оплачено, руб. (план): 37 454 300.00
Оплачено, руб. (факт): 37 454 300.00
Процент оплаты: 50.00 %</t>
  </si>
  <si>
    <t>УТНКР: по разделам сети теплоснабжения и благоустройство, приняты, проверены и подписаны ИД, реестры и КС-2 N2 от 19.05.2026 на сумму 34 993 470,56 руб с НДС, КС-2 N3 от 19.05.2026 на сумму 6 969 496,78 руб с НДС
Плановая дата оплаты: 30.06.2026</t>
  </si>
  <si>
    <t>В связи с неполной сдачей в УТНКР перенос оплатв на 31.07.2026</t>
  </si>
  <si>
    <t>1000004087.1000004963</t>
  </si>
  <si>
    <t>Капитальный ремонт котельной № 5 (в части замены котлов и газогорелочного оборудования) по адресу: Московская область г.о. Чехов, п. Мещерское, стр. 15а (в т.ч. ПИР)</t>
  </si>
  <si>
    <t>ООО ПКФ ЭНЕРГОСТРОЙ</t>
  </si>
  <si>
    <t>Заключение доп. согл.</t>
  </si>
  <si>
    <t>после получения подрядчиком БГ будет подписано доп соглашение на продление срока действия контракта</t>
  </si>
  <si>
    <t>Проведены очные совещания и в формате ВКС</t>
  </si>
  <si>
    <t>МОГЭ получено
СМР выполнен
ИД сдана</t>
  </si>
  <si>
    <t>Оплачено, руб. (план): 18 748 260.00 
Оплачено, руб. (факт): 18 748 260.00 
Процент оплаты: 30.00 %</t>
  </si>
  <si>
    <t>Частично оплачено</t>
  </si>
  <si>
    <t>после получения подрядчиком БГ будет подписано доп соглашение на продление срока действия контракта. 
Подрядчику необходимо обратиться в банк с проектом дополнительного соглашения в банк для получения БГ. 
Проект дополнительного соглашения направлен подрядчику.</t>
  </si>
  <si>
    <t>1000004015.1000004881</t>
  </si>
  <si>
    <t>Капитальный ремонт участков тепловых сетей от котельной №16 по адресу: Московская область, г.о. Лотошино, с.Микулино, ул.Микрорайон, д.19 (в т.ч. ПИР)</t>
  </si>
  <si>
    <t>Устранение замечаний по ИД. Количество не устраненных замечаний УТНКР (13) (план. до 20.06.2026)</t>
  </si>
  <si>
    <t>Оплачено, руб. (план): 17 420 408.95
Оплачено, руб. (факт): 17 420 408.95
Процент оплаты: 28.49 %</t>
  </si>
  <si>
    <t>Нет МОГЭ. Заявление в Могэ от 25.03.2026
СМР и благоустройство выполнено</t>
  </si>
  <si>
    <t>Положительное заключение получено. СМР завершено(есть замечания).Устранения замечаний  30.06.2026(благо и камеры). Устранение замечаний по ИД. Количество не устраненных замечаний УТНКР (13) (план. до 30.06.2026)
Оплата - 30.07.2026</t>
  </si>
  <si>
    <t>МОГЭ - получено. СМР выполнен - есть замечания. Устранения 30.06 (благо и камеры).  Оплата - конец июля</t>
  </si>
  <si>
    <t>1000004454.5327935363</t>
  </si>
  <si>
    <t>Реконструкция участков тепловых сетей по адресу: Московская область, Одинцовский г.о., г. Кубинка, Кубинка-10, в/г 10 (в т.ч. ПИР)</t>
  </si>
  <si>
    <t>123 493 238,24</t>
  </si>
  <si>
    <t>12 501 975,78</t>
  </si>
  <si>
    <t>110 991 262,46</t>
  </si>
  <si>
    <t>ИД на проверке</t>
  </si>
  <si>
    <t>СМР не завершен, требуется частичная обратная засыпка и благоустройство. Идет устранение замечаний УТНКР.</t>
  </si>
  <si>
    <t>Оплачено, руб. (план): 109 780 355.01
Оплачено, руб. (факт): 29 763 078.24
Процент оплаты: 24.10 %</t>
  </si>
  <si>
    <t>СМР не завершен. 
Ведется обратная засыпка и благоустройство территории.
Плановая дата завершения работ 30.06.2026
Подача документов на оплату до 15.07.2026
Оплата до 30.07.2026</t>
  </si>
  <si>
    <t>Благоустройство - срок 30.06. Подача документов до 15.07. Оплата - 30.07</t>
  </si>
  <si>
    <t>1000004656.5327935574</t>
  </si>
  <si>
    <t>Капитальный ремонт участков тепловых сетей по адресу: Московская область, г.о.Коломна, г.Озеры, мкр.1 , 1А, ул. Маршала Катукова, участки от ТК-1 до ТК-2, от ТК-2 до ТК-3, от ТК-34 до ТК-38 (в т.ч. ПИР)</t>
  </si>
  <si>
    <t>Оплачено, руб. (план): 14 257 049.60 
Оплачено, руб. (факт): 14 257 049.60 
Процент оплаты: 81.78 %</t>
  </si>
  <si>
    <t>ИД сдана. КС-2 подписаны. Частичная оплата</t>
  </si>
  <si>
    <t>1000004657.5327935575</t>
  </si>
  <si>
    <t>Капитальный ремонт участков тепловых сетей по адресу: Московская область, г.о.Коломна, г.Озеры, ул.Ленина, д.73Б по территории ЦРБ (в т.ч. ПИР)</t>
  </si>
  <si>
    <t>ООО СТАНДАРТСТРОЙ</t>
  </si>
  <si>
    <t>плачено, руб. (план): 34 001 474.83 
Оплачено, руб. (факт): 34 001 474.83 
Процент оплаты: 91.90 %</t>
  </si>
  <si>
    <t>1000004658.5327935576</t>
  </si>
  <si>
    <t>Капитальный ремонт участков тепловых сетей от Котельной №7 по адресу: г.о. Коломна, ул.Юбилейная, д.1А, до ЦТП №27 по ул.Цементников, 16а (в т.ч. ПИР)</t>
  </si>
  <si>
    <t>ООО СУ-106</t>
  </si>
  <si>
    <t>Оплачено, руб. (план): 47 381 809.63 
Оплачено, руб. (факт): 47 381 809.63 
Процент оплаты: 89.43 %</t>
  </si>
  <si>
    <t>1000001809.1000001899</t>
  </si>
  <si>
    <t>Королёв</t>
  </si>
  <si>
    <t>Капитальный ремонт тепловой сети ЦО и ГВС (пр-т Космонавтов) (в т.ч. ПИР)</t>
  </si>
  <si>
    <t>АО ТЕПЛОСЕТЬ</t>
  </si>
  <si>
    <t>Оплачено, руб. (план): 433 459 656.00 
Оплачено, руб. (факт): 433 459 656.00 
Процент оплаты: 100.00 %</t>
  </si>
  <si>
    <t>выплачено в полном объеме</t>
  </si>
  <si>
    <t>1000004512.5327935423</t>
  </si>
  <si>
    <t>Капитальный ремонт участков тепловых сетей от котельной «Заречье» по адресу: Московская обл., г.о. Богородский, г. Ногинск: от опуска до ТК-9; от ТК-9 до ж.д. №2 корп. 1 по ул. Белякова; от ТК-1 до ТК-2; от ТК-2 до ТК-3; от ТК-3 до ТК-4; от ТК-4 до ТК-5; от ТК-5 до ТК-6; от ТК-6 до ТК-7; от ТК-7 до ЦТП-2; от ТК-7 до ж.д. № 9 по ул. 28 Июня (в т.ч. ПИР)</t>
  </si>
  <si>
    <t>81 693 692,00</t>
  </si>
  <si>
    <t>Исполнительная документация не подписана с Заказчиком, ИД и КС-2 не переданы в УТНКР</t>
  </si>
  <si>
    <t>ИД не передали в УТНКР на проверку</t>
  </si>
  <si>
    <t>Благоустройство не выполнено, в стадии завершения. Идет сбор ИД. Срок сдачи ИД до 30.06.26г.</t>
  </si>
  <si>
    <t>Местный бюджет не доведен</t>
  </si>
  <si>
    <t>Оплачено, руб. (план): 42 996 680.00 
Оплачено, руб. (факт): 42 996 680.00 
Процент оплаты: 50.00 %</t>
  </si>
  <si>
    <t>МОГЭ прошли
Лимиты областные доведены 25.03.2026 на увеличение стоимости по заключению МОГЭ. Софинансирование местного бюджета доведено.</t>
  </si>
  <si>
    <t>СМР выполнен. Теплоноситель подается по новой схеме.  Благоустройство выполнено. Поданы документы на оплату.</t>
  </si>
  <si>
    <t>4036526031.4036526261</t>
  </si>
  <si>
    <t>Строительство БМК, г. Коломна-1, военный городок Сосновый бор, в/ч 17204 (в том числе ПИР)</t>
  </si>
  <si>
    <t>АО ТЕПЛОУЧЕТ</t>
  </si>
  <si>
    <t>Оплата под факт выполненных работ</t>
  </si>
  <si>
    <t>Оплачено, руб. (план): 82 435 324.44 
Оплачено, руб. (факт): 82 435 324.44 
Процент оплаты: 53.27 %</t>
  </si>
  <si>
    <t>Положительное заключение МОГЭ - получено в 2023 году.
Ранее расторгнут контракт с подрядной организацией ООО "МКСМ" СМР не завершён. Заключен новый контракт с ООО "Теплоучёт". Подрядчик приступил к СМР.
Плановая дата завершения работ 01.09.2026</t>
  </si>
  <si>
    <t>1000004696.5327935624</t>
  </si>
  <si>
    <t>Капитальный ремонт участков тепловых сетей от котельной № 2 г. Кашира, мкр. № 3, ул.Металлургов, д.5а: от ЦТП-1 до ТК ул. Ленина д. 7/3; от ТК ул. Дзержинская до здания ТП школы № 9 (в т.ч. ПИР)</t>
  </si>
  <si>
    <t>ООО КДС</t>
  </si>
  <si>
    <t>56 572 500,00</t>
  </si>
  <si>
    <t>Повторный заход в МОГЭ 18.05. после замечаний ПСД. Плановый выход из МОГЭ - 07.07.2026г. Не закончены СМР (засыпка возле ТК и благоустройство возле ТК. Срок- 01.06.) Замечания УТНКР(11): Благоустройство • Проектно-изыскательские работы</t>
  </si>
  <si>
    <t>Проведено совещание с проектной командой,для ускорения окончания благоустройства</t>
  </si>
  <si>
    <t>Необходимо выполнить благоустройство</t>
  </si>
  <si>
    <t>Оплачено, руб. (план): 17 865 000.00
Оплачено, руб. (факт): 17 865 000.00
Процент оплаты: 30.00 %</t>
  </si>
  <si>
    <t>ООО "КДС" заключил контракт после расторжения с ООО"Лэндстрой" Разработка ПСД выполняется при наличии изменений объемов и ТЗ. В МОГЭ зашли 18.05.2026 г. СМР выполняются с учетом устранений дефектов, допущенных предыдущей подрядной организацией.</t>
  </si>
  <si>
    <t>1000003570.1000004368</t>
  </si>
  <si>
    <t>Капитальный ремонт участков тепловых сетей от опуска в районе Дзержинского ш. до к.1308/5 ул. 2-й Покровский пр-д в г.о. Котельники (в т.ч.ПИР)</t>
  </si>
  <si>
    <t>оплачено</t>
  </si>
  <si>
    <t>Цена контракта, руб.: 173 403 806.91
Оплачено, руб. (факт): 152 437 485.44
Процент оплаты: 87.90 %
Остаток к оплате после НТС 20966321 . Выплата после доведения лимитов</t>
  </si>
  <si>
    <t>1000004514.5327935425</t>
  </si>
  <si>
    <t>Капитальный ремонт участков тепловых сетей по ул. Жарова, ул. 200-летия города, ул. Верхняя, ул. Текстилей в г. Ногинск г.о. Богородский: от территории АО НПО ПРИБОР до ТК -7; от ТК-7 до ж.д. №2 по ул. 200 летия Города; транзит в ж.д. №1 по ул. 200 летия Города; от ж.д. №1 по ул. 200-летия Города до ЦТП; от ввода в ж.д.№1 ул. 200лет города доТК-9; от ТК-9 до ТК-10; от ТК-10 до ж.д. №1 по ул. Жарова; от ТК-1 до ТК-2; от ТК-2 до ТК-3; от ТК-3 до ТК-4; от ТК-9 до ТК-10; от ТК-1 до ТК-2; от ТК-4 до ТК-5 (в т.ч. ПИР)</t>
  </si>
  <si>
    <t>55 348 750,66</t>
  </si>
  <si>
    <t>13 336 551,58</t>
  </si>
  <si>
    <t>42 012 199,08</t>
  </si>
  <si>
    <t>Повторный заход в МОГЭ в связи с изменением стоимости СМР</t>
  </si>
  <si>
    <t>Благоустройство не завершено
Заказчик вскрыл БГ</t>
  </si>
  <si>
    <t>подписание допника</t>
  </si>
  <si>
    <t>Оплачено, руб. (план): 24 563 762.05 
Оплачено, руб. (факт): 21 203 558.57 
Процент оплаты: 32.05 %</t>
  </si>
  <si>
    <t>Не сданы ИД/КС (50% ИД сдано в 2025 в УТНКР</t>
  </si>
  <si>
    <t>4036447661.4036447891</t>
  </si>
  <si>
    <t>Строительство котельной с наружными сетями теплоснабжения по адресу: Московская область, г. Краснознаменск, в районе ул. Индустриальная, в том числе ПИР и технологическое присоединение</t>
  </si>
  <si>
    <t>АО АСП</t>
  </si>
  <si>
    <t>требуется выполнение ТП по газу</t>
  </si>
  <si>
    <t>Оплачено, руб. (план): 255 707 056.68
Оплачено, руб. (факт): 255 707 056.68
Процент оплаты: 96.14 %</t>
  </si>
  <si>
    <t>1000003574.1000004373</t>
  </si>
  <si>
    <t>Капитальный ремонт участка тепловой по адресу: Московская область, г.о. Краснознаменск, ул. Победы от ТК51 до ТК121 (в т.ч. ПИР)</t>
  </si>
  <si>
    <t>Оплачено, руб. (план): 84 047 803.99
Оплачено, руб. (факт): 84 047 803.99
Процент оплаты: 96.51 %</t>
  </si>
  <si>
    <t>1000004660.5327935578</t>
  </si>
  <si>
    <t>Капитальный ремонт участка теплосети по адресу: Московская область, г.о. Дубна, пр-т Боголюбова, от ТК-2 до ЦТП-5 (в т.ч. ПИР)</t>
  </si>
  <si>
    <t>40 196 607.13</t>
  </si>
  <si>
    <t>41 721 248.40</t>
  </si>
  <si>
    <t>ИД подписана</t>
  </si>
  <si>
    <t>01.06.2026 ИД подписаны и переданы подрядчику для итогового подписания у заказчика 
02.06.2026 заказчик подписал документацию, формируется пакет документов для оплаты</t>
  </si>
  <si>
    <t>Очное совещание 21.05.2026</t>
  </si>
  <si>
    <t>Доп соглашения не получены Нет БГ</t>
  </si>
  <si>
    <t>Исполнено, руб. (факт): 44 052 461.38
Процент исполнения: 76.25 %</t>
  </si>
  <si>
    <t xml:space="preserve"> ИД/ подписано КС в УТНКР</t>
  </si>
  <si>
    <t>Оплата завершена</t>
  </si>
  <si>
    <t>СМР выполнены и сданы по КС. Заказчик в одностороннем порядке удержал неустойку 2,33 млн руб. при финальной оплате. Подрядчик не согласен с расчетом и готовит иск о взыскании недоплаты.</t>
  </si>
  <si>
    <t>1000004007.1000004873</t>
  </si>
  <si>
    <t>Капитальный ремонт Котельной № 2 (в части замены бака-аккумулятора) по адресу: Московская область, г.о. Краснознаменск, пр-т Мира, д. 15Е (в т.ч. ПИР).</t>
  </si>
  <si>
    <t>АО ИУ СТАЛЬКОНСТРУКЦИЯ</t>
  </si>
  <si>
    <t>Оплачено, руб. (план): 15 433 478.54
Оплачено, руб. (факт): 15 433 478.54
Процент оплаты: 100.00 %</t>
  </si>
  <si>
    <t>1000004092.1000004968</t>
  </si>
  <si>
    <t>Капитальный ремонт котельной № 29 в г.о. Щелково (в т.ч. ПИР)</t>
  </si>
  <si>
    <t>142 359 677,00</t>
  </si>
  <si>
    <t>152 123 101,06</t>
  </si>
  <si>
    <t>70 745 602 ,46</t>
  </si>
  <si>
    <t>Ждут подписания.</t>
  </si>
  <si>
    <t>Оплачено, руб. (план): 151 863 000.01 
Оплачено, руб. (факт): 151 863 000.01 
Возврат оплат, руб.: 30 273 741.57 
Процент оплаты: 78.95 %</t>
  </si>
  <si>
    <t>Работы выполнены. ИД сдано частично</t>
  </si>
  <si>
    <t>ИД КС на проверке в УТНКР. Подгрузка в ПИК как и оплата до 26.06</t>
  </si>
  <si>
    <t>Документация подгружается в ПИК после проверки УТНКР. Осталося один раздел АР. На этой неделе устранение замечаний. След неделя оплата</t>
  </si>
  <si>
    <t>1000004340.1000005332</t>
  </si>
  <si>
    <t>Капитальный ремонт участков тепловой сети по адресу: Московская область, Дмитровский г.о., рп Икша ул. Рабочая (от ТК-9 до ТК-19) (в т.ч. ПИР)</t>
  </si>
  <si>
    <t>54 173 475,25</t>
  </si>
  <si>
    <t>Ид не направлялась</t>
  </si>
  <si>
    <t>СМР не завершен 
Плановая дата сдачи ИД 25.06.2026</t>
  </si>
  <si>
    <t>Оплачено, руб. (факт): 17 120 149.20 
Процент оплаты: 30.00 %</t>
  </si>
  <si>
    <t>Объект перешел в собственность московской области, идет процедура возврата в ОМСУ. До 22.06.2026 планиреутся возврат в ОМСУ.
Документация на корректировку ТЗ не предоставлена(до 19.06.26).Плановая дата сдачи ИД 10.07.2026 - замечания со стороны заказчика в части металлолома
Плановая дата оплаты до 17.08.2026</t>
  </si>
  <si>
    <t xml:space="preserve">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t>
  </si>
  <si>
    <t>1000003597.1000004400</t>
  </si>
  <si>
    <t>Ленинский</t>
  </si>
  <si>
    <t>Капитальный ремонт участков тепловых сетей от ТК-32 до ТК-30/5 по ул. Советская в г.о. Ленинский (в т.ч. ПИР)</t>
  </si>
  <si>
    <t>АО АВТОБЫТДОР</t>
  </si>
  <si>
    <t>Исполнено, руб. (план): 60 686 698.30 
Исполнено, руб. (факт): 47 635 438.01
Процент исполнения: 78.49 %</t>
  </si>
  <si>
    <t>Оплаты не будет, на расторжении. (высвобожденные лимиты будут использованы при балансировке)</t>
  </si>
  <si>
    <t>1000003669.1000004533</t>
  </si>
  <si>
    <t>Строительство участков тепловых сетей (закольцовка) от котельной от ул. Березовая д.8 до тепловых сетей в 6-й микрорайон в г.о. Ленинский (в т.ч. ПИР)</t>
  </si>
  <si>
    <t>29 746 662,39</t>
  </si>
  <si>
    <t>22 001 221,99</t>
  </si>
  <si>
    <t>7 745 440,40</t>
  </si>
  <si>
    <t>Исполнено, руб. (план): 36 571 207.22 
Исполнено, руб. (факт): 28 825 766.82
Процент исполнения: 78.82 %</t>
  </si>
  <si>
    <t>27-10-2025 Контракт расторгнут по обоюдному согласию обеих сторон
Письмо ГБУ-04-15164/2025 
от 30.10.2025</t>
  </si>
  <si>
    <t>1000004349.1000005341</t>
  </si>
  <si>
    <t>Зарайск</t>
  </si>
  <si>
    <t>Капитальный ремонт участков тепловых сетей от котельной «Металлистов» до ТК 15, от ТК 31 до ТК 36, от ТК 1 до ТК 42, от ТК 41 до здания МБУ «Благоустройство, ЖКХ и ДХ городского округа Зарайск» (в т.ч. ПИР)</t>
  </si>
  <si>
    <t>54 043 396,42</t>
  </si>
  <si>
    <t>СМР не завершено (благоустройство)</t>
  </si>
  <si>
    <t>не завершено благоустройство, плановая дата выполнения работ 26.06.2026</t>
  </si>
  <si>
    <t>Проведенные ВКС с ОМСУ, к работам по благоустройству приступили 13.05.2026</t>
  </si>
  <si>
    <t>ИД на офомлении Поздний выход из МОГЭ</t>
  </si>
  <si>
    <t>Оплачено, руб. (план): 17 056 938.90 
Оплачено, руб. (факт): 17 056 938.90 
Процент оплаты: 30.00 %</t>
  </si>
  <si>
    <t>выплата аванса, оформление ИД</t>
  </si>
  <si>
    <t>Не завершено благоустройство, плановая дата завершения - 07.07.2026. Оплата по факту выполненных работ - ориентировочно 30.09.2026</t>
  </si>
  <si>
    <t>Направлено Заказчику пересогласование материалов. ИД будет готова в течение 2 недель. Отсутствует БГ. 2 доп.соглашения. Остались работы по благоустройству - конец июня. Перезаход в МОГЭ - до конца июня. СМР - после финансирования. Ориентировочная оплата - 30.09.2026.</t>
  </si>
  <si>
    <t>1000004395.1000005421</t>
  </si>
  <si>
    <t>Черноголовка</t>
  </si>
  <si>
    <t>Капитальный ремонт участков тепловой сети по адресу: Московская область, г.о. Черноголовка, ул. Третий проезд, от ТК 35 до ТК 36, от ТК 37 до ТК 42 (в т.ч. ПИР)</t>
  </si>
  <si>
    <t>58 900 000,00</t>
  </si>
  <si>
    <t>3 414 257,53</t>
  </si>
  <si>
    <t>55 485 742,47</t>
  </si>
  <si>
    <t>Нет Дополнительного соглашения.</t>
  </si>
  <si>
    <t>Был отдельный контракт на ПИР, получил положительное заключение МОГЭ. 
Не завершен СМР (тепловые камеры), неподвижные опоры. Подрядчик не может определиться со сроком окончания работ.</t>
  </si>
  <si>
    <t>Проведено 2 вкс, проведено 2 очных совещания</t>
  </si>
  <si>
    <t>Оплачено, руб. (план): 20 059 980.27 
Оплачено, руб. (факт): 20 059 980.27 
Возврат оплат, руб.: 0.01 
Процент оплаты: 34.05 %</t>
  </si>
  <si>
    <t>Не представлена ИД /КС</t>
  </si>
  <si>
    <t>Был отдельный контракт на ПИР, получил положительное заключение МОГЭ. 
Не завершен СМР (тепловые камеры), неподвижные опоры. Для дальнейшего производства работ подрядчик ожидает понижения грунтовых вод</t>
  </si>
  <si>
    <t>8401278341.8401278621</t>
  </si>
  <si>
    <t>Проектирование и строительство системы теплоснабжения комплекса объектов ГАУ МО «Серпуховский историко-художественный музей»</t>
  </si>
  <si>
    <t>Частичная оплата</t>
  </si>
  <si>
    <t>92 992,51</t>
  </si>
  <si>
    <t>Оплачено, руб. (план): 52 473 053.99
Оплачено, руб. (факт): 52 473 053.99
Процент оплаты: 57.61 %</t>
  </si>
  <si>
    <t>СМР не завершён</t>
  </si>
  <si>
    <t>Положительное заключение МОГЭ - получено в 2023 году
СМР не завешен по причине не проведенного ПНР. 
Плановая дата запуска котлов в работу до 25.06.2026</t>
  </si>
  <si>
    <r>
      <rPr>
        <rFont val="Times New Roman"/>
        <color theme="1"/>
        <sz val="12.0"/>
      </rPr>
      <t xml:space="preserve">Переврезка завершена. Благоустройство завершаются - на этой неделе. ПНР - после заключение ХВС. Закрыть ПИР и БМК по оплате. </t>
    </r>
    <r>
      <rPr>
        <rFont val="Times New Roman"/>
        <b/>
        <color theme="1"/>
        <sz val="12.0"/>
      </rPr>
      <t>Все работы будут завершены до 30.06</t>
    </r>
    <r>
      <rPr>
        <rFont val="Times New Roman"/>
        <color theme="1"/>
        <sz val="12.0"/>
      </rPr>
      <t xml:space="preserve">. ПИР закрыты, БМК только по полному завершению. </t>
    </r>
  </si>
  <si>
    <t>1000004563.5327935477</t>
  </si>
  <si>
    <t>Реконструкция ЦТП по адресу: Московская область, Одинцовский г.о., г. Кубинка, Кубинка-10, в/г 10 (в т.ч. ПИР)</t>
  </si>
  <si>
    <t>ООО КАСКАД-ЭНЕРГО</t>
  </si>
  <si>
    <t>54 550 150,00</t>
  </si>
  <si>
    <t>6 157 171,92</t>
  </si>
  <si>
    <t>48 392 978,08</t>
  </si>
  <si>
    <t>Перенос на 2027</t>
  </si>
  <si>
    <t>СМР ЦТП не завершен (остались общестроительные работы), перекладка наружных тепловых сетей.</t>
  </si>
  <si>
    <t>Оплачено, руб. (план): 16 365 045.00
Оплачено, руб. (факт): 16 365 045.00
Процент оплаты: 30.00 %</t>
  </si>
  <si>
    <t>СМР ЦТП не завершен 
Осталось выполнить: 
- наружные сети: ТС (20 п.м.)
- благоустройство
Завершение работ до 30.06.2026</t>
  </si>
  <si>
    <t>8421058841.8421059171</t>
  </si>
  <si>
    <t>Электросталь</t>
  </si>
  <si>
    <t>Строительство модульно-блочной котельной 5МВт, по адресу:г.о. Электросталь, п. Елизаветино, ул. Набережная, 12-а (в т.ч. ПИР)</t>
  </si>
  <si>
    <t>ООО СМУ-ЭС</t>
  </si>
  <si>
    <t>48 678 322,05</t>
  </si>
  <si>
    <t>12 800 000,00</t>
  </si>
  <si>
    <t>61 101 201,43</t>
  </si>
  <si>
    <t>Благоустройство до 15.06.2026. Замечания ИД всего 16 замечаний. до 20.06.2026</t>
  </si>
  <si>
    <t>Проведено совещание с проектной командой , определили сроки предоставления ИД в УТНКР до 20.06.2026</t>
  </si>
  <si>
    <t>Оплачено, руб. (план): 35 736 668.44 
Оплачено, руб. (факт): 35 736 668.44 
Процент оплаты: 48.73 %</t>
  </si>
  <si>
    <t>ИД сдано частично. Осталось благоустройство</t>
  </si>
  <si>
    <t>Благоустройство до 15.06.2026. Замечания ИД всего 11 замечаний. до 20.06.2026</t>
  </si>
  <si>
    <t>1000004720.5327935655</t>
  </si>
  <si>
    <t>Капитальный ремонт участков тепловых сетей от ТК 2 до ЦТП 2 пос Развилка в г.о. Ленинский (в т.ч. ПИР)</t>
  </si>
  <si>
    <t>Сумма произведённых авансовых платежей, руб.: 11 177 925.00
Оплачено, руб. (план): 28 825 766.82
Оплачено, руб. (факт): 28 825 766.82
Процент оплаты: 78.82 %</t>
  </si>
  <si>
    <t>1000004721.5327935656</t>
  </si>
  <si>
    <t>Капитальный ремонт участков тепловых сетей от ТК 1а до ТК 40 пос Развилка в г.о. Ленинский (в т.ч. ПИР)</t>
  </si>
  <si>
    <t>1000004576.5327935490</t>
  </si>
  <si>
    <t>Капитальный ремонт участков тепловых сетей от ТК-7 до ТК-8 в г.о. Ленинский (в т.ч. ПИР)</t>
  </si>
  <si>
    <t>27 864 305,66</t>
  </si>
  <si>
    <t>ИД сдана частично,</t>
  </si>
  <si>
    <t>необходимо выполнить благоустройство</t>
  </si>
  <si>
    <t>1000004518.5327935429</t>
  </si>
  <si>
    <t>Строительство БМК на 3 МВт по адресу: Московская область, Павлово-Посадский г.о., д.Ефимово (в т.ч. ПИР)</t>
  </si>
  <si>
    <t>СМР не завершен.
Перенос объекта утвержден рабочей группой, изменение в ГП не вносилось. контракт не продлен (МИНЖКХ). 
БМК поставлена на объект, установлена в проектное положение. 
Договора техприс заключены, не оплачены.
Документация в МОГЭ с 15.04.2026
До выхода из МОГЭ нет возможности заключить договор стройконтроля для частичной сдачи объекта</t>
  </si>
  <si>
    <t>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
20.05.2026 проведена ВКС с МинЖКХ по вопросу реализации объектов и завершению СМР.</t>
  </si>
  <si>
    <t>Оплачено, руб. (план): 15 957 296.28
Оплачено, руб. (факт): 15 957 296.28
Процент оплаты: 30.00 %</t>
  </si>
  <si>
    <t>СМР не завершен.
Перенос объекта утвержден рабочей группой, изменение в ГП не внесено, не утверждено в АП ГП (срок до 15.07.2026)
 контракт не продлен (МИНЖКХ). 
Документация в выпущена из МОГЭ с результатами рассмотрения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поставлена на объект, установлена в проектное положение. 
Договора техприс заключены, не оплачены.
(план завершения СМР до 15.10.2026)
До выхода из МОГЭ отсутствует возможность заключить договор стройконтроля для частичной сдачи и закрытия объекта</t>
  </si>
  <si>
    <t>1000004922.5327936010</t>
  </si>
  <si>
    <t>Капитальный ремонт котельной «Оранжерейная» по адресу: Московская область, г.о. Пушкинский, г. Ивантеевка, ул. Оранжерейная, д. 14а (в т.ч. ПИР)</t>
  </si>
  <si>
    <t>ООО ЭТС</t>
  </si>
  <si>
    <t>70 335 444,50</t>
  </si>
  <si>
    <t>Нет МОГЭ (плановый срок выхода из МОГЭ 30.06.2026) увеличение более 30%, НТС не пройден, СМР не выполнено завязан с тех присоедниением электрика - монтаж нового ВРУ, плановый срок выполнения тех присоединения октябрь 2026</t>
  </si>
  <si>
    <t>Оплачено, руб. (план): 37 018 655.00 
Оплачено, руб. (факт): 37 018 655.00 
Процент оплаты: 50.00 %</t>
  </si>
  <si>
    <t>Отсутствует положительное заключение МОГЭ. Плановая дата выхода - 30.07.2026
СМР не завершен по причине отсутствия тех приса по электроснабжению.СМР не выполнено завязан с тех присоедниением электрика - монтаж нового ВРУ, плановый срок выполнения тех присоединения октябрь 2026</t>
  </si>
  <si>
    <t>1000004337.1000005329</t>
  </si>
  <si>
    <t>Капитальный ремонт участков тепловой сети по адресу: Московская область, Дмитровский г.о., г. Яхрома, ул. Ленина (от Л1 до ТК-Л4) (в т.ч. ПИР)</t>
  </si>
  <si>
    <t>49 957 879,90</t>
  </si>
  <si>
    <t>01.04.2026 - выданы результаты рассмотрения
Плановая дата захода в МОГЭ 01.07.2026. Планируется НТС</t>
  </si>
  <si>
    <t>Оплачено, руб. (факт): 15 777 946.80 
Процент оплаты: 30.00 %</t>
  </si>
  <si>
    <t>Объект перешел в собственность московской области, идет процедура возврата в ОМСУ. До 22.06.2026 планиреутся возврат в ОМСУ.
Плановая дата сдачи ИД 10.07.2026 - замечания со стороны заказчика в части металлолома
Плановая дата оплаты до 17.08.2026</t>
  </si>
  <si>
    <t xml:space="preserve">Требуется НТС. Превышение в связи увеличением сети и видом прокладки. Документация к НТС не предоставлена. (Заказчик не подписывает - не соответсвует ТЗ, внести корректировки в ТЗ). </t>
  </si>
  <si>
    <t>1000004494.5327935405</t>
  </si>
  <si>
    <t>Строительство БМК на 4,4 МВт по адресу: Московская область, Московская область, Павлово-Посадский г.о., д.Кузнецы (в т.ч. ПИР)</t>
  </si>
  <si>
    <t>Оплачено, руб. (план): 15 540 230.35
Оплачено, руб. (факт): 15 540 230.35
Процент оплаты: 29.99 %</t>
  </si>
  <si>
    <t>СМР не завершен.
Перенос объекта утвержден рабочей группой, изменение в ГП не внесено, не утверждено в АП ГП (срок до 15.07.2026)
 контракт не продлен (МИНЖКХ). 
Документация в выпущена из МОГЭ с результатами рассмотрения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на сборочной площадке Фортис. СГ 89% (поставка после завершения оплаты подрядчиком). 
(план завершения СМР до 15.10.2026)
Договора техприс заключены, не оплачены.
До выхода из МОГЭ отсутствует возможность заключить договор стройконтроля для частичной сдачи и закрытия объекта</t>
  </si>
  <si>
    <t>1000004303.1000005292</t>
  </si>
  <si>
    <t>Капитальный ремонт котельной по адресу: Московская область, г.о. Егорьевск, г. Егорьевск, ул. Жукова Гора, д. 19Б (в т.ч. ПИР)</t>
  </si>
  <si>
    <t>СМР не завершен. Осталось выполнить общестрой и благоустройство. Заход в МОГЭ запланирован 05.06.2026. Находятся на НТС в связи с удорожанием. ( Статус НТС на устранение замечаний)</t>
  </si>
  <si>
    <t>Провели выездное совещание . уточнили ГПР со сроком окончания 10.07. 2026</t>
  </si>
  <si>
    <t>Оплачено, руб. (план): 15 270 195.60 Оплачено, руб. (факт): 15 270 195.60 Процент оплаты: 30.00 %
выверено, информация соотвествует</t>
  </si>
  <si>
    <t>Не вышли из МОГЭ (превышение, нужно пройти НТС. устраняют замечания)
СМР не завершен
СМР: будет выполнено до 16.06.2026</t>
  </si>
  <si>
    <t>В МОГЭ не заходили в связи с необходимостью прохождения НТС. Причина не верно сформирована стоимость НМЦК. ( Статус НТС на устранение замечаний)
Ростехнадзор сдача и окончание СМР - начало июля. Зашли в МОГЭ - 09.06. Конец августа сдача документов в УТНКР.
Оплата сентябрь</t>
  </si>
  <si>
    <t>Не выполнено благоустройтсво и общестрой. ПНР не выполнен. Сдача Ростехнадзору. Котельная функционирует с 16 января. НТС назначается в ближайшее время. Ростехнадзор и СМР - начало июля. Заход в МОГЭ - 05.06. Конец августа сдача документов в УТНКР.</t>
  </si>
  <si>
    <t>1000001795.1000001882</t>
  </si>
  <si>
    <t>Капитальный ремонт наружных тепловых сетей в г.о.Лосино-Петровский</t>
  </si>
  <si>
    <t>Оплачено, руб. (план): 189 802 309.69
Оплачено, руб. (факт): 189 802 309.69
Процент оплаты: 94.04 %</t>
  </si>
  <si>
    <t>СМР выполнен. Расторгнут по факту выполнения</t>
  </si>
  <si>
    <t>1000004919.5327936007</t>
  </si>
  <si>
    <t>Капитальный ремонт участка тепловой сети по адресу: Московская область, г.о. Пушкинский, п. Софрино-1, на территории в/ч 75555 (в т.ч. ПИР)</t>
  </si>
  <si>
    <t>31 012 142,00</t>
  </si>
  <si>
    <t>СМР завершен. Не сдана ИД - не предъявляли УТНКР - плановая дата 01.07.2026</t>
  </si>
  <si>
    <t>Проведено ВКС - ОМСУ, ПО, УТНКР</t>
  </si>
  <si>
    <t>работы будут закрываться в полном объеме из за отсутствия БГ и не выплаты аванса</t>
  </si>
  <si>
    <t>Оплачено 0</t>
  </si>
  <si>
    <t>Отсутсвие банковской гарантии, отсутствие КС/ИД</t>
  </si>
  <si>
    <t>Отсутствует БГ, закрытие работ будет под факт</t>
  </si>
  <si>
    <t>СМР завершен. 
 Не сдана ИД - не предъявляли УТНКР - плановая дата 10.07.2026</t>
  </si>
  <si>
    <t>1000002858.1000003605</t>
  </si>
  <si>
    <t>Реконструкция участков тепловых сетей от котельной 8/15 до т/к Строителей, 2 в г.о. Лосино-Петровский (в т.ч. ПИР)</t>
  </si>
  <si>
    <t>Оплачено, руб. (план): 184 166 935.27 
Оплачено, руб. (факт): 184 166 935.27 
Процент оплаты: 99.75 %</t>
  </si>
  <si>
    <t>1000004503.5327935414</t>
  </si>
  <si>
    <t>Капитальный ремонт участков тепловых сетей Котельной по адресу: Московская область, г.о. Лосино-Петровский д. Мизиново: от котельной до ЦТП д. Мизиново, от МКД ул Набережная д.1 до МКД ул. Набережная д.18, от ТК №1 до МКД ул. Набережная, д. 58 до МКД ул. Заводская д.18, от ТК №1 до МКД ул. Набережная, д. 58 до МКД ул. Заводская д.19 (в т.ч. ПИР)</t>
  </si>
  <si>
    <t>Оплачено, руб. (план): 65 837 736.42 
Оплачено, руб. (факт): 65 837 736.42 
Процент оплаты: 100.00 %</t>
  </si>
  <si>
    <t>СМР завершен. Объект оплачен</t>
  </si>
  <si>
    <t>1000004504.5327935415</t>
  </si>
  <si>
    <t>Капитальный ремонт участков тепловых сетей Котельной по адресу: Московская область, г.о Лосино-Петровский, п. Свердловский, ул. Заводская: от забора котельной до ТК№1, от ТК до МКД ул. Заводская д.17А до МКД ул. Заводская д.17, от МКД ул. Заводская д.1 до МКД ул. Заводская д.3, от ТК №3 до д/с Солнышко (в т.ч. ПИР)</t>
  </si>
  <si>
    <t>Оплачено, руб. (план): 32 354 491.04 
Оплачено, руб. (факт): 32 354 491.04 
Процент оплаты: 74.36 %</t>
  </si>
  <si>
    <t>1000004534.5327935446</t>
  </si>
  <si>
    <t>Капитальный ремонт участков тепловых сетей от котельной по адресу: Московская область, г.о. Лосино-Петровский, п. Юность: от ТК-1 до ЦТП № 2 ул. Кузнецкая, от ТК-1 до ТК-5, от ЦТП № 2 до ж.д. № 7, от ЦТП № 2 до ТК-10, от ТК-10 до элеватора ж.д № 9 ул. Кузнецкая (в т.ч. ПИР)</t>
  </si>
  <si>
    <t>ООО ТЕПЛОИНЖСТРОЙ</t>
  </si>
  <si>
    <t>Оплачено, руб. (план): 70 166 453.86 
Оплачено, руб. (факт): 70 166 453.86 
Процент оплаты: 98.53 %</t>
  </si>
  <si>
    <t>1000004533.5327935445</t>
  </si>
  <si>
    <t>Капитальный ремонт участков тепловых сетей в г.о. Лосино-Петровский от Котельной 8/15: от ТК ул. Гоголя, д. 7 до ул. Чехова, д. 8, от ТК ул. Октябрьская, д. 9 до МКД ул. Суворова, д. 11 (в т.ч. ПИР)</t>
  </si>
  <si>
    <t>Оплачено, руб. (план): 59 940 630.00 
Оплачено, руб. (факт): 59 940 630.00 
Процент оплаты: 100.00 %</t>
  </si>
  <si>
    <t>1000004532.5327935444</t>
  </si>
  <si>
    <t>Капитальный ремонт участков тепловых сетей от котельной №3 до ЦТП №1 (ул. Ленина, д. 4, стр. 1) в г.о. Лосино-Петровский: от котельной №3 до ТК д/с «Родничок», от ТК д/с «Родничок» до ЦТП №1 (в т.ч. ПИР)</t>
  </si>
  <si>
    <t>Оплачено, руб. (план): 38 236 277.51 
Оплачено, руб. (факт): 38 236 277.51 
Процент оплаты: 99.15 %</t>
  </si>
  <si>
    <t>1000004511.5327935422</t>
  </si>
  <si>
    <t>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г.о. Балашиха, мкр. Купавна, ул. Адмирала Нахимова, д. 9 А на участках: 
 от ЦТП-10/1 до ТК-31, от ТК-35 до ТК-35А, от ТК-34 до ТК-36, от ТК-16 до ТК-39, от ТК-43 до ТК-45 (в т.ч.ПИР)</t>
  </si>
  <si>
    <t>Осталась обратная засыпка и повторный заход в МОГЭ для корректировки смет</t>
  </si>
  <si>
    <t>СМР не завершен в части благоустройства. Планируется завершить до 30.05.2026. Проект на корректировке в МОГЭ (выход из МОГЭ планируется до 12.06.2026).</t>
  </si>
  <si>
    <t>Повторный заход в могэ для корректировки проекта. Затем сдача в УТНКР</t>
  </si>
  <si>
    <t>СМР не завершен в части благоустройства. На подписи ДС по изменению цены контракта по результатам МОГЭ. Оплата ПИР до 20.07.2026. Оплата СМР - начало сентября.</t>
  </si>
  <si>
    <t>Зашли в МОГЭ - выход 11 июня. После выхода из МОГЭ доп. Соглашение и оплата. Оплата - конец июля - начало августа.</t>
  </si>
  <si>
    <t>1000003882.1000004748</t>
  </si>
  <si>
    <t>Реконструкция ЦТП "Спортивный" по адресу: Московская область, г.о. Власиха (в т.ч. ПИР)</t>
  </si>
  <si>
    <t>ООО ИЭС</t>
  </si>
  <si>
    <t>Идет согласование ИД. Оплачено частично. Крайняя дата оплаты 01.09.2026</t>
  </si>
  <si>
    <t>Оплачено, руб. (план): 38 907 002.37
Оплачено, руб. (факт): 38 907 002.37
Процент оплаты: 53.50 %</t>
  </si>
  <si>
    <t>МОГЭ получено
Осталось выполнить в части СМР: ремонт кровли и установка мембранного бака
Благоустройство выполнено в полном объеме. Плановый срок завершения сдачи объекта 30.06.2026</t>
  </si>
  <si>
    <t>1000004205.1000005121</t>
  </si>
  <si>
    <t>Строительство БМК на 2,5 МВт по адресу: Московская область, г.о.Коломна, ул. Красногвардейская (в т.ч. ПИР)</t>
  </si>
  <si>
    <t>СМР не завершён
МОГЭ не получено
плановая дата заключения договора с МОГЭ 19.06.2026</t>
  </si>
  <si>
    <t>Проведены ВКС и очные совещания</t>
  </si>
  <si>
    <t>Оплачено, руб. (план): 4 140 270.00 
Оплачено, руб. (факт): 4 140 270.00 
Процент оплаты: 10.94 %</t>
  </si>
  <si>
    <t>СМР не начат. Выплачен аванс на ПИР.</t>
  </si>
  <si>
    <t>В МОГЭ - не заходили, в связи со сменой суб подрядной организации
Плановая дата заключения договора с МОГЭ - 26.06.2026
СМР возобновлен с 17.05.2026
Плановая дата ПНР - 01.11.2026</t>
  </si>
  <si>
    <t>Конец 2026 года. Низкая СГ</t>
  </si>
  <si>
    <t>1000004904.5327935989</t>
  </si>
  <si>
    <t>Строительство БМК на 1,5 МВт по адресу: Московская область, г.о. Домодедово, д. Шубино-2 (в т.ч. ПИР)</t>
  </si>
  <si>
    <t>46 059 295,54</t>
  </si>
  <si>
    <t>не завершили СМР в части благоустройства и ПНР (план. до 15.08.) ПНР не выполнен по причине отсутвия второго электрического ввода. Подрядчик будет закрывать часть оплату без пнр. готовят документы и Доп соглашение на оформление оплаты
 Замечания УТНКР(5): Проектно-изыскательские работы • Земляные работы • Прокладка инженерных сетей (линейные объекты) • Инженерные системы • засыпка грунта (линейные объекты)</t>
  </si>
  <si>
    <t>Оплата- 0</t>
  </si>
  <si>
    <t>ПИР подгружены на оплату. СМР - на подписании УТНКР. Сдача в УТНКР - июль. СМР окончание 11 июля. Допник на продление сроков подписан. Оплата - до 31.07.</t>
  </si>
  <si>
    <t>ПИР подгружены на оплату. СМР - на подписании УТНКР. Идет сдача в УТНКР.. СМР окончание 11 июля. Ожидали подпиание доп. Оплата - середина июня.</t>
  </si>
  <si>
    <t>1000003661.1000004525</t>
  </si>
  <si>
    <t>Капитальный ремонт участков тепловых сетей по адресу: Московская область, г.о. Пушкинский, г. Ивантеевка, от ТК 5 до ул. Дзержинского, 4 (в т.ч. ПИР)</t>
  </si>
  <si>
    <t>60 922 135,50</t>
  </si>
  <si>
    <t>отсутствие МОГЭ- отказ по причине неполного комплекта документов. Плановая дата захода в МОГЭ - 30.06.2026, СМР не завершен - смонтировать 185 м, вырезать перспективные краны, благоустройство.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</si>
  <si>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Оплачено, руб. (план): 32 064 545.00 
Оплачено, руб. (факт): 32 064 545.00 
Процент оплаты: 50.00 %</t>
  </si>
  <si>
    <t>Не получено положительное заключениез МОГЭ - плановая дата захода 10.07.2026 - финансовые трудности ПО. СМР не завершен - смонтировать 185 м, вырезать перспективные краны, благоустройство - - финансовые трудности ПО, планвоая дата завершения СМР 30.10.2026.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</si>
  <si>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1000004582.5327935496</t>
  </si>
  <si>
    <t>Капитальный ремонт участков тепловых сете от ТК 11 до ЦТП 5а в г.о. Ленинский (в т.ч. ПИР)</t>
  </si>
  <si>
    <t>55 214 741,85</t>
  </si>
  <si>
    <t>Замечания ИД,</t>
  </si>
  <si>
    <t>не завершено благоустройство, не передавалась ИД Благоустройство будет завершено до 01.06.2026. ИД формируется для предъявления. Замечания УТНКР(39): Прокладка инженерных сетей (линейные объекты) • Благоустройство</t>
  </si>
  <si>
    <t>Проведен ВКС о необходимости скорейшего завершения благоустройства</t>
  </si>
  <si>
    <t>необходимо выполнить обратную засыпку и благоустройство</t>
  </si>
  <si>
    <t>Сумма произведённых авансовых платежей, руб.: 22 282 400.00
Оплачено, руб. (план): 25 585 455.71
Оплачено, руб. (факт): 25 585 455.71
Процент оплаты: 44.57 %</t>
  </si>
  <si>
    <t>Оплата конец июля, если с УТНКР не возникнет вопросов и решится вопрос с БГ. Благоустройство в течение июня. Заключить доп. соглашение. Требуется новая БГ. ИД готовится к сдаче.                                          Замечания УТНКР(39): Прокладка инженерных сетей (линейные объекты) • Благоустройство</t>
  </si>
  <si>
    <t>Оплата конец июля если с УТНКР не возникнет вопросов и решится вопрос с БГ. Благоустройство в течение июня. Заклчить доп. соглашение. Требуется новая БГ.</t>
  </si>
  <si>
    <t>1000003657.1000004521</t>
  </si>
  <si>
    <t>Капитальный ремонт участков тепловых сетей от Котельной 1-3 от ТК-4 (у д.4, ул. Калинина) до ТК-13 (у д.16/5, ул. Свердлова) в г.о. Балашиха (в т.ч. ПИР)</t>
  </si>
  <si>
    <t>Исполнено, руб. (план): 93 051 433.21 
Исполнено, руб. (факт): 93 051 433.21 
Процент исполнения: 74.04 %</t>
  </si>
  <si>
    <t>СМР не завершен в части благоустройства. Планируется завершить до 30.07.2026. Оплата объекта до 20.08.26</t>
  </si>
  <si>
    <t>Благоустройство - июнь. Оплата объекта - июль.</t>
  </si>
  <si>
    <t>1000004932.5327936037</t>
  </si>
  <si>
    <t>Капитальный ремонт котельной «мкр. Мамонтовка» по адресу: Московская область, г.о. Пушкинский, мкр. Мамонтовка, ул. Октябрьская, д. 23 (в т.ч. ПИР)</t>
  </si>
  <si>
    <t>ООО СТРОЙСЕРВИС</t>
  </si>
  <si>
    <t>57 323 388,82</t>
  </si>
  <si>
    <t>СМР не завершен, отсутствие МОГЭ</t>
  </si>
  <si>
    <t>СМР не завершен - плановая дата 30.06.2026, отсутствие МОГЭ- получено отриц заключение, Плановая дата МОГЭ 15.06.2026</t>
  </si>
  <si>
    <t>Оплачено, руб. (план): 28 661 694.41 
Оплачено, руб. (факт): 28 661 694.41 
Процент оплаты: 47.50 %</t>
  </si>
  <si>
    <t>СМР не завершен (не получено разрешение РТН, переврезка на новое ГРУ, ПНР котла №1) - плановая дата 30.06.2026 - низкая динамика выполнения работ.
Отсутствие МОГЭ - получено отрицательное заключение по причине низкой динамике устранения замечаний Плановая дата повторного захода в МОГЭ 05.07.2026.</t>
  </si>
  <si>
    <t>1000004177.1000005071</t>
  </si>
  <si>
    <t>Строительство ЦТП по адресу: Московская область, Дмитровский г.о., с. Внуково (в т.ч. ПИР)</t>
  </si>
  <si>
    <t>ООО ТРОЯ</t>
  </si>
  <si>
    <t>44 473 767,22</t>
  </si>
  <si>
    <t>не закончено СМР</t>
  </si>
  <si>
    <t>Назначено очное совещание на 27.05.2026</t>
  </si>
  <si>
    <t>Лимиты не доведены 
Оплаты не было</t>
  </si>
  <si>
    <t>Оплачено, руб. (факт): 13 500 000.00 
Процент оплаты: 30.00 %</t>
  </si>
  <si>
    <t>Ведется СМР
Выплачен аванс</t>
  </si>
  <si>
    <t>СМР не завершен,
Работы не ведутся по причине довендения средств после изменения в ГП и прохождения НТС.
Плановая дата оплаты до 05.06.2026
 Продолжен СМР 11.06.2026</t>
  </si>
  <si>
    <t>1000004001.1000004867</t>
  </si>
  <si>
    <t>Капитальный ремонт котельной (в части замены котла) по адресу: Московская область, Дмитровский г.о., г. Дмитров, ул. Водников 27 (в т.ч. ПИР)</t>
  </si>
  <si>
    <t>Передача объекта в собственность МО</t>
  </si>
  <si>
    <t>38 699 718,26</t>
  </si>
  <si>
    <t>Смена РСО МУП ДУ ЖКХ на ГУП МО "Дмитровское ЖКХ"
 Объект перешел в собственность московской области, идет процедура возврата в ОМСУ. Постановление о принятии в муниципальную собственность на согласовании.</t>
  </si>
  <si>
    <t>Проведен внутренний ВКС в рабочем порядке с ОМСУ 14.05.2026</t>
  </si>
  <si>
    <t>оплачено в 2025</t>
  </si>
  <si>
    <t>Оплачено, руб. (факт): 13 417 143.00
Процент оплаты: 30.00 %</t>
  </si>
  <si>
    <t>Позднее получение МОГЭ
Перенос лимитов на 2026 год
Оплата до 20.03.2026
"Кредиторская задолженность
Оплата до 15.07.2026"</t>
  </si>
  <si>
    <t>Ждут подтвержения о муниципальной собственности до 26.06.2026. Физически работы сделаны, дата оплаты 01.08.2026</t>
  </si>
  <si>
    <t>1000001786.1000001872</t>
  </si>
  <si>
    <t>Строительство тепловой сети по ул. Клубная, 9а (в т.ч. ПИР)</t>
  </si>
  <si>
    <t>40 327 729,81</t>
  </si>
  <si>
    <t>не разработан ПИР (план. до 10.06. отправить на согл. заказчику), план захода в МОГЭ - 20.06.2026г., не закончены СМР в части врезки в магистральный трубовод участка. (план. до 20.07.) Замечания УТНКР(47): Проектно-изыскательские работы • Земляные работы • Разработка траншеи (линейные объекты) • Прокладка инженерных сетей (линейные объекты) • Демонтажные работы</t>
  </si>
  <si>
    <t>Проведено совещание с проектной командой,для ускорения окончания ПИР</t>
  </si>
  <si>
    <t>Оплачено, руб. (план): 12 098 300.40
Оплачено, руб. (факт): 12 098 300.40
Процент оплаты: 28.14 %</t>
  </si>
  <si>
    <t>Низкий темп разработки проектной документации (план. до 10.06. отправить на согл. заказчику), план захода в МОГЭ - 20.06.2026г., Не закончены СМР в части врезки в магистральный трубовод участка. (план. до 20.07.) Замечания УТНКР(47): Проектно-изыскательские работы • Земляные работы • Разработка траншеи (линейные объекты) • Прокладка инженерных сетей (линейные объекты) • Демонтажные работы</t>
  </si>
  <si>
    <t>1000004921.5327936009</t>
  </si>
  <si>
    <t>Капитальный ремонт участков тепловой сети по адресу: Московская область, г.о. Пушкинский, п. Зеленый городок, в районе домов 2, 4, 6 ,8 (в т.ч. ПИР)</t>
  </si>
  <si>
    <t>40 800 969,35</t>
  </si>
  <si>
    <t>ИД и КС-2 не переданы в УТНКР</t>
  </si>
  <si>
    <t>Не завершено благоустройство - план завершения до 16.06.2026, не сдана ИД</t>
  </si>
  <si>
    <t>Оформление ИД, КС, БГ</t>
  </si>
  <si>
    <t>Оплачено, руб. (план): 12 240 750.00 
Оплачено, руб. (факт): 12 240 750.00 
Процент оплаты: 28.50 %</t>
  </si>
  <si>
    <t>Не завершено благоустройство - план завершения до 30.06.2026, не сдана ИД.Плановая дата  сдачи ИД - 15.07.2026. Плановая дата оплаты - 24.07.2026</t>
  </si>
  <si>
    <t>Благоустройство - в конце июня (финансы). Сдача объекта в июне. Проблемы с финансами. Оплата - 25.07.2026</t>
  </si>
  <si>
    <t>1000004388.1000005409</t>
  </si>
  <si>
    <t>Капитальный ремонт котельной "БЖД" (в части замены двух котлов) по адресу: Московская область, г.о. Павловский Посад, Большой железнодорожный проезд, д.24 (в т.ч. ПИР)</t>
  </si>
  <si>
    <t>Низкий темп устранения замечания УТНКР, Исполнительная документация не подписана с Заказчиком</t>
  </si>
  <si>
    <t>Не завершен СМР в части общестроительных работ (план завершения до 08.07.2026).
Не в полном объеме устранены замечания по ИД (срок устранения до 08.07.2026)</t>
  </si>
  <si>
    <t>20.05.2026 проведена ВКС с МинЖКХ по вопросу реализации объектов и устранению замечаний УТНКР</t>
  </si>
  <si>
    <t>Оплачено, руб. (план): 14 899 751.73
Оплачено, руб. (факт): 14 899 751.73
Процент оплаты: 33.08 %</t>
  </si>
  <si>
    <t>частичная оплата</t>
  </si>
  <si>
    <t>Перенос объекта утвержден рабочей группой, изменение в ГП не внесено, не утверждено в АП ГП (срок до 15.07.2026)
ОПЛАТА ТОЛЬКО ПОСЛЕ ПРОДЛЕНИЯ КОНТРАКТА (30.07.2026)
 контракт не продлен (МИНЖКХ).  
Имеется положительное заключение МОГЭ
Стройготовность по СМР 95%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</si>
  <si>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1000004469.5327935378</t>
  </si>
  <si>
    <t>Капитальный ремонт участков тепловых сетей от котельной №7 по адресу: Московская область, г.о. Лотошино, п.Новолотошино, д.35: от ТК-11 до ТК-14, от ТК-6 до ТК-7 (в т.ч. ПИР)</t>
  </si>
  <si>
    <t>ООО ИТС-СТРОЙ</t>
  </si>
  <si>
    <t>Оплачено, руб. (план): 5 978 074.45
Оплачено, руб. (факт): 5 978 074.45
Процент оплаты: 48.64 %</t>
  </si>
  <si>
    <t>1000004484.5327935393</t>
  </si>
  <si>
    <t>Капитальный ремонт участков тепловых сетей от котельной КСПЗ по адресу: Московская область, г.о. Подольск, мкр. Климовск до ЦТП 10, 11: от ТК цтп 11 до ЦТП-11, от Р-49 ул. Заводская д. 14 до ТК 58 ул. Заводская д. 14, от ТК 58 ул. Заводская д.14 до ТК 60 ул. Заводская д. 6Б, от ТК 58 ул. Заводская д. 14 до ТК 63 ул. Заводская д. 10, от Р 49 до УСЦ Юность пр-д Юности д. 1, от Р 49 до ТК 67 ул. Молодежная д. 6, от ТК 67 до ЦТП 10 ул. Молодежная д. 5, от ТК 71 до Заводская д. 24, от Р 49 до ТК 67 ул. Молодежная д. 6 (в т.ч. ПИР)</t>
  </si>
  <si>
    <t>ООО ПСМ</t>
  </si>
  <si>
    <t>ИД в УТНКР подписана в полном объеме. Повторныйт заход в МОГЭ по доп. объемам. Срок рассмотрения 15 дней Замечания УТНКР(3): Работы завершены • Подготовка исполнительной документации • Подготовка объекта к сдаче</t>
  </si>
  <si>
    <t>Оплачено, руб. (план): 57 376 781.34
Оплачено, руб. (факт): 57 376 781.34
Процент оплаты: 79.48 %</t>
  </si>
  <si>
    <t>8421056411.8421056681</t>
  </si>
  <si>
    <t>Строительство модульно-блочной котельной мощность 3МВт по адресу:г.о. Электросталь, п. Фрязево, ул. Советская, д. 3-а (в т.ч. ПИР)</t>
  </si>
  <si>
    <t>29 869 469,25</t>
  </si>
  <si>
    <t>12 890 000</t>
  </si>
  <si>
    <t>45 754 088,36</t>
  </si>
  <si>
    <t>Благоустройство до 25.06.2026. Замечания ИД.</t>
  </si>
  <si>
    <t>Определили срок устранения замечаний до 20.06.2026</t>
  </si>
  <si>
    <t>Оплачено, руб. (план): 24 355 216.38 
Оплачено, руб. (факт): 24 355 216.38 
Процент оплаты: 45.35 %</t>
  </si>
  <si>
    <t>Благоустройство до 25.06.2026. Замечания ИД. 18 замечание. до 10.07.2026</t>
  </si>
  <si>
    <t>1000003668.1000004532</t>
  </si>
  <si>
    <t>Капитальный ремонт участков тепловых сетей от ТК 5/0 у пожарной части до ТК 7 по ул. Советская в г.о. Ленинский (в т.ч. ПИР)</t>
  </si>
  <si>
    <t>91 127 794,14</t>
  </si>
  <si>
    <t>31 755 602,62</t>
  </si>
  <si>
    <t>59 372 191,52</t>
  </si>
  <si>
    <t>ИД на проверке,</t>
  </si>
  <si>
    <t>не завершено благоустройство
Замечания УТНКР (34): Монтаж оборудования • Благоустройство</t>
  </si>
  <si>
    <t>Сумма произведённых авансовых платежей, руб.: 50 682 089.41
Оплачено, руб. (план): 68 706 945.11
Оплачено, руб. (факт): 68 706 945.11
Процент оплаты: 70.39 %</t>
  </si>
  <si>
    <t>Благоустройство завершено. ИД сдается, защищают объемы.
Замечания УТНКР (34): Монтаж оборудования • Благоустройство</t>
  </si>
  <si>
    <t>1000000897.1000000582</t>
  </si>
  <si>
    <t>Капитальный ремонт теплосети от ТК-184 до ТК-12 г.Черноголовка проезд Строителей (в т.ч. ПИР)</t>
  </si>
  <si>
    <t>ООО А-ГРУПП</t>
  </si>
  <si>
    <t>52 703 710,00</t>
  </si>
  <si>
    <t>Готовят к оплате</t>
  </si>
  <si>
    <t>ИД не сдана в полном обьеме</t>
  </si>
  <si>
    <t>Оплачено, руб. (план): 26 351 855.00 
Оплачено, руб. (факт): 26 351 855.00 
Процент оплаты: 50.00 %</t>
  </si>
  <si>
    <t>Поздний выход из МОГЭ, подготовка подписания КС-2, исполнительной документации и акта закрытия. Оплату произведут до 03.04.2026</t>
  </si>
  <si>
    <t>СМР выполнен. ИД не сдана в полном обьеме</t>
  </si>
  <si>
    <t>1000004694.5327935622</t>
  </si>
  <si>
    <t>Капитальный ремонт участков тепловых сетей от котельной 90 МВт, расположенной по адресу: Московская область, г.о. Кашира, д. Горки, вдоль улиц Центральная, Мира, Московская, Советский проспект, Клубная (в т.ч. ПИР)</t>
  </si>
  <si>
    <t>37 113 365,25</t>
  </si>
  <si>
    <t>ПИР на просчете смет (план захода в МОГЭ до 15.06.), не закончены СМР: монтаж 120 п.м. трубы и благоустройств (срок до 20.06.) Замечания УТНКР(51): Проектно-изыскательские работы • Подготовительные работы • Земляные работы • Устройство ж/б колодцев, камер (линейные объекты) • Прокладка инженерных сетей (линейные объекты) • Инженерные системы • засыпка грунта (линейные объекты) • Благоустройство</t>
  </si>
  <si>
    <t>неоходимо выполнить обратную засыпку и благоустройство</t>
  </si>
  <si>
    <t>Оплачено, руб. (план): 11 133 320.00
Оплачено, руб. (факт): 11 133 320.00
Процент оплаты: 28.49 %</t>
  </si>
  <si>
    <t>ООО "КДС" заключил контракт после расторжения с ООО"Лэндстрой" Разработка ПСД выполняется при наличии изменений объемов и ТЗ. ПИР находится на согласовании у Заказчика. Плановая дата захода в МОГЭ до 15.06.2026 г
СМР выполняются с учетом устранений дефектов, допущенных предыдущей подрядной организацией.</t>
  </si>
  <si>
    <t>1000003666.1000004530</t>
  </si>
  <si>
    <t>Капитальный ремонт участков тепловых сетей от ТК-17А у ж/д №12 до ТК-16 у школы № 4 в г.о. Ленинский (в т.ч. ПИР)</t>
  </si>
  <si>
    <t>75 485 930,45</t>
  </si>
  <si>
    <t>не завершено благоустройство, не передавалась ИД 
Замечания УТНКР(46): Устройство ж/б колодцев, камер (линейные объекты) • Общестроительные работы • Благоустройство</t>
  </si>
  <si>
    <t>Сумма произведённых авансовых платежей, руб.: 47 887 282.15
Оплачено, руб. (план): 55 552 340.64
Оплачено, руб. (факт): 55 552 340.64
Процент оплаты: 66.80 %</t>
  </si>
  <si>
    <t>Не завершено благоустройство, срок завершения работ до 20.06.2026. ИД сдается, защищают объемы.
Замечания УТНКР(46): Устройство ж/б колодцев, камер (линейные объекты) • Общестроительные работы • Благоустройство</t>
  </si>
  <si>
    <t>1000004335.1000005327</t>
  </si>
  <si>
    <t>Капитальный ремонт участков тепловой сети по адресу: Московская область, Дмитровский г.о., г. Яхрома, ул. Ленина (от котельной до ТК-Т4) (в т.ч. ПИР)</t>
  </si>
  <si>
    <t>43 668 312,48</t>
  </si>
  <si>
    <t>Плановая дата сдачи ИД 25.06.2026</t>
  </si>
  <si>
    <t>Оплачено, руб. (факт): 19 031 792.14 
Процент оплаты: 41.39 %</t>
  </si>
  <si>
    <t>1000003676.1000004540</t>
  </si>
  <si>
    <t>Капитальный ремонт участка тепловой сети по адресу: Московская область, г.о. Краснознаменск, ул. Октябрьская от ТК59 до ТК51 (в т.ч. ПИР)</t>
  </si>
  <si>
    <t>Не завершено благоустройство</t>
  </si>
  <si>
    <t>не завершено благоустройство, срок завершения 01.07.2025, лимиты доведены 22.05.2026, после выхода из МОГЭ цена изменилась, сейчас будут готовить ДС к контракту. Оплата ПИР ожидается до 15.06.2026. СМР и благоустройство до 01.07.2026</t>
  </si>
  <si>
    <t>Оплачено, руб. (план): 26 468 525.81
Оплачено, руб. (факт): 26 468 525.81
Процент оплаты: 50.00 %</t>
  </si>
  <si>
    <t>получено положительное заключение</t>
  </si>
  <si>
    <t>не завершено благоустройство, срок завершения 01.07.2025, лимиты доведены 22.05.2026, после выхода из МОГЭ цена изменилась, будут готовить ДС к контракту. Оплата ПИР ожидается до 30.06.2026. СМР и благоустройство до 01.07.2026
ИД предоставлена в УТНКР .Выданы замечания. После  предоставления ИД готовы оплатить</t>
  </si>
  <si>
    <t>ИД - предоставлена получены замечания от УТНКР. Устранение замечаний до 30.06.2026. После предоставления ИД готовы оплатить</t>
  </si>
  <si>
    <t>1000004333.1000005324</t>
  </si>
  <si>
    <t>Капитальный ремонт участков тепловой сети по адресу: Московская область, Дмитровский г.о., г. Дмитров, ул. Внуковская, д. 40а (от котельной до ТК-2) (в т.ч. ПИР)</t>
  </si>
  <si>
    <t>43 123 403,87</t>
  </si>
  <si>
    <t>ИД возвращена с замечаниями со стороны заказчика</t>
  </si>
  <si>
    <t>Оплачено, руб. (факт): 20 079 064.18 
Процент оплаты: 44.25 %</t>
  </si>
  <si>
    <t>Документация на корректировку ТЗ не предоставлена(до 19.06.26).Плановая дата сдачи ИД 15.07.2026 - замечания со стороны заказчика в части металлолома
Плановая дата оплаты до 01.08.2026</t>
  </si>
  <si>
    <t>1000003990.1000004856</t>
  </si>
  <si>
    <t>Луховицы</t>
  </si>
  <si>
    <t>Реконструкция котельной "Дединово" по адресу: Московская область, г.о. Луховицы, с.Дединово, ул. Гражданская, д.26а (в т.ч. ПИР)</t>
  </si>
  <si>
    <t>150 684 932,11</t>
  </si>
  <si>
    <t>56 579 766,39</t>
  </si>
  <si>
    <t>94 105 165,72</t>
  </si>
  <si>
    <t>Замечания не устранимы, требуется повторный заход в МОГЭ</t>
  </si>
  <si>
    <t>СМР не завершеены ИД сдана частично</t>
  </si>
  <si>
    <t>Не завершен СМР в части ПНР (план сдачи 08.07.2026), в части демонтажных и общестроительных работ (план завершения до 25.07.2026) 
Требуется повторный заход в МОГЭ с корректировкой проектной документации.
Не полностью сдана ИД (план сдачи после повторного получения положительного заключения МОГЭ).</t>
  </si>
  <si>
    <t>проведено очное совещание с подрядчиком и УТНКР по устранению замечаний и сдаче ИД</t>
  </si>
  <si>
    <t>замечания УТНКР, оплата произведена частично</t>
  </si>
  <si>
    <t>Оплачено, руб. (план): 137 043 117.67
Оплачено, руб. (факт): 137 043 117.67
Процент оплаты: 84.57 %</t>
  </si>
  <si>
    <t>остались работы по строительной части котельной, объемы благоустройство оплачено 84.57 %</t>
  </si>
  <si>
    <t>Положительное заключение МОГЭ получено.
Требуется повторный заход в МОГЭ с корректировкой проектной документации. (Срок до 22.07.2026)
Установленное по факту оборудование не соответствует проектной документации, получившей положительное заключение МОГЭ. 
План повторного захода в МОГЭ до 22.07.2026 
СГ 79%
Не завершен СМР в части ПНР, общестроительных работ (план завершения 22.07.2026).
Не полностью сдана ИД (план сдачи после повторного получения положительного заключения МОГЭ - ).</t>
  </si>
  <si>
    <t>1000004468.5327935377</t>
  </si>
  <si>
    <t>Капитальный ремонт участков тепловых сетей от котельной от №3а по адресу: Московская область, г.о. Лотошино, п.Лотошино, ул.Западная, д.1: от ТК-19 до ТК-21, от ТК-1 до КСЦ п.Лотошино (в т.ч. ПИР)</t>
  </si>
  <si>
    <t>Получено отрицательное заключение МОГЭ, повторный заход в МОГЭ до 10.06.2026 Выход из МОГЭ до 01.08.2026</t>
  </si>
  <si>
    <t>Проведен ВКС о необходимости скорейшего получения заключения МОГЭ</t>
  </si>
  <si>
    <t xml:space="preserve">Получено отрицательное заключение МОГЭ, повторный заход в МОГЭ  30.06.2026.Выход из МОГЭ до 01.08.2026. Срок завершения  объекта -сентябрь. Работы начаты.. Необходимо менять штабные решения,в связи с изменением сметной стоимости ( увеличение протяженности на 60%).Готовятся обоснования для заключения ДС  по ст.  65.1 (44-ФЗ) </t>
  </si>
  <si>
    <t>Повторный заход в МОГЭ - конец июня. Лимиты есть. Сдача - сентябрь.Поменялась протяженность. Надо менять штабные решения Допник 65.1? ИД вести параллельно проекту</t>
  </si>
  <si>
    <t>1000004011.1000004877</t>
  </si>
  <si>
    <t>Капитальный ремонт участков тепловых сетей от котельной №4 по адресу: Московская область, г.о. Лотошино, п.Лотошино, ул.Спортивная, д. 9 (в т.ч. ПИР)</t>
  </si>
  <si>
    <t>Необходимо заврешить благоустройство. Сдать ИД/КС Плановая дата завершения работ 01.07.2026 Количество не устраненных замечаний УТНКР (15) (план. до 15.06.2026)</t>
  </si>
  <si>
    <t>Оплачено, руб. (план): 9 887 796.54
Оплачено, руб. (факт): 9 887 796.54
Процент оплаты: 28.50 %</t>
  </si>
  <si>
    <t xml:space="preserve">Получено положительное заключение экспертизы.Необходимо заврешить благоустройство. Сдать ИД/КС Плановая дата завершения работ 01.07.2026 Количество не устраненных замечаний УТНКР (15) (план. до 30.06.2026) Устранение замечаний до 30.06.2026 (благоустройство  и камеры). Оплата - 30.07.2026 </t>
  </si>
  <si>
    <t>1000004659.5327935577</t>
  </si>
  <si>
    <t>Капитальный ремонт участков тепловых сетей №№ 79, 80, 86, 87, 88, 89, 90, 91, 93, 94, 95, 184, 187, 190, 191 от котельной № 7, г. Наро-Фоминск, ул. Ленина (в т.ч. ПИР)</t>
  </si>
  <si>
    <t>49043 150,00</t>
  </si>
  <si>
    <t>2346 312,73</t>
  </si>
  <si>
    <t>46696 837,27</t>
  </si>
  <si>
    <t>Оплтата СМР плановая дата 15.06.2026</t>
  </si>
  <si>
    <t>Устраняют замечания УТНКР по ИД, всего 13 замечаний. Срок до 10.06.2026</t>
  </si>
  <si>
    <t>Проведен ВКС о необходимости скорейшего закрытия работ</t>
  </si>
  <si>
    <t>Оплачено, руб. (план): 24 472 531.85
Оплачено, руб. (факт): 24 472 531.85
Процент оплаты: 49.90 %</t>
  </si>
  <si>
    <t>Положительное заключение экспертизы получено.
СМР завершено.Устраняют замечания УТНКР по ИД, всего 13 замечаний. Срок до 30.06.2026.
Оплата за ПИР не выполнена. Документы (ССР) не предоставлены. 
Оплата СМР после утранения замечаний УТНКР</t>
  </si>
  <si>
    <t>Оплата за ПИР в течение недели. СМР после утранения замечаний УТНКР</t>
  </si>
  <si>
    <t>1000004413.5327935310</t>
  </si>
  <si>
    <t>Капитальный ремонт участка тепловой сети по адресу: Московская область, г.о. Серебряные Пруды п. Успенский от ТК-7 до ТК-18 (в т.ч. ПИР)</t>
  </si>
  <si>
    <t>73 930 647,59</t>
  </si>
  <si>
    <t>36 032 914,21</t>
  </si>
  <si>
    <t>37 897 733,38</t>
  </si>
  <si>
    <t>Пплановая дата формирования заявки на оплату до 01.04.2026</t>
  </si>
  <si>
    <t>Оплачено, руб. (план): 54 431 812.94 
Оплачено, руб. (факт): 54 431 812.94 
Процент оплаты: 69.65 %</t>
  </si>
  <si>
    <t>Частичная оплата, оформление КС</t>
  </si>
  <si>
    <t>Не завершено благоустройство, план выполнения до 30.07.2026, не сдано ИД</t>
  </si>
  <si>
    <t>1000003667.1000004531</t>
  </si>
  <si>
    <t>Капитальный ремонт магистральной теплотрассы от ТК-16 у школы №4 до ТК у ЦТП 6А в г.о. Ленинский (в т.ч. ПИР)</t>
  </si>
  <si>
    <t>102 170 390,84</t>
  </si>
  <si>
    <t>28 846 995,64</t>
  </si>
  <si>
    <t>73 323 395,20</t>
  </si>
  <si>
    <t>Необходимо сдать ИД, выполнить финальное благоустройство
Замечания УТНКР (25): Общестроительные работы • Монтаж оборудования • засыпка грунта (линейные объекты) • Благоустройство</t>
  </si>
  <si>
    <t>Сумма произведённых авансовых платежей, руб.: 64 912 745.23
Оплачено, руб. (план): 85 525 948.04
Оплачено, руб. (факт): 85 525 948.04
Процент оплаты: 78.33 %</t>
  </si>
  <si>
    <t>Необходимо выполнить финальное благоустройство, завершение работ до 20.06.2026. ИД сдается, защищают объемы.
Замечания УТНКР (25): Общестроительные работы • Монтаж оборудования • засыпка грунта (линейные объекты) • Благоустройство</t>
  </si>
  <si>
    <t>1000004214.1000005130</t>
  </si>
  <si>
    <t>Строительство БМК на 15 МВт по адресу: Московская область, г. Электросталь, пр-д Восточный (в т.ч. ПИР)</t>
  </si>
  <si>
    <t>ООО КАЛЬДЕРА</t>
  </si>
  <si>
    <t>"Длительное получение РНР, допусков на работы"</t>
  </si>
  <si>
    <t>148 032 345,47</t>
  </si>
  <si>
    <t>170 033 656,48</t>
  </si>
  <si>
    <t>6 551 961,17</t>
  </si>
  <si>
    <t>на проверке ИД .</t>
  </si>
  <si>
    <t>Благоустройство до 15.06.2026. Замечания ИД 17 замечаний.</t>
  </si>
  <si>
    <t>Цена контракта, руб.: 177 118 548.78
Оплачено, руб. (план): 153 581 019.55
Оплачено, руб. (факт): 153 581 019.55
Процент оплаты: 86.71 %</t>
  </si>
  <si>
    <t>Благоустройство до 25.06.2026. Замечания ИД 15 замечаний.</t>
  </si>
  <si>
    <t>1000004917.5327936005</t>
  </si>
  <si>
    <t>Капитальный ремонт участков тепловых сетей по адресу: Московская область, г.о. Пушкинский, г. Ивантеевка, от котельной «Школьная-2» до ТК-22 ул. Хлебозаводская, д. 29 (в т.ч. ПИР)</t>
  </si>
  <si>
    <t>44 715 692,88</t>
  </si>
  <si>
    <t>отсутствует МОГЭ</t>
  </si>
  <si>
    <t>отсутствует МОГЭ, плановая дата выхода 10.06.2026, завершение работ по благоустройству.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</si>
  <si>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Оплачено, руб. (план): 23 534 575.20 
Оплачено, руб. (факт): 23 534 575.20 
Процент оплаты: 50.00 %</t>
  </si>
  <si>
    <t>Отсутствует МОГЭ - плановая дата захода 30.07.2026, завершение работ по благоустройству - плановая дата 10.07.2026.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</si>
  <si>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1000004573.5327935487</t>
  </si>
  <si>
    <t>Капитальный ремонт участков тепловых сетей Котельной ТЭЦ (от ТК-237 до ТК-397) по адресу: Московская область, г. Ступино, ул. Калинина (в т.ч. ПИР)</t>
  </si>
  <si>
    <t>46 282 204,42</t>
  </si>
  <si>
    <t>Было расторжение под факт выполненых рабоот
Работы по КЧС.
СМР не завершен</t>
  </si>
  <si>
    <t>СМР не завершен (Низкий темп производственных работ)
Плановая дата завершения работ - 30.06.2026</t>
  </si>
  <si>
    <t>Оплачено, руб. (план): 23 141 102.21 
Оплачено, руб. (факт): 23 141 102.21 
Процент оплаты: 50.00 %</t>
  </si>
  <si>
    <t>Бывший Лэендстрой.
Новый контракт заключен
СМР не завершен</t>
  </si>
  <si>
    <t>Положительное заключение МОГЭ - получено. 
Ранее расторгнут контракт с ООО "Лэндстрой". По КЧС заклили контракт с ООО "Главстрой"
СМР не завершен по причине устранения ошибок предыдущей подрядной организацией
Плановая дата завершения работ - 20.07.2026</t>
  </si>
  <si>
    <r>
      <rPr>
        <rFont val="Times New Roman"/>
        <color theme="1"/>
        <sz val="12.0"/>
      </rPr>
      <t xml:space="preserve">Сборка 5 ТК. Засыпка 80 м. СМР - 30.06 окончание. ИД - замечания есть. Предоставить график. Без наблюдения динамики - очное совещание. Оплата - неизвестно. График до понедельника 18:00. </t>
    </r>
    <r>
      <rPr>
        <rFont val="Times New Roman"/>
        <b/>
        <color rgb="FFFF0000"/>
        <sz val="12.0"/>
      </rPr>
      <t>ГПР на 10.06.2025 - не предоставлен</t>
    </r>
  </si>
  <si>
    <t>1000004436.5327935344</t>
  </si>
  <si>
    <t>Строительство БМК мощностью 1,0 МВт по адресу: Московская область, ул. Коммунистическая (в т.ч. ПИР)</t>
  </si>
  <si>
    <t>32 191 664,14</t>
  </si>
  <si>
    <t>устраняют замечания по ИД (план. до 10.06.) Замечания УТНКР(7): Благоустройство</t>
  </si>
  <si>
    <t>Оплачено, руб. (план): 9 459 761.11
Оплачено, руб. (факт): 9 459 761.11
Процент оплаты: 29.07 %</t>
  </si>
  <si>
    <t>Сдан в полном объеме. Акты подписаны. Ожидается оплату СМР. ПИР оплачен. Документы подгруженны 05.06</t>
  </si>
  <si>
    <t>1000004224.1000005140</t>
  </si>
  <si>
    <t>Капитальный ремонт участков тепловых сетей от котельной №1, от ЦТП-7 до ТК-189 (в т.ч. ПИР)</t>
  </si>
  <si>
    <t>6 926 375,18</t>
  </si>
  <si>
    <t>отплата выполнена</t>
  </si>
  <si>
    <t>Оплачено, руб. (план): 10 041 800.00 
Оплачено, руб. (факт): 10 041 800.00 
Процент оплаты: 93.53 %</t>
  </si>
  <si>
    <t>1000001483.1000001392</t>
  </si>
  <si>
    <t>Реконструкция тепловая сети котельной "Авиационная", г. Домодедово, мкр.Авиационный, ул.Королева (в т.ч. ПИР)</t>
  </si>
  <si>
    <t>Формирование пакета документов для оплаты</t>
  </si>
  <si>
    <t>22 010 725,29</t>
  </si>
  <si>
    <t>20 210 303,17</t>
  </si>
  <si>
    <t>1 800 422,12</t>
  </si>
  <si>
    <t>Замечание ИД</t>
  </si>
  <si>
    <t>не предоставлена ИД (план. до 01.06.26)
Замечания УТНКР - 3. Все касаются ИД. СГ объекта 100%</t>
  </si>
  <si>
    <t>Оплачено, руб. (план): 27 054 527.88
Оплачено, руб. (факт): 27 054 527.88
Процент оплаты: 93.76 %</t>
  </si>
  <si>
    <t xml:space="preserve">ИД предоставлена. Устраняют замечания. Плановый срок оплаты -20.07.2026 </t>
  </si>
  <si>
    <t>ИД предоставлена. Подписан итоговый акт. Оплата в администрации.</t>
  </si>
  <si>
    <t>1000004661.5327935579</t>
  </si>
  <si>
    <t>Капитальный ремонт участка теплосети по адресу: Московская область, г.о. Дубна, ул. Попова 9а, от ТК-42 до ЦТП-4 (в т.ч. ПИР)</t>
  </si>
  <si>
    <t>33 763 540,39</t>
  </si>
  <si>
    <t>ИД с замечаниями</t>
  </si>
  <si>
    <t>Плановая дата направления ИД после отработки замечаний 15.06.2026</t>
  </si>
  <si>
    <t>Оплачено, руб. (факт): 14 030 557.64 
Процент оплаты: 38.61 %</t>
  </si>
  <si>
    <t>Не сдан ИД/Не подписано КС в УТНКР</t>
  </si>
  <si>
    <t>СМР завершен. Документация не подписана Заказчиком, по причине - не решен вопрос с утилизацией труб (до 30.06.26). Плановая дата подписания 26.06.26. Оплата конец июня</t>
  </si>
  <si>
    <t>СМР завершен. ИД сдана на проверку УТНКР 08.06. Оплата в конце июня</t>
  </si>
  <si>
    <t>1000001488.1000001397</t>
  </si>
  <si>
    <t>Реконструкция тепловая сеть котельной "25 лет Октября", г. Домодедово, мкр. Центральный, ул. Корнеева (в т.ч. ПИР)</t>
  </si>
  <si>
    <t>29 310 380,00</t>
  </si>
  <si>
    <t>33 370 018,73</t>
  </si>
  <si>
    <t>-4 059 638,73</t>
  </si>
  <si>
    <t>Мероприятие прошло согласование Рабочей группы о изменении цены Контракта, Допсоглашение на изменение сроков подгружено в ПИК, готовится изменение стоимости. БГ подрядчиком оформлена.Техническая Проблема с размещением в ЕАСУЗ. Оплата до 15.06.2026
Замечания УТНКР - 3. Необходимо проложить 6 м трубопровода д 200, поставка песка -200м3, щебня- 200м3, асфальтобетона 20 тн СГ - 95%</t>
  </si>
  <si>
    <t>Оплачено, руб. (план): 40 289 583.34
Оплачено, руб. (факт): 40 289 583.34
Процент оплаты: 98.07 %</t>
  </si>
  <si>
    <t xml:space="preserve">ИД предоставлена. Устраняют замечания УТНКР. Оплата - к 20 июля. </t>
  </si>
  <si>
    <t>ИД предоставлена. АКТ итоговый подписан. На прошлой неделе доп. Согл. Оплата - конец июня.</t>
  </si>
  <si>
    <t>1000004451.5327935359</t>
  </si>
  <si>
    <t>Реконструкция участков тепловых сетей от котельной №1 по адресу: Московская область, Одинцовский г.о., г. Звенигород, ул. Нахабинское шоссе д.2 (в т.ч. ПИР)</t>
  </si>
  <si>
    <t>296 813 772,66</t>
  </si>
  <si>
    <t>22 087 776,59</t>
  </si>
  <si>
    <t>274 725 996,07</t>
  </si>
  <si>
    <t>ИД СДАНА частично</t>
  </si>
  <si>
    <t>Ведутся работы по благоустройству. Срок окончания работ до 30.05.2026.</t>
  </si>
  <si>
    <t>Оплачено, руб. (план): 274 627 755.18
Оплачено, руб. (факт): 274 627 755.18
Процент оплаты: 92.52 %</t>
  </si>
  <si>
    <t>Капитальный ремонт участка теплосети по адресу: Московская область, г.о. Дубна, ул. Энтузиастов, д. 7, от ТК-1 до ТК-42 (в т.ч. ПИР)</t>
  </si>
  <si>
    <t>62 587 919,06</t>
  </si>
  <si>
    <t>31 495 034,46</t>
  </si>
  <si>
    <t>31 092 884,60</t>
  </si>
  <si>
    <t>Находятся в МОГЭ с корректировкой с 20.04.2026</t>
  </si>
  <si>
    <t>Внутренний ВКС с подрядчиком 12.05.2026</t>
  </si>
  <si>
    <t>Благоустройство, МОГЭ корректировка</t>
  </si>
  <si>
    <t>Оплачено, руб. (факт): 45 436 191.92 
Процент оплаты: 67.44 %</t>
  </si>
  <si>
    <t>1000004188.1000005082</t>
  </si>
  <si>
    <t>Строительство БМК на 2,5 МВт по адресу: Московская область, г.о. Щелково, д. Хлепетово (в т.ч. ПИР)</t>
  </si>
  <si>
    <t>31 821 745,00</t>
  </si>
  <si>
    <t>37 516 628,00</t>
  </si>
  <si>
    <t>21 179 886,03</t>
  </si>
  <si>
    <t>на подписании</t>
  </si>
  <si>
    <t>Оплачено, руб. (план): 26 306 426.57 
Оплачено, руб. (факт): 26 306 426.57 
Процент оплаты: 55.39 %</t>
  </si>
  <si>
    <t>1000002798.1000003539</t>
  </si>
  <si>
    <t>Капитальный ремонт участков тепловый сетей от Котельной № 422 до ТК-26 у д. 3 по ул. Текстильщиков в г.о. Люберцы (в т.ч. ПИР)</t>
  </si>
  <si>
    <t>Оплачено, руб. (план): 105 842 604.71 
Оплачено, руб. (факт): 105 842 604.71 
Процент оплаты: 80.60 %</t>
  </si>
  <si>
    <t>1000004574.5327935488</t>
  </si>
  <si>
    <t>Капитальный ремонт участков тепловых сетей Котельной ТЭЦ (от ТК-32 до ТК-86 и ТК494) по адресу: Московская область, пр-т Победы (в т.ч. ПИР)</t>
  </si>
  <si>
    <t>43 424 160,00</t>
  </si>
  <si>
    <t>Оплачено, руб. (план): 24 636 082.17 
Оплачено, руб. (факт): 22 853 600.00 
Процент оплаты: 50.00 %</t>
  </si>
  <si>
    <r>
      <rPr>
        <rFont val="Times New Roman"/>
        <color theme="1"/>
        <sz val="12.0"/>
      </rPr>
      <t xml:space="preserve">СМР - 30.06 окончание. ИД - замечания есть. Предоставить график. Без наблюдения динамики - очное совещание. Оплата - неизвестно. График до понедельника 18:00. </t>
    </r>
    <r>
      <rPr>
        <rFont val="Times New Roman"/>
        <b/>
        <color rgb="FFFF0000"/>
        <sz val="12.0"/>
      </rPr>
      <t>ГПР на 10.06.2025 - не предоставлен</t>
    </r>
  </si>
  <si>
    <t>1000004390.1000005411</t>
  </si>
  <si>
    <t>Капитальный ремонт котельной "Карповская" (в части замены 5 котлов) по адресу: Московская область, г.о.Павловский Посад, ул.Карповская, д.4, стр.5 (в т.ч. ПИР)</t>
  </si>
  <si>
    <t>Низкий темп устранения замечания УТНКР, Отсутсвуют акты скрытых работ</t>
  </si>
  <si>
    <t>Не заключено допсоглашение о продлении сроков реализации объекта.
Рабочей группой штаба утвержден перенос мероприятия на 2026 (15.05.2026). 
Дополнение к решению штаба сформировано, направлено в МЭФ.
Измеения ожидаются при актуализации госпрограммы (до 25.06.2026).
Комплекты ИД сданы, ведется устранение замечаний УТНКР по ИД и по физике.</t>
  </si>
  <si>
    <t>Оплачено, руб. (план): 14 991 279.48
Оплачено, руб. (факт): 14 991 279.48
Процент оплаты: 42.35 %</t>
  </si>
  <si>
    <t>Перенос объекта утвержден рабочей группой, изменение в ГП не внесено, не утверждено в АП ГП (срок до 15.07.2026)
ОПЛАТА ТОЛЬКО ПОСЛЕ ПРОДЛЕНИЯ КОНТРАКТА (30.07.2026)
 контракт не продлен (МИНЖКХ).  
Имеется положительное заключение МОГЭ
Стройготовность по СМР 94%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</si>
  <si>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1000003863.1000004729</t>
  </si>
  <si>
    <t>Капитальный ремонт участков тепловых сетей от котельной № 1 по адресу: Московская область, г.о. Лыткарино, квартал 2, мкр.5, стр.5а (от ТК-4 до ТК-5А) (в т.ч. ПИР)</t>
  </si>
  <si>
    <t>ООО ПРОМИНЖИНИРИНГ</t>
  </si>
  <si>
    <t>80 803 974,00</t>
  </si>
  <si>
    <t>60 487 577,60</t>
  </si>
  <si>
    <t>20 316 396,40</t>
  </si>
  <si>
    <t>устраняют замечания УТНКР по ИД. Срок устранения замечаний до 15.06.2026</t>
  </si>
  <si>
    <t>Проведено совещание с проектной командой , определили сроки предоставления ИД в УТНКР</t>
  </si>
  <si>
    <t>Оплачено, руб. (план): 60 487 577.60 
Оплачено, руб. (факт): 60 487 577.60 
Процент оплаты: 74.85 %</t>
  </si>
  <si>
    <t>ИД сдано частично. Осталось финальное благоустройство</t>
  </si>
  <si>
    <t>У подрядчика есть разногласия с УТНКР по объему выполненных работ.</t>
  </si>
  <si>
    <t>1000004712.5327935640</t>
  </si>
  <si>
    <t>Реконструкция участка тепловой сети по адресу: Московская область, г.о. Власиха, от поликлиники до зд. № 292 ул.Лесная (казарменная зона) (в т.ч. ПИР)</t>
  </si>
  <si>
    <t>ООО АЛСТРОЙ</t>
  </si>
  <si>
    <t>Идет согласование ИД. Оплачено частично. Крайняя дата оплаты 30.06.2026</t>
  </si>
  <si>
    <t>Оплачено, руб. (план): 20 158 335.00
Оплачено, руб. (факт): 20 158 335.00
Процент оплаты: 50.00 %</t>
  </si>
  <si>
    <t>СМР завершены. Увеличение стоимости контракта по ст.65.1.
Лимиты доведены в полном объеме.Оплата планируется до 30.06.2026</t>
  </si>
  <si>
    <t>1000004408.5327935305</t>
  </si>
  <si>
    <t>Капитальный ремонт участков тепловых сетей сети от ЦТП-6 по адресу: Московская область г.о. Чехов, ул.Чехова (от ТК-15 у дома 4а ул. Чехова до ТК-18 по ул. Вишневый бульвар) (в т.ч. ПИР)</t>
  </si>
  <si>
    <t>"ИД, КС принята УТНКР, заказчик выставляет доп.требования к перевыполнению Благоустройства"</t>
  </si>
  <si>
    <t>отправлено письмо в минэнерго на корректировку лимитов в связи с изменением ставки НДС (22%)</t>
  </si>
  <si>
    <t>Оплачено, руб. (план): 10 850 560.00 
Оплачено, руб. (факт): 10 850 560.00 
Процент оплаты: 35.00 %</t>
  </si>
  <si>
    <t>СМР не завершён. Заказчик требует выполнения финального благоустройства. (Завоз плодородного грунта и посев газона) до 30.06.2026
ДС на продление срока контракта и изменение цены подписан.</t>
  </si>
  <si>
    <t>1000004326.1000005317</t>
  </si>
  <si>
    <t>Капитальный ремонт участков тепловой сети по адресу: Московская область, Дмитровский г.о., г. Дмитров, ул. Советская (от ТК-К20 до д7 ул.2-ая Центральная) (в т.ч. ПИР)</t>
  </si>
  <si>
    <t>22 651 329,80</t>
  </si>
  <si>
    <t>ИД подписана
Лимиты доведены в 2 половине марта</t>
  </si>
  <si>
    <t>Проверка смет со стороны заказчика, подготовка доп согл о изменении суммы контракта, оплата ожидается до 15.06.2026</t>
  </si>
  <si>
    <t>Оплачено, руб. (факт): 6 933 948.00 
Процент оплаты: 25.62 %</t>
  </si>
  <si>
    <t>Позднее доведение средств 29.12.2025
Перенос лимитов на 2026 год
Идет процедура смены заказчика
Оплата до 25.07.2026
Выплачен аванс</t>
  </si>
  <si>
    <t>В связи со сменой заказчика проводится переоформление КС-2 и КС-3. Одновременно возвращают в бюджет сумму, полученную от реализации металла.</t>
  </si>
  <si>
    <t>1000003674.1000004538</t>
  </si>
  <si>
    <t>Капитальный ремонт участков тепловой сети от котельной АО «ГТ Энерго» с закольцовкой котельной Фабричная от ТК-22 до ТК-22/2, от ТК-15 до ЦТП-10, от ТК-9 до ТК-7, т ТК-15 до ТК-4/23, от ТК-15 до ТК-22 в г.о. Щелково</t>
  </si>
  <si>
    <t>165 320 517,00</t>
  </si>
  <si>
    <t>170 646 864,55</t>
  </si>
  <si>
    <t>230 000,00</t>
  </si>
  <si>
    <t>принята</t>
  </si>
  <si>
    <t>ждут подписания в ПИК и оплату</t>
  </si>
  <si>
    <t>Цена контракта, руб.: 190 174 083.29
Оплачено, руб. (план): 169 336 872.73
Оплачено, руб. (факт): 169 336 872.73
Процент оплаты: 89.04 %</t>
  </si>
  <si>
    <t>4036143051.4036143281</t>
  </si>
  <si>
    <t>Капитальный ремонт ЦТП № 30 котельной № 43 по адресу г. Наро-Фоминск, ул. Пешехонова, Наро-Фоминский г.о.</t>
  </si>
  <si>
    <t>69 095 343,00</t>
  </si>
  <si>
    <t>1 845 126,45</t>
  </si>
  <si>
    <t>Оплачено, руб. (план): 70 789 701.63
Оплачено, руб. (факт): 70 789 701.63
Процент оплаты: 97.32 %</t>
  </si>
  <si>
    <t>1000002839.1000003583</t>
  </si>
  <si>
    <t>Строительство БМК на 1,0 МВт на территории Апрелевской районной больницы по адресу: Московская область, Наро-Фоминский г.о.,г.Апрелевка, ул.Февральская 40 (в т.ч. ПИР)</t>
  </si>
  <si>
    <t>72 433 980,52</t>
  </si>
  <si>
    <t>252 844,18</t>
  </si>
  <si>
    <t>1000004575.5327935489</t>
  </si>
  <si>
    <t>Капитальный ремонт участков тепловых сетей от ЦТП№1 Северный до МКД № 36 по ул. Советская по адресу: Московская область, г.о. Ступино, п. Михнево (в т.ч. ПИР)</t>
  </si>
  <si>
    <t>38 808 000,00</t>
  </si>
  <si>
    <t>Оплачено, руб. (план): 22 432 679.98 
Оплачено, руб. (факт): 20 424 000.00 
Процент оплаты: 50.00 %</t>
  </si>
  <si>
    <r>
      <rPr>
        <rFont val="Times New Roman"/>
        <color theme="1"/>
        <sz val="12.0"/>
      </rPr>
      <t xml:space="preserve">СМР - 30.06 окончание. ИД - замечания есть. Предоставить график. Без наблюдения динамики - очное совещание. Оплата - неизвестно. График до понедельника 18:00. </t>
    </r>
    <r>
      <rPr>
        <rFont val="Times New Roman"/>
        <b/>
        <color rgb="FFFF0000"/>
        <sz val="12.0"/>
      </rPr>
      <t>ГПР на 10.06.2025 - не предоставлен</t>
    </r>
  </si>
  <si>
    <t>1000004059.1000004934</t>
  </si>
  <si>
    <t>Строительство БМК 7,0 МВт взамен котельной № 2 г. Наро-Фоминск, ул. Карла Маркса (в т.ч. ПИР)</t>
  </si>
  <si>
    <t>100 307 527,01</t>
  </si>
  <si>
    <t>1 145 727,89</t>
  </si>
  <si>
    <t>Оплачено, руб. (план): 104 380 841.18
Оплачено, руб. (факт): 104 380 841.18
Процент оплаты: 98.85 %</t>
  </si>
  <si>
    <t>1000004840.5327935885</t>
  </si>
  <si>
    <t>Строительство БМК 0,4 МВт по г. Наро-Фоминск, ул. Нарское лесничество (в т.ч. ПИР)</t>
  </si>
  <si>
    <t>33078 064,28</t>
  </si>
  <si>
    <t>5352 119,92</t>
  </si>
  <si>
    <t>27725 944,36</t>
  </si>
  <si>
    <t>Оплачено, руб. (план): 5 526 348.40
Оплачено, руб. (факт): 5 526 348.40
Процент оплаты: 29.99 %</t>
  </si>
  <si>
    <t>Кредиторская задолженность</t>
  </si>
  <si>
    <t>1000004404.1000005432</t>
  </si>
  <si>
    <t>Реконструкция участков тепловых сетей от котельной № 1 по адресу: Московская область, г.о. Чехов, Симферопольское ш., стр. 2б (в т.ч. ПИР)</t>
  </si>
  <si>
    <t>лимиты не доведены в полном объеме</t>
  </si>
  <si>
    <t>Оплачено, руб. (план): 12 206 880.00 
Оплачено, руб. (факт): 12 206 880.00 
Процент оплаты: 40.19 %</t>
  </si>
  <si>
    <t>СМР не завершён. Заказчик требует выполнения финального благоустройства. (Завоз плодородного грунта и посев газона) до 30.06.2026</t>
  </si>
  <si>
    <t>1000003992.1000004858</t>
  </si>
  <si>
    <t>Капитальный ремонт котельной № 7 по адресу: Московская область, г.о. Серебряные Пруды, п. Успенский (в т.ч. ПИР)</t>
  </si>
  <si>
    <t>95 920 737,51</t>
  </si>
  <si>
    <t>73 331 724,01</t>
  </si>
  <si>
    <t>22 589 013,50</t>
  </si>
  <si>
    <t>СМР не завершены, план выполнения до 01.07.2026, не сдано ИД</t>
  </si>
  <si>
    <t>Оплачено, руб. (план): 80 435 934.58
Оплачено, руб. (факт): 80 435 934.58
Процент оплаты: 82.81 %</t>
  </si>
  <si>
    <t>Не завершено благоустройство.
Плановая дата завершения - 15.07.2026</t>
  </si>
  <si>
    <t>1000004581.5327935495</t>
  </si>
  <si>
    <t>Капитальный ремонт участков тепловых сетей от ТК 9 до ТК 11 в г.о. Ленинский (в т.ч. ПИР)</t>
  </si>
  <si>
    <t>33 810 841,84</t>
  </si>
  <si>
    <t>Сумма произведённых авансовых платежей, руб.: 17 777 480.00
Оплачено, руб. (план): 17 777 480.00
Оплачено, руб. (факт): 17 777 480.00
Процент оплаты: 50.00 %</t>
  </si>
  <si>
    <t>КС в УТНКР подписаны. Оставшуюся ИД планируют подписать у Заказчика до 15.07.2026</t>
  </si>
  <si>
    <t>Благоустройство в контракте остутствует. СМР окончен. Доп.соглашение заключили. Оплата - конец июня</t>
  </si>
  <si>
    <t>1000004715.5327935643</t>
  </si>
  <si>
    <t>Реконстукция участка тепловой сети по адресу: Московская область, г.о. Власиха, от УТ4 до ЦПТ Солнечный (1-контур) (в т.ч. ПИР)</t>
  </si>
  <si>
    <t>39 506 991,58</t>
  </si>
  <si>
    <t>Идет соглосование ИД. Оплачено частично.</t>
  </si>
  <si>
    <t>Оплачено, руб. (план): 17 748 280.00
Оплачено, руб. (факт): 17 748 280.00
Процент оплаты: 50.00 %</t>
  </si>
  <si>
    <t>СМР завершены. Увеличение стоимости контракта по ст.65.1.
Лимиты доведены в полном объеме.Оплата планируется до 30.06.2026
УТНКР: 20.05.2026 и 25.05.2026 по объекту Реконструкция участка тепловой сети по адресу М.О г.о.Власиха от УТ4 до ЦПТ Солнечный (в т.ч.ПИР) по разделам: Демонтажные работы; Земляные работы; Вырубка деревьев; Прокладка теплосети приняты, проверены и подписаны реестры, ИД и КС-2 N1 от 25.05.2026 на сумму 3 450 666, 42 руб. с НДС; КС-2 N2 от 25.05.2026 на сумму 141 251,67 руб. с НДС; КС-2 N3 от 20.05.2026 на сумму 2 266 822,68 руб. с НДС; КС-2 N4 от 20.05.2026 на сумму 33 673 722,42 руб. с НДС</t>
  </si>
  <si>
    <t>1000003880.1000004746</t>
  </si>
  <si>
    <t>Реконструкция ЦТП "Школьный" по адресу: Московская область, г.о. Власиха, мкр.Школьный ( в т.ч. ПИР)</t>
  </si>
  <si>
    <t>Оплачено, руб. (план): 91 352 801.86
Оплачено, руб. (факт): 91 352 801.86
Процент оплаты: 83.80 %</t>
  </si>
  <si>
    <t>СМР завершены. ИД представлена в полном объеме, вынесен акт замечаний в части окраски и изоляции труб. Идет устранение замечаний. ПИР и оборудование оплачены, СМР оплата конец июля 2026.</t>
  </si>
  <si>
    <t>Завершение СМР - в течение 10 дней. ПИР оплачены. Поставка оборудования - оплачено. СМР после сдачи ИД в УТНКР - готовы к оплате сразу. Сдают ИД параллельно. Проблематика с УТНКР</t>
  </si>
  <si>
    <t>1000004699.5327935627</t>
  </si>
  <si>
    <t>Капитальный ремонт участков тепловых сетей №№ 63, 87 от котельной № 14, г. Апрелевка, ул. Апрелевская (в т.ч. ПИР)</t>
  </si>
  <si>
    <t>2 142 516,00</t>
  </si>
  <si>
    <t>289 597,73</t>
  </si>
  <si>
    <t>Оплачено, руб. (план): 1 950 440.28
Оплачено, руб. (факт): 1 950 440.28
Процент оплаты: 86.86 %</t>
  </si>
  <si>
    <t>1000004945.5327936061</t>
  </si>
  <si>
    <t>Капитальный ремонт участков тепловых сетей от котельной ТЭЦ-17 по адресу: Московская область, г. Ступино, ул. Калинина, от ТК-359 до ТК-337 (в т.ч. ПИР)</t>
  </si>
  <si>
    <t>24 063 385,37</t>
  </si>
  <si>
    <t>Оплачено, руб. (план): 7 525 015.61 
Оплачено, руб. (факт): 7 525 015.61 
Процент оплаты: 29.99 %</t>
  </si>
  <si>
    <r>
      <rPr>
        <rFont val="Times New Roman"/>
        <color theme="1"/>
        <sz val="12.0"/>
      </rPr>
      <t xml:space="preserve">СМР - 30.06 окончание. ИД - замечания есть. Предоставить график. Без наблюдения динамики - очное совещание. Оплата - неизвестно. График до понедельника 18:00. </t>
    </r>
    <r>
      <rPr>
        <rFont val="Times New Roman"/>
        <b/>
        <color rgb="FFFF0000"/>
        <sz val="12.0"/>
      </rPr>
      <t>ГПР на 10.06.2025 - не предоставлен</t>
    </r>
  </si>
  <si>
    <t>4644302971.4644303171</t>
  </si>
  <si>
    <t>Строительство тепловых сетей к котельной № 5 по адресу г. Наро-Фоминск, ул. Новикова, Наро-Фоминский г.о. (в т.ч. ПИР)</t>
  </si>
  <si>
    <t>ООО МИРАСТРОЙ</t>
  </si>
  <si>
    <t>16 437 365,50</t>
  </si>
  <si>
    <t>1 478 802,35</t>
  </si>
  <si>
    <t>Оплачено, руб. (план): 15 745 855.95
Оплачено, руб. (факт): 15 745 855.95
Процент оплаты: 91.00 %</t>
  </si>
  <si>
    <t>1000004710.5327935638</t>
  </si>
  <si>
    <t>Капитальный ремонт участков тепловых сетей №№ 33, 34, 1, 2, 2А, 202 от котельной № 45, п. Новая Ольховка (в т.ч. ПИР)</t>
  </si>
  <si>
    <t>91 504 522,50</t>
  </si>
  <si>
    <t>14 800 782,52</t>
  </si>
  <si>
    <t>Оплачено, руб. (план): 80 740 778.93
Оплачено, руб. (факт): 80 740 778.93
Возврат оплат, руб.: 644 866.22
Процент оплаты: 83.82 %</t>
  </si>
  <si>
    <t>1000004746.5327935685</t>
  </si>
  <si>
    <t>Капитальный ремонт участков тепловых сетей №№ 72, 73, 74, 90, 91А, 91, 92, 92А, 99, 68, 67, 87, 240, 241 от котельной № 10, г. Наро-Фоминск, ул. Льва Толстова (в т.ч. ПИР)</t>
  </si>
  <si>
    <t>47 257 284,69</t>
  </si>
  <si>
    <t>5 195 977,38</t>
  </si>
  <si>
    <t>Оплачено, руб. (план): 36 168 147.28
Оплачено, руб. (факт): 36 168 147.28
Процент оплаты: 72.70 %</t>
  </si>
  <si>
    <t>1000004708.5327935636</t>
  </si>
  <si>
    <t>Капитальный ремонт участков тепловых сетей №№ 36, 37, 38, 38А от котельной № 12, г. Наро-Фоминск, ул. Маршала Жукова Г.К. (в т.ч. ПИР)</t>
  </si>
  <si>
    <t>10 587 911,50</t>
  </si>
  <si>
    <t>2 214 597,82</t>
  </si>
  <si>
    <t>Оплачено, руб. (план): 8 814 014.40
Оплачено, руб. (факт): 8 814 014.40
Процент оплаты: 83.54 %</t>
  </si>
  <si>
    <t>1000004709.5327935637</t>
  </si>
  <si>
    <t>Капитальный ремонт участков тепловых сетей №№ 35, 45 от котельной № 30, д. Головково (в т.ч. ПИР)</t>
  </si>
  <si>
    <t>22 854 045,50</t>
  </si>
  <si>
    <t>3 094 482,50</t>
  </si>
  <si>
    <t>1000004698.5327935626</t>
  </si>
  <si>
    <t>Капитальный ремонт участков тепловых сетей №№ 161, 135, 136, 147 от котельной № 19, г. Апрелевка, ул. Августовская (в т.ч. ПИР)</t>
  </si>
  <si>
    <t>20615 985,60</t>
  </si>
  <si>
    <t>986 295,83</t>
  </si>
  <si>
    <t>19629 689,77</t>
  </si>
  <si>
    <t>Оплачено, руб. (план): 6 184 795.68
Оплачено, руб. (факт): 6 184 795.68
Процент оплаты: 30.00 %</t>
  </si>
  <si>
    <t>1000004697.5327935625</t>
  </si>
  <si>
    <t>Капитальный ремонт участков тепловых сетей №№ 65, 7 от котельной № 20, г. Апрелевка, ул. Парковая (в т.ч. ПИР)</t>
  </si>
  <si>
    <t>6 273 372,50</t>
  </si>
  <si>
    <t>Оплачено, руб. (план): 6 603 929.59
Оплачено, руб. (факт): 6 603 929.59
Процент оплаты: 90.64 %</t>
  </si>
  <si>
    <t>1000004654.5327935572</t>
  </si>
  <si>
    <t>Капитальный ремонт участков тепловых сетей от ТК-3 до ТК-9 по ул. Богданова в г.о. Пушкинский, г. Ивантеевка (в т.ч. ПИР)</t>
  </si>
  <si>
    <t>33 218 996,00</t>
  </si>
  <si>
    <t>СМР не завершен (камеры, благ) , отсутствие МОГЭ</t>
  </si>
  <si>
    <t>СМР не завершен благоустройство , отсутствие МОГЭ - планвоая дата захода 30.06.2026 (нет денег для захода).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</si>
  <si>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Оплачено, руб. (план): 17 483 840.00 
Оплачено, руб. (факт): 17 483 840.00 
Процент оплаты: 50.00 %</t>
  </si>
  <si>
    <t>Не получено положительное заключениез МОГЭ - плановая дата захода 10.07.2026 - финансовые трудности ПО. СМР не завершено благоустройство - финансовые трудности ПО, планвоая дата завершения СМР 30.07.2026.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</si>
  <si>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1000004722.5327935657</t>
  </si>
  <si>
    <t>Капитальный ремонт участков тепловых сетей №№ 30А-б/н, 30Б, 31А, 31Б, 22, 288 от котельной № 50, р.п. Селятино (в т.ч. ПИР)</t>
  </si>
  <si>
    <t>20307 661,45</t>
  </si>
  <si>
    <t>971 885,73</t>
  </si>
  <si>
    <t>19335 775,72</t>
  </si>
  <si>
    <t>Оплачено, руб. (план): 6 092 298.44
Оплачено, руб. (факт): 6 092 298.44
Процент оплаты: 30.00 %</t>
  </si>
  <si>
    <t>1000004085.1000004961</t>
  </si>
  <si>
    <t>Капитальный ремонт Котельной №58 (в части замены котла) по адресу: Московская область, г.о. Наро-Фоминск, г. Апрелевка, ул. Дубки</t>
  </si>
  <si>
    <t>19 208 173,50</t>
  </si>
  <si>
    <t>717 771,70</t>
  </si>
  <si>
    <t>Оплачено, руб. (план): 19 463 580.84
Оплачено, руб. (факт): 19 463 580.84
Процент оплаты: 96.26 %</t>
  </si>
  <si>
    <t/>
  </si>
  <si>
    <t>1000001753.1000001754</t>
  </si>
  <si>
    <t>Капитальный ремонт сетей теплоснабжения в районе пос. Летний Отдых, ул. Зеленая, 3а (в т.ч. ПИР)</t>
  </si>
  <si>
    <t>ООО ИНЖСТРОЙ</t>
  </si>
  <si>
    <t>22 703 355,33</t>
  </si>
  <si>
    <t>Оплачено, руб. (план): 21 124 113.16
Оплачено, руб. (факт): 21 124 113.16
Процент оплаты: 49.06 %</t>
  </si>
  <si>
    <t>Не подписано КС в ПИК</t>
  </si>
  <si>
    <t>1000000862.1000000545</t>
  </si>
  <si>
    <t>Капитальный ремонт сети теплоснабжения г. Одинцово,Микрорайон № 4; ТК-4 - ТК-6; ЦТП № 9 - ЦТП № 4 (ППУ из.) (в т.ч. ПИР)</t>
  </si>
  <si>
    <t>38 448 615,22</t>
  </si>
  <si>
    <t>Оплата 2024</t>
  </si>
  <si>
    <t>22 629,47</t>
  </si>
  <si>
    <t>Оплачено, руб. (план): 38 448 615.22
Оплачено, руб. (факт): 38 448 615.22
Процент оплаты: 55.43 %</t>
  </si>
  <si>
    <t>1000000869.1000000552</t>
  </si>
  <si>
    <t>Капитальный ремонт сети теплоснабжения пос. Шарапово, ТК-5 - ж.д. 23 (в т.ч. ПИР)</t>
  </si>
  <si>
    <t>15 261 958,58</t>
  </si>
  <si>
    <t>18 879,56</t>
  </si>
  <si>
    <t>Оплачено, руб. (план): 15 261 958.58
Оплачено, руб. (факт): 15 261 958.58
Процент оплаты: 65.19 %</t>
  </si>
  <si>
    <t>1000000867.1000000550</t>
  </si>
  <si>
    <t>Капитальный ремонт сети теплоснабжения г. Одинцово,мкр. № 7: т.вр. 3 - ТК-4а; т.вр. 3 - ТК-4. (в т.ч. ПИР)</t>
  </si>
  <si>
    <t>24 365 440,63</t>
  </si>
  <si>
    <t>Оплачено, руб. (план): 23 297 744.85
Оплачено, руб. (факт): 23 297 744.85
Процент оплаты: 59.05 %</t>
  </si>
  <si>
    <t>1000000870.1000000553</t>
  </si>
  <si>
    <t>Капитальный ремонт сети теплоснабжения г. Одинцово, Микрорайон № 3: ЦТП № 5/6, ул. Жукова д.47 и ул. Жукова д.37; ул. Жукова д.47 - ТК-10, (в т.ч. ПИР)</t>
  </si>
  <si>
    <t>ООО АСТАТ</t>
  </si>
  <si>
    <t>37 839 851,24</t>
  </si>
  <si>
    <t>82 009,65</t>
  </si>
  <si>
    <t>Оплачено, руб. (план): 37 839 851.24
Оплачено, руб. (факт): 37 839 851.24
Процент оплаты: 99.18 %</t>
  </si>
  <si>
    <t>1000003642.1000004503</t>
  </si>
  <si>
    <t>Капитальный ремонт котельной ИФА РАН им. Обухова (в части замены котла) по адресу: Московская область, Одинцовский г.о., п. Новошихово (в т.ч. ПИР)</t>
  </si>
  <si>
    <t>ООО ГСП</t>
  </si>
  <si>
    <t>11 312 448,49</t>
  </si>
  <si>
    <t>Оплачено, руб. (план): 12 347 328.49
Оплачено, руб. (факт): 12 347 328.49
Процент оплаты: 95.81 %</t>
  </si>
  <si>
    <t>8349305111.8349305381</t>
  </si>
  <si>
    <t>Реконструкция ЦТП, расположенного по адресу: Московская область, Одинцовский г.о., п. д/х "Жуковка", Жуковка-1 (в т.ч. ПИР)</t>
  </si>
  <si>
    <t>46 601 014,67</t>
  </si>
  <si>
    <t>Оплачено, руб. (план): 52 998 946.11
Оплачено, руб. (факт): 52 998 946.11
Процент оплаты: 91.96 %</t>
  </si>
  <si>
    <t>8401466681.8401466961</t>
  </si>
  <si>
    <t>Капитальный ремонт тепловой сети, расположенной по адресу: Московская область, Одинцовский г.о., п. д/х "Жуковка", Жуковка-2 (в т.ч. ПИР)</t>
  </si>
  <si>
    <t>27 680 585,22</t>
  </si>
  <si>
    <t>Работы на объекте завершены. КС-2 и ИТД подписаны в полном объеме. Акт закрытия подписан 24.12.2025</t>
  </si>
  <si>
    <t>Оплачено, руб. (план): 39 525 840.24
Оплачено, руб. (факт): 39 525 840.24
Процент оплаты: 50.75 %</t>
  </si>
  <si>
    <t>1000004602.5327935517</t>
  </si>
  <si>
    <t>Капитальный ремонт участков тепловой сети от котельной ООО "РЭК НИКА" по адресу: г.о. Подольск, ул.Садовая, д.6: от котельной до ТК1; от ТК1 до ТК2; от ТК1 до ТК3; от ТК3 до ТК4; от ТК4 до ТК5; от ТК5 до ТК6; от ТК3 до ТК7; от ТК7 до ТК8; от ТК8 до ТК9 (в т.ч. ПИР)</t>
  </si>
  <si>
    <t>Оплачено, руб. (план): 64 241 646.54
Оплачено, руб. (факт): 64 241 646.54
Процент оплаты: 97.40 %</t>
  </si>
  <si>
    <t>1000003864.1000004730</t>
  </si>
  <si>
    <t>Капитальный ремонт участков тепловых сетей от котельной № 1 по адресу: Московская область, г.о. Лыткарино, квартал 2, мкр.5, стр.5а (от ТК-3 до ТК-154) (в т.ч. ПИР)</t>
  </si>
  <si>
    <t>ООО РНП</t>
  </si>
  <si>
    <t>24 800,00</t>
  </si>
  <si>
    <t>7 440 000,00</t>
  </si>
  <si>
    <t>17 360 ,00</t>
  </si>
  <si>
    <t>Повторно зашли в МОГЭ с устраненными замечаниями. Выход из МОГЭ 10.06.2026</t>
  </si>
  <si>
    <t>не определена</t>
  </si>
  <si>
    <t>Оплачено, руб. (план): 7 440 000.00 
Оплачено, руб. (факт): 7 440 000.00 
Процент оплаты: 30.00 %</t>
  </si>
  <si>
    <t>Не зашли в МОГЭ. (подрядчик внесен в РНП, на контак не идет). Заказчик предполагает срок оплаты не ранее конца сентября</t>
  </si>
  <si>
    <t>1000002834.1000003578</t>
  </si>
  <si>
    <t>Строительство участка тепловой сети между Котельной №1 и Котельной №2 по адресу: Московская область, Одинцовский г.о., р.п. Большие Вяземы, ул. Городок 17 (в т.ч. ПИР)</t>
  </si>
  <si>
    <t>21 133 014,0</t>
  </si>
  <si>
    <t>Оплачено, руб. (план): 24 117 425.76
Оплачено, руб. (факт): 24 117 425.76
Процент оплаты: 99.98 %</t>
  </si>
  <si>
    <t>1000000866.1000000549</t>
  </si>
  <si>
    <t>Капитальный ремонт сетей теплоснабжения п. Гарь- Покровское (в т.ч. ПИР)</t>
  </si>
  <si>
    <t>70 631 560,15</t>
  </si>
  <si>
    <t>Оплачено, руб. (план): 75 115 855.33
Оплачено, руб. (факт): 75 115 855.33
Процент оплаты: 99.12 %</t>
  </si>
  <si>
    <t>1000000868.1000000551</t>
  </si>
  <si>
    <t>Капитальный ремонт сети теплоснабжения г. Одинцово, микрорайон № 1 (в т.ч. ПИР)</t>
  </si>
  <si>
    <t>46 913 729,30</t>
  </si>
  <si>
    <t>Оплачено, руб. (план): 49 250 452.94
Оплачено, руб. (факт): 49 250 452.94
Процент оплаты: 96.46 %</t>
  </si>
  <si>
    <t>1000001755.1000001766</t>
  </si>
  <si>
    <t>Реконструкция тепловых сетей и сетей ГВС п. Покровский городок (в т.ч. ПИР)</t>
  </si>
  <si>
    <t>207 463 145,60</t>
  </si>
  <si>
    <t>Оплачено, руб. (план): 220 853 679.30
Оплачено, руб. (факт): 220 853 679.30
Процент оплаты: 97.47 %</t>
  </si>
  <si>
    <t>1000003641.1000004502</t>
  </si>
  <si>
    <t>Строительство БМК на 1,5 МВт по адресу: Московская область, Одинцовский г.о., Санаторий "Поречье" (в т.ч. ПИР)</t>
  </si>
  <si>
    <t>42 225 379,83</t>
  </si>
  <si>
    <t>Оплачено, руб. (план): 52 116 547.26
Оплачено, руб. (факт): 52 116 547.26
Процент оплаты: 96.93 %</t>
  </si>
  <si>
    <t>1000000865.1000000548</t>
  </si>
  <si>
    <t>Капитальный ремонт сети теплоснабжения г. Одинцово, Можайское шоссе (в т.ч. ПИР)</t>
  </si>
  <si>
    <t>ООО ГК А-СТРОЙ</t>
  </si>
  <si>
    <t>8 640 441,27</t>
  </si>
  <si>
    <t>Оплачено, руб. (план): 8 640 441.27
Оплачено, руб. (факт): 8 640 441.27
Процент оплаты: 85.91 %</t>
  </si>
  <si>
    <t>1000000873.1000000556</t>
  </si>
  <si>
    <t>Капитальный ремонт сети теплоснабжения г. Одинцово, б-р М. Крылова (в т.ч. ПИР)</t>
  </si>
  <si>
    <t>16 687 391,36</t>
  </si>
  <si>
    <t>Оплачено, руб. (план): 16 687 391.36
Оплачено, руб. (факт): 16 687 391.36
Процент оплаты: 74.76 %</t>
  </si>
  <si>
    <t>1000000863.1000000546</t>
  </si>
  <si>
    <t>Капитальный ремонт сети теплоснабжения г. Одинцово, мкр. № 8: Союзная 32 а - ЦТП № 3; ТК-4 - ЦТП № 4. (в т.ч. ПИР)</t>
  </si>
  <si>
    <t>5 802 872,08</t>
  </si>
  <si>
    <t>Оплачено, руб. (план): 5 802 872.08
Оплачено, руб. (факт): 5 802 872.08
Процент оплаты: 39.23 %</t>
  </si>
  <si>
    <t>1000004229.1000005145</t>
  </si>
  <si>
    <t>Капитальный ремонт участков тепловых сетей от ТК 1308/4 (2-ой Покровский пр-д, напротив д. 2) до ЦТП-3 по адресу: Московская область, г.Котельники, 2-ой Покровский пр-д д. 2а (в т.ч. ПИР)</t>
  </si>
  <si>
    <t>65.1, Формирование пакета документов для оплаты</t>
  </si>
  <si>
    <t>Заключено дополнительное соглашение после выхода МОГЭ и доведения лимитов, ИД подписана утнкр. Плановая дата оплаты до 25.05.2026</t>
  </si>
  <si>
    <t>Цена контракта, руб.: 10 688 560.00
Оплачено, руб. (факт): 3 047 859.34
Процент оплаты: 28.51 %
Остаток к оплате после НТС 17291750. Выплата после доведения лимитов</t>
  </si>
  <si>
    <t>СМР все завершены и оплачены, осталось благоустройство, нет КС подписанных УТНКР</t>
  </si>
  <si>
    <t>1000004342.1000005334</t>
  </si>
  <si>
    <t>Капитальный ремонт участков тепловой сети по адресу: Московская область, Дмитровский г.о., рп Деденево, ш Московское (от котельной до ТК-6) (в т.ч. ПИР)</t>
  </si>
  <si>
    <t>29 791 608,00</t>
  </si>
  <si>
    <t>25.03.2026 - выданы результаты рассмотрения
Плановая дата захода в МОГЭ -15.06.2026</t>
  </si>
  <si>
    <t>Оплачено, руб. (факт): 14 173 951.68 
Процент оплаты: 45.20 %</t>
  </si>
  <si>
    <t>Было увеличение стоимости контракта 39 %, подрядчик оптимизировал до 30%.
Не получено МОГЭ, плановая дата захода до 30.06.2026
Плановая дата оплаты до 14.08.2026</t>
  </si>
  <si>
    <t>1000004457.5327935366</t>
  </si>
  <si>
    <t>Реконструкция участков тепловых сетей по адресу: Московская область, Одинцовский г.о., п. ПМС-4 (в т.ч. ПИР)</t>
  </si>
  <si>
    <t>ООО РУСВОДА ИНЖИНИРИНГ</t>
  </si>
  <si>
    <t>24 263 712,00</t>
  </si>
  <si>
    <t>1 225 440,00</t>
  </si>
  <si>
    <t>23 038 272,00</t>
  </si>
  <si>
    <t>Благоустройство выполнено, офомленпи</t>
  </si>
  <si>
    <t>Благоустройство не завершено. Планируемая дата до 30.06.2026.</t>
  </si>
  <si>
    <t>Оплачено, руб. (план): 7 279 113.60
Оплачено, руб. (факт): 7 279 113.60
Процент оплаты: 30.00 %</t>
  </si>
  <si>
    <t>СМР не завершен. 
Ведется обратная засыпка и благоустройство территории.
Плановая дата завершения работ 30.06.2026</t>
  </si>
  <si>
    <t>1000003677.1000004541</t>
  </si>
  <si>
    <t>Капитальный ремонт участка тепловой сети по адресу: Московская область, г.о. Краснознаменск, ул. Строителей от ТК59 до т.узел 31.1 (в т.ч. ПИР)</t>
  </si>
  <si>
    <t>не завершено благоустройство, лимиты доведены, оплата ПИР произведена 21.05.2026. Оплата СМР и благоустройство до 01.07.2026</t>
  </si>
  <si>
    <t>Оплачено, руб. (план): 17 303 718.28
Оплачено, руб. (факт): 17 303 718.28
Процент оплаты: 49.99 %</t>
  </si>
  <si>
    <t>Не сдана ИД/КС</t>
  </si>
  <si>
    <t>Положительное заключение получено.Не завершено благоустройство, лимиты доведены, оплата ПИР произведена 21.05.2026. Оплата СМР и благоустройство до 01.07.2026.ИД предоставлена в УТНКР .Выданы замечания. После  предоставления ИД готовы оплатить</t>
  </si>
  <si>
    <t>8534499291.8534499531</t>
  </si>
  <si>
    <t>Строительство БМК мощностью 0,36 мВт по адресу: Московская область г.о. Егорьевск, п. Шувое, пер. Пролетарский, д.1 (в т.ч. ПИР)</t>
  </si>
  <si>
    <t>ООО РЕМИСТР</t>
  </si>
  <si>
    <t>нет техприс по газу. Работы по реализации техприс начаты. Плановый Срок окончания работ техприс 10.07. 2026</t>
  </si>
  <si>
    <t>Уточнен срок реализации техприса.</t>
  </si>
  <si>
    <t>Цена контракта, руб.: 50 900 652.00
Оплачено, руб. (план): 15 270 195.60
Оплачено, руб. (факт): 15 270 195.60
Процент оплаты: 30.00 %
пересли финансирование на 2026 год, смумма верно.</t>
  </si>
  <si>
    <t>Положительное заключение № 50-1-1-3-005480-2026 от 16.02.2026
Отсутствует техприс по газу. Для работы котельной необходимо давление газа 5 Мпа. Договор на техприс заключен. Срок реализации техприса август 2026 года. БМК готова к работе. Старая ( угольная котельная) до ввода в эксплуатацию БМК выводится из эксплуатации не будет.</t>
  </si>
  <si>
    <t>Нет техприс по газу. Работы по реализации техприс ведутся. Плановый Срок окончания работ техприс 10.07. 2026</t>
  </si>
  <si>
    <t>1000004406.5327935303</t>
  </si>
  <si>
    <t>Капитальный ремонт участков тепловых сетей по адресу: Московская область, г.о. Чехов, от дома 62 ул. Гагарина через ТК-10 до ТК 11; от ТК-14 до ТК-15; от ТК-15 до дома 60 ул.Гагарина (в т.ч. ПИР)</t>
  </si>
  <si>
    <t>Оплачено, руб. (план): 8 673 390.00 
Оплачено, руб. (факт): 8 673 390.00 
Процент оплаты: 34.99 %</t>
  </si>
  <si>
    <t>СМР не завершён. АКТЫ КС подписаны, ИД сдана.
Заказчик требует выполнения финального благоустройства. 
(Завоз плодородного грунта и посев газона) до 30.06.2026</t>
  </si>
  <si>
    <t>1000004684.5327935608</t>
  </si>
  <si>
    <t>Реконструкция участков тепловых сетей по адресу: Московская область, г. Кашира, вдоль улиц Садовая, Вахрушева, Гвардейская (в т.ч. ПИР)</t>
  </si>
  <si>
    <t>20 928 940,80</t>
  </si>
  <si>
    <t>подали ПСД в МОГЭ -21.05. , возврат с замечаниями ПСД, не закончены СМР в части финального благоустройства ( план. до 20.06.) Замечания УТНКР(32): Проектно-изыскательские работы • Устройство ж/б колодцев, камер (линейные объекты) • Пуско-наладочные работы • Прокладка инженерных сетей (линейные объекты) • Благоустройство</t>
  </si>
  <si>
    <t>Оплачено, руб. (план): 6 278 060.00
Оплачено, руб. (факт): 6 278 060.00
Процент оплаты: 28.49 %</t>
  </si>
  <si>
    <t>ООО "КДС" заключил контракт после расторжения с ООО"Лэндстрой" Разработка ПСД выполняется при наличии изменений объемов и ТЗ. Находятся на НТС. Плановая дата захода в МОГЭ до 10.07.2026 г
СМР выполняются с учетом устранений дефектов, допущенных предыдущей подрядной организацией.</t>
  </si>
  <si>
    <t>1000004334.1000005325</t>
  </si>
  <si>
    <t>Капитальный ремонт участков тепловой сети по адресу: Московская область, Дмитровский г.о., г. Дмитров, ул. Водников, д.27 (от ТК-А14 до ТК-А16) (в т.ч. ПИР)</t>
  </si>
  <si>
    <t>29 290 115,19</t>
  </si>
  <si>
    <t>Завершение благо до 10.06.2026
15.02.2026-Отказ в приеме и рассмотрении заявления
Обращение за предоставлением иной услуги
Некорректное заполнение обязательных полей в форме интерактивного запроса на РПГУ МО
Плановая дата захода в МОГЭ -15.06.2026</t>
  </si>
  <si>
    <t>Оплачено, руб. (факт): 15 102 700.16 
Процент оплаты: 49.00 %</t>
  </si>
  <si>
    <t>Плановая дата завершения благоустройства 30.06.2026, готовится документация к НТС.
Не получено МОГЭ, плановая дата захода до 01.07.2026
Плановая дата оплаты до 17.08.2026</t>
  </si>
  <si>
    <t>До 10.06 завершение благоустройства. Выставлено замечание по ГУКН (необходимо разработать раздел) - есть вероятность НТС. 2-3 недели на подготовку раздела. Заход в МОГЭ - июнь. Сдача ИД середина августа</t>
  </si>
  <si>
    <t>1000004467.5327935376</t>
  </si>
  <si>
    <t>Капитальный ремонт участков тепловых сетей от котельной №2а по адресу: Московская область, г.о. Лотошино, п.Кировский, ул.Волоколамское шоссе, д.4: от ТК-1 до угла поворота, от ТК-19 до ТК-21, от ТК-9 до ТК-9а (в т.ч. ПИР)</t>
  </si>
  <si>
    <t>Получено отрицательное заключение МОГЭ, повторный заход в МОГЭ до 10.06.2026. Выход из МОГЭ до 01.08.2026</t>
  </si>
  <si>
    <t>Оплачено, руб. (план): 13 759 283.84
Оплачено, руб. (факт): 13 759 283.84
Процент оплаты: 47.53 %</t>
  </si>
  <si>
    <t>Получено отрицательное заключение МОГЭ, повторный заход в МОГЭ  30.06.2026. Выход из МОГЭ до 01.08.2026.</t>
  </si>
  <si>
    <t>1000004354.1000005348</t>
  </si>
  <si>
    <t>Капитальный ремонт участков тепловых сетей от котельной №1 по адресу: Московская область, г.о. Талдомский, г. Талдом, мкр Юбилейный, д.25 к школе №2, от ТК4 до ТК7 (в т.ч. ПИР)</t>
  </si>
  <si>
    <t>ООО ЭРГАНА</t>
  </si>
  <si>
    <t>20 247 920,00</t>
  </si>
  <si>
    <t>СМР не завершен, Замечания ИД</t>
  </si>
  <si>
    <t>Не завершено СМР,
Подготовка сопоставительной ведомости на сумму полученного аванса,
Сопоставительная ведомость находится у подрядчика – исправление замечаний
Подготовка к расторжению контракта</t>
  </si>
  <si>
    <t>Оплачено, руб. (факт): 6 394 080.00 
Процент оплаты: 30.00 %</t>
  </si>
  <si>
    <t>1000004598.5327935513</t>
  </si>
  <si>
    <t>Капитальный ремонт участков тепловой сети от котельной, расположенной по адресу г.о.Подольск, пос.Поливаново: от ТК1 дом №29 до ТК4 дом №49; от ТК4 дом №49 до ТК6 дом №27; от ТК6 дом №27 до ТК22 дом № Корпус 4 (в т.ч. ПИР)</t>
  </si>
  <si>
    <t>Оплачено, руб. (план): 55 843 438.42
Оплачено, руб. (факт): 55 843 438.42
Процент оплаты: 87.44 %</t>
  </si>
  <si>
    <t>1000004344.1000005336</t>
  </si>
  <si>
    <t>Капитальный ремонт участков тепловой сети от котельной по адресу: Московская область, Дмитровский г.о., г. Дмитров, ул. Водников, д. 27 (от ТК-А13 до ТК-П5) (в т.ч. ПИР)</t>
  </si>
  <si>
    <t>27 758 529,76</t>
  </si>
  <si>
    <t>Завершение благо до 10.06.2026
05.11.2025-Отказ в приеме и рассмотрении заявления
Заявителем представлен неполный комплект документов, необходимых для предоставления услуги
Плановая дата захода в МОГЭ -15.06.2026</t>
  </si>
  <si>
    <t>Оплачено, руб. (факт): 14 228 209.50 
Процент оплаты: 49.01 %</t>
  </si>
  <si>
    <t>Плановая дата завершения благоустройства 30.06.26.Не получено МОГЭ, договор заключен 21.05.2026, дата выхода 02.07.2026
Плановая дата оплаты до 31.08.2026</t>
  </si>
  <si>
    <t>благоустройство до 10.06. Сдача ИД к середине августа. МОГЭ - заход июнь</t>
  </si>
  <si>
    <t>Благоустройство выполнено?</t>
  </si>
  <si>
    <t>1000004509.5327935420</t>
  </si>
  <si>
    <t>Капитальный ремонт участков тепловых сетей Котельной 1-3: от ТК-13 (у д.16/5, ул. Свердлова) до ТК-15 (у д.15/3, ул. Свердлова), от ТК-15 (у д.15/3, ул. Свердлова) до ЦТП №12 (мкр.19) в г.о. Балашиха (в т.ч. ПИР)</t>
  </si>
  <si>
    <t>СМР не завершен в части благоустройства. Планируется завершить до 10.07.2026. Оплата объекта до 20.07.26</t>
  </si>
  <si>
    <t>8406119881.8406125431</t>
  </si>
  <si>
    <t>Реконструкция котельной с целью перевода на газообразное топливо д. Челохово, 1 (в т.ч. ПИР)</t>
  </si>
  <si>
    <t>ООО КОСМА</t>
  </si>
  <si>
    <t>Сдача документации УТНКР приостановлена в связи с повторным заходом в МОГЭ.</t>
  </si>
  <si>
    <t>Получили заключение МОГЭ . Готовят повторный заход в МОГЭ с уточненными обьемами. Планируют зайти в МОГЭ до 05.06.2026</t>
  </si>
  <si>
    <t>Проведено совещание с проектной командой , пределили сроки предоставления ИД в УТНКР после выхода из МОГЭ</t>
  </si>
  <si>
    <t>Оплачено, руб. (план): 5 400 000.00
Оплачено, руб. (факт): 5 400 000.00
Процент оплаты: 27.00 %
перенесли верно останок. Не вышли из могэ.</t>
  </si>
  <si>
    <t>Не зашли в МОГЭ.
В МОГЭ могут зайти после изменения ТЗ (по требованиям МОГЭ)
Перевести из PDF в XML, скорректировать мощность с 0,7 МВт на 0,2 МВт
Дата захода в МОГЭ: 20.05.2026</t>
  </si>
  <si>
    <t>Ранее получили заключение МОГЭ . Готовят повторный заход в МОГЭ с уточненными обьемами. Планируют зайти в МОГЭ до 05.06.2026</t>
  </si>
  <si>
    <t>1000004300.1000005275</t>
  </si>
  <si>
    <t>Капитальный ремонт участков тепловых сетей и сетей ГВС от котельной "Городок" по адресу: Московская область, г.Павловский Посад, ул. Городковская, 73а корп.30, от ТК 26 до ТК 42 по ул. Комсомольская, ул. Белинского, ул. Кооперативная (в т.ч. ПИР)</t>
  </si>
  <si>
    <t>40 235,28</t>
  </si>
  <si>
    <t>Оплачено, руб. (план): 37 695 317.94
Оплачено, руб. (факт): 37 695 317.94
Процент оплаты: 100.00 %</t>
  </si>
  <si>
    <t>объект закрыт полностью под фактическое исполнение</t>
  </si>
  <si>
    <t>1000004655.5327935573</t>
  </si>
  <si>
    <t>Капитальный ремонт участков тепловых сетей от ул. Советская, 7 до мкр. Юбилейный, 12 в г.о. Пушкинский, п. Лесной (в т.ч. ПИР)</t>
  </si>
  <si>
    <t>ООО СМУ-102</t>
  </si>
  <si>
    <t>19 470 800,00</t>
  </si>
  <si>
    <t>СМР не завершен - Благоустройство, оформление ИД - плановая дата 10.06.2026</t>
  </si>
  <si>
    <t>БГ отсутвует</t>
  </si>
  <si>
    <t>Оплачено, руб. (план): 10 416 200.00 
Оплачено, руб. (факт): 6 249 720.00 
Процент оплаты: 30.00 %</t>
  </si>
  <si>
    <t>СМР не завершен - Благоустройство, оформление ИД - низкий темп выполнения - плановая дата 10.07.2026</t>
  </si>
  <si>
    <t>1000009002.5327940618</t>
  </si>
  <si>
    <t>Рузский</t>
  </si>
  <si>
    <t>Строительство БМК по адресу: Московская область, Рузский м.о., д. Глухово (в т.ч. ПИР)</t>
  </si>
  <si>
    <t>19 786 543,00</t>
  </si>
  <si>
    <t>312 419,10</t>
  </si>
  <si>
    <t>В МОГЭ с 20.04.2026, после получения положительного заключения, будут сдавать ИД. Дата выхода из МОГЭ 19.06.2026</t>
  </si>
  <si>
    <t>Оплачено, руб. (план): 6 248 382.00
Оплачено, руб. (факт): 6 248 382.00
Процент оплаты: 30.00 %</t>
  </si>
  <si>
    <t xml:space="preserve">МОГЭ получено отрицательное заключение. Выданы замечания по  ГПЗУ, снос строения. (нет собственника). Подрядчиком направлено письмо в ОМСУ для определения собственника строения.  Планируется заход в МОГЭ до 15.07.2026
СМР - выполнен. </t>
  </si>
  <si>
    <t>СМР - выполнен. МОГЭ замечания - ГПЗУ, снос строения. (нет собственника). Направлено письмо в ОМСУ для определения собственника строения. Очная встреча</t>
  </si>
  <si>
    <t>1000005177.5327936569</t>
  </si>
  <si>
    <t>Капитальный ремонт участка тепловой сети по адресу: Московская область, г.о. Черноголовка, ул. Центральная, от ТК 46А до ЦТП 3</t>
  </si>
  <si>
    <t>Нет, Да</t>
  </si>
  <si>
    <t>20 964 477,02</t>
  </si>
  <si>
    <t>978 089,48</t>
  </si>
  <si>
    <t>19 986 387,54</t>
  </si>
  <si>
    <t>Не сдана ИД</t>
  </si>
  <si>
    <t>Не завершено благоустройство, не закончен СМР (тепловая и антикоррозионная обработка трубопроводов в камерах)</t>
  </si>
  <si>
    <t>Оплачено, руб. (план): 6 799 470.87 
Оплачено, руб. (факт): 6 799 470.87 
Процент оплаты: 32.61 %</t>
  </si>
  <si>
    <t>СМР выполнен. Благоустройство завершено. Идет предъявление работ УТНКР и предоставление ИД.</t>
  </si>
  <si>
    <t>1000004154.1000005048</t>
  </si>
  <si>
    <t>Капитальный ремонт Котельной «7 квартал» по адресу: Московская область, г.о. Пушкинский, г. Ивантеевка, ул. Толмачева, д. 80А (в т.ч. ПИР)</t>
  </si>
  <si>
    <t>182 027 500,00</t>
  </si>
  <si>
    <t>176 882 542,05</t>
  </si>
  <si>
    <t>5 144 957,95</t>
  </si>
  <si>
    <t>ИД на проверке, Произведена частичная оплата, осталось общестрой</t>
  </si>
  <si>
    <t>Оплачено, руб. (план): 176 671 779.34 
Оплачено, руб. (факт): 176 671 779.34 
Процент оплаты: 93.35 %</t>
  </si>
  <si>
    <t>Подписание соглашения между ОМСУ и Минэнерго, дата планируемой оплаты 24.06.2026 Планируемая дата закрытия контракта 10.07.2026</t>
  </si>
  <si>
    <t>1000003644.1000004505</t>
  </si>
  <si>
    <t>Капитальный ремонт котельной (в части замены трех котлов) по адресу: Московская область, с. Макарово, д. 103 (в т.ч. ПИР)</t>
  </si>
  <si>
    <t>Отсутствие ГПЗУ на земельный участок</t>
  </si>
  <si>
    <t>19 007 005,83</t>
  </si>
  <si>
    <t>Получено отрицательное заключение в связи отсутствием правоустанавливающих документов на земельный участок (земля принадлежит министерству обороны) Заход в МОГЭ после получения документов на участок.
Необходимо выполнить до окончания монтажа: - Демонтаж 3-го существующего котла - Установка и ПНР 3-го нового котла (V2500 WYBERG с горелкой THERMINATOR T – 3,310GL) -Замена ХВП - Замена автоматики -Замена электроснабжения</t>
  </si>
  <si>
    <t>Оплачено, руб. (план): 6 000 237.00 
Оплачено, руб. (факт): 6 000 237.00 
Процент оплаты: 30.00 %</t>
  </si>
  <si>
    <t>не вышли из МОГЭ</t>
  </si>
  <si>
    <t>1000004825.5327935867</t>
  </si>
  <si>
    <t>Капитальный ремонт участков тепловой сети по адресу: Московская область, г.о. Луховицы, от котельной Павловское, участок вдоль ул. Молодежная, дома 5Б - 12, участок от Молодежная 5Б до Центральная 11А: от ТК 1 до ТК 10, от ТК 1 до ТК 14 (в т.ч. ПИР)</t>
  </si>
  <si>
    <t>58 660 587,19</t>
  </si>
  <si>
    <t>6 546 337,33</t>
  </si>
  <si>
    <t>52 114 249,86</t>
  </si>
  <si>
    <t>не полностью сдана ИД (план сдачи 08.07.2026), не устранены замечания УТНКР. Благоустройство выполнено, устраняются замечания
 по ИД (план сдачи до 22.07.2026)</t>
  </si>
  <si>
    <t>Оплачено, руб. (план): 48 063 199.66
Оплачено, руб. (факт): 48 063 199.66
Процент оплаты: 77.58 %</t>
  </si>
  <si>
    <t>остались объемы по благоустройству, не полностью сдана ИД в части благоустройства процент оплаты 77.58 %</t>
  </si>
  <si>
    <t>Положительное заключение МОГЭ получено.
СГ 90%
Не завершен СМР в части устранения замечаний УТНКР (план завершения 15.07.2026).
Не полностью сдана ИД на остаток работ (план 22.07.2026).</t>
  </si>
  <si>
    <t>1000004311.1000005300</t>
  </si>
  <si>
    <t>Капитальный ремонт участков тепловых сетей и сетей ГВС от котельной "Городок" по адресу: Московская область, г.о. Павловский Посад, ул. Городковская, 73а корп.30, от узла смешения ""шк.№6"" до автовокзала г.о. Павловский Посад (в т.ч. ПИР)</t>
  </si>
  <si>
    <t>12 254,40</t>
  </si>
  <si>
    <t>Оплачено, руб. (план): 6 613 098.29
Оплачено, руб. (факт): 6 613 098.29
Процент оплаты: 84.94 %</t>
  </si>
  <si>
    <t>закрыто под факт выполнение в 2025 году. Процент выплат 84%</t>
  </si>
  <si>
    <t>1000004312.1000005301</t>
  </si>
  <si>
    <t>Капитальный ремонт участков тепловых сетей и сетей ГВС от котельной "БЖД" по адресу: Московская область, г. Павловский Посад, Большой железнодорожный проезд, д.24, участки по ул.Кирова-ул.Ленина (в т.ч. ПИР)</t>
  </si>
  <si>
    <t>Контракт не заключен</t>
  </si>
  <si>
    <t>нет контракта</t>
  </si>
  <si>
    <t>контракт не заключен</t>
  </si>
  <si>
    <t>Контракт не разыгран</t>
  </si>
  <si>
    <t>1000004686.5327935614</t>
  </si>
  <si>
    <t>Реконструкция участка тепловой сети по адресу: Московская область, г. Кашира: от ТК д. 31 по ул. Садовая до ТК у д. 10 ул. Юбилейная (в т.ч. ПИР)</t>
  </si>
  <si>
    <t>24 539 714,69</t>
  </si>
  <si>
    <t>подали ПСД в МОГЭ 19.05. ,плановый выход из МОГЭ - 07.07.2026г. ,не закончены СМР: монтаж лотков, трубопроводов и благоустройство (план. до 15.08.) Замечания УТНКР(17): Проектно-изыскательские работы • Земляные работы • Демонтажные работы • Прокладка инженерных сетей (линейные объекты) • Подготовительные работы • засыпка грунта (линейные объекты) • Устройство ж/б колодцев, камер (линейные объекты) • Общестроительные работы • Благоустройство</t>
  </si>
  <si>
    <t>Оплачено, руб. (план): 12 269 857.34
Оплачено, руб. (факт): 12 269 857.34
Процент оплаты: 47.49 %</t>
  </si>
  <si>
    <t>В связи с корректировкой выполненных объемов, подрядной организацией принято решение о повторном заходе в МОГЭ для подтверждения изменений в ПСД
В МОГЭ зашли 19.05. 2026г. Плановый выход -07.07.2026г.
Плановое окончание СМР - 10.07.2026г.</t>
  </si>
  <si>
    <t>1000004094.1000004970</t>
  </si>
  <si>
    <t>Капитальный ремонт котельной КСПЗ по адресу: Московская область, г.о. Подольск (в т.ч. ПИР)</t>
  </si>
  <si>
    <t>Исполнено, руб. (план): 446 059 169.00 
Исполнено, руб. (факт): 376 550 212.01
Процент исполнения: 84.41 %</t>
  </si>
  <si>
    <t>1000004313.1000005302</t>
  </si>
  <si>
    <t>Капитальный ремонт участков тепловых сетей и сетей ГВС от котельной "Ефимово" адресу: Московская область, Павлово-Посадский г.о., д.Ефимово, до д.№69 д. Ефимово (в т.ч. ПИР)</t>
  </si>
  <si>
    <t>110 861,47</t>
  </si>
  <si>
    <t>Оплачено, руб. (план): 59 962 053.56
Оплачено, руб. (факт): 59 962 053.56
Возврат оплат, руб.: 1 623 261.52
Процент оплаты: 100.00 %</t>
  </si>
  <si>
    <t>закрыто под факт выполнение в 2025 году. Процент выплат 100%</t>
  </si>
  <si>
    <t>1000004314.1000005303</t>
  </si>
  <si>
    <t>Капитальный ремонт участков тепловых сетей и сетей ГВС от котельной по адресу: Московская область, Московская область, Павлово-Посадский г.о., д.Кузнецы, до ТК8 (в т.ч. ПИР)</t>
  </si>
  <si>
    <t>115 760,95</t>
  </si>
  <si>
    <t>Оплачено, руб. (план): 101 060 701.61
Оплачено, руб. (факт): 101 060 701.61
Возврат оплат, руб.: 1 695 115.38
Процент оплаты: 100.00 %</t>
  </si>
  <si>
    <t>1000004444.5327935352</t>
  </si>
  <si>
    <t>Капитальный ремонт участков тепловых сетей от котельной по адресу: Московская область, г.Подольск, ул.Чистова, д.17а: от Р10 до ТК1, от ТК-1 до ТК2, от ТК-2 до ТК4, от ТК-4 до Р13, от Р-13 до ТК-5 (в т.ч. ПИР)</t>
  </si>
  <si>
    <t>Оплачено, руб. (план): 4 317 611.13 
Оплачено, руб. (факт): 4 317 611.13 
Процент оплаты: 97.98 %</t>
  </si>
  <si>
    <t>1000001185.1000000971</t>
  </si>
  <si>
    <t>Модернизация котельной по адресу: г.о. Подольск, г. Подольск, ул. Победы, д. 4а</t>
  </si>
  <si>
    <t>Оплачено, руб. (план): 402 146 712.08 
Оплачено, руб. (факт): 402 146 712.08 
Возврат оплат, руб.: 1 667 046.90 
Процент оплаты: 94.46 %</t>
  </si>
  <si>
    <t>1000001177.1000000963</t>
  </si>
  <si>
    <t>Реконструкция котельной по адресу: г.о. Подольск, г. Подольск, ул. Ульяновых, д. 9</t>
  </si>
  <si>
    <t>Оплачено, руб. (план): 172 723 908.11 
Оплачено, руб. (факт): 172 723 908.11 
Процент оплаты: 81.53 %</t>
  </si>
  <si>
    <t>1000001482.1000001391</t>
  </si>
  <si>
    <t>Реконструкция тепловых сетей: Г.о. Подольск, г. Подольск, мкр. Ново-Сырово</t>
  </si>
  <si>
    <t>Оплачено, руб. (план): 246 977 609.45
Оплачено, руб. (факт): 246 977 609.45
Процент оплаты: 100.00 %</t>
  </si>
  <si>
    <t>1000004096.1000004972</t>
  </si>
  <si>
    <t>Капитальный ремонт котельной "Западная" (в части установки аккумуляторных баков запаса холодной воды) по адресу: Московская область, г.о. Шатура, г. Рошаль, ул. Лесная (в т.ч. ПИР)</t>
  </si>
  <si>
    <t>ООО ТУЛАОБОРОНСТРОЙ</t>
  </si>
  <si>
    <t>17 009 350,00</t>
  </si>
  <si>
    <t>9 149 740,93</t>
  </si>
  <si>
    <t>7 859 609,07</t>
  </si>
  <si>
    <t>ИД сдана частично, замечания УТНКР, оплата произведена частично, не выполнены работы по монтажу насосной группы и автоматики</t>
  </si>
  <si>
    <t>СМР в процессе. 
Остались работы по монтажу насосной группы и автоматики.
ИД частично сдана на выполненный объем работ.</t>
  </si>
  <si>
    <t>расторгнут контракт с субподрядчиком. На совещании 01.06.2026 было уточнено, что работы продолжаются своими силами. Персонал прошел инструктаж, допущен к работам. Работы на объекте возобновлены.
План завершения работ до 15.07.2026</t>
  </si>
  <si>
    <t>Оплачено, руб. (план): 7 128 617.45
ООплачено, руб. (факт): 7 128 617.45
Процент оплаты: 34.52 %</t>
  </si>
  <si>
    <t>Не завершены СМР по установке насосного оборудования, автоматики. ИД подписана частьично. Процент выплат 25.72 %</t>
  </si>
  <si>
    <t>Положительное заключение МОГЭ получено.
СГ 71%
Необходимо завершение СМР в части установки насосного оборудования и автоматики (план завершения 22.07.2026
Частично сдана ИД (подписана на выполненные объемы работ). Оставшаяся часть ИД план сдачи до 29.07.2026</t>
  </si>
  <si>
    <t>1000004445.5327935353</t>
  </si>
  <si>
    <t>Капитальный ремонт участков тепловых сетей от котельной по адресу: Московская область, г.Подольск, ул.Литейная, д. 4б: от котельной ул. Литейная 4Б до ТК-1, от ТК-1 Литейная,4б до ТК-6, от ТК-6 Литейная, 4б до ТК-7, от ТК-7 до ТК-8 Литейная, 4б (в т.ч. ПИР)</t>
  </si>
  <si>
    <t>Оплачено, руб. (план): 5 936 832.29
Оплачено, руб. (факт): 5 936 832.29
Процент оплаты: 99.76 %</t>
  </si>
  <si>
    <t>1000004325.1000005316</t>
  </si>
  <si>
    <t>Капитальный ремонт участков тепловой сети по адресу: Московская область, Дмитровский г.о., г. Дмитров, ул. Водников 25 (от ТК-Д4 до д.2 мкр.Маркова) (в т.ч. ПИР)</t>
  </si>
  <si>
    <t>24 442 635,22</t>
  </si>
  <si>
    <t>Завершение благо до 10.06.2026
24.03.2026-Отказ в приеме и рассмотрении заявления
Заявителем представлен неполный комплект документов, необходимых для предоставления услуги
Плановая дата захода в МОГЭ -15.06.2026</t>
  </si>
  <si>
    <t>Оплачено, руб. (факт): 12 603 080.32 
Процент оплаты: 49.01 %</t>
  </si>
  <si>
    <t>Плановая дата завершения благоустройства 30.06.26.Не получено МОГЭ, плановая дата захода до 01.07.2026
Плановая дата оплаты до 31.08.2026</t>
  </si>
  <si>
    <t>1000004593.5327935508</t>
  </si>
  <si>
    <t>Капитальный ремонт участков тепловой сети от котельной по адресу: г.о.Подольск, ул.Пионерская, д.2а: вдоль улиц Пионерская, Б. Серпуховская (в т.ч. ПИР)</t>
  </si>
  <si>
    <t>Оплачено, руб. (план): 11 033 664.60
Оплачено, руб. (факт): 11 033 664.60
Процент оплаты: 100.00 %</t>
  </si>
  <si>
    <t>1000004578.5327935492</t>
  </si>
  <si>
    <t>Капитальный ремонт участков тепловых сетей от ЦТП-3а до ТК-31 у.ж.д. 28 по ул.Советская в г.о. Ленинский (в т.ч. ПИР)</t>
  </si>
  <si>
    <t>38 998 414,00</t>
  </si>
  <si>
    <t>16 780 956,98</t>
  </si>
  <si>
    <t>22 217 457,02</t>
  </si>
  <si>
    <t>не завершено благоустройство, ИД сдана частично, оплата произведена частично Аванс выплачен. Благоустройство будет завершено до 01.06.2026. Замечаиня УТНКР(12): Монтаж оборудования.</t>
  </si>
  <si>
    <t>Сумма произведённых авансовых платежей, руб.: 16 033 640.00
Оплачено, руб. (план): 28 440 841.57
Оплачено, руб. (факт): 28 440 841.57
Процент оплаты: 68.49 %</t>
  </si>
  <si>
    <t>ИД согласована. Без благоустройства. Оплата - август</t>
  </si>
  <si>
    <t>ИД согласована. Без благоустройства. Оплата конец июня - начало июля. (август)</t>
  </si>
  <si>
    <t>1000004596.5327935511</t>
  </si>
  <si>
    <t>Капитальный ремонт участков тепловой сети от котельной по адресу: г.о.Подольск, мкр.Климовск, ул.Заводская, д.2: вдоль улиц Западная, Заводская, Южный пос., Симферопольская, Революции, 8 Марта, Театральная, пр.50лет Октября (в т.ч. ПИР)</t>
  </si>
  <si>
    <t>Оплачено, руб. (план): 21 036 894.36
Оплачено, руб. (факт): 21 036 894.36
Процент оплаты: 100.00 %</t>
  </si>
  <si>
    <t>1000004599.5327935514</t>
  </si>
  <si>
    <t>Капитальный ремонт участков тепловой сети от котельной, расположенной по адресу: г.о. Подольск, р-н Силикатная-2, пр-зд Авиаторов, д. 14, участки: пр-зд Авиаторов д. 2 от ТК6 до ТК7; пр-зд Авиаторов д. 2 от ТК6 до ТК7; пр-зд Авиаторов д. 12 от ТК1 до ТК12; пр-зд Авиаторов д. 12 от ТК12 до ТК16 (в т.ч. ПИР)</t>
  </si>
  <si>
    <t>Оплачено, руб. (план): 11 341 491.97
Оплачено, руб. (факт): 11 341 491.97
Процент оплаты: 91.79 %</t>
  </si>
  <si>
    <t>1000004600.5327935515</t>
  </si>
  <si>
    <t>Капитальный ремонт участка тепловой сети от котельной по адресу: г.о. Подольск, ул. Московская, 5Б, от ТК1 до ТК2 (в т.ч. ПИР)</t>
  </si>
  <si>
    <t>Оплачено, руб. (план): 1 538 417.58
Оплачено, руб. (факт): 1 538 417.58
Процент оплаты: 83.34 %</t>
  </si>
  <si>
    <t>1000001485.1000001394</t>
  </si>
  <si>
    <t>Реконструкция тепловых сетей: Г.о. Подольск, г. Подольск, мкр. Межшоссейный, Шепчинки, Парковый, Центральный (в т.ч. ПИР)</t>
  </si>
  <si>
    <t>Оплачено, руб. (план): 431 750 275.77
Оплачено, руб. (факт): 431 750 275.77
Процент оплаты: 77.08 %</t>
  </si>
  <si>
    <t>1000004347.1000005339</t>
  </si>
  <si>
    <t>Капитальный ремонт участков тепловой сети по адресу: Московская область, п. Новосиньково (от ТК-5 до ТК-7) (в т.ч. ПИР)</t>
  </si>
  <si>
    <t>23 009 518,16</t>
  </si>
  <si>
    <t>Замечания УТНКР</t>
  </si>
  <si>
    <t>Оплачено, руб. (факт): 11 173 985.09 
Процент оплаты: 46.15 %</t>
  </si>
  <si>
    <t>1000004579.5327935493</t>
  </si>
  <si>
    <t>Капитальный ремонт участков тепловых сетей от ТК 5/8а у ЦТП 22 до ТК5/7 и до ЦТП 2а в г.о. Ленинский (в т.ч. ПИР)</t>
  </si>
  <si>
    <t>24 562 686,82</t>
  </si>
  <si>
    <t>Не передавалась ИД</t>
  </si>
  <si>
    <t>не завершено благоустройство, не передавалась ИД, МОГЭ не получено по причине изменения тех решений при рассмотрениии НТС. НТС пройден с положительным решением от 22.04, зашли в МОГЭ повторно 15.05., план. выход- 29.06. На устранении замечаний(2): 1. Сметы- некорректный формат, 2. ПД - несоответствие тех. регламента. Благоустройство будет завершено до 01.06.2026. ИД формируется для предъявления. Замечания УТНКР(15): Благоустройство • Проектно-изыскательские работы</t>
  </si>
  <si>
    <t>Сумма произведённых авансовых платежей, руб.: 12 935 200.00
Оплачено, руб. (план): 12 935 200.00
Оплачено, руб. (факт): 12 935 200.00
Процент оплаты: 50.00 %</t>
  </si>
  <si>
    <t>СМР - выполнен. Благоустройство - 95% выполнен. Выход из МОГЭ - 29.06., ИД подготовлена. Оплата - сентябрь</t>
  </si>
  <si>
    <t>СМР - выполнен. Благоустройство - 95% выполнен. Выход из МОГЭ - 29.06. Оплата - конец июля начало августа (сентябрь)</t>
  </si>
  <si>
    <t>1000004443.5327935351</t>
  </si>
  <si>
    <t>Капитальный ремонт участков тепловых сетей котельной по адресу: Московская область, г.Подольск, Художественный проезд, д.2: от Р-2 (Художественный проезд д.5) до ТК-2 (Художественный проезд д.6, д.8), от ТК-2 (Художественный проезд д.6, д.8) до ТК-4 (Художественный проезд м/у д.8 и д.10) (в т.ч. ПИР)</t>
  </si>
  <si>
    <t>Оплачено, руб. (план): 5 310 281.59
Оплачено, руб. (факт): 5 310 281.59
Процент оплаты: 86.86 %</t>
  </si>
  <si>
    <t>1000004357.1000005351</t>
  </si>
  <si>
    <t>Капитальный ремонт участков тепловых сетей от котельной «РУС» по адресу: Московская область, г.о. Талдомский, г. Талдом, ул. Собцова, 1а (в т.ч. ПИР)</t>
  </si>
  <si>
    <t>18 629 356,70</t>
  </si>
  <si>
    <t>Не завершено СМР,
Подготовка к расторжению контракта
Подготовка сопоставительной ведомости на сумму полученного аванса,
Сопоставительная ведомость находится у подрядчика – исправление замечаний</t>
  </si>
  <si>
    <t>Оплачено, руб. (факт): 7 311 792.00 
Процент оплаты: 30.00 %</t>
  </si>
  <si>
    <t>1000004611.5327935526</t>
  </si>
  <si>
    <t>Капитальный ремонт участка тепловой сети от котельной по адресу: г.о.Подольск ул. Народная, д.17А: от ТК-11 ул. Народная, д.17 до Р-2 ул. Народная, д.15 (в т.ч. ПИР)</t>
  </si>
  <si>
    <t>Оплачено, руб. (план): 1 548 426.85
Оплачено, руб. (факт): 1 236 014.94
Процент оплаты: 75.24 %</t>
  </si>
  <si>
    <t>1000004591.5327935506</t>
  </si>
  <si>
    <t>Капитальный ремонт участков тепловой сети от котельной по адресу: г.о.Подольск, ул.Победы, д.4: от P-8 до P-9 (транзит в COШ №l5. ул.Победы,д.2); от TK-17 ул. Народная, 12а до P-9 ул. Победы, д.2; от TK-1 ул. Победы,4 дo TK смотровая ул. Пионерская, 24а (в т.ч. ПИР)</t>
  </si>
  <si>
    <t>Оплачено, руб. (план): 4 063 310.82
Оплачено, руб. (факт): 4 063 310.82
Процент оплаты: 100.00 %</t>
  </si>
  <si>
    <t>1000004592.5327935507</t>
  </si>
  <si>
    <t>Капитальный ремонт участков тепловой сети от котельной по адресу: г.о.Подольск, ул.Литейная,4Б: от ТК-4 до ул.Литейная,6а; от ТК-4 до ТК-5; от ТК-8 до Р-1; от ТК-13 до ТК-14; от ТК-14 до Р-3; от ТК-2 до ТК- 3; от ТК-9 до ТК-12; от Р-3 до Р-ш; от Р-1 до ул. Литейная 2; от котельной ул. Литейная д. 4а – ТК-6; от ТК-6 до ТК-8 ул. Литейная д.4; от котельной ул. Литейная д. 4б до ТК-2 ул. Литейная д. 6а (в т.ч. ПИР)</t>
  </si>
  <si>
    <t>Оплачено, руб. (план): 13 389 339.22
Оплачено, руб. (факт): 13 389 339.22
Процент оплаты: 100.00 %</t>
  </si>
  <si>
    <t>1000004612.5327935528</t>
  </si>
  <si>
    <t>Капитальный ремонт участка тепловой сети от котельной по адресу: г.о.Подольск, ул.Чистова,17а, до ТК-5 ул.Чистова,11/8 (в т.ч. ПИР)</t>
  </si>
  <si>
    <t>Оплачено, руб. (план): 2 876 109.64
Оплачено, руб. (факт): 2 876 109.64
Процент оплаты: 100.00 %</t>
  </si>
  <si>
    <t>1000004714.5327935642</t>
  </si>
  <si>
    <t>Реконстукция участка тепловой сети по адресу: Московская область, г.о. Власиха, от УТ34 до ЦПТ Центральный (1-контур) (в т.ч. ПИР)</t>
  </si>
  <si>
    <t>Оплачено, руб. (план): 64 102 328.28
Оплачено, руб. (факт): 64 102 328.28
Процент оплаты: 84.35 %</t>
  </si>
  <si>
    <t>СМР завершены. Идет сдача в УТНКР. Сдано: ИД, КС-2 N2 на общ. сумму 80,47 млн руб. (демонтаж трубопроводов, тепловые камеры, зем.работы, прокладка ТС)</t>
  </si>
  <si>
    <t>1000004095.1000004971</t>
  </si>
  <si>
    <t>Капитальный ремонт котельной "Восточная" (в части установки аккумуляторных баков запаса холодной воды) по адресу: Московская область, г.о. Шатура, г. Рошаль, ул. Коммунаров (в т.ч. ПИР)</t>
  </si>
  <si>
    <t>18 636 290,00</t>
  </si>
  <si>
    <t>10 402 766,98</t>
  </si>
  <si>
    <t>8 233 523,02</t>
  </si>
  <si>
    <t>расторгнут контракт с субподрядчиком. На совещании 01.06.2026 было уточнено, что работы продолжаются своими силами. Персонал прошел инструктаж, допущен к работам. Работы на объекте возобновлены.
План завершения работ 15.07.2026</t>
  </si>
  <si>
    <t>Оплачено, руб. (план): 7 145 789.44
Оплачено, руб. (факт): 7 145 789.44
Процент оплаты: 37.53 %</t>
  </si>
  <si>
    <t>Не завершены СМР по установке насосного оборудования, автоматики. ИД подписана частьично. Процент выплат 27.89 %</t>
  </si>
  <si>
    <t>Положительное заключение МОГЭ получено.
СГ 70%
Необходимо завершение СМР в части установки насосного оборудования и автоматики (план завершения 22.07.2026
Частично сдана ИД (подписана на выполненные объемы работ). Оставшаяся часть ИД план сдачи до 29.07.2026</t>
  </si>
  <si>
    <t>1000004233.1000005149</t>
  </si>
  <si>
    <t>Капитальный ремонт участков тепловых сетей по адресу: Московская область, г.о. Шатура, п. Туголесский бор, от ТК-48 до ТК-56 (в т.ч. ПИР)</t>
  </si>
  <si>
    <t>ООО ОПУСГРУПП</t>
  </si>
  <si>
    <t>Отсутствует заключение МОГЭ.
26.03.2026 вышли из МОГЭ с результатами рассмотрения
Повторный заход в МОГЭ выполнен 02.06.2026. Срок выхода 14.07.2026.</t>
  </si>
  <si>
    <t>подрядчик повторно зашел в МОГЭ. Дата выхода и МОГЭ 14.07.2026. Фактически работы выполнены</t>
  </si>
  <si>
    <t>Оплачено, руб. (план): 5 091 000.00
Оплачено, руб. (факт): 5 091 000.00
Процент оплаты: 30.00 %</t>
  </si>
  <si>
    <t>Отсутствует заключение МОГЭ. Отсутствует ИД. СМР выполнен. Процент выплаты 30%</t>
  </si>
  <si>
    <t>Отсутствует заключение МОГЭ.
26.03.2026 вышли из МОГЭ с результатами рассмотрения
Повторный заход в МОГЭ выполнен 02.06.2026. Срок выхода 14.07.2026.
СГ 100%
Исполнительная документация не передавалась всвязи с отсутствием положительного заключения МОГЭ. (план до 22.07.2026)</t>
  </si>
  <si>
    <t>1000004603.5327935518</t>
  </si>
  <si>
    <t>Капитальный ремонт участков тепловой сети от котельной по адресу: г.о. Подольск, ул.Садовая, д.11: от котельной до Р-1; от Р1 до Р2; от Р13 до Р15; от ТК3 до ТК4 (в т.ч. ПИР)</t>
  </si>
  <si>
    <t>Оплачено, руб. (план): 19 193 224.32
Оплачено, руб. (факт): 19 193 224.32
Процент оплаты: 98.14 %</t>
  </si>
  <si>
    <t>1000004604.5327935519</t>
  </si>
  <si>
    <t>Капитальный ремонт участков тепловой сети от котельной по адресу: г.о. Подольск, ул.Давыдова, д.1: от котельной до ТК1; от ТК2 до ТК3; от ТК4 до Давыдова, д. 8/2 (в т.ч. ПИР)</t>
  </si>
  <si>
    <t>Оплачено, руб. (план): 9 476 141.19
Оплачено, руб. (факт): 9 476 141.19
Процент оплаты: 97.40 %</t>
  </si>
  <si>
    <t>1000004605.5327935520</t>
  </si>
  <si>
    <t>Капитальный ремонт участков тепловой сети от котельной по адресу: г.о. Подольск, ул.Калужская, д.4: от ТК1 до ТК2; от ТК2 до ТК4 пр. Ленина, д. 10; от ТК7 до ТК8 пр. Ленина, д. 8 (в т.ч. ПИР)</t>
  </si>
  <si>
    <t>Оплачено, руб. (план): 16 004 728.85
Оплачено, руб. (факт): 16 004 728.85
Процент оплаты: 97.62 %</t>
  </si>
  <si>
    <t>1000004607.5327935522</t>
  </si>
  <si>
    <t>Капитальный ремонт участков тепловой сети от котельной по адресу: г.о. Подольск, ул.Заводская, 2: от ТК 35 Южный пос. д.28 до ТК 130 ул.Симферопольская, д.41 (в т.ч. ПИР)</t>
  </si>
  <si>
    <t>Оплачено, руб. (план): 19 863 788.36
Оплачено, руб. (факт): 19 863 788.36
Процент оплаты: 83.01 %</t>
  </si>
  <si>
    <t>1000004608.5327935523</t>
  </si>
  <si>
    <t>Капитальный ремонт участка тепловой сети от котельной по адресу: г.о.Подольск, мкр. Климовск, ул. Школьная, д. 34а: от ТК 31 (Рощинская д. 15) до ЦТП 12 (в т.ч. ПИР)</t>
  </si>
  <si>
    <t>Оплачено, руб. (план): 5 505 187.73
Оплачено, руб. (факт): 5 505 187.73
Процент оплаты: 95.73 %</t>
  </si>
  <si>
    <t>1000004595.5327935510</t>
  </si>
  <si>
    <t>Капитальный ремонт участка тепловой сети от котельной по адресу: г.о.Подольск, мкр.Климовск, ул.Школьная, д.34а от ТК-96 до ТК-99: от ТК-96 (ЦТП-16, ул. Ленина 10а) до ТК-99 (ул. Ленина,12) (в т.ч. ПИР)</t>
  </si>
  <si>
    <t>Оплачено, руб. (план): 4 085 583.64
Оплачено, руб. (факт): 4 085 583.64
Процент оплаты: 99.29 %</t>
  </si>
  <si>
    <t>1000004456.5327935365</t>
  </si>
  <si>
    <t>Реконструкция участков тепловых сетей по адресу: Московская область, Одинцовский г.о., п. Барвиха (в т.ч. ПИР)</t>
  </si>
  <si>
    <t>112 996 872,67</t>
  </si>
  <si>
    <t>14 598 089,99</t>
  </si>
  <si>
    <t>98 398 782,68</t>
  </si>
  <si>
    <t>Сдана ИД, нет ДС</t>
  </si>
  <si>
    <t>Благоустройство в стадии завершения. Сдача полного комплекта ИД до 10.06.2026.</t>
  </si>
  <si>
    <t>Оплачено, руб. (план): 101 430 313.75
Оплачено, руб. (факт): 101 430 313.75
Процент оплаты: 89.76 %</t>
  </si>
  <si>
    <t>СМР завершен. 
Ведется  благоустройство территории.
Плановая дата завершения работ 30.06.2026
Подача документов на оплату до 15.07.2026
Оплата до 30.07.2026</t>
  </si>
  <si>
    <t>1000004470.5327935379</t>
  </si>
  <si>
    <t>Капитальный ремонт участков тепловых сетей от котельной №11 по адресу: Московская область, г.о. Лотошино, д. Ушаково, д.57: от ТК-2 до зд.школы, от ТК-9 до ТК-15 (в т.ч. ПИР)</t>
  </si>
  <si>
    <t>Оплачено, руб. (план): 10 228 722.64
Оплачено, руб. (факт): 10 228 722.64
Процент оплаты: 47.52 %</t>
  </si>
  <si>
    <t>Получено отрицательное заключение МОГЭ, повторный заход в МОГЭ  30.06.2026. Выход из МОГЭ до 01.08.2026. Сдача объекта  сентябрь.Необходимо менять штабные решения,в связи с изменением  протяженности (увеличение на 100п.м).Готовятся обоснования для заключения ДС  65.1 к контракту 44-ФЗ</t>
  </si>
  <si>
    <t>1000002808.1000003549</t>
  </si>
  <si>
    <t>Капитальный ремонт участков тепловых сетей от ТК70 до ТК74А по Центральному проезду в г.о. Пушкино (в т.ч. ПИР)</t>
  </si>
  <si>
    <t>112 575 324,95</t>
  </si>
  <si>
    <t>78 777 909,30</t>
  </si>
  <si>
    <t>33 797 415,65</t>
  </si>
  <si>
    <t>Оплата полностью 2025</t>
  </si>
  <si>
    <t>Оплачено, руб. (план): 81 856.00 
Оплачено, руб. (факт): 81 856.00 
Процент оплаты: 100.00 %</t>
  </si>
  <si>
    <t>1000003931.1000004797</t>
  </si>
  <si>
    <t>Капитальный ремонт котельной (в части замены теплового оборудования) по адресу: Московская область, г.о. Солнечногорск, п. Менделеево (в т.ч. ПИР)</t>
  </si>
  <si>
    <t>Акт выполненных работ на проверке до 25.05.2026.Строительная готовность по данным УТНКР СГ-98% (на 18.05.2026).
Подрядчик вышел из повторной экспертизы 29.12.2025. На дату 19.03.2026 ЛБО на 2026 восстановлены и увеличены (ранее направлено письмо в Минэнерго от 21.01.2026)</t>
  </si>
  <si>
    <t>Оплачено, руб. (план): 11 238 750.00
Оплачено, руб. (факт): 11 238 750.00
Процент оплаты: 50.00 %</t>
  </si>
  <si>
    <t>Проводится выверка выполненных работ, оформляется исполнительная документация, проводятся мероприятия по сдаче-приемке выполненных объемов работ.
В связи со сменой инспектора, увеличился срок проверки документации.                                         Оплата конец июля 2026.</t>
  </si>
  <si>
    <t>Замечания от УТНКР - тех. Решения. В течение неделе согласовать с Заказчиком. ИД - отработано. Формирование КС и оплата - конец июля</t>
  </si>
  <si>
    <t>плановый срок окончания проверки документации?</t>
  </si>
  <si>
    <t>1000003890.1000004756</t>
  </si>
  <si>
    <t>Капитальный ремонт ЦТП №6 по адресу:Московская область, г.о.Лыткарино, ул.Комсомольская, д.24 (в т.ч. ПИР)</t>
  </si>
  <si>
    <t>Завершают общестрой. устраняют замечания ИД. Всего 23 замечания. срок устранения замечаний до 15.07.2027</t>
  </si>
  <si>
    <t>Оплачено, руб. (план): 22 001 420.02
Оплачено, руб. (факт): 22 001 420.02
Процент оплаты: 67.47 %</t>
  </si>
  <si>
    <t>Завершают общестрой. устраняют замечания ИД. Всего 18 замечания. срок устранения замечаний до 15.07.2027</t>
  </si>
  <si>
    <t>1000004848.5327935893</t>
  </si>
  <si>
    <t>Капитальный ремонт участков тепловых сетей по адресу: Московская область, г.о. Пушкинский, п. Лесной, от ул. Центральная, 1 до ул. Мичурина, 9 (в т.ч. ПИР)</t>
  </si>
  <si>
    <t>Оплачено, руб. (план): 15 120 693.23 
Оплачено, руб. (факт): 15 120 693.23 
Процент оплаты: 100.00 %</t>
  </si>
  <si>
    <t>1000004827.5327935869</t>
  </si>
  <si>
    <t>Капитальный ремонт участков тепловой сети по адресу: Московская область, г.о. Луховицы, от котельной Красная пойма от ул. Школьная до ул. Лесная: от ТК 16 до ТК 18, от ТК 8 до ТК 16 (в т.ч. ПИР)</t>
  </si>
  <si>
    <t>39 552 969,07</t>
  </si>
  <si>
    <t>5 106 899,88</t>
  </si>
  <si>
    <t>34 446 069,19</t>
  </si>
  <si>
    <t>Оплачено, руб. (план): 31 791 142.89
Оплачено, руб. (факт): 31 791 142.89
Процент оплаты: 75.02 %</t>
  </si>
  <si>
    <t>остались объемы по благоустройству, не полностью сдана ИД в части благоустройства процент оплаты 75.02 %</t>
  </si>
  <si>
    <t>Положительное заключение МОГЭ получено.
СГ 90%
Не завершен СМР в части устранения замечаний УТНКР (план завершения 22.07.2026).
Не полностью сдана ИД на остаток работ (план 29.07.2026).</t>
  </si>
  <si>
    <t>1000004706.5327935634</t>
  </si>
  <si>
    <t>Капитальный ремонт участков тепловой сети от котельной по адресу: Московская область, Талдомский г.о., р.п. Запрудня, пер. Мира, д. 10: от ТК-11 до ТК-32, от ТК-32 до ТК-33, от ТК-33 до ТК-36, от ТК-36 до ТК-50, от ТК-50 до ТК-51А (с входом в дом), от ТК-51А до ТК-57, от ТК-57 до ТК-58, от ТК-58 до ТК-59, от ТК-59 до ТК-60, до ТК-61, от ТК-56 до ТК-62, до ТК-63, до ТК-64 (в т.ч. ПИР)</t>
  </si>
  <si>
    <t>77 535 970,02</t>
  </si>
  <si>
    <t>61 470 471,84</t>
  </si>
  <si>
    <t>16 065 498,18</t>
  </si>
  <si>
    <t>Частично оплачено и сдана ИД</t>
  </si>
  <si>
    <t>Не закончено финальное благоустройство, завершение до 20.07.2026
ИД сдана частично</t>
  </si>
  <si>
    <t>Оплачено, руб. (факт): 69 292 424.82 
Процент оплаты: 86.98 %</t>
  </si>
  <si>
    <t>Не сдан ИД/Не подписано КС в УТНКР
Не завершено финальное благоустройство</t>
  </si>
  <si>
    <t>1000004674.5327935594</t>
  </si>
  <si>
    <t>Капитальный ремонт котельной «Евсеево» в части замены котлов КСВа-2,5; ЗИО-100 и ХВП, расположенной по адресу: Московская область, Павлово-Посадский городской округ, д.Евсеево, 36в (в т.ч. ПИР)</t>
  </si>
  <si>
    <t>СМР не завершен.
Перенос объекта утвержден рабочей группой, изменение в ГП не вносилось. контракт не продлен (МИНЖКХ). 
Комплекты ИД сданы, ведется устранение замечаний УТНКР по ИД и по физике. 
Общее количество Актов выявленных нарушений: 9
Количество неустраненных нарушений: 6</t>
  </si>
  <si>
    <t>20.05.2026 проведена ВКС с МинЖКХ по вопросу реализации объектов и завершению СМР.</t>
  </si>
  <si>
    <t>Оплачено, руб. (план): 12 612 648.00
Оплачено, руб. (факт): 12 612 648.00
Процент оплаты: 55.44 %</t>
  </si>
  <si>
    <t>1000004857.5327935904</t>
  </si>
  <si>
    <t>Капитальный ремонт тепловых сетей по адресу: г. Лыткарино, ул. Советская, от ТК-163 до ТК-165 (в т.ч. ПИР)</t>
  </si>
  <si>
    <t>27 928 307,52</t>
  </si>
  <si>
    <t>Не полный комплект ИД.</t>
  </si>
  <si>
    <t>Проведено совещание с проектной командой , определили сроки предоставления ИД в УТНКР до 10.06.2026</t>
  </si>
  <si>
    <t>Оплачено, руб. (план): 19 938 109.90 
Оплачено, руб. (факт): 19 938 109.90 
Процент оплаты: 51.08 %</t>
  </si>
  <si>
    <t xml:space="preserve">
Подрядчик предоставил не полный пакет ИД в УТНКР. Срок предоставления документов до 30.06.2026</t>
  </si>
  <si>
    <t>Оплачено 70%. Проблематика с УТНКР. Не примимают задвижки. Готовы оплатить после сдачи ИД сразу</t>
  </si>
  <si>
    <t>1000004026.1000004892</t>
  </si>
  <si>
    <t>Строительство тепловых сетей от БМК мощностью 6,0 МВт по адресу: Московская область, г. Кашира ул. 1-ая Дзержинская до врезки в существующую Сети (в т.ч. ПИР)</t>
  </si>
  <si>
    <t>13 122 000,00</t>
  </si>
  <si>
    <t>подача ПСД в МОГЭ 19.05. , возврат из МОГЭ с замечаниями ПСД, не закончены СМР (план. до 30.07.) Не выполнено присоединение к БМК. Замечания УТНКР(17): Проектно-изыскательские работы • Общестроительные работы</t>
  </si>
  <si>
    <t>Проведено совещание с проектной командой,для ускорения окончания СМР</t>
  </si>
  <si>
    <t>Оплачено, руб. (план): 3 906 562.30
Оплачено, руб. (факт): 3 906 562.30
Процент оплаты: 28.20 %</t>
  </si>
  <si>
    <t>ООО "КДС" заключил контракт после расторжения с ООО"Лэндстрой" Разработка ПСД выполняется при наличии изменений объемов и ТЗ. Возврат ПСД из МОГЭ связан с отсутствием письма от ГРБС. Плановый заход в МОГЭ - 12.06.2026г.
СМР выполняются с учетом устранений дефектов, допущенных предыдущей подрядной организацией.</t>
  </si>
  <si>
    <t>1000004925.5327936013</t>
  </si>
  <si>
    <t>Капитальный ремонт участков тепловых сетей по адресу: Московская область, г.о. Пушкинский, г. Ивантеевка от ТК-47а до ТК-48 по ул. Советский проспект (в т.ч. ПИР)</t>
  </si>
  <si>
    <t>ООО ГИПРОН</t>
  </si>
  <si>
    <t>18 848 971,80</t>
  </si>
  <si>
    <t>Не получено МОГЭ, СМР не завершено (благоустройство)</t>
  </si>
  <si>
    <t>Не получено МОГЭ - плановая дата получения МОГЭ 23.06.2026, СМР не завершено (благоустройтсво), не сдана ИД - плановая дата 01.07.2026</t>
  </si>
  <si>
    <t>Оплачено, руб. (план): 9 920 512.00 
Оплачено, руб. (факт): 9 920 512.00 
Процент оплаты: 50.00 %</t>
  </si>
  <si>
    <t>Не получено положительное заключение МОГЭ( корректировка объемов).Плановая дата выхода из МОГЭ - 23.06.2026.
Не завершено благоустройство. Плановая дата - 01.07.2026</t>
  </si>
  <si>
    <t>1000004920.5327936008</t>
  </si>
  <si>
    <t>Капитальный ремонт участков тепловых сетей по адресу: Московская область, г.о. Пушкинский, г. Ивантеевка, от ул. Оранжерейная, 14а до ул. Первомайская, д. 34 (в т.ч. ПИР)</t>
  </si>
  <si>
    <t>Оплачено, руб. (план): 19 169 344.84 
Оплачено, руб. (факт): 19 169 344.84 
Процент оплаты: 100.00 %</t>
  </si>
  <si>
    <t>1000003883.1000004749</t>
  </si>
  <si>
    <t>Реконструкция ЦТП по адресу: Московская область, г.о. Ленинский, Петровский проезд д. 22а (в т.ч. ПИР)</t>
  </si>
  <si>
    <t>71 144 391,53</t>
  </si>
  <si>
    <t>13 877 326,97</t>
  </si>
  <si>
    <t>57 267 064,56</t>
  </si>
  <si>
    <t>СМР не завершен в части общестроительных работ</t>
  </si>
  <si>
    <t>Проведен ВКС о необходимости скорейшего завершения общестроительных работ</t>
  </si>
  <si>
    <t>Сумма произведённых авансовых платежей, руб.: 40 235 588.71
Оплачено, руб. (план): 70 471 167.42
Оплачено, руб. (факт): 70 471 167.42
Процент оплаты: 87.88 %</t>
  </si>
  <si>
    <t>СМР не завершен в части ПНР(выполняется). Срок завершения ПНР до 20.06.2026.
Замечания УТНКР(9): Фасад • Демонтажные работы • Инженерные системы</t>
  </si>
  <si>
    <t>1000003856.1000004722</t>
  </si>
  <si>
    <t>Капитальный ремонт участков тепловых сетей от котельной №1 по адресу: Московская область, г.о. Лыткарино, квартал 2, мкр.5, стр.5а (ТК-3 до ТК-4 ул. Спортивная) (в т.ч. ПИР)</t>
  </si>
  <si>
    <t>Оплачено, руб. (план): 51 161 101.41 
Оплачено, руб. (факт): 51 161 101.41 
Процент оплаты: 84.17 %</t>
  </si>
  <si>
    <t>1000003874.1000004740</t>
  </si>
  <si>
    <t>Капитальный ремонт участка тепловой сети по адресу: Московская область, г.о. Черноголовка, ул. Коммунальная, от ТК 33 до ТК 205 (в т.ч. ПИР)</t>
  </si>
  <si>
    <t>45 668 926,50</t>
  </si>
  <si>
    <t>14 241 615,28</t>
  </si>
  <si>
    <t>31 427 311,22</t>
  </si>
  <si>
    <t>Расторжение контракта 26.05.2026</t>
  </si>
  <si>
    <t>Оплачено, руб. (план): 14 421 771.00 
Оплачено, руб. (факт): 14 421 771.00 
Процент оплаты: 30.00 %</t>
  </si>
  <si>
    <t>25.05.2026 Контракт расторгнут на основании решения об одностороннем отказе от исполнения контракта
Публикация закупки не позднее 05.06.2026
Заключение контракта с новым подрядчиком до 15.07.2026</t>
  </si>
  <si>
    <t>1000004829.5327935872</t>
  </si>
  <si>
    <t>Капитальный ремонт участков тепловой сети от котельной Врачево-Горки по адресу: Московская область, г.о. Луховицы, п. Врачево-Горки, участок вдоль ул. Клубная, дома 1-5 (в т.ч. ПИР)</t>
  </si>
  <si>
    <t>44 639 715,95</t>
  </si>
  <si>
    <t>7 416 928,85</t>
  </si>
  <si>
    <t>37 222 787,10</t>
  </si>
  <si>
    <t>Оплачено, руб. (план): 38 307 776.61
Оплачено, руб. (факт): 38 307 776.61
Процент оплаты: 79.96 %</t>
  </si>
  <si>
    <t>остались объемы по благоустройству и по СМР тепловых камер, не полностью сдана ИД в части благоустройства процент оплаты 79.96 %</t>
  </si>
  <si>
    <t>1000003885.1000004751</t>
  </si>
  <si>
    <t>Реконструкция ЦТП №1 по адресу: Московская область, г.о. Ленинский, пос. Новодрожжино, д.9а (в т.ч. ПИР)</t>
  </si>
  <si>
    <t>66 976 043,61</t>
  </si>
  <si>
    <t>35 102 166,72</t>
  </si>
  <si>
    <t>31 873 876,89</t>
  </si>
  <si>
    <t>СМР не завершены в части общестроительных работ</t>
  </si>
  <si>
    <t>Сумма произведённых авансовых платежей, руб.: 38 269 598.31
Оплачено, руб. (план): 66 539 188.85
Оплачено, руб. (факт): 66 539 188.85
Процент оплаты: 87.65 %</t>
  </si>
  <si>
    <t>СМР не завершен в части ПНР(выполняется). Срок завершения ПНР до 20.06.2026.
Замечания УТНКР(4): Монтаж оборудования • Демонтажные работы • Общестроительные работы • Инженерные системы • Пуско-наладочные работы</t>
  </si>
  <si>
    <t>1000003662.1000004526</t>
  </si>
  <si>
    <t>Капитальный ремонт участков тепловых сетей с увеличением диаметра от Котельной "Студенческий проезд" до ТК-5 (ЦТП ЦГБ) в г.о. Пушкинский (в т.ч. ПИР)</t>
  </si>
  <si>
    <t>Оплачено, руб. (план): 25 214 362.14 
Оплачено, руб. (факт): 25 214 362.14 
Процент оплаты: 97.74 %</t>
  </si>
  <si>
    <t>Работа выполнена, закрыто под факт</t>
  </si>
  <si>
    <t>1000004653.5327935570</t>
  </si>
  <si>
    <t>Капитальный ремонт участков тепловых сетей от Котельной "Детская" до ТК-22 (Гимназии №3) по ул. Коминтерна в г.о. Пушкинский, г. Ивантеевка (в т.ч. ПИР)</t>
  </si>
  <si>
    <t>Оплачено, руб. (план): 29 533 907.58 
Оплачено, руб. (факт): 29 533 907.58 
Процент оплаты: 83.88 %</t>
  </si>
  <si>
    <t>1000004455.5327935364</t>
  </si>
  <si>
    <t>Реконструкция участков тепловых сетей по адресу: Московская область, Одинцовский г.о., п. Новошихово (в т.ч. ПИР)</t>
  </si>
  <si>
    <t>34 962 830,00</t>
  </si>
  <si>
    <t>2 079 840,00</t>
  </si>
  <si>
    <t>32 882 990,00</t>
  </si>
  <si>
    <t>ИД сдана частично, ведутся работы по замечаниям</t>
  </si>
  <si>
    <t>Благоустройство в процессе завершения. Планируемый срок сдачи ИД в УТНКР до 30.05.2026.</t>
  </si>
  <si>
    <t>Оплачено, руб. (план): 25 749 391.44
Оплачено, руб. (факт): 25 749 391.44
Процент оплаты: 73.64 %</t>
  </si>
  <si>
    <t>Благоустройство в процессе завершения. 
Планируемый срок сдачи ИД в УТНКР до 30.06.2026.
Оплата после сдачи ИД
Доп. работы связаны с прокладкой трубопроводов ХВС. 
Подрядная организация направила претензии в сторону Заказчика.</t>
  </si>
  <si>
    <r>
      <rPr>
        <rFont val="Times New Roman"/>
        <color theme="1"/>
        <sz val="12.0"/>
      </rPr>
      <t xml:space="preserve">Сдача в УТНКР ИД 30.06. Готовы оплачивать после сдачи ИД. Нет доп работ в контракте. </t>
    </r>
    <r>
      <rPr>
        <rFont val="Times New Roman"/>
        <color rgb="FFFF0000"/>
        <sz val="12.0"/>
      </rPr>
      <t>Очное совещание?</t>
    </r>
  </si>
  <si>
    <t>что решили с доп работами?</t>
  </si>
  <si>
    <t>1000004353.1000005347</t>
  </si>
  <si>
    <t>Капитальный ремонт участков тепловых сетей от котельной №1 по адресу: Московская область, г.о. Талдомский, г. Талдом, мкр Юбилейный, 24а (в т.ч. ПИР)</t>
  </si>
  <si>
    <t>12 046 121,60</t>
  </si>
  <si>
    <t>Оплачено, руб. (факт): 4 493 280.00 
Процент оплаты: 30.00 %</t>
  </si>
  <si>
    <t>1000004017.1000004883</t>
  </si>
  <si>
    <t>Реутов</t>
  </si>
  <si>
    <t>Реконструкция участков тепловых сетей от ЦТП 1 до ЦТП 3 в г.о. Реутов (в т.ч. ПИР)</t>
  </si>
  <si>
    <t>133 998 364,08</t>
  </si>
  <si>
    <t>Нет ИД</t>
  </si>
  <si>
    <t>Обьект оплачен</t>
  </si>
  <si>
    <t>Оплачено, руб. (план): 151 020 803.50
Оплачено, руб. (факт): 151 020 803.50
Процент оплаты: 94.82 %</t>
  </si>
  <si>
    <t>1000004610.5327935525</t>
  </si>
  <si>
    <t>Капитальный ремонт участков тепловых сетей от ТК 5-1 до ЦТП 1 и от ТК 5-2 до ЦТП №2 котельной №5 в г.о. Реутов (в т.ч. ПИР)</t>
  </si>
  <si>
    <t>25 724 448,64</t>
  </si>
  <si>
    <t>Оплачено, руб. (план): 31 377 796.91 
Оплачено, руб. (факт): 31 377 796.91 
Возврат оплат, руб.: 825 137.07 
Процент оплаты: 98.08 %</t>
  </si>
  <si>
    <t>оплачено полностью</t>
  </si>
  <si>
    <t>1000004572.5327935486</t>
  </si>
  <si>
    <t>Реконструкция участков тепловых сетей (закольцовка) от ТК 4-8 котельной № 4 до ул Комсомольская д.28 (в т.ч. ПИР)</t>
  </si>
  <si>
    <t>34 753 562,54</t>
  </si>
  <si>
    <t>Оплачено, руб. (план): 49 859 635.79 
Оплачено, руб. (факт): 49 859 635.79 
Возврат оплат, руб.: 7 661 697.88 
Процент оплаты: 85.05 %</t>
  </si>
  <si>
    <t>Работы приняты и оплачены полностью</t>
  </si>
  <si>
    <t>4036567251.4036567481</t>
  </si>
  <si>
    <t>Строительство БМК д. Старониколаево, д. 195</t>
  </si>
  <si>
    <t>24 572 354,0575</t>
  </si>
  <si>
    <t>Оплачено, руб. (план): 25 865 635.85
Оплачено, руб. (факт): 25 865 635.85
Процент оплаты: 100.00 %</t>
  </si>
  <si>
    <t>4036479591.4036479821</t>
  </si>
  <si>
    <t>Строительство БМК д. Сумароково, д. 34</t>
  </si>
  <si>
    <t>28 920 837,24</t>
  </si>
  <si>
    <t>Оплачено, руб. (план): 30 442 986.57
Оплачено, руб. (факт): 30 442 986.57
Процент оплаты: 100.00 %</t>
  </si>
  <si>
    <t>1000004013.1000004879</t>
  </si>
  <si>
    <t>Капитальный ремонт участков тепловых сетей от котельной №6 по адресу: Московская область, г.о. Лотошино, ул. 2-я Ветеринарная, д.23 (в т.ч. ПИР)</t>
  </si>
  <si>
    <t>Устранение замечаний по ИД. Количество не устраненных замечаний УТНКР (19) (план. до 20.06.2026)</t>
  </si>
  <si>
    <t>Оплачено, руб. (план): 3 601 766.08
Оплачено, руб. (факт): 3 601 766.08
Процент оплаты: 28.49 %</t>
  </si>
  <si>
    <t>Положительное заключение получено.СМР выполнен - есть замечания. Устранение замечаний до 30.06.2026 (благоустройство  и камеры). Оплата - 30.07.2026 .Устранение замечаний по ИД. Количество не устраненных замечаний УТНКР (19) (план. до 30.06.2026)</t>
  </si>
  <si>
    <t>1000000912.1000000597</t>
  </si>
  <si>
    <t>Капитальный ремонт сетей теплоснабжения от котельной БАНЯ, г. Можайск (в т.ч. ПИР)</t>
  </si>
  <si>
    <t>12 718 815,17</t>
  </si>
  <si>
    <t>Необходимо сдать ИД и КС . Срок 20.06.2026</t>
  </si>
  <si>
    <t>Оплачено, руб. (план): 12 718 815.17
Оплачено, руб. (факт): 3 744 158.69
Процент оплаты: 29.43 %</t>
  </si>
  <si>
    <t>Сданы ИД/КС</t>
  </si>
  <si>
    <t>Положительное заключение получено. СМР завершено. УТНКР ИД и КС принята
По оплата - проблема с субсидией. Двойное финансирование Минэнерго и МинЖКХ. 
"Перечислено в 2025 году подрядчику ООО «ГРАДОСТРОЙ» от АО «МОСОБЛТЕПЛО по объекту 11 051 965,64 руб.  (МинЖКХ)
Выставлено от  ООО «ГРАДОСТРОЙ»  КС-2 от 25.12.25 № 1 и УПД от ООО ""СКТК"" на общую сумму: 20 026 622,12 руб.
По объекту работы приняты АО «МОСОБЛТЕПЛО»  в полном объеме   в 2025г. с кредиторской задолженностью в сумме: 8 974 656,48 руб.
Разницу между суммой по Соглашению и суммой Договоров  в размере 101 912,12руб.      АО «МОСОБЛТЕПЛО» оплачивает за счет своих источников финансирования.
Срок действия по соглашению: 31.12.2025 не продлен!"</t>
  </si>
  <si>
    <t>Оплата - проблема с субсидией. Двойное финансирование Минэнерго и МинЖКХ..Доведены лимиты 2024-2025. Решается вопрос по продлению и закрытию субсидий, готвится дорожная карта до 25.06.2025</t>
  </si>
  <si>
    <t>1000004403.1000005431</t>
  </si>
  <si>
    <t>Капитальный ремонт участков тепловых сетей от котельной № 1 по адресу: Московская область, г.о. Чехов, Симферопольское ш., стр. 2б (от ТК -32 у дома № 13а , ул.Полиграфистов до ТК 34) (в т.ч. ПИР)</t>
  </si>
  <si>
    <t>ООО ВРЕМЯ</t>
  </si>
  <si>
    <t>Оплачено, руб. (план): 8 719 200.00 
Оплачено, руб. (факт): 8 719 200.00 
Процент оплаты: 50.00 %</t>
  </si>
  <si>
    <t>Формируется ДС на увеличение сроков и изменение цены контракта после МОГЭ до 26.06.2026 Полная оплата контракта планируется до 4 июля 2026</t>
  </si>
  <si>
    <t>1000004324.1000005315</t>
  </si>
  <si>
    <t>Капитальный ремонт участков тепловой сети по адресу: Московская область, Дмитровский г.о., г. Дмитров, ул. Водников 25, (от ТК-А6 до д.20 мкр.Маркова) (в т.ч. ПИР)</t>
  </si>
  <si>
    <t>16 080 681,06</t>
  </si>
  <si>
    <t>Завершение благо до 10.06.2026
Плановая дата захода в МОГЭ -15.06.2026
плановая дата выхода - 14.07.26</t>
  </si>
  <si>
    <t>Оплачено, руб. (факт): 8 291 500.21 
Процент оплаты: 49.01 %</t>
  </si>
  <si>
    <t>Плановая дата завершения благоустройства 30.06.26.Не получено МОГЭ, плановая дата захода до 01.07.2026
Планируется НТС до 01.07.2026
Плановая дата оплаты до 15.09.2026</t>
  </si>
  <si>
    <t>1000003982.1000004848</t>
  </si>
  <si>
    <t>Строительство БМК с. Мочилы ул. Лесная, мощностью 0,3 МВт</t>
  </si>
  <si>
    <t>Оплачено, руб. (план): 19 682 643.54 
Оплачено, руб. (факт): 19 682 643.54 
Процент оплаты: 90.06 %</t>
  </si>
  <si>
    <t>1000003915.1000004781</t>
  </si>
  <si>
    <t>Капитальный ремонт ЦТП по адресу: Московская область, г.о. Серебряные Пруды, рп. Серебряные Пруды, пер. Школьный (в т.ч. ПИР)</t>
  </si>
  <si>
    <t>Оплачено, руб. (план): 20 638 955.19 
Оплачено, руб. (факт): 18 824 909.17 
Процент оплаты: 79.80 %</t>
  </si>
  <si>
    <t>1000004221.1000005137</t>
  </si>
  <si>
    <t>Капитальный ремонт участков тепловых сетей от котельной № 1 по адресу: Московская область, г.о. Лыткарино, квартал 2, мкр. 5, стр. 5а (от ТК-412 до ТК-409), в т.ч. ПИР</t>
  </si>
  <si>
    <t>17 646 588,56</t>
  </si>
  <si>
    <t>4 898 608,56</t>
  </si>
  <si>
    <t>Устраняют замечания ИД. 12 замечаний</t>
  </si>
  <si>
    <t>Проведено совещание с проектной командой , пределили сроки предоставления ИД в УТНКР 15.06.2026</t>
  </si>
  <si>
    <t>Оплачено, руб. (план): 12 747 980.00 
Оплачено, руб. (факт): 12 747 980.00 
Процент оплаты: 50.00 %</t>
  </si>
  <si>
    <t>Тимошина (инфа от 22.05.2026 15:25)
"Контракт исполнен"
Тиховский
"В ПИК информация не обновилась, ожидаем"</t>
  </si>
  <si>
    <t>1000001804.1000001891</t>
  </si>
  <si>
    <t>Капитальный ремонт теплосети с. Узуново, микр-н Северный, г.о. Серебряные пруды (в т.ч. ПИР)</t>
  </si>
  <si>
    <t>ООО НИЛ</t>
  </si>
  <si>
    <t>Оплачено, руб. (план): 96 482 586.45 
Оплачено, руб. (факт): 96 482 586.45 
Процент оплаты: 100.00 %</t>
  </si>
  <si>
    <t>1000004414.5327935312</t>
  </si>
  <si>
    <t>Капитальный ремонт участка тепловой сети по адресу: Московская область, г.о. Серебряные Пруды, рп. Серебряные Пруды, ул. Октябрьская (в т.ч. ПИР)</t>
  </si>
  <si>
    <t>Оплачено, руб. (план): 11 309 895.87 
Оплачено, руб. (факт): 11 309 895.87 
Процент оплаты: 56.99 %</t>
  </si>
  <si>
    <t>1000005178.5327936570</t>
  </si>
  <si>
    <t>Капитальный ремонт участков тепловой сети от котельной №7 по адресу: Московская область, г.о. Серебряные Пруды, пос.Успенский, от ТК-10 до перехода на трубу диаметром 89 (в т.ч. ПИР)</t>
  </si>
  <si>
    <t>Оплачено, руб. (план): 5 587 696.84 
Оплачено, руб. (факт): 5 587 696.84 
Процент оплаты: 55.34 %</t>
  </si>
  <si>
    <t>8699295451.8699295801</t>
  </si>
  <si>
    <t>Строительство блочно-модульной котельной мощностью 1,5 Гкал/час, расположенной по адресу: Московская область, Одинцовский г.о., п. д/х "Жуковка", Жуковка-2 (в т.ч. ПИР)</t>
  </si>
  <si>
    <t>Низкий темп подгрузки документов в ПИК</t>
  </si>
  <si>
    <t>60 850 228,91</t>
  </si>
  <si>
    <t>СМР завершены, КС-2 подписаны, ИД представлена, акт закрытия от 24.12.2025 подписан</t>
  </si>
  <si>
    <t>СМР завершен, Планируется расторжение по фактически выполненым работам</t>
  </si>
  <si>
    <t>Нет дополнительного соглашения нет БГ</t>
  </si>
  <si>
    <t>Оплачено, руб. (план): 72 448 934.31
Оплачено, руб. (факт): 72 448 934.31
Процент оплаты: 89.38 %</t>
  </si>
  <si>
    <t>Оплаты по СМР заершены, осталось оплатить ТП, после корректировки смет и принятия их в УТНКР</t>
  </si>
  <si>
    <t>1000004409.5327935306</t>
  </si>
  <si>
    <t>Капитальный ремонт участка тепловой сети по адресу: Московская область, г.о. Звёздный городок, от ТК-1 до запорной арматуры на транзите в доме 24 (в т.ч. ПИР)</t>
  </si>
  <si>
    <t>11 056 097,71</t>
  </si>
  <si>
    <t>Нет МОГЭ, выходят на НТС</t>
  </si>
  <si>
    <t>Нет МОГЭ. 
Требуется прохождение НТС.
Не завершено благоустройство</t>
  </si>
  <si>
    <t>Находятся в НТС</t>
  </si>
  <si>
    <t>Оплачено, руб. (план): 3 316 829.31 
Оплачено, руб. (факт): 3 316 829.31 
Процент оплаты: 28.51 %</t>
  </si>
  <si>
    <t>Не зашел в МОГЭ</t>
  </si>
  <si>
    <t>Нет МОГЭ. 
Требуется прохождение НТС. НТС назначен на 16.06.2026г.
Благоустройство в стадии завершения.</t>
  </si>
  <si>
    <t>1000004849.5327935894</t>
  </si>
  <si>
    <t>Капитальный ремонт участка тепловой сети по адресу: Московская область, г.о. Серебряные Пруды, с. Подхожее, мкр. Юбилейный (в т.ч. ПИР)</t>
  </si>
  <si>
    <t>83 322 804,12</t>
  </si>
  <si>
    <t>67 294 856,46</t>
  </si>
  <si>
    <t>16 027 947,66</t>
  </si>
  <si>
    <t>Оплата полностью 2026</t>
  </si>
  <si>
    <t>Оплачено, руб. (план): 68 812 940.14 
Оплачено, руб. (факт): 63 686 848.31 
Процент оплаты: 75.06 %</t>
  </si>
  <si>
    <t>1000003929.1000004795</t>
  </si>
  <si>
    <t>Серпухов</t>
  </si>
  <si>
    <t>Капитальный ремонт центрального теплового пункта по адресу: Московская область, г. Пущино, мкр "Г", д. 7а (ЦТП-Г)</t>
  </si>
  <si>
    <t>Оплачено, руб. (план): 35 939 705.34 
Оплачено, руб. (факт): 35 939 705.34 
Процент оплаты: 100.00 %</t>
  </si>
  <si>
    <t>Выполнен и оплачен 100%</t>
  </si>
  <si>
    <t>1000004689.5327935617</t>
  </si>
  <si>
    <t>Реконструкция участка тепловой сети по адресу: Московская область, г. Кашира, в районе ул. Больничная (в т.ч. ПИР)</t>
  </si>
  <si>
    <t>10 445 820,00</t>
  </si>
  <si>
    <t>22.05. подача ПСД на согласовавние заказчику, план захода в МОГЭ - 15.06.2026г. Не закончены СМР в части финального благоустройства (план до 15.06.) Замечания УТНКР(32): Проектно-изыскательские работы • Прокладка инженерных сетей (линейные объекты) • Земляные работы</t>
  </si>
  <si>
    <t>Оплачено, руб. (план): 3 133 550.00
Оплачено, руб. (факт): 3 133 550.00
Процент оплаты: 28.49 %</t>
  </si>
  <si>
    <t>ООО "КДС" заключил контракт после расторжения с ООО"Лэндстрой" Разработка ПСД выполняется при наличии изменений объемов и ТЗ. ПСД находится на просчете сметы. После согласования заказчиком будет передана в МОГЭ. Плановая дата - 20.06.2026г.
СМР выполняются с учетом устранений дефектов, допущенных предыдущей подрядной организацией.</t>
  </si>
  <si>
    <t>4036051331.4036051511</t>
  </si>
  <si>
    <t>Замена участка трубопровода теплоснабжения от котельной «ГЭМЗ» до тепловой камеры ТК-2.1 в районе магазина «Магнит», с увеличением диаметра до 2Dу=500мм, по адресу: Московская область, городское посление Солнечногорск</t>
  </si>
  <si>
    <t>ООО МКСМ</t>
  </si>
  <si>
    <t>Оплата по факту выполнения</t>
  </si>
  <si>
    <t>Контракт расторгнут 04.12.2025. Экспертиза получена в 2021 г.
Цена контракта 93,2 млн руб. Выплачено по договору 46,6 млн руб. Осталось проложить 358 п.м. ТС. Стоимость работ по сметам 101 млн руб.
Новый подрядчик будет определен после доведения лимитов от Минэнерго (письмо от 07.04.2026 №Исх-1855/2026)</t>
  </si>
  <si>
    <t>Оплачено, руб. (план): 46 608 000.00
Оплачено, руб. (факт): 46 608 000.00
Процент оплаты: 50.00 %</t>
  </si>
  <si>
    <t>Подрядчик: не определен
Контракт расторгнут 16.12.2025, в связи с не выходом подрядчика на объект и остановкой строительства. Планируется выход на новые торги.
По предварительным расчетам сметной стоимости для завершения работ по объекту, необходимо 101 млн руб. (увеличение на 55 млн руб). 07.04.2026 от ОМСУ направлено письмо в части увеличения лимитов финансирования по мероприятию до 100 929,6 тыс.руб.
Лимиты до ОМСУ на текущий момент не доведены</t>
  </si>
  <si>
    <t>1000000903.1000000588</t>
  </si>
  <si>
    <t>Капитальный ремонт сетей теплоснабжения и ГВС от котельной Выстрел (в т.ч. ПИР+СМР)</t>
  </si>
  <si>
    <t>Оплачено в 2025</t>
  </si>
  <si>
    <t>Сдача объёмов в УТНКР, разногласия в части земляных работ, тепловых камер и благоустройства. Дело движется к судебным разбирательствам. От округа содействия не ощущается. Сроки уходят вправо.</t>
  </si>
  <si>
    <t>Проводятся еженедельные совещания на регулярной основе с участием Тактарова Р.Ф.</t>
  </si>
  <si>
    <t>Оплачено, руб. (план): 2 065 767 788.58
Оплачено, руб. (факт): 2 065 767 788.58
Процент оплаты: 100.00 %</t>
  </si>
  <si>
    <t>Оплата по контракту проведена полностью, работы приняты частично без учета вычета авансового платежа.
В настоящее время ведутся работы по сдаче объекта в УТНКР (до конца июня 2026):- Тепловые камеры технологические решение - Разногласия при подтверждении объемов земляных работ (в соответствии с письмом ГБУ МО «УТНКР» №ГБУ-10-1953/2026 от 27.04.2026)
- Необходимо привести в соответствие КС-2
Остаток к закрытию по КС-2 на сумму 1 228 644 тыс. руб., из них:_x000b_Не подписано в УТНКР – в работе (1 036 419 тыс. руб.):
Благоустройство – 635 876 тыс. руб. Земляные работы – 341 775 тыс. руб. Непредвиденные работы – 58 768 тыс. руб.
Необходимо провести корректировку актов выполненных работ на сумму - 36 619 тыс. руб.</t>
  </si>
  <si>
    <t>1000003930.1000004796</t>
  </si>
  <si>
    <t>Капитальный ремонт котельной Лыткино в/г 213 по адресу: Московская область, г.о. Солнечногорск, в/г 213 (в т.ч. ПИР)</t>
  </si>
  <si>
    <t>Оплачено, руб. (план): 73 154 485.55
Оплачено, руб. (факт): 73 154 485.55
Процент оплаты: 93.62 %</t>
  </si>
  <si>
    <t>1000003884.1000004750</t>
  </si>
  <si>
    <t>Реконструкция ЦТП по адресу: Московская область, г.о. Ленинский, пос. Измайлово д.14б (в т.ч. ПИР)</t>
  </si>
  <si>
    <t>60 308 946,80</t>
  </si>
  <si>
    <t>32 137 177,26</t>
  </si>
  <si>
    <t>28 171 769,54</t>
  </si>
  <si>
    <t>СМР не завершены в части общестроительных работ
Замечания УТНКР(19): Фасад • Демонтажные работы • Инженерные системы • Пуско-наладочные работы</t>
  </si>
  <si>
    <t>Сумма произведённых авансовых платежей, руб.: 36 394 500.00
Оплачено, руб. (план): 61 468 880.04
Оплачено, руб. (факт): 61 468 880.04
Процент оплаты: 88.66 %</t>
  </si>
  <si>
    <t>СМР не завершен в части ПНР(выполняется). Срок завершения ПНР до 20.06.2026.
Замечания УТНКР(19): Фасад • Демонтажные работы • Инженерные системы • Пуско-наладочные работы</t>
  </si>
  <si>
    <t>1000004856.5327935903</t>
  </si>
  <si>
    <t>Капитальный ремонт тепловых сетей от котельной № 1 по адресу: г. Лыткарино, 5 мкр., кв-л 2, стр. 5а, до ТК-207 и ТК-3 (в т.ч. ПИР)</t>
  </si>
  <si>
    <t>Оплачено, руб. (план): 7 346 320.51 
Оплачено, руб. (факт): 7 346 320.51 
Процент оплаты: 48.83 %</t>
  </si>
  <si>
    <t>1000004339.1000005331</t>
  </si>
  <si>
    <t>Капитальный ремонт участков тепловой сети по адресу: Московская область, Дмитровский г.о., рп Икша ул. Рабочая (от котельной до т.А ул.Рабочая) (в т.ч. ПИР)</t>
  </si>
  <si>
    <t>13 665 759,20</t>
  </si>
  <si>
    <t>Благоустройство завершат до 15.06.2026
24.03.2026-Результаты рассмотрения документации
Плановая дата захода в МОГЭ 15.06.2026, проходят НТС</t>
  </si>
  <si>
    <t>Проходит НТС</t>
  </si>
  <si>
    <t>Оплачено, руб. (факт): 6 761 739.60 
Процент оплаты: 47.00 %</t>
  </si>
  <si>
    <t>НТС пройден 28.05.2026
На 04.06.2026 протокол на согласовании по МСЭД
Документация на корректировку ТЗ не предоставлена, не сформировано обращение к зазчику(до 19.06.26)Плановая дата захода в МОГЭ 22.06.2026
Планируемая дата оплаты 10.09.2026</t>
  </si>
  <si>
    <t>1000004407.5327935304</t>
  </si>
  <si>
    <t>Капитальный ремонт участков тепловых сетей от котельной № 23 по адресу: Московская область, г.о. Чехов, д. Крюково (в т.ч. ПИР)</t>
  </si>
  <si>
    <t>направлена заявка на МБТ 18.05.2026, после этого будет направлена заявка на опла ту этапов пир и смр</t>
  </si>
  <si>
    <t>Оплачено, руб. (план): 5 242 160.00 
Оплачено, руб. (факт): 5 022 458.01 
Процент оплаты: 33.53 %</t>
  </si>
  <si>
    <t>Расторжение под факт выполненных работ</t>
  </si>
  <si>
    <t>1000002877.1000003629</t>
  </si>
  <si>
    <t>Капитальный ремонт участков тепловых сетей от котельной ТЭЦ-17 (от ул. Горького до ул. Андропова) по адресу: Московская область, г.Ступино, пр-т Победы</t>
  </si>
  <si>
    <t>ООО ГЭС</t>
  </si>
  <si>
    <t>Оплачено, руб. (план): 62 966 074.28 
Оплачено, руб. (факт): 62 966 074.28 
Процент оплаты: 100.00 %</t>
  </si>
  <si>
    <t>1000004662.5327935580</t>
  </si>
  <si>
    <t>Капитальный ремонт участка теплосети по адресу: Московская область, г.о. Дубна, ул. Попова, от ЦТП-4 до ТК-49 (в т.ч. ПИР)</t>
  </si>
  <si>
    <t>5 152 141,07</t>
  </si>
  <si>
    <t>Исполнено, руб. (факт): 6 101 920.87
Процент исполнения: 53.90 %</t>
  </si>
  <si>
    <t>сдан ИД подписано КС в УТНКР</t>
  </si>
  <si>
    <t>СМР сданы по КС. Заказчик при оплате удержал неустойку в размере 493 158,56 руб. Контракт в ПИК не закрыт. Подрядчик не согласен с удержанием и готовит иск</t>
  </si>
  <si>
    <t>1000004950.5327936078</t>
  </si>
  <si>
    <t>Капитальный ремонт ЦТП Северная (в части замены оборудования) по адресу: Московская область, г.о. Ступино, п. Михнево (в т.ч. ПИР)</t>
  </si>
  <si>
    <t>ООО ПГК МСК</t>
  </si>
  <si>
    <t>11 034 060,00</t>
  </si>
  <si>
    <t>ИД сдана. Частичная оплата</t>
  </si>
  <si>
    <t>1000004463.5327935372</t>
  </si>
  <si>
    <t>Капитальный ремонт участков тепловых сетей Котельной мкр. "Б" от ЦТП-4 до ЦТП-6 в г.о.Ступино (в т.ч. ПИР)</t>
  </si>
  <si>
    <t>Оплачено, руб. (план): 26 308 107.85 
Оплачено, руб. (факт): 26 308 107.85 
Процент оплаты: 99.12 %</t>
  </si>
  <si>
    <t>1000004084.1000004960</t>
  </si>
  <si>
    <t>Капитальный ремонт котельной ( в части замены насосов) по адресу: Московская область, г. Егорьевск, ул. Рязанская, д.106</t>
  </si>
  <si>
    <t>Подрядчик получил заключение МОГЭ со стоимостью меньше договорной, планирует повторный заход в МОГЭ для подтверждения стоимости</t>
  </si>
  <si>
    <t>По состоянию на текущую дату, подрядная организация ООО «Косма» выполнила строительно-монтажные работы на общую сумму 10 млн рублей. При этом из государственной экспертизы (ГАУ МО «Мособлгосэкспертиза») получено положительное заключение только на часть работ стоимостью 6 млн рублей.
В связи с этим, 03.06.2026 подрядчик инициировал повторную загрузку откорректированной проектно-сметной документации для прохождения экспертизы в отношении всего объёма выполненных работ."</t>
  </si>
  <si>
    <t>Планируют повторный заход в МОГЭ для подтверждения объемов</t>
  </si>
  <si>
    <t>Оплачено, руб. (план): 3 113 751.00 
Оплачено, руб. (факт): 3 113 751.00 
Процент оплаты: 30.00 %
верно</t>
  </si>
  <si>
    <t>Не вышли из МОГЭ. 
работы завершены</t>
  </si>
  <si>
    <t>1000003951.1000004817</t>
  </si>
  <si>
    <t>Строительство БМК мощностью 6 МВт по адресу: Московская область, г.о. Ступино, д. Леонтьево</t>
  </si>
  <si>
    <t>Оплачено, руб. (план): 95 185 992.54 
Оплачено, руб. (факт): 95 185 992.54 
Процент оплаты: 95.31 %</t>
  </si>
  <si>
    <t>1000004322.1000005313</t>
  </si>
  <si>
    <t>Капитальный ремонт тепловой сети по адресу: Московская область, Дмитровский г/о, р.п. Деденево, ул. Набережная, д. 21Г, стр. 1 (в т.ч. ПИР)</t>
  </si>
  <si>
    <t>12 935 726,94</t>
  </si>
  <si>
    <t>Плановая дата сдачи ИД 15.06.2026</t>
  </si>
  <si>
    <t>Оплачено, руб. (факт): 6 396 320.24 
Процент оплаты: 47.00 %</t>
  </si>
  <si>
    <t>Выплачен аванс</t>
  </si>
  <si>
    <t>Плановая дата сдачи ИД 25.06.2026 - замечания со стороны заказчика в части металлолома
Документация на корректировку ТЗ не предоставлена(до 19.06.26).Плановая дата оплаты до 15.07.2026</t>
  </si>
  <si>
    <t>1000004826.5327935868</t>
  </si>
  <si>
    <t>Капитальный ремонт участков тепловой сети по адресу: Московская область, г.о. Луховицы, от котельной Григорьевское до ТК №4 (в т.ч. ПИР)</t>
  </si>
  <si>
    <t>22 685 754,76</t>
  </si>
  <si>
    <t>7 304 417,37</t>
  </si>
  <si>
    <t>15 381 337,39</t>
  </si>
  <si>
    <t>Оплачено, руб. (план): 17 677 965.82
Оплачено, руб. (факт): 17 677 965.82
Процент оплаты: 72.02 %</t>
  </si>
  <si>
    <t>остались объемы по благоустройству, не полностью сдана ИД в части благоустройства процент оплаты 72.02 %</t>
  </si>
  <si>
    <t>1000004022.1000004888</t>
  </si>
  <si>
    <t>Строительство участков тепловых сетей для переключения на новую БМК по адресу: Московская область, г.о.Ступино, п.Жилёво, ул.Северная</t>
  </si>
  <si>
    <t>ООО САРАТОВТЕХМОНТАЖ</t>
  </si>
  <si>
    <t>Оплачено, руб. (план): 24 431 363.68 
Оплачено, руб. (факт): 24 431 363.68 
Процент оплаты: 96.21 %</t>
  </si>
  <si>
    <t>1000004315.1000005305</t>
  </si>
  <si>
    <t>Капитальный ремонт котельной № 3 по адресу г. Наро-Фоминск, ул. Калинина (в.ч.ПИР)</t>
  </si>
  <si>
    <t>32081 489,65</t>
  </si>
  <si>
    <t>23216 555,59</t>
  </si>
  <si>
    <t>8864 934,06</t>
  </si>
  <si>
    <t>Устраняют замечания УТНКР по ИД, всего 6 замечаний. Срок до 15.06.2026</t>
  </si>
  <si>
    <t>Оплачено, руб. (план): 30 368 414.93
Оплачено, руб. (факт): 30 368 414.93
Процент оплаты: 81.59 %</t>
  </si>
  <si>
    <t>Положительное заключение экспертизы получено. Планируется повторный заход в МОГЭ до 30.06.2026 в связи с корректировкой технических решений. После выхода из МОГЭ подписание в УТНКР ИД и КС Срок до 01.09.2026 
СМР завершен.</t>
  </si>
  <si>
    <t>1000004528.5327935439</t>
  </si>
  <si>
    <t>Капитальный ремонт участков тепловых сетей от котельной ТЭЦ-17 (от ТК-29 до ТК-31) по адресу: Московская область, г. Ступино, пр-т Победы (в т.ч. ПИР)</t>
  </si>
  <si>
    <t>Оплачено, руб. (план): 7 067 134.53 
Оплачено, руб. (факт): 7 067 134.53 
Процент оплаты: 100.00 %</t>
  </si>
  <si>
    <t>Контракт исполнен на 100%</t>
  </si>
  <si>
    <t>1000004461.5327935370</t>
  </si>
  <si>
    <t>Капитальный ремонт участков тепловых сетей от ЦТП Северо-Западный г.о.Ступино (от ТК-93 до ЦТП Северо-Западный) (в т.ч. ПИР)</t>
  </si>
  <si>
    <t>ООО ЛЭНДСТРОЙ</t>
  </si>
  <si>
    <t>Оплачено, руб. (план): 7 119 068.45 
Оплачено, руб. (факт): 7 119 068.45 
Процент оплаты: 98.48 %</t>
  </si>
  <si>
    <t>1000004226.1000005142</t>
  </si>
  <si>
    <t>Капитальный ремонт участков тепловых сетей от котельной №1, от ж/д №7 до ж/д №1 квартала 1 (в т.ч. ПИР)</t>
  </si>
  <si>
    <t>ИД не сдано</t>
  </si>
  <si>
    <t>ИД в УТКР не полный комплект</t>
  </si>
  <si>
    <t>Проведено совещание и ВКС с подрядчиком, определили срок предоставления ИД до 10.06.2026</t>
  </si>
  <si>
    <t>Оплачено, руб. (план): 5 439 701.61 
Оплачено, руб. (факт): 5 439 701.61 
Процент оплаты: 45.12 %</t>
  </si>
  <si>
    <t>Не сдано ИД. СМР выполнен</t>
  </si>
  <si>
    <t>1000004464.5327935373</t>
  </si>
  <si>
    <t>Капитальный ремонт тепловых сетей котельной Семёновское участка от ТК-2 до ТК на ул. Черемушки (в т.ч. ПИР)</t>
  </si>
  <si>
    <t>Оплачено, руб. (план): 45 279 584.76 
Оплачено, руб. (факт): 45 279 584.76 
Процент оплаты: 98.52 %</t>
  </si>
  <si>
    <t>1000004570.5327935484</t>
  </si>
  <si>
    <t>Капитальный ремонт котельной в части замены котла ДКВР 4-13, по адресу: Московская область, г.о. Ступино, д. Леонтьево (в т.ч. ПИР)</t>
  </si>
  <si>
    <t>Исполнено, руб. (план): 15 385 000.00 
Исполнено, руб. (факт): 14 792 100.41 
Процент исполнения: 96.14 %</t>
  </si>
  <si>
    <t>1000004331.1000005322</t>
  </si>
  <si>
    <t>Капитальный ремонт участков тепловой сети по адресу: Московская область, Дмитровский г.о., г. Дмитров, ул. Комсомольская (от ТК-М1 до ТК-М4) (в т.ч. ПИР)</t>
  </si>
  <si>
    <t>11 872 901,64</t>
  </si>
  <si>
    <t>04.05.2026-Результаты рассмотрения документации
Нет МОГЭ, планируется НТС</t>
  </si>
  <si>
    <t>Оплачено, руб. (факт): 5 870 892.67 
Процент оплаты: 47.00 %</t>
  </si>
  <si>
    <t>Не получено МОГЭ, плановая дата захода до 01.07.2026
Планируется НТС до 01.07.2026
Плановая дата оплаты до 15.09.2026</t>
  </si>
  <si>
    <t>1000004569.5327935483</t>
  </si>
  <si>
    <t>Капитальный ремонт ЦТП котельной Михневская Керамика в части замены теплообменного и насосного оборудования, по адресу: Московская область, г.о. Ступино, п. Михнево (в т.ч. ПИР)</t>
  </si>
  <si>
    <t>Нет МОГЭ
СМР завершен</t>
  </si>
  <si>
    <t>МОГЭ не получено
25.05.2026 - отказ в приёме документов. Повторная подача документов - 15.06.2026</t>
  </si>
  <si>
    <t>Замечания к ИД</t>
  </si>
  <si>
    <t>Оплачено, руб. (план): 6 477 030.00 
Оплачено, руб. (факт): 6 477 030.00 
Процент оплаты: 50.00 %</t>
  </si>
  <si>
    <t>МОГЭ не получено
25.05.2026 - отказ в приёме документов. 
10.06.2026 - заключен договор с МОГЭ
Плановая дата выхода из экспертизы - 22.07.2026
СМР выполнен в полном объёме. Благоустройство выполнено</t>
  </si>
  <si>
    <t>1000004682.5327935602</t>
  </si>
  <si>
    <t>Капитальный ремонт участков тепловых сетей от котельной по адресу: Московская обл., Можайский г.о., с. Борисово: от ТК 2 до ТК 4, от ТК4 до ТК 10 (в т.ч. ПИР)</t>
  </si>
  <si>
    <t>8 743 319,0245</t>
  </si>
  <si>
    <t>2 622 995,7045</t>
  </si>
  <si>
    <t>6 120 323,32</t>
  </si>
  <si>
    <t>Необходимо завершить финальное благоустройство,сдать ИД и КС .Срок 20.06.2026</t>
  </si>
  <si>
    <t>Положительное заключение экспертизы получено.
СМР не завершено.Необходимо завершить финальное благоустройство,сдать ИД и КС .Срок 15.07.2026
Будет выполнена переврезка - в период остановки 04.07 (10 - 14 дней). Оплата - проблема с субсидией. Двойное финансирование Минэнерго и МинЖКХ. 
"Перечислен подрядчику аванс на общую сумму 2 956 282,39  руб. из них:
Минэнерго -  1 741 052,39  руб.
МинЖКХ - 1 215 230,00  руб.
Выполнено работ в 2025г Акт о приемки услуг на общую сумму: 195 234,28 руб. (закрыли часть аванса МинЖКХ)
В связи  с  не предоставлением от подрядчика ООО «Дегма»  всех Актов о приемки работ и КС-2 в 2025г. образовалась просроченная дебиторская задолженность в отношении с АО «МОСОБЛТЕПЛО» на конец 2025г 1 741 052,39 руб.
Срок действия по соглашению: 31.12.2025 не продлен!"</t>
  </si>
  <si>
    <t>Будет выполнена переврезка - в период остановки 04.07 (10 - 14 дней). Оплата - проблема с субсидией. Двойное финансирование Минэнерго и МинЖКХ. Не доведены лимиты. Решается вопрос по продлению и закрытию субсидий, готвится дорожная карта до 25.06.2025</t>
  </si>
  <si>
    <t>1000004072.1000004948</t>
  </si>
  <si>
    <t>Строительство тепловых сетей от БМК мощностью 4,0 МВт по адресу: Московская область, г. Кашира, ул. Ильича до врезки в существующую сеть (в т.ч. ПИР)</t>
  </si>
  <si>
    <t>11 153 700,00</t>
  </si>
  <si>
    <t>ПСД передается 22.05 на согласование заказчику, план захода в МОГЭ - 15.06.2026г. СМР - монтаж бордюров, укладка АБС. Срок завершения - 31.05. Замечания УТНКР(35):Проектно-изыскательские работы • Земляные работы • Демонтажные работы • Прокладка инженерных сетей (линейные объекты) • Устройство ж/б колодцев, камер (линейные объекты) • Общестроительные работы • засыпка грунта (линейные объекты) • Благоустройство</t>
  </si>
  <si>
    <t>Оплачено, руб. (план): 5 534 296.59
Оплачено, руб. (факт): 5 534 296.59
Процент оплаты: 47.00 %</t>
  </si>
  <si>
    <t>ООО "КДС" заключил контракт после расторжения с ООО"Лэндстрой" Разработка ПСД выполняется при наличии изменений объемов и ТЗ. ПСД находится на согласовании у заказчика. Плановая дата захода в МОГЭ - 15.06.2026г.
СМР выполняются с учетом устранений дефектов, допущенных предыдущей подрядной организацией.</t>
  </si>
  <si>
    <t>1000001782.1000001868</t>
  </si>
  <si>
    <t>Реконструкция сети теплоснабжения р.п. Запрудня. КТС 057 пер. Мира ,д. 10 (в т.ч. ПИР)</t>
  </si>
  <si>
    <t>134 245 465,83</t>
  </si>
  <si>
    <t>Контракт расторгнут 19.02.2026 по факту выполненных работ
Оплачено, руб. (факт): 145 250 899.73
Процент оплаты: 66.62 %
Оплата выполнена</t>
  </si>
  <si>
    <t>Работа выполнена,закрыто под факт</t>
  </si>
  <si>
    <t>1000001780.1000001866</t>
  </si>
  <si>
    <t>Реконструкция участка тепловой сети (бесканальная прокладка) МО, г. Талдом, мкр. Юбилейный: от ТК-4 к ж/д №№ 29, 32, 34; от ТК-5 к ж/д №№ 28, 30, 31, 33, 35, 36, 37, 38. (в т.ч. ПИР)</t>
  </si>
  <si>
    <t>84 638 046,00</t>
  </si>
  <si>
    <t>59 886 075,31</t>
  </si>
  <si>
    <t>24 751 970,69</t>
  </si>
  <si>
    <t>Планируется расторжение контракта 10.06.2026, под факт выполненных работ</t>
  </si>
  <si>
    <t>"Закрыто по факту выполненных работ
Оплачено, руб. (факт): 68 311 865.72
Процент оплаты: 76.67 %
Оплата выполнена</t>
  </si>
  <si>
    <t>1000004828.5327935870</t>
  </si>
  <si>
    <t>Капитальный ремонт участков тепловой сети по адресу: Московская область, г.о. Луховицы, п. Фруктовая, от котельной Фруктовая, вдоль ул. Молодежная, дома 21-29: от ТК 10 до ТК 16 (в т.ч. ПИР)</t>
  </si>
  <si>
    <t>16 632 283,83</t>
  </si>
  <si>
    <t>Оплачено, руб. (план): 12 490 749.00
Оплачено, руб. (факт): 12 490 749.00
Процент оплаты: 66.70 %</t>
  </si>
  <si>
    <t>остались объемы по благоустройству, не полностью сдана ИД в части благоустройства процент оплаты 66.70 %</t>
  </si>
  <si>
    <t>1000004356.1000005350</t>
  </si>
  <si>
    <t>Капитальный ремонт участков тепловых сетей от котельной №3 по адресу: Московская область, г.о. Талдомский, г. Талдом, ул. Мичурина, 3а (в т.ч. ПИР)</t>
  </si>
  <si>
    <t>16 880 436,00</t>
  </si>
  <si>
    <t>СМР не завершен, нет МОГЭ</t>
  </si>
  <si>
    <t>СМР не завершен.
Контракт расторгнут</t>
  </si>
  <si>
    <t>Оплачено, руб. (факт): 5 330 664.00 
Процент оплаты: 30.00 %</t>
  </si>
  <si>
    <t>Нет МОГЭ,СМР не завершен</t>
  </si>
  <si>
    <t>1000004471.5327935380</t>
  </si>
  <si>
    <t>Капитальный ремонт участков тепловых сетей от котельной №18 по адресу: Московская область, г.о. Лотошино, д. Доры, д.67: от ТК-2 до ТК-4 (в т.ч. ПИР)</t>
  </si>
  <si>
    <t>Получено отрицательное заключение МОГЭ, повторный заход в МОГЭ до 10.06.2026.Выход из МОГЭ до 01.08.2026 Завершение благоустройства до 01.07.2026 Количество не устраненных замечаний УТНКР (14) (план. до 15.06.2026)</t>
  </si>
  <si>
    <t>Проведен ВКС о необходимости скорейшего получения заключения МОГЭ и завршении работ по благоустройству</t>
  </si>
  <si>
    <t>Оплачено, руб. (план): 5 631 969.21
Оплачено, руб. (факт): 5 631 969.21
Процент оплаты: 47.50 %</t>
  </si>
  <si>
    <t>Получено отрицательное заключение МОГЭ, повторный заход в МОГЭ 30.06.2026.Выход из МОГЭ до 01.08.2026 Завершение благоустройства до 01.07.2026. Работы начаты. Количество не устраненных замечаний УТНКР (14) (план. до 30.06.2026)
Необходимо менять штабные решения,в связи с изменением сметной стоимости ( увеличение протяженности на 102п.м).Готовятся обоснования для заключения ДС  по ст.  65.1 (44-ФЗ)</t>
  </si>
  <si>
    <t>1000004677.5327935597</t>
  </si>
  <si>
    <t>Реконструкция участка тепловой сети по адресу: Московская область, г. Кашира, от дома № 13 по ул. Московская до сущ. ТК на пожарную часть (в т.ч. ПИР)</t>
  </si>
  <si>
    <t>10 174 899,48</t>
  </si>
  <si>
    <t>ПСД передана на согласование заказчику 22.05., план захода в МОГЭ - 15.06.2026г., не закончены СМР: монтаж бордюров, благоустройство. Срок - 31.05. Замечания УТНКР(23): Проектно-изыскательские работы • Земляные работы • Разработка траншеи (линейные объекты) • Прокладка инженерных сетей (линейные объекты) • Общестроительные работы • Пуско-наладочные работы • Демонтажные работы • засыпка грунта (линейные объекты)</t>
  </si>
  <si>
    <t>Оплачено, руб. (план): 5 087 135.12
Оплачено, руб. (факт): 5 087 135.12
Процент оплаты: 47.50 %</t>
  </si>
  <si>
    <t>1000004345.1000005337</t>
  </si>
  <si>
    <t>Капитальный ремонт тепловой сети по адресу: Московская область, г. Дмитров ,ул. Космонавтов (от котельной до ЦТП (в жд15) мкр.Космонавтов) (в т.ч. ПИР)</t>
  </si>
  <si>
    <t>9 399 664,01</t>
  </si>
  <si>
    <t>Оплачено, руб. (факт): 4 648 296.02 
Процент оплаты: 46.99 %</t>
  </si>
  <si>
    <t>Плановая дата сдачи ИД 25.06.2026 - замечания со стороны заказчика в части металлолома
Документация на корректировку ТЗ не предоставлена(до 19.06.26).Плановая дата оплаты до 17.08.2026</t>
  </si>
  <si>
    <t>1000004466.5327935375</t>
  </si>
  <si>
    <t>Капитальный ремонт участков тепловых сетей от котельной №1 по адресу: Московская область, г.о. Лотошино, п.Лотошино, ул.Микрорайон, д.9: от ж.д.6 до ж.д.11, от ТК-9 до ответвления на здания РООиР (в т.ч. ПИР)</t>
  </si>
  <si>
    <t>Оплачено, руб. (план): 4 661 164.20
Оплачено, руб. (факт): 4 661 164.20
Процент оплаты: 47.50 %</t>
  </si>
  <si>
    <t>Получено отрицательное заключение МОГЭ, повторный заход в МОГЭ  30.06.2026. Выход из МОГЭ до 01.08.2026. Сдача объекта  сентябрь.Необходимо менять штабные решения,в связи с изменением  протяженности (увеличение на 130п.м).Готовятся обоснования для заключения ДС  65.1 к контракту 44-ФЗ</t>
  </si>
  <si>
    <t>1000004050.1000004925</t>
  </si>
  <si>
    <t>Строительство БМК на 5 МВт по адресу: Московская область, г.о. Луховицы, с.Матыра, ул. Школьная, д.15 (в т.ч. ПИР)</t>
  </si>
  <si>
    <t>87 561 211,05</t>
  </si>
  <si>
    <t>62 852 829,80</t>
  </si>
  <si>
    <t>24 708 381,25</t>
  </si>
  <si>
    <t>не полностью сдана ИД (план сдачи до 08.07.2026.
не полностью завершены СМР - предъявление ПНР представителям УТНКР (план сдачи 22.07.2026).
устраняются замечания по ИД</t>
  </si>
  <si>
    <t>Оплачено, руб. (план): 95 736 731.84
Оплачено, руб. (факт): 95 736 731.84
Процент оплаты: 94.98 %</t>
  </si>
  <si>
    <t>остались объемы по благоустройству и по СМР тепловых камер, не полностью сдана ИД в части благоустройства процент оплаты 94.98 %</t>
  </si>
  <si>
    <t>Положительное заключение МОГЭ получено.
СГ 91%
Не завершен СМР в части устранения замечаний УТНКР и ПНР (план завершения 15.07.2026).
Не полностью сдана ИД на остаток работ (план 15.08.2026).</t>
  </si>
  <si>
    <t>1000004225.1000005141</t>
  </si>
  <si>
    <t>Капитальный ремонт участков тепловых сетей от котельной АО "ЛЗОС", от ТК-371 до ТК-375 (в т.ч. ПИР)</t>
  </si>
  <si>
    <t>не полный комплект ИД.</t>
  </si>
  <si>
    <t>Оплачено, руб. (план): 5 096 809.20 
Оплачено, руб. (факт): 5 096 809.20 
Процент оплаты: 50.00 %</t>
  </si>
  <si>
    <t>1000004675.5327935595</t>
  </si>
  <si>
    <t>Реконструкция участков тепловых сетей от ЦТП-2 ст. Кашира по адресу: Московская область, г. Кашира, ул. Ильича, д. 47: от т/к № 13 до ввода в ж/д 28 по ул. Пролетарская, от т/к № 2 до ТК № 3, от т/к № 10 до ТК № 11 по ул. Иванова (в т.ч. ПИР)</t>
  </si>
  <si>
    <t>6 661 678,00</t>
  </si>
  <si>
    <t>не разработан ПИР (план. до 10.06. отправить на согласование заказчику), план захода в МОГЭ - 20.06.2026г., не закончены СМР в части монтажа тепловой камеры, и финального благоустройства (план. до 25.07.) Замечания УТНКР(35): Проектно-изыскательские работы • Демонтажные работы • Прокладка инженерных сетей (линейные объекты) • Устройство ж/б колодцев, камер (линейные объекты) • Земляные работы • засыпка грунта (линейные объекты)</t>
  </si>
  <si>
    <t>Нет МОГЭ,</t>
  </si>
  <si>
    <t>Оплачено, руб. (план): 1 998 200.00
Оплачено, руб. (факт): 1 998 200.00
Процент оплаты: 28.49 %</t>
  </si>
  <si>
    <t>1000000892.1000000577</t>
  </si>
  <si>
    <t>Фрязино</t>
  </si>
  <si>
    <t>Капитальный ремонт тепловых сетей от УТ-113 до жилого дома №1А по ул. Школьная в г. о. Фрязино (в т.ч. ПИР)</t>
  </si>
  <si>
    <t>ООО ГК ИМПЕРИЯ</t>
  </si>
  <si>
    <t>Оплачено, руб. (план): 1 173 116.44 
Оплачено, руб. (факт): 1 173 116.44 
Процент оплаты: 68.96 %</t>
  </si>
  <si>
    <t>1000000894.1000000579</t>
  </si>
  <si>
    <t>Капитальный ремонт ввода сетей отопления и ГВС от УТ-88 до ж/д № 27 по ул.Нахимова МО, г.Фрязино, ул. Нахимова, д.27 (в т.ч. ПИР)</t>
  </si>
  <si>
    <t>Оплачено, руб. (план): 1 144 724.98 
Оплачено, руб. (факт): 1 144 724.98 
Процент оплаты: 82.29 %</t>
  </si>
  <si>
    <t>1000000879.1000000564</t>
  </si>
  <si>
    <t>Капитальный ремонт ввода тепловых сетей от УТ-26 до здания по адресу ул.Ленина, 26 МО, г.Фрязино, ул.Ленина, д.26 (в т.ч. ПИР)</t>
  </si>
  <si>
    <t>Оплачено, руб. (план): 632 651.89 
Оплачено, руб. (факт): 632 651.89 
Процент оплаты: 82.01 %</t>
  </si>
  <si>
    <t>1000000898.1000000583</t>
  </si>
  <si>
    <t>Капитальный ремонт ввода сетей отопления и ГВС от УТ-1116 до дома 2А по Окружному проезду г. Фрязино (в т.ч. ПИР)</t>
  </si>
  <si>
    <t>Оплачено, руб. (план): 1 662 958.06 
Оплачено, руб. (факт): 1 662 958.06 
Процент оплаты: 90.08 %</t>
  </si>
  <si>
    <t>1000000910.1000000595</t>
  </si>
  <si>
    <t>Капитальный ремонт ввода сетей отопления и ГВС от УТ-207 до ж/д № 2А по ул.Московская, г.Фрязино, МО (в т.ч. ПИР)</t>
  </si>
  <si>
    <t>Оплачено, руб. (план): 1 387 745.16 
Оплачено, руб. (факт): 1 387 745.16 
Процент оплаты: 92.53 %</t>
  </si>
  <si>
    <t>1000000909.1000000594</t>
  </si>
  <si>
    <t>Капитальный ремонт тепловых сетей от жилого дома №8 до жилого дома №10 по ул.Попова в г. о. Фрязино (в т.ч. ПИР)</t>
  </si>
  <si>
    <t>Оплачено, руб. (план): 990 477.46 
Оплачено, руб. (факт): 990 477.46 
Процент оплаты: 86.92 %</t>
  </si>
  <si>
    <t>1000000907.1000000592</t>
  </si>
  <si>
    <t>Капитальный ремонт вводов сетей отопления и ГВС МО, г.Фрязино, пр. Мира: от УТ-207 до ж/д № 11; от УТ-259А до ж/д № 17; от УТ-4 до ж/д № 24/2; от УТ-4 до ж/д № 24/3; от УТ-208 до ж/д № 13 (в т.ч. ПИР)</t>
  </si>
  <si>
    <t>Оплачено, руб. (план): 2 116 493.79 
Оплачено, руб. (факт): 2 116 493.79 
Процент оплаты: 57.10 %</t>
  </si>
  <si>
    <t>1000003868.1000004734</t>
  </si>
  <si>
    <t>Реконструкция участков тепловых сетей от котельной №13 до УТ-6 по ул. Вокзальная, д. 45 в г.о. Фрязино (в т.ч. ПИР)</t>
  </si>
  <si>
    <t>Оплачено, руб. (план): 12 232 977.14 
Оплачено, руб. (факт): 12 232 977.14 
Процент оплаты: 92.70 %</t>
  </si>
  <si>
    <t>1000004473.5327935382</t>
  </si>
  <si>
    <t>Капитальный ремонт участков тепловых сетей от УТ-410 до УТ-408 по ул. Рабочая в г.о. Фрязино</t>
  </si>
  <si>
    <t>АО ТЕПЛОСЕТЬ ФРЯЗИНО</t>
  </si>
  <si>
    <t>Оплачено, руб. (план): 1 238 809.57 
Оплачено, руб. (факт): 1 238 809.57 
Процент оплаты: 96.54 %</t>
  </si>
  <si>
    <t>1000003564.1000004362</t>
  </si>
  <si>
    <t>Капитальный ремонт участка тепловой сети по адресу: Московская область, г.о. Черноголовка, ул. Первая, от ТК 178 до ТК 184 (в т.ч. ПИР)</t>
  </si>
  <si>
    <t>Оплачено, руб. (план): 66 402 865.74 
Оплачено, руб. (факт): 66 402 865.74 
Процент оплаты: 76.16 %</t>
  </si>
  <si>
    <t>Работы выполнены, контракт закрыт. Остатки будут возвращены в Минэнерго</t>
  </si>
  <si>
    <t>1000003563.1000004361</t>
  </si>
  <si>
    <t>Капитальный ремонт участка тепловой сети по адресу: Московская область, г.о. Черноголовка, ул. Лесная от ТК 7 до ТК 8 (в т.ч. ПИР)</t>
  </si>
  <si>
    <t>102 834 070,84</t>
  </si>
  <si>
    <t>Оплачено, руб. (план): 100 319 598.20 
Оплачено, руб. (факт): 100 319 598.20 
Процент оплаты: 95.71 %</t>
  </si>
  <si>
    <t>1000000900.1000000585</t>
  </si>
  <si>
    <t>Капитальный ремонт теплосети от ТК-81 до ТК-83 г.Черноголовка ул. Объездная (в т.ч. ПИР)</t>
  </si>
  <si>
    <t>ИП ДОБРА ЛИДИЯ ЕВГЕНЬЕВНА</t>
  </si>
  <si>
    <t>Оплачено, руб. (план): 7 112 989.17 
Оплачено, руб. (факт): 7 112 989.17 
Возврат оплат, руб.: 774 894.76 
Процент оплаты: 54.62 %</t>
  </si>
  <si>
    <t>Выполнены частично, процедура одностороннего расторжения. Остаток работ Заказчик выполнит своими силами, остаток будет возвращен</t>
  </si>
  <si>
    <t>1000003891.1000004757</t>
  </si>
  <si>
    <t>Капитальный ремонт ЦТП №7 по адресу:Московская область, мкр.5, квартал 7, стр.3Б (в т.ч. ПИР)</t>
  </si>
  <si>
    <t>Завершают общестрой. устраняют замечания ИД. Всего 37 замечаний. срок устранения замечаний до 15.07.2027</t>
  </si>
  <si>
    <t>Оплачено, руб. (план): 25 012 175.28
Оплачено, руб. (факт): 25 012 175.28
Процент оплаты: 83.81 %</t>
  </si>
  <si>
    <t>Завершают общестрой. устраняют замечания ИД. Всего 23 замечаний. срок устранения замечаний до 15.07.2027</t>
  </si>
  <si>
    <t>1000003870.1000004736</t>
  </si>
  <si>
    <t>Капитальный ремонт участка тепловой сети по адресу: Московская область, г.о. Черноголовка, ул. Соединительная, от ТК 28 до ТК 30А (в т.ч. ПИР)</t>
  </si>
  <si>
    <t>Оплачено, руб. (план): 73 393 908.95 
Оплачено, руб. (факт): 73 393 908.95 
Процент оплаты: 78.89 %</t>
  </si>
  <si>
    <t>1000004052.1000004927</t>
  </si>
  <si>
    <t>Строительство БМК на 4,5 МВт по адресу: Московская область, г.о. Луховицы, п. Фруктовая, ул. Почтовая, д. 16 (в т.ч. ПИР)</t>
  </si>
  <si>
    <t>81 118 994,86</t>
  </si>
  <si>
    <t>55 080 952,14</t>
  </si>
  <si>
    <t>26 038 042,72</t>
  </si>
  <si>
    <t>Оплачено, руб. (план): 89 218 514.74
Оплачено, руб. (факт): 89 218 514.74
Процент оплаты: 94.70 %</t>
  </si>
  <si>
    <t>остались объемы по благоустройству и по ПНР под нагрузкой, не полностью сдана ИД в части благоустройства процент оплаты 94.74 %</t>
  </si>
  <si>
    <t>Положительное заключение МОГЭ получено.
СГ 96%
Не завершен СМР в части устранения замечаний УТНКР (план завершения 22.07.2026).
Не полностью сдана ИД на остаток работ (план 29.07.2026).</t>
  </si>
  <si>
    <t>1000004227.1000005143</t>
  </si>
  <si>
    <t>Капитальный ремонт участков тепловых сетей от котельной №5, от ТК- 5 до ж/д № 37,38 ЗИЛ городок (в т.ч. ПИР)</t>
  </si>
  <si>
    <t>подписана частично</t>
  </si>
  <si>
    <t>Устраняют замечания ИД. Всего 17 замечаний. Дата планируемой оплаты 15.06.2026</t>
  </si>
  <si>
    <t>Проведено совещание с проектной командой , пределили сроки предоставления ИД в УТНКР до 10.06.2026</t>
  </si>
  <si>
    <t>Оплачено, руб. (план): 10 620 480.00 
Оплачено, руб. (факт): 10 620 480.00 
Процент оплаты: 50.00 %</t>
  </si>
  <si>
    <t>02.07.2026 направлена заявка на оплату. После оплаты контракт будет закрыт</t>
  </si>
  <si>
    <t>1000003875.1000004741</t>
  </si>
  <si>
    <t>Капитальный ремонт участка тепловой сети по адресу: Московская область, г.о. Черноголовка, ул. Школьный б-р, от ТК 15 до ТК 18 (в т.ч. ПИР)</t>
  </si>
  <si>
    <t>Оплачено, руб. (план): 68 930 056.21
Оплачено, руб. (факт): 68 930 056.21
Процент оплаты: 78.29</t>
  </si>
  <si>
    <t>8421058451.8421058731</t>
  </si>
  <si>
    <t>Строительство модульно-блочной котельной 2,1 МВт, взамен действующей г.о. Электросталь, с. Иванисово, ул. Центральная Усадьба (в т.ч. ПИР)</t>
  </si>
  <si>
    <t>69 153 956,42</t>
  </si>
  <si>
    <t>4 736 717,84</t>
  </si>
  <si>
    <t>СМР не завершен в части благоустройства. Ожидают поступления средств от Минэнерго в связи с увеличением ЦК, в соответствии с заключением МОГЭ</t>
  </si>
  <si>
    <t>Оплачено, руб. (план): 64 417 238.58 
Оплачено, руб. (факт): 64 417 238.58 
Процент оплаты: 93.15 %</t>
  </si>
  <si>
    <t>1000005176.5327936568</t>
  </si>
  <si>
    <t>Капитальный ремонт участка тепловой сети по адресу: Московская область, г.о. Черноголовка, ул. Техническая, д. 2 от котельной до ТК 1 (в т.ч. ПИР)</t>
  </si>
  <si>
    <t>ООО АЛЬФАГИДРОСТРОЙ</t>
  </si>
  <si>
    <t>5 499 097,54</t>
  </si>
  <si>
    <t>Оплачено, руб. (план): 5 607 342.29 
Оплачено, руб. (факт): 5 607 342.29 
Процент оплаты: 91.88 %</t>
  </si>
  <si>
    <t>1000004343.1000005335</t>
  </si>
  <si>
    <t>Капитальный ремонт участков тепловых сетей по адресу: Мсосковская область, Дмитровский г.о., с. Рогачево, пл Осипова т.А через дорогу с. Рогачево пл.Осипова (в т.ч. ПИР)</t>
  </si>
  <si>
    <t>8 370 366,59</t>
  </si>
  <si>
    <t>Оплачено, руб. (факт): 4 138 889.56 
Процент оплаты: 47.00 %</t>
  </si>
  <si>
    <t>Плановая дата сдачи ИД 25.06.2026 - замечания со стороны заказчика в части металлолома
Документация на корректировку ТЗ не предоставлена(до 19.06.26).Плановая дата оплаты до 15.09.2026</t>
  </si>
  <si>
    <t>1000005179.5327936571</t>
  </si>
  <si>
    <t>Капитальный ремонт котельной (в части капитального ремонта котла ПТВМ 100 по адресу: Московская область, г.о. Черноголовка, ул. Техническая, д. 2 (в т.ч. ПИР)</t>
  </si>
  <si>
    <t>101 420 196,29</t>
  </si>
  <si>
    <t>Оплачено, руб. (план): 102 334 268.54 
Оплачено, руб. (факт): 102 334 268.54 
Возврат оплат, руб.: 463 592.25 
Процент оплаты: 99.04 %</t>
  </si>
  <si>
    <t>1000003595.1000004397</t>
  </si>
  <si>
    <t>Строительство БМК на 2,1 МВт по адресу: Московская область, г.о. Чехов, д. Бершово (в т.ч. ПИР)</t>
  </si>
  <si>
    <t>Оплачено, руб. (план): 65 265 188.06 
Оплачено, руб. (факт): 65 265 188.06 
Процент оплаты: 100.00 %</t>
  </si>
  <si>
    <t>СМР завершен. Контракт исполнен</t>
  </si>
  <si>
    <t>4036077631.4036077871</t>
  </si>
  <si>
    <t>Реконструкция котельной № 6 по адресу: пос. Чернецкое, г. Чехов-7, ул. Победы, военный городок № 18 (в том числе ПИР)</t>
  </si>
  <si>
    <t>Оплачено, руб. (план): 100 201 734.13 
Оплачено, руб. (факт): 100 201 734.13 
Процент оплаты: 100.00 %</t>
  </si>
  <si>
    <t>1000004222.1000005138</t>
  </si>
  <si>
    <t>Капитальный ремонт участков тепловых сетей от котельной №1 по ул. 1 кв-л до ТК-235 (в т.ч. ПИР)</t>
  </si>
  <si>
    <t>Устраняют замечания ИД. 27 замечаний</t>
  </si>
  <si>
    <t>Проведено совещание с проектной командой , пределили сроки предоставления ИД в УТНКР после выхода до 15.06.2026</t>
  </si>
  <si>
    <t>Оплачено, руб. (план): 16 373 240.00 
Оплачено, руб. (факт): 16 373 240.00 
Процент оплаты: 50.00 %</t>
  </si>
  <si>
    <t>1000004405.5327935302</t>
  </si>
  <si>
    <t>Капитальный ремонт участков тепловых сетей от котельной № 4 по адресу: Московская область, г.о. Чехов, ул. Гагарина, стр 42б (от ТК-22 до ТК-23 в районе д. 110-112 по ул. Гагарина) (в т.ч. ПИР)</t>
  </si>
  <si>
    <t>направлена заявка на МБТ 18.05.2026 (на окончательную оплату авансса), после этого будет направлена заявка на опла ту этапов пир и смр</t>
  </si>
  <si>
    <t>Оплачено, руб. (план): 4 117 400.00 
Оплачено, руб. (факт): 4 117 400.00 
Процент оплаты: 47.35 %</t>
  </si>
  <si>
    <t>1000004705.5327935633</t>
  </si>
  <si>
    <t>Капитальный ремонт участков тепловой сети от котельной по адресу: Московская область, Талдомский г.о., р.п. Запрудня, пер. Мира, д.10: от ТК-6 до ТК-69, до ТК-70, до ТК-71, до ТК-72, до ТК-73, от ТК-70 до ТК-81, от ТК-81 до ТК-82, от ТК-82 до ТК-83, от ТК-83 до ТК-84, от ТК-89 до Пролетарский пер. д. 30 к.1 (в т.ч. ПИР)</t>
  </si>
  <si>
    <t>37 480 033,46</t>
  </si>
  <si>
    <t>29 767 066,08</t>
  </si>
  <si>
    <t>7 712 967,38</t>
  </si>
  <si>
    <t>Оплачено, руб. (факт): 34 850 291.87 
Процент оплаты: 88.99 %</t>
  </si>
  <si>
    <t>1000004330.1000005321</t>
  </si>
  <si>
    <t>Капитальный ремонт участков тепловой сети по адресу: Московская область, Дмитровский г.о., г. Дмитров, ул. Комсомольская (от ТК-М1 до ТК-М15) (в т.ч. ПИР)</t>
  </si>
  <si>
    <t>7 696 691,71</t>
  </si>
  <si>
    <t>Оплачено, руб. (факт): 3 805 778.00 
Процент оплаты: 47.00 %</t>
  </si>
  <si>
    <t>1000004652.5327935569</t>
  </si>
  <si>
    <t>Реконструкция участка теплосети по адресу: Московская область, г.о. Дубна, пр-т Боголюбова, (от дома № 39 до дома № 37) (в т.ч. ПИР)</t>
  </si>
  <si>
    <t>ООО ЭНЕРГОИНДУСТРИЯ</t>
  </si>
  <si>
    <t>5 497 460,00</t>
  </si>
  <si>
    <t>Ведётся подготовка исполнительной документации
Объект в 65.1</t>
  </si>
  <si>
    <t>Оплачено, руб. (факт): 1 736 040.00 
Процент оплаты: 30.00 %</t>
  </si>
  <si>
    <t>1000004446.5327935354</t>
  </si>
  <si>
    <t>Капитальный ремонт участков тепловых сетей от котельной по адресу: Московская область, г.Подольск, ул.Пионерская, д.2а: от котельной до ТК-6, от ТК-6 до Р4, от Р4 до ТК-12, от ТК-12 до ТК-13, от ТК-13 до ТК-14, Р-4 до ТК10, от ТК-10 до Б.Серпуховская, 50 (в т.ч. ПИР)</t>
  </si>
  <si>
    <t>Оплачено, руб. (факт): 18 020 100.00
Возврат оплат, руб.: 113 701.39
Процент оплаты: 82.18 %</t>
  </si>
  <si>
    <t>1000003924.1000004790</t>
  </si>
  <si>
    <t>Строительство блочного теплового пункта по адресу: Московская область, г.о.Власиха, в районе пересечения улиц Заозёрная и Солнечная (в т.ч. ПИР)</t>
  </si>
  <si>
    <t>118 931 915,69</t>
  </si>
  <si>
    <t>96 831 775,82</t>
  </si>
  <si>
    <t>22 100 139,87</t>
  </si>
  <si>
    <t>Идет согласование ИД. Оплачено частично. Крайняя дата оплаты 30.08.2026</t>
  </si>
  <si>
    <t>Оплачено, руб. (план): 131 658 585.34
Оплачено, руб. (факт): 131 658 585.34
Процент оплаты: 100.00 %</t>
  </si>
  <si>
    <t>СМР завершены. Осталось представить и подписать УТНКР: ИД: теплосеть, канализация, благоустройство. Плановая даьта сдачи в УТНКР 03.07.2026</t>
  </si>
  <si>
    <t>1000004329.1000005320</t>
  </si>
  <si>
    <t>Капитальный ремонт участков тепловой сети по адресу: Московская область, Дмитровский г.о., г. Дмитров, ул. Профессиональная к мкр.4 (от ТК-П1 до ТК-П2) (в т.ч. ПИР)</t>
  </si>
  <si>
    <t>6 836 167,38</t>
  </si>
  <si>
    <t>Оплачено, руб. (факт): 3 380 869.80 
Процент оплаты: 47.00 %</t>
  </si>
  <si>
    <t>Плановая дата сдачи ИД 25.06.2026 - замечания со стороны заказчика в части металлолома
Документация на корректировку ТЗ не предоставлена(до 19.06.26).Плановая дата оплаты до 01.08.2026</t>
  </si>
  <si>
    <t>1000004348.1000005340</t>
  </si>
  <si>
    <t>Капитальный ремонт участков тепловой сети (от ТК-8 до ТК-9) (в т.ч. ПИР)</t>
  </si>
  <si>
    <t>6 658 390,61</t>
  </si>
  <si>
    <t>31.03.2026-Результаты рассмотрения документации
Плановая дата захода в МОГЭ - 15.06.2026. НТС пройден 25.05.2026</t>
  </si>
  <si>
    <t>Оплачено, руб. (факт): 3 294 472.90 
Процент оплаты: 47.00 %</t>
  </si>
  <si>
    <t>НТС пройден 25.05.2026
На 04.06.2026 протокол на согласовании по МСЭД
Документация на корректировку ТЗ не предоставлена, не сформировано обращение к зазчику(до 19.06.26).Плановая дата захода в МОГЭ 30.06.2026
Планируемая дата оплаты 10.09.2026</t>
  </si>
  <si>
    <t>4036463331.4036463601</t>
  </si>
  <si>
    <t>Строительство блочно-модульной котельной (БМК), расположенная по адресу: Московская область, городской округ Шатура, поселок Мишеронский, ул. Советская (в том числе ПИР и ТП)</t>
  </si>
  <si>
    <t>200 744 047,72</t>
  </si>
  <si>
    <t>Оплачено, руб. (план): 201 146 292.94
Оплачено, руб. (факт): 201 146 292.94
Процент оплаты: 97.61 %</t>
  </si>
  <si>
    <t>закрыто под факт выполнения. Процент оплаты 97.61 %</t>
  </si>
  <si>
    <t>1000004332.1000005323</t>
  </si>
  <si>
    <t>Капитальный ремонт участков тепловой сети по адресу: Московская область, Дмитровский г.о., г. Дмитров, ул. Комсомольская (от ТК-М6 до ТК-М32) (в т.ч. ПИР)</t>
  </si>
  <si>
    <t>5 821 042,53</t>
  </si>
  <si>
    <t>Оплачено, руб. (факт): 2 878 327.00 
Процент оплаты: 47.00 %</t>
  </si>
  <si>
    <t>1000004341.1000005333</t>
  </si>
  <si>
    <t>Капитальный ремонт участков тепловой сети по адресу: Московская область, Дмитровский г.о., п. Рыбное (от ТК-2 до ТК-12) (в т.ч. ПИР)</t>
  </si>
  <si>
    <t>4 403 669,38</t>
  </si>
  <si>
    <t>Замечания ИД и КС</t>
  </si>
  <si>
    <t>03.06.2026 УТНКР от ПО принята на проверку ИД</t>
  </si>
  <si>
    <t>Оплачено, руб. (факт): 1 390 572.00 
Процент оплаты: 30.00 %</t>
  </si>
  <si>
    <t>МОГЭ получено 29.01.2026
Не сдан ИД/Не подписано КС в УТНКР</t>
  </si>
  <si>
    <t>Объект перешел в собственность московской области, идет процедура возврата в ОМСУ. До 25.06.2026 планиреутся возврат в ОМСУ.
Выданы замечания со стороны заказчика в части смет, на исправлении
Плановая дата оплаты до 25.07.2026</t>
  </si>
  <si>
    <t>1000004704.5327935632</t>
  </si>
  <si>
    <t>Капитальный ремонт участков тепловой сети от котельной по адресу: Московская область, Талдомский г.о., р.п. Запрудня, пер. Мира, д. 10: от ТК-7А до ТК-8, от ТК-8 до ТК-9, от ТК-9 до ТК-10, от ТК-10 до ТК-11, от ТК-15 до ул. Ленина д. 1 (до запорной арматуры), от ТК-21 до СК «Антей» (в т.ч. ПИР)</t>
  </si>
  <si>
    <t>36 800 222,14</t>
  </si>
  <si>
    <t>32 006 837,18</t>
  </si>
  <si>
    <t>4 793 384,96</t>
  </si>
  <si>
    <t>Оплачено, руб. (факт): 35 442 341.00 
Процент оплаты: 92.32 %</t>
  </si>
  <si>
    <t>1000004449.5327935357</t>
  </si>
  <si>
    <t>Капитальный ремонт участков тепловых сетей от котельной по адресу: Московская область, г.Подольск, ул. Победа, д.4а: от котельной до Р8 (Победы,2), от Р8 (Победы,2) до Р9, от Р9 до ТК-17 (в т.ч. ПИР)</t>
  </si>
  <si>
    <t>Оплачено, руб. (план): 13 783 430.60
Оплачено, руб. (факт): 13 678 471.86
Возврат оплат, руб.: 41 053.74
Процент оплаты: 82.01 %</t>
  </si>
  <si>
    <t>1000004338.1000005330</t>
  </si>
  <si>
    <t>Капитальный ремонт участков тепловой сети по адресу: Московская область, Дмитровский г.о., рп Некрасовский ул. Заводская (от бойлерной до ТК-6) (в т.ч. ПИР)</t>
  </si>
  <si>
    <t>5 011 480,70</t>
  </si>
  <si>
    <t>Не получено положительное заключение МОГЭ
28.04.2026-Результаты рассмотрения документации
Плановая дата захода в МОГЭ - 15.06.2026
Проходят НТС</t>
  </si>
  <si>
    <t>Оплачено, руб. (факт): 2 479 304.52 
Процент оплаты: 47.00 %</t>
  </si>
  <si>
    <t>Объект перешел в собственность московской области, идет процедура возврата в ОМСУ. До 22.06.2026 планиреутся возврат в ОМСУ.
Не получено МОГЭ, плановая дата захода до 01.07.2026
Планируется НТС до 01.07.2026
Плановая дата оплаты до 04.09.2026</t>
  </si>
  <si>
    <t>1000004039.1000004914</t>
  </si>
  <si>
    <t>Капитальный ремонт котельной (в части установки аккумуляторных баков запаса холодной воды) по адресу: Московская область, г.о. Шатура, п. Осаново-Дубовое (в т.ч. ПИР)</t>
  </si>
  <si>
    <t>ООО ТЕПЛОЭНЕРГОТЕХ</t>
  </si>
  <si>
    <t>Контракт с предыдущим подрядчиком расторгнут.
контракт 18.05.2026 заключен с ООО Теплоэнерготех</t>
  </si>
  <si>
    <t>контракт 18.05.2026 заключен с ООО Теплоэнерготех</t>
  </si>
  <si>
    <t>Оплачено, руб. (план): 825 815.60
Оплачено, руб. (факт): 824 262.98
Процент оплаты: 30.75 %</t>
  </si>
  <si>
    <t>Контракт расторгнут под факт исполнение. Процент выплат 30.75 %</t>
  </si>
  <si>
    <t>Положительное заключение МОГЭ получено в рамках предыдущего контракта.
18.05.2026 заключен новый контракт с подрядчиком Теплоэнерготех.
к СМР в рамках нового контракта не приступили - проводится обследование смонтированных фундаментных плит в рамках предыдущего контракта, заказ оборудования.
План завершения СМР до 15.08.2026.
ИД не сдавалась. План подготовки и сдачи ИД до 15.09.2026</t>
  </si>
  <si>
    <t>1000004040.1000004915</t>
  </si>
  <si>
    <t>Капитальный ремонт котельной (в части установки аккумуляторных баков запаса холодной воды) по адресу: Московская область, г.о. Шатура, р.п. Черусти ул. Новая (в т.ч. ПИР)</t>
  </si>
  <si>
    <t>Оплачено, руб. (план): 1 384 128.92
Оплачено, руб. (факт): 1 384 128.92
Процент оплаты: 34.20 %</t>
  </si>
  <si>
    <t>Контракт расторгнут под факт исполнение. Процент выплат 34.20 %</t>
  </si>
  <si>
    <t>1000004041.1000004916</t>
  </si>
  <si>
    <t>Капитальный ремонт котельной (в части замены аккумуляторного бака запаса холодной воды) по адресу: Московская область, г.о. Шатура, п. Середниково, (в т.ч. ПИР)</t>
  </si>
  <si>
    <t>Оплачено, руб. (план): 1 602 834.78
Оплачено, руб. (факт): 1 436 351.69
Процент оплаты: 41.21 %</t>
  </si>
  <si>
    <t>Контракт расторгнут под факт исполнение. Процент выплат 41.21 %</t>
  </si>
  <si>
    <t>1000004043.1000004918</t>
  </si>
  <si>
    <t>Капитальный ремонт котельной (в части замены аккумуляторного бака запаса холодной воды) по адресу: Московская область, г.о. Шатура, с. Дмитровский погост (в т.ч. ПИР)</t>
  </si>
  <si>
    <t>контракт не выпустили на торги всвязи с низкой НМЦК (большое снижение). Запланировано увеличесние финансирования и перенос реализации на 2027 год</t>
  </si>
  <si>
    <t>Оплачено, руб. (план): 1 389 879.20
Оплачено, руб. (факт): 1 389 879.20
Возврат оплат, руб.: 1 389 879.20
Процент оплаты: 30.00 %</t>
  </si>
  <si>
    <t>Контракт расторгнут под факт исполнение. Процент выплат 30.00 %</t>
  </si>
  <si>
    <t>Контракт не разыгран в 2026 всвязи с низкой НМЦК . Планируется перенос на 2027 год</t>
  </si>
  <si>
    <t>8406187951.8406193471</t>
  </si>
  <si>
    <t>Строительство БМК по адресу: г. Шатура, мкр. Керва (в т.ч. ПИР)</t>
  </si>
  <si>
    <t>контракт заключен с ООО "Ремистр" 29.05.2026</t>
  </si>
  <si>
    <t>31.11.2026</t>
  </si>
  <si>
    <t>Оплачено, руб. (план): 56 516 274.72
Оплачено, руб. (факт): 56 516 274.72
Возврат оплат, руб.: 56 516 274.72
Процент оплаты: 29.99 %</t>
  </si>
  <si>
    <t>Контракт расторгнут под факт исполнение. Процент выплат 30 %</t>
  </si>
  <si>
    <t>контракт заключен 29.05.2026 с ООО "Ремистр"
Имеется положительное заключение МОГЭ (полученное предыдущим подрядчиком.
Новой подрядной организацией ланируется заходить в МОГЭ с корректировкой оборудования (план 30.06.2026)
01.06.2026 начаты СМР на объекте.Выполняются работы по устройству фундаментной плиты.
План завершения СМР 31.10.2026
План сдачи объекта 31.11.2026</t>
  </si>
  <si>
    <t>1000004448.5327935356</t>
  </si>
  <si>
    <t>Капитальный ремонт участков тепловых сетей от Котельной ул.Кирова, д.38 до Котельной ул.Парковая, д.11в г.о.Подольск: от котельной ул. Кирова д. 38 до ТК–16, от ТК–16 до ТК–19, ТК–19 до ТК–28-1, от ТК–28-1 до ТК–29, от ТК–29 до котельная ул. Парковая д. 11В (в т.ч. ПИР)</t>
  </si>
  <si>
    <t>Оплачено, руб. (план): 56 314 158.14
Оплачено, руб. (факт): 56 314 158.14
Процент оплаты: 95.42 %</t>
  </si>
  <si>
    <t>В связи с корректировкой выполненных объемов, подрядной организацией принято решение о повторном заходе в МОГЭ для подтверждения изменений в ПСД</t>
  </si>
  <si>
    <t>1000004217.1000005133</t>
  </si>
  <si>
    <t>Капитальный ремонт участков тепловых сетей по адресу: Московская область, г.о. Шатура, п. Туголесский бор, от ТК-4 до ТК-7 (в т.ч. ПИР)</t>
  </si>
  <si>
    <t>ИП РАКОВСКИЙ ДЕНИС ВИКТОРОВИЧ</t>
  </si>
  <si>
    <t>Оплачено, руб. (план): 13 505 016.93
Оплачено, руб. (факт): 13 505 016.93
Процент оплаты: 90.26 %</t>
  </si>
  <si>
    <t>Контракт закрыт под факт выполнение 2025. Процент выплат 90%</t>
  </si>
  <si>
    <t>1000004218.1000005134</t>
  </si>
  <si>
    <t>Капитальный ремонт участков тепловых сетей по адресу: Московская область, г.о. Шатура, п. Туголесский бор, от ТК-38 до компенсатора по ул. Октябрьская (в т.ч. ПИР)</t>
  </si>
  <si>
    <t>Оплачено, руб. (план): 8 800 994.61
Оплачено, руб. (факт): 8 800 994.61
Процент оплаты: 85.73 %</t>
  </si>
  <si>
    <t>Контракт закрыт под факт выполнение. Процент выплат 85.73 %</t>
  </si>
  <si>
    <t>1000004223.1000005139</t>
  </si>
  <si>
    <t>Капитальный ремонт участков тепловых сетей от котельной №1, от ТК-28 до ТК-30 (в т.ч. ПИР)</t>
  </si>
  <si>
    <t>12 699 014,86</t>
  </si>
  <si>
    <t>Устраняют замечания ИД. Всего 13 замечаний. Дата планируемой оплаты 15.06.2026</t>
  </si>
  <si>
    <t>Оплачено, руб. (план): 15 411 811.17 
Оплачено, руб. (факт): 15 411 811.17 
Процент оплаты: 86.08 %</t>
  </si>
  <si>
    <t>ИД сдано частично. 1000004223.1000005139</t>
  </si>
  <si>
    <t>Подрядчик не согласен со стоимостью ПИР. После получения заключения с увеличением ПИР будет произведена оплата (до 01.09.2026)</t>
  </si>
  <si>
    <t>1000004232.1000005148</t>
  </si>
  <si>
    <t>Капитальный ремонт участков тепловых сетей по адресу: Московская область, г.о. Шатура, с. Дмитровский погост, от ТК-3 до ТК-5 (в т.ч. ПИР)</t>
  </si>
  <si>
    <t>ООО ВЕКТОР</t>
  </si>
  <si>
    <t>Оплачено, руб. (план): 4 679 747.59
Оплачено, руб. (факт): 4 649 209.59
Процент оплаты: 97.84 %</t>
  </si>
  <si>
    <t>Контракт закрыт под факт выполнение. Процент выплат 97.84 %</t>
  </si>
  <si>
    <t>1000001732.1000001716</t>
  </si>
  <si>
    <t>Реконструкция тепловых сетей, расположенных по адресу: Московская область, муниципальный округа Шатура, с. Дмитровский Погост, ул. Школьная</t>
  </si>
  <si>
    <t>Оплачено, руб. (план): 204 192 884.49
Оплачено, руб. (факт): 204 192 884.49
Процент оплаты: 100.00 %</t>
  </si>
  <si>
    <t>контракт выполнен, оплачен в 2025 году под факт выполнения. Процент выплат 100%</t>
  </si>
  <si>
    <t>1000001734.1000001718</t>
  </si>
  <si>
    <t>Реконструкция центрального теплового пункта-1, расположенного по адресу: Московская область, муниципальный округ Шатура, с. Дмитровский Погост, ул. Ленина, д. 14А</t>
  </si>
  <si>
    <t>Оплачено, руб. (план): 29 097 659.83
Оплачено, руб. (факт): 29 097 659.83
Процент оплаты: 97.89 %</t>
  </si>
  <si>
    <t>контракт выполнен, оплачен в 2025 году под факт выполнения. Процент выплат 97.89 %</t>
  </si>
  <si>
    <t>1000001731.1000001715</t>
  </si>
  <si>
    <t>Реконструкция центрального теплового пункта-2, расположенного по адресу: Московская область, муниципальный округ Шатура, с. Дмитровский Погост, ул. Футбольная, д. 9</t>
  </si>
  <si>
    <t>Оплачено, руб. (план): 34 985 609.74
Оплачено, руб. (факт): 34 985 609.74
Процент оплаты: 97.88 %</t>
  </si>
  <si>
    <t>контракт выполнен, оплачен в 2025 году под факт выполнения. Процент выплат 97,88</t>
  </si>
  <si>
    <t>1000001730.1000001714</t>
  </si>
  <si>
    <t>Реконструкция центрального теплового пункта-3, расположенного по адресу: Московская область, муниципальный округ Шатура, с. Дмитровский Погост, ул. Гришина, д. 10Б</t>
  </si>
  <si>
    <t>Оплачено, руб. (план): 23 738 079.72
Оплачено, руб. (факт): 23 738 079.72
Процент оплаты: 97.80 %</t>
  </si>
  <si>
    <t>контракт выполнен, оплачен в 2025 году под факт выполнения. Процент выплат 97,8%</t>
  </si>
  <si>
    <t>1000003993.1000004859</t>
  </si>
  <si>
    <t>Шаховская</t>
  </si>
  <si>
    <t>Капитальный ремонт котельной по адресу: Московская область, г.о. Шаховская с. Ивашково д. 75а (в т.ч. ПИР)</t>
  </si>
  <si>
    <t>АО ПК ТИС</t>
  </si>
  <si>
    <t>Субсидия</t>
  </si>
  <si>
    <t>Работы выполнены, контракт закрыт.</t>
  </si>
  <si>
    <t>1000003849.1000004715</t>
  </si>
  <si>
    <t>Реконструкция тепловых сетей котельной с. Ивашково, г.о. Шаховская (в т.ч. ПИР)</t>
  </si>
  <si>
    <t>МПКХ ШАХОВСКАЯ</t>
  </si>
  <si>
    <t>Оплачено, руб. (план): 19 253 068.28
Оплачено, руб. (факт): 19 253 068.28
Процент оплаты: 82.60 %</t>
  </si>
  <si>
    <t>1000003958.1000004824</t>
  </si>
  <si>
    <t>Строительство БМК на 3 МВт по адресу: Московская область, г.о. Шаховская, п. Шаховская, ул. Базаева д. 27 (в т.ч.ПИР)</t>
  </si>
  <si>
    <t>ООО ГК ТРАНСГАЗ РАЗВИТИЕ</t>
  </si>
  <si>
    <t>Оплачено, руб. (план): 79 267 971.10
Оплачено, руб. (факт): 76 275 042.89
Возврат оплат, руб.: 87 042.01
Процент оплаты: 85.53 %</t>
  </si>
  <si>
    <t>1000004234.1000005154</t>
  </si>
  <si>
    <t>Строительство БМК на 3 МВт по адресу: Московская область, г.о. Шаховская, с. Раменье ул. Новая 13 (в т.ч. ПИР)</t>
  </si>
  <si>
    <t>Оплачено, руб. (план): 68 169 901.74
Оплачено, руб. (факт): 68 169 901.74
Процент оплаты: 96.06 %</t>
  </si>
  <si>
    <t>1000003994.1000004860</t>
  </si>
  <si>
    <t>Капитальный ремонт котельной № 8 по адресу: Московская область, г.о. Шаховская, пер. Заречный д. 11а (в т.ч. ПИР)</t>
  </si>
  <si>
    <t>1000003850.1000004716</t>
  </si>
  <si>
    <t>Реконструкция тепловых сетей котельной д. Степаньково, г.о. Шаховская (в т.ч. ПИР)</t>
  </si>
  <si>
    <t>Оплачено, руб. (план): 24 333 419.22
Оплачено, руб. (факт): 24 333 419.22
Возврат оплат, руб.: 60 574.82
Процент оплаты: 68.26 %</t>
  </si>
  <si>
    <t>1000002800.1000003541</t>
  </si>
  <si>
    <t>Строительство БМК на 1,2 МВт по адресу: Московская область, г.о. Щелково, пл. Ленина (в т.ч. ПИР)</t>
  </si>
  <si>
    <t>Оплачено, руб. (план): 36 375 671.77 
Оплачено, руб. (факт): 36 375 671.77 
Процент оплаты: 92.75 %</t>
  </si>
  <si>
    <t>1000004336.1000005328</t>
  </si>
  <si>
    <t>Капитальный ремонт участков тепловой сети по адресу: Московская область, Дмитровский г.о., г. Яхрома, ул. Ленина (от ТК Б1 (у д.3 ул.Ленина) до ТК-Б1 (у терапии)) (в т.ч. ПИР)</t>
  </si>
  <si>
    <t>3 542 583,98</t>
  </si>
  <si>
    <t>6 340 433,33</t>
  </si>
  <si>
    <t>Частично закрыты КС ИД</t>
  </si>
  <si>
    <t>Оплачено, руб. (факт): 1 118 820.00 
Процент оплаты: 30.00 %</t>
  </si>
  <si>
    <t>Увеличение стоимости (НТС)
Не сдан ИД/Не подписано КС в УТНКР</t>
  </si>
  <si>
    <t>1000004257.1000005186</t>
  </si>
  <si>
    <t>Капитальный ремонт участков тепловой сети от Котельной ул. Сиреневая, участки по ул. Комсомольская от ТК-1122 до ТК-1144 , от ТК-1144 до ТК-1437 (в т.ч. ПИР)</t>
  </si>
  <si>
    <t>Оплачено, руб. (план): 22 694 315.96 
Оплачено, руб. (факт): 22 694 315.96 
Процент оплаты: 95.34 %</t>
  </si>
  <si>
    <t>1000002806.1000003547</t>
  </si>
  <si>
    <t>Строительство БМК на 0,3 МВт по адресу: Московская область, г.о. Щелково, д. Еремино (в т.ч. ПИР)</t>
  </si>
  <si>
    <t>Оплачено, руб. (план): 19 653 044.88 
Оплачено, руб. (факт): 19 653 044.88 
Процент оплаты: 93.06 %</t>
  </si>
  <si>
    <t>1000002805.1000003546</t>
  </si>
  <si>
    <t>Капитальный ремонт котельной (в части замены двух котлов и диаэратора) по адресу: Московская область, г.о. Щелково, ул. Московская (в т.ч. ПИР)</t>
  </si>
  <si>
    <t>102 611 000,00</t>
  </si>
  <si>
    <t>Оплачено, руб. (план): 107 351 882.94 
Оплачено, руб. (факт): 107 351 882.94 
Процент оплаты: 65.34 %</t>
  </si>
  <si>
    <t>1000004259.1000005188</t>
  </si>
  <si>
    <t>Капитальный ремонт участков тепловых сетей от котельной д. Богослово до д.18 и от ТК-6 до ТК-9а в г.о. Щелково (в т.ч. ПИР)</t>
  </si>
  <si>
    <t>Оплачено, руб. (план): 24 785 002.50 
Оплачено, руб. (факт): 24 785 002.50 
Возврат оплат, руб.: 10 899 421.96 
Процент оплаты: 88.57 %</t>
  </si>
  <si>
    <t>1000004261.1000005190</t>
  </si>
  <si>
    <t>Капитальный ремонт участков тепловых сетей от ТК до вводов в МКД (в т.ч. ПИР)</t>
  </si>
  <si>
    <t>Оплачено, руб. (план): 16 280 698.79 
Оплачено, руб. (факт): 16 280 698.79 
Возврат оплат, руб.: 4 747 303.07 
Процент оплаты: 98.25 %</t>
  </si>
  <si>
    <t>1000004260.1000005189</t>
  </si>
  <si>
    <t>Капитальный ремонт участков тепловых сетей от Котельной № 8 до ТК-1 (в т.ч. ПИР)</t>
  </si>
  <si>
    <t>Оплачено, руб. (план): 42 591 366.48 
Оплачено, руб. (факт): 42 591 366.48 
Возврат оплат, руб.: 16 186 966.87 
Процент оплаты: 79.33 %</t>
  </si>
  <si>
    <t>1000002801.1000003542</t>
  </si>
  <si>
    <t>Капитальный ремонт Котельной №3 (ул. Текстильщиков) (в части замены 2 котлов, горелок, насосов, системы автоматики, ХВП) в г.о. Щелково (в т.ч. ПИР)</t>
  </si>
  <si>
    <t>Оплачено, руб. (план): 32 493 883.08 
Оплачено, руб. (факт): 32 493 883.08 
Процент оплаты: 87.48 %</t>
  </si>
  <si>
    <t>4036488481.4036488691</t>
  </si>
  <si>
    <t>Строительство БМК по адресу: г. Озёры, ул. Ленина, вблизи дома 55 (в том числе ПИР)</t>
  </si>
  <si>
    <t>ООО ЕВРОГАЗ</t>
  </si>
  <si>
    <t>КС-2 не подгружены в ПИК (благоустройство)
Частичная оплата</t>
  </si>
  <si>
    <t>ПНР проведён. СМР выполнен.</t>
  </si>
  <si>
    <t>Оплачено, руб. (план): 110 812 299.27 
Оплачено, руб. (факт): 110 812 299.27 
Процент оплаты: 98.01 %</t>
  </si>
  <si>
    <t>Положительное заключение МОГЭ - получено 12.02.2026
СМР выполнен в полном объёме.
ПНР - не проведён
Благоустройство - выполнено
Плановая дата ПНР 20.07.2026
Ожидается доведение лимитов до заказчика. Оплата 30.07.2026</t>
  </si>
  <si>
    <t>1000004051.1000004926</t>
  </si>
  <si>
    <t>Строительство БМК на 3,5 МВт по адресу: Московская область, г.о. Луховицы, пос.совхоза "Орешково", ул. Центральная, д.27 (в т.ч. ПИР)</t>
  </si>
  <si>
    <t>82 411 992,00</t>
  </si>
  <si>
    <t>55 727 135,29</t>
  </si>
  <si>
    <t>26 684 856,71</t>
  </si>
  <si>
    <t>не полностью сдана ИД (план сдачи до 17.06.2026.
не полностью завершены СМР - предъявление ПНР представителям УТНКР (план сдачи 30.06.2026, сейчас объект в ПНР).
устраняются замечания по ИД</t>
  </si>
  <si>
    <t>Оплачено, руб. (план): 90 188 189.46
Оплачено, руб. (факт): 90 188 189.46
Процент оплаты: 94.74 %</t>
  </si>
  <si>
    <t>Положительное заключение МОГЭ получено.
СГ 89%
Не завершен СМР в части устранения замечаний УТНКР и ПНР (план завершения 15.07.2026).
Не полностью сдана ИД на остаток работ (план 15.08.2026).</t>
  </si>
  <si>
    <t>1000003893.1000004759</t>
  </si>
  <si>
    <t>Капитальный ремонт ЦТП №17 по адресу:Московская область, г.о. Лыткарино, ул.Советская, д.14 (в т.ч. ПИР)</t>
  </si>
  <si>
    <t>Завершают общестрой. устраняют замечания ИД. Всего 36 замечаний. срок устранения замечаний до 15.07.2027</t>
  </si>
  <si>
    <t>Оплачено, руб. (план): 26 844 253.62
Оплачено, руб. (факт): 26 844 253.62
Процент оплаты: 93.64 %</t>
  </si>
  <si>
    <t>Завершают общестрой. устраняют замечания ИД. Всего 26 замечаний. срок устранения замечаний до 15.07.2027</t>
  </si>
  <si>
    <t>1000009007.5327940627</t>
  </si>
  <si>
    <t>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t>
  </si>
  <si>
    <t>Оплачено, руб. (план): 3 962 394.15 
Оплачено, руб. (факт): 3 962 394.15 
Процент оплаты: 94.27 %</t>
  </si>
  <si>
    <t>1000004434.5327935342</t>
  </si>
  <si>
    <t>Строительство БМК на 16 МВт по адресу: Московская область, г.о. Щелково, мкр. № 2 (в т.ч. ПИР)</t>
  </si>
  <si>
    <t>ООО СК</t>
  </si>
  <si>
    <t>Оплачено, руб. (план): 241 690 461.70 
Оплачено, руб. (факт): 241 690 461.70 
Процент оплаты: 99.95 %</t>
  </si>
  <si>
    <t>1000004683.5327935605</t>
  </si>
  <si>
    <t>Реконструкция участка тепловой сети по адресу: Московская область, г. Кашира, от дома № 9 до дома № 4/1 по ул. Садовая (в т.ч. ПИР)</t>
  </si>
  <si>
    <t>2 425 608,58</t>
  </si>
  <si>
    <t>подали ПСД в МОГЭ 20.05., плановый выход из МОГЭ - 10.07.2026г., не закончены СМР в части финального благуостройства( план. до 25.07.) Замечания УТНКР(13): Проектно-изыскательские работы • Благоустройство</t>
  </si>
  <si>
    <t>Оплачено, руб. (план): 727 682.57
Оплачено, руб. (факт): 727 682.57
Процент оплаты: 28.10 %</t>
  </si>
  <si>
    <t>ООО "КДС" заключил контракт после расторжения с ООО"Лэндстрой" Разработка ПСД выполняется при наличии изменений объемов и ТЗ. Подача ПСД в МОГЭ -20.05.2026г. Плановый выход -10.07.2026г.
СМР выполняются с учетом устранений дефектов, допущенных предыдущей подрядной организацией.</t>
  </si>
  <si>
    <t>1000004355.1000005349</t>
  </si>
  <si>
    <t>Капитальный ремонт участков тепловых сетей от котельной №2 по адресу: Московская область, г.о. Талдомский, г. Талдом, Промышленный проезд, 12 (в т.ч. ПИР)</t>
  </si>
  <si>
    <t>1 358 200,00</t>
  </si>
  <si>
    <t>НТС не пройден, МОГЭ не получено, не завершено фин благо
 09.06.2025-Результаты рассмотрения документации
Подготовка сопоставительной ведомости на сумму полученного аванса,
Сопоставительная ведомость находится у подрядчика – исправление замечаний
Подготовка к расторжению контракта</t>
  </si>
  <si>
    <t>Оплачено, руб. (факт): 428 904.00 
Процент оплаты: 30.00 %</t>
  </si>
  <si>
    <t>1000002876.1000003628</t>
  </si>
  <si>
    <t>Капитальный ремонт участков тепловых сетей от ТК-1 до ТК-8 ул. К. Маркса, 26 - ул.Октябрьская, 25 в г.о. Электросталь(в т.ч. ПИР)</t>
  </si>
  <si>
    <t>ООО ТЕХПРОМСТРОЙ-13</t>
  </si>
  <si>
    <t>82 500 789,32</t>
  </si>
  <si>
    <t>63 597 705,17</t>
  </si>
  <si>
    <t>25 335 972,50</t>
  </si>
  <si>
    <t>Оплачено, руб. (план): 63 597 705.17 
Оплачено, руб. (факт): 63 597 705.17 
Процент оплаты: 71.51 %</t>
  </si>
  <si>
    <t>8589578611.8589578881</t>
  </si>
  <si>
    <t>Капитальный ремонт сети теплоснабжения и горячего водоснабжения в т.ч. (ПИР) п. Елизаветино, г.о. Электросталь (в т.ч. ПИР)</t>
  </si>
  <si>
    <t>ООО СТАРТСТРОЙ</t>
  </si>
  <si>
    <t>Оплачено, руб. (план): 220 769 356.59 
Оплачено, руб. (факт): 220 769 356.59 
Процент оплаты: 91.59 %</t>
  </si>
  <si>
    <t>1000004258.1000005187</t>
  </si>
  <si>
    <t>Капитальный ремонт участков тепловых сетей от ТК-1 до ТК-203, от ТК-435 до ТК-444, от ТК-322 до ТК-368, от ТК-25 до ТК-168, от ТК-412 до ТК-448, от ТК-8 до ТК-91, от ТК-9 до ТК-83а, от ТК-51 до ТК-59, ТК-84а до ТК-88, от ТК-21 до ТК-39, от ТК-93 до ТК-95а, от ТК-26 до У-27 в г.о. Электростале (в т.ч. ПИР)</t>
  </si>
  <si>
    <t>234 532 119,31</t>
  </si>
  <si>
    <t>Оплачено, руб. (план): 234 532 119.31 
Оплачено, руб. (факт): 234 532 119.31 
Процент оплаты: 81.73 %</t>
  </si>
  <si>
    <t>8589578221.8589578501</t>
  </si>
  <si>
    <t>Капитальный ремонт сети теплоснабжения и горячего водоснабжения в т.ч. (ПИР) с. Иванисово г.о. Электросталь (в т.ч. ПИР)</t>
  </si>
  <si>
    <t>Оплачено, руб. (план): 30 035 422.89 
Оплачено, руб. (факт): 30 035 422.89 
Возврат оплат, руб.: 733 304.15 
Процент оплаты: 91.27 %</t>
  </si>
  <si>
    <t>8589580581.8589580911</t>
  </si>
  <si>
    <t>Капитальный ремонт сети теплоснабжения и горячего водоснабжения в т.ч. (ПИР) п. Фрязево, г.о. Электросталь (в т.ч. ПИР)</t>
  </si>
  <si>
    <t>Оплачено, руб. (план): 52 485 181.66 
Оплачено, руб. (факт): 52 485 181.66 
Процент оплаты: 100.00 %</t>
  </si>
  <si>
    <t>СМР выполнен. Объект оплачен</t>
  </si>
  <si>
    <t>1000004590.5327935505</t>
  </si>
  <si>
    <t>Капитальный ремонт участков тепловой сети от ЦТП-20 по адресу: ул.Февральская, д.47: от ЦТП ТК-3 территория школы №6 ул. Февральская д.30 до ТК-5 ул. Рев.проспект, д.23, от ТК-2 ул. Дружбы д. 15 до ТК-4 ул. Дружбы д.2, от Р-6-1 до ТК-11 ул. Рев.проспект д.27, от ТК-11 ул. Рев.проспект д.27 до ТК-12 ул. Красная д.9/48 (в т.ч. ПИР)</t>
  </si>
  <si>
    <t>Оплачено, руб. (план): 43 381 277.05
Оплачено, руб. (факт): 43 381 277.05
Процент оплаты: 98.32 %</t>
  </si>
  <si>
    <t>1000004295.1000005240</t>
  </si>
  <si>
    <t>Капитальный ремонт котельной по адресу: Московская область, г. Люберцы, ул.Воинов- Интернационалистов, д. 3, стр.1(в т.ч. ПИР)</t>
  </si>
  <si>
    <t>ИД в УТКР не полный комплект. Предоставление полного комплекта документации до 15.06.2026</t>
  </si>
  <si>
    <t>Повторное МОГЭ НТС</t>
  </si>
  <si>
    <t>Оплачено, руб. (план): 94 872 413.32 
Оплачено, руб. (факт): 94 872 413.32 
Процент оплаты: 99.45 %</t>
  </si>
  <si>
    <t>Работы выполнены . Частично сдана сдана ИД.</t>
  </si>
  <si>
    <t>Повторно в МОГЭ по замечаниям УТНКР, корректировка тех решений. Выход до конца июня, далее сдача документации в УТНКР. СМР - выполнен. Часть работ в УТНКР сдана. Оплата - август</t>
  </si>
  <si>
    <t>Повторно в МОГЭ по замечаниям УТНКР, корректировка тех решений. Выход до конца июня, далее сдача документации в УТНКР. СМР - выполнен. Часть работ в УТНКР сдана.</t>
  </si>
  <si>
    <t>1000004601.5327935516</t>
  </si>
  <si>
    <t>Капитальный ремонт участка тепловой сети от котельной по адресу: г.о. Подольск, ул. Профсоюзная, 10А: от ТК 1 до ТК 2 (в т.ч. ПИР)</t>
  </si>
  <si>
    <t>Оплачено, руб. (план): 2 449 748.01
Оплачено, руб. (факт): 2 449 748.01
Процент оплаты: 94.90 %</t>
  </si>
  <si>
    <t>1000004594.5327935509</t>
  </si>
  <si>
    <t>Оплачено, руб. (план): 9 709 618.46
Оплачено, руб. (факт): 9 709 618.46
Процент оплаты: 96.96 %</t>
  </si>
  <si>
    <t>1000009490.5327941151</t>
  </si>
  <si>
    <t>Аварийно-восстановительных работы по объектам теплоснабжения городского округа Чехов</t>
  </si>
  <si>
    <t>Оплачено, руб. (план): 88 988 506.93 
Оплачено, руб. (факт): 88 988 506.93 
Процент оплаты: 97.13 %</t>
  </si>
  <si>
    <t>1000004442.5327935350</t>
  </si>
  <si>
    <t>Капитальный ремонт участков тепловых сетей по адресу: Московская область, г.о. Подольск, мкр. Климовск, ул. Ихтиманская, Железнодорожная, Ленина: от ТК 133 ул. Ихтиманская д. 7 до Р-35 ул.Железнодорожная д. 1, от Р-35 ул. Железнодорожная д. 1 до ЦТП 18, от ТК 86 ул. Ленина д. 10А до ЦТП 17, от ТК 106 ул. Ленина д. 7 до Ленина д. 9 (в т.ч. ПИР)</t>
  </si>
  <si>
    <t>Оплачено, руб. (план): 19 476 967.62
Оплачено, руб. (факт): 27 948 550.29
Процент оплаты: 99.96 %</t>
  </si>
  <si>
    <t>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г.о. Балашиха, мкр. Купавна, ул. Адмирала Нахимова, д. 9 А на участках: от ЦТП-10/1 до ТК-31, от ТК-35 до ТК-35А, от ТК-34 до ТК-36, от ТК-16 до ТК-39, от ТК-43 до ТК-45 (в т.ч.ПИР)</t>
  </si>
  <si>
    <t>Капитальный ремонт участков тепловых сетей от котельной "Заречье" до ЦТП-1 по адресу: Московская область, г.о. Богородский, г. Ногинск, ул.Белякова, д.2 (в т.ч. ПИР)</t>
  </si>
  <si>
    <t>Строительство БМК на 2 МВт по адресу: Московская область, г.о. Богородский, г. Электроугли, мкр. Вишняковские Дачи, ул. Длинная (в т.ч. ПИР)</t>
  </si>
  <si>
    <t>Тепловая сеть от п. Зеленый до мкр. 30 км д. Щемилово</t>
  </si>
  <si>
    <t>Реконструкция участка тепловой сети по адресу: Московская область, г.о. Власиха, от УТ34 до ЦТП Центральный (1-контур) (в т.ч. ПИР)</t>
  </si>
  <si>
    <t>Реконстукция участка тепловой сети по адресу: Московская область, г.о. Власиха, от УТ4 до ЦТП Солнечный (1-контур) (в т.ч. ПИР)</t>
  </si>
  <si>
    <t>Строительство блочного теплового пункта по адресу: Московская область, г.о. Власиха, в районе пересечения улиц Заозёрная и Солнечная (в т.ч. ПИР)</t>
  </si>
  <si>
    <t>Строительство котельной №37, п. Сычево, Школьный пр., д.4, г.о. Волоколамский (в т.ч. ПИР, ТП)</t>
  </si>
  <si>
    <t>отсутствие подрядной организации</t>
  </si>
  <si>
    <t>Аварийно-восстановительных работ на теплотрассе от ТЭЦ до центральной бойлерной 120019 в городском округе Дзержинский Московской области (капитальный ремонт, в т.ч. ПИР)</t>
  </si>
  <si>
    <t>Капитальный ремонт тепловой сети по адресу: Московская область, г. Дмитров, ул. Космонавтов (от котельной до ЦТП (в жд15) мкр.Космонавтов) (в т.ч. ПИР)</t>
  </si>
  <si>
    <t>Капитальный ремонт тепловой сети по адресу: Московская область, Дмитровский м.о., г. Дмитров, ул. Водников 25 (от котельной до ТК-А2) (у детской поликлиники) (в т.ч. ПИР)</t>
  </si>
  <si>
    <t>расторнут</t>
  </si>
  <si>
    <t>Капитальный ремонт тепловой сети по адресу: Московская область, Дмитровский м.о., р.п. Деденево, ул. Набережная, д. 21Г, стр. 1 (в т.ч. ПИР)</t>
  </si>
  <si>
    <t>Капитальный ремонт участков тепловой сети от котельной по адресу: Московская область, Дмитровский м.о., г. Дмитров, ул. Водников, д. 27 (от ТК-А13 до ТК-П5) (в т.ч. ПИР)</t>
  </si>
  <si>
    <t>Капитальный ремонт участков тепловой сети по адресу: Московская область, Дмитровский г.о., г. Яхрома, ул. Ленина (от ТК Б1(у д.3 ул.Ленина) до ТК-Б1 (у терапии)) (в т.ч. ПИР)</t>
  </si>
  <si>
    <t>Капитальный ремонт участков тепловой сети по адресу: Московская область, Дмитровский м.о., г. Дмитров, ул. Внуковская, д. 40а (от котельной до ТК-2) (в т.ч. ПИР)</t>
  </si>
  <si>
    <t>Капитальный ремонт участков тепловой сети по адресу: Московская область, Дмитровский м.о., г. Дмитров, ул. Водников 25 (от ТК-Д4 до д.2 мкр.Маркова) (в т.ч. ПИР)</t>
  </si>
  <si>
    <t>Капитальный ремонт участков тепловой сети по адресу: Московская область, Дмитровский м.о., г. Дмитров, ул. Водников 25, (от ТК-А6 до д.20 мкр.Маркова) (в т.ч. ПИР)</t>
  </si>
  <si>
    <t>Капитальный ремонт участков тепловой сети по адресу: Московская область, Дмитровский м.о., г. Дмитров, ул. Водников, д.27 (от ТК-А14 до ТК-А16) (в т.ч. ПИР)</t>
  </si>
  <si>
    <t>Капитальный ремонт участков тепловой сети по адресу: Московская область, Дмитровский м.о., г. Дмитров, ул. Комсомольская (от ТК-М1 до ТК-М4) (в т.ч. ПИР)</t>
  </si>
  <si>
    <t>Капитальный ремонт участков тепловой сети по адресу: Московская область, Дмитровский м.о., г. Дмитров, ул. Комсомольская (от ТК-М6 до ТК-М32) (в т.ч. ПИР)</t>
  </si>
  <si>
    <t>Капитальный ремонт участков тепловой сети по адресу: Московская область, Дмитровский м.о., г. Дмитров, ул. Профессиональная (от ТК-П2 до ТК-П3) (в т.ч. ПИР)</t>
  </si>
  <si>
    <t>Капитальный ремонт участков тепловой сети по адресу: Московская область, Дмитровский м.о., г. Дмитров, ул. Профессиональная к мкр.4 (от ТК-П1 до ТК-П2) (в т.ч. ПИР)</t>
  </si>
  <si>
    <t>Капитальный ремонт участков тепловой сети по адресу: Московская область, Дмитровский м.о., г. Дмитров, ул. Советская (от ТК-К20 до д7 ул.2-ая Центральная) (в т.ч. ПИР)</t>
  </si>
  <si>
    <t>Капитальный ремонт участков тепловой сети по адресу: Московская область, Дмитровский м.о., г.Дмитров, ул. Профессиональная ( от ТК-П3 до ТК-По ул.Оборонная) (в т.ч. ПИР)</t>
  </si>
  <si>
    <t>Капитальный ремонт участков тепловой сети по адресу: Московская область, Дмитровский м.о., г. Дмитров, ул. Профессиональная (от котельной до ТК-П1 ул. Профессиональная) (в т.ч. ПИР)</t>
  </si>
  <si>
    <t>Капитальный ремонт участков тепловых сетей по адресу: Московская область, Дмитровский м.о., с. Рогачево, пл Осипова т.А через дорогу с. Рогачево пл.Осипова (в т.ч. ПИР)</t>
  </si>
  <si>
    <t>Строительство БМК по адресу: Московская область, Дмитровский г.о., п. Автополигон (в т.ч. ПИР)</t>
  </si>
  <si>
    <t>Строительство БМК по адресу: Московская область, Дмитровский г.о., р.п. Икша, ул.Рабочая (в т.ч. ПИР)</t>
  </si>
  <si>
    <t>тепловая сети котельной "Авиационная", г. Домодедово, мкр.Авиационный, ул.Королева (в т.ч. ПИР)</t>
  </si>
  <si>
    <t>Тепловая сеть котельной "25 лет Октября", г. Домодедово, мкр. Центральный, ул. Корнеева (в т.ч. ПИР)</t>
  </si>
  <si>
    <t>Тепловая сеть котельной г. Домодедово, мкр. Центральный: "25 лет Октября", ул. Корнеева, ул. Каширское шоссе; (в т.ч. ПИР)</t>
  </si>
  <si>
    <t>Контракт расторгнут 14.10.2025</t>
  </si>
  <si>
    <t>.05.2026</t>
  </si>
  <si>
    <t>контракт расторгнут 14.10.2025</t>
  </si>
  <si>
    <t>1000003573.1000004371</t>
  </si>
  <si>
    <t>Капитальный ремонт котельной (в части замены насосов, котла ПТВМ с автоматизацией) по адресу: Московская область, г. Егорьевск, Касимовское шоссе, д.3А (в т.ч. ПИР)</t>
  </si>
  <si>
    <t>Котельная с целью перевода на газообразное топливо д. Челохово, 1 (в т.ч. ПИР)</t>
  </si>
  <si>
    <t>Реконструкция главного корпуса с пристройкой (в части замены котла) по адресу: Московская область, г.о. Жуковский, ул. Энергетическая д. 17 (в т.ч. ПИР)</t>
  </si>
  <si>
    <t>Реконструкция участка тепловой сети по адресу: Московская область, г. Кашира, от дома № 9 до дома № 4/1 по ул. Садовая ( в т.ч. ПИР)</t>
  </si>
  <si>
    <t>Строительство тепловых сетей от БМК мощностью 6,0 МВт по адресу: Московская область, г.о. Кашира, г. Кашира, ул. 1-ая Дзержинская до врезки в существующую сеть (в т.ч. ПИР)</t>
  </si>
  <si>
    <t>Реконструкция Котельной № 42 по адресу: г.о. Коломна, п. Заречный 1,4 МВт со снижением мощности до 1,4 МВт (в т.ч. ПИР)</t>
  </si>
  <si>
    <t>Строительство БМК по адресу: г. Озеры, ул. Ленина, вблизи дома 55 (в том числе ПИР)</t>
  </si>
  <si>
    <t>до 31.05.26</t>
  </si>
  <si>
    <t>до 15.06.2026</t>
  </si>
  <si>
    <t>до 15.07..2026</t>
  </si>
  <si>
    <t>Капитальный ремонт участка тепловой сети по адресу: Московская область, г.о. Краснознаменск, ул. Октябрьская от ТК 59 до ТК 51 (в т.ч. ПИР)</t>
  </si>
  <si>
    <t>Строительство котельной с наружными сетями теплоснабжения по адресу: Московская область, г. Краснознаменск , в районе ул. Индустриальная, в том числе ПИР и технологическое присоединение, в том числе ПИР</t>
  </si>
  <si>
    <t>не требуется</t>
  </si>
  <si>
    <t>Капитальный ремонт участков тепловых сетей от котельной №1 по адресу: Московская область, м.о. Лотошино, п.Лотошино, ул.Микрорайон, д.9: от ж.д.6 до ж.д.11, от ТК-9 до ответвления на здания РООиР (в т.ч. ПИР)</t>
  </si>
  <si>
    <t>Капитальный ремонт участков тепловых сетей от котельной №11 по адресу: Московская область, м.о. Лотошино, д. Ушаково, д.57: от ТК-2 до зд.школы, от ТК-9 до ТК-15 (в т.ч. ПИР)</t>
  </si>
  <si>
    <t>Капитальный ремонт участков тепловых сетей от котельной №16 по адресу: Московская область, г.о. Лотошино, с. Микулино, ул. Микрорайон, д.19 (в т.ч. ПИР)</t>
  </si>
  <si>
    <t>Капитальный ремонт участков тепловых сетей от котельной №18 по адресу: Московская область, м.о. Лотошино, д. Доры, д.67: от ТК-2 до ТК-4 (в т.ч. ПИР)</t>
  </si>
  <si>
    <t>Капитальный ремонт участков тепловых сетей от котельной №2а по адресу: Московская область, м.о. Лотошино, п.Кировский, ул.Волоколамское шоссе, д.4: от ТК-1 до угла поворота, от ТК-19 до ТК-21, от ТК-9 до ТК-9а (в т.ч. ПИР)</t>
  </si>
  <si>
    <t>Капитальный ремонт участков тепловых сетей от котельной №4 по адресу: Московская область, г.о. Лотошино, п.Лотошино, ул.Спортивная, д. 9А (в т.ч. ПИР)</t>
  </si>
  <si>
    <t>Реконструкция котельной №14 по адресу: Московская область, г.о. Лотошино, д. Михалёво, д.28 (в т.ч. ПИР)</t>
  </si>
  <si>
    <t>Реконструкция котельной №16 по адресу: Московская область, г.о. Лотошино, с. Микулино, ул. Микрорайон, д.19 (в т.ч. ПИР)</t>
  </si>
  <si>
    <t>Реконструкция котельной №4 по адресу: Московская область, г.о. Лотошино, п.Лотошино, ул.Спортивная, д. 9А (в т.ч. ПИР)</t>
  </si>
  <si>
    <t>Капитальный ремонт участков тепловой сети от котельной Врачово-Горки по адресу: Московская область, г.о. Луховицы, п. Врачово-Горки, участок вдоль ул. Клубная, дома 1-5 (в т.ч. ПИР)</t>
  </si>
  <si>
    <t>Капитальный ремонт участков тепловой сети по адресу: Московская область, г.о. Луховицы, п. Красная Пойма, от ул. Школьная до ул. Лесная: от ТК 16 до ТК 18, от ТК 8 до ТК 16 (в т.ч. ПИР)</t>
  </si>
  <si>
    <t>Капитальный ремонт участков тепловой сети по адресу: Московская область, г.о. Луховицы, с. Павловское, от котельной Павловское, участок вдоль ул. Молодежная, дома 5Б - 12, участок от Молодежная 5Б до Центральная 11А: от ТК 1 до ТК 10, от ТК 1 до ТК 14 (в т.ч. ПИР)</t>
  </si>
  <si>
    <t>Реконструкция котельной "Дединово" по адресу: Московская область, г.о. Луховицы, с.Дединово, ул. Гражданская, д. 26а (в т.ч. ПИР)</t>
  </si>
  <si>
    <t>Строительство БМК на 4,5 МВт по адресу: Московская область, г.о. Луховицы, п.Фруктовая, ул.Почтовая, д. 16 (в т.ч. ПИР)</t>
  </si>
  <si>
    <t>Капитальный ремонт участков тепловых сетей от котельной №1 по адресу: Московская область, г.о.Лыткарино, квартал 2, мкр.5, стр.5а (от ТК-412 до ТК-409), в т.ч. ПИР</t>
  </si>
  <si>
    <t>Строительство БМК на 7,5 МВт по адресу: Московская область, г.о. Люберцы, д.Марусино, в районе домов ул. Заречная д. 25а (в т.ч. ПИР)</t>
  </si>
  <si>
    <t>Капитальный ремонт котельной № 14 (в части замены 3-х котлов) по адресу: Наро-Фоминский г.о., г. Апрелевка, ул. Апрелевская, д.65 (в т.ч. ПИР)</t>
  </si>
  <si>
    <t>Капитальный ремонт котельной № 50 (в части замены 3-х котлови оборудования) по адресу: Московская область, г.о. Наро-Фоминск, р.п. Селятино, ул. Промышленная, зд. 20 (в т.ч. ПИР)</t>
  </si>
  <si>
    <t>Капитальный ремонт котельной №3 по адресу: г. Наро-Фоминск, ул. Калинина (в т.ч. ПИР)</t>
  </si>
  <si>
    <t>Капитальный ремонт участков тепловых сетей №№ 72, 73, 74, 90, 91А, 91, 92, 92А, 99, 68, 67, 87, 240, 241 от котельной № 10, г. Наро-Фоминск, ул. Льва Толстого (в т.ч. ПИР)</t>
  </si>
  <si>
    <t>Реконструкция Котельной №53 по адресу: Московская область, г.о. Наро-Фоминский, п. Калининец (в т.ч. ПИР)</t>
  </si>
  <si>
    <t>Реконструкция котельной № 1 c установкой дополнительного котла на 5 МВт по адресу: Московская область, Одинцовский г.о., г. Звенигород, ул. Нахабинское шоссе д.2 (в т.ч. ПИР)</t>
  </si>
  <si>
    <t>Реконструкция участков тепловых сетей по адресу: Московская область, Одинцовский г.о., п. Новошихо (в т.ч. ПИР)</t>
  </si>
  <si>
    <t>Реконструкция учатков тепловых сетей по адресу: Московская область, Одинцовский г.о., п. ПМС-4 (в т.ч. ПИР)</t>
  </si>
  <si>
    <t>Капитальный ремонт участка тепловой сети от котельной по адресу: г.о. Подольск, ул. Профсоюзная, 10А: от ТК1 до ТК2 (в т.ч. ПИР)</t>
  </si>
  <si>
    <t>Капитальный ремонт участков тепловой сети от котельной по адресу: г.о.Подольск, ул.Пионерская,д.5а: вдоль улиц Ватутина, Пионерская (в т.ч. ПИР)</t>
  </si>
  <si>
    <t>Капитальный ремонт участков тепловой сети от котельной, расположенной по адресу: г.о. Подольск, р-н Силикатная-2, пр-зд Авиаторов, д.14, участки: пр-зд Авиаторов д.2 от ТК6 до ТК7; пр-зд Авиаторов д.2 от ТК6 до ТК7; пр-зд Авиаторов д.12 от ТК1 до ТК12; пр-зд Авиаторов д.12 от ТК12 до ТК16 (в т.ч. ПИР)</t>
  </si>
  <si>
    <t>Капитальный ремонт участков тепловых сетей от котельной по адресу: Московская область, г.Подольск, ул.Литейная, д.4б: от котельной ул. Литейная 4Б до ТК-1, от ТК-1 Литейная,4б до ТК-6, от ТК-6 Литейная, 4б до ТК-7, от ТК-7 до ТК-8 Литейная,4б (в т.ч. ПИР)</t>
  </si>
  <si>
    <t>Капитальный ремонт участков тепловых сетей по адресу: Московская область, г.о. Подольск, мкр. Климовск, ул. Ихтиманская, Железнодорожная, Ленина: от ТК133 ул. Ихтиманская д.7 до Р-35 ул.Железнодорожная д.1, от Р-35 ул.Железнодорожная д.1 до ЦТП18, от ТК86 ул.Ленина д.10А до ЦТП17, от ТК106 ул.Ленина д.7 до Ленина д.9 (в т.ч. ПИР)</t>
  </si>
  <si>
    <t>Котельная по адресу: г.о. Подольск, г. Подольск, ул. Победы, д. 4а (в т.ч. ПИР)</t>
  </si>
  <si>
    <t>Реконструкция котельной по адресу: г.о. Подольск, г. Подольск, ул. Ульяновых, д. 9 (в т.ч. ПИР)</t>
  </si>
  <si>
    <t>Тепловая сеть: г.о. Подольск, г. Подольск, мкр. Межшоссейный, Шепчинки, Парковый, Центральный (в т.ч. ПИР)</t>
  </si>
  <si>
    <t>Капитальный ремонт котельной "Студенческий проезд" по адресу: Московская область, г.о. Пушкинский, г. Ивантеевка, Студенческий проезд д.39А (в т.ч. ПИР)</t>
  </si>
  <si>
    <t>Капитальный ремонт котельной «7 квартал» по адресу: Московская область, г.о. Пушкинский, г. Ивантеевка, ул. Толмачева, д. 80А (в т.ч. ПИР)</t>
  </si>
  <si>
    <t>Капитальный ремонт участков тепловых сетей от ТК70 до ТК74А по Центральному проезду в г.о. Пушкинский (в т.ч. ПИР)</t>
  </si>
  <si>
    <t>Капитальный ремонт участков тепловых сетей по адресу: Московская область, г.о. Пушкинский, г. Ивантеевка, Центральный проезд , от ТК-1 до ТК у дома 17 (в т.ч. ПИР)</t>
  </si>
  <si>
    <t>Капитальный ремонт участков тепловых сетей по адресу; Московская область, г.о. Пушкинский, г.Ивантеевка, от ТК 5 до ул. Дзержинского, 4 (в т.ч. ПИР)</t>
  </si>
  <si>
    <t>Капитальный ремонт участка тепловой сети по адресу: Московская область, г.о. Серебряные Пруды п. Успенский от ДК до ТК-7 -ТК-18 (в т.ч. ПИР)</t>
  </si>
  <si>
    <t>Реконструкция теплосети и ГВС от котельной №2 р.п. Серебряные Пруды» (в т.ч. ПИР)</t>
  </si>
  <si>
    <t>Реконструкция теплосети с. Мочилы г.о. Серебряные Пруды</t>
  </si>
  <si>
    <t>Аварийно-восстановительные работы сетей теплоснабжения и ГВС в р.п. Менделеево г.о. Солнечногорск</t>
  </si>
  <si>
    <t>Замена участка трубопровода теплоснабжения от Котельная «ГЭМЗ» до тепловой камеры ТК-2.1 в районе магазина «Магнит», с увеличением диаметра до 2Dу=500мм, по адресу: Московская область, городское поселение Солнечногорск</t>
  </si>
  <si>
    <t>Капитальный ремонт котельной (в части замены котла) по адресу: Московская область, г.о. Солнечногорск, п. Менделеево (в т.ч. ПИР)</t>
  </si>
  <si>
    <t>Реконструкция котельной №271 (Выстрел) по адресу: Московская область, г.о. Солнечногорск (в т.ч. ПИР)</t>
  </si>
  <si>
    <t>Капитальный ремонт участков тепловых сетей от котельной ТЭЦ-17 (от ул. Горького до ул. Андропова) по адресу: Московская область, г.Ступино, пр-т Победы (в т.ч. ПИР)</t>
  </si>
  <si>
    <t>Капитальный ремонт участков тепловых сетей от ЦТП №1 Северный до МКД № 36 по ул. Советская по адресу: Московская область, г.о. Ступино, п. Михнево (в т.ч. ПИР)</t>
  </si>
  <si>
    <t>Автоматизированная блочно-модульная котельная производительностью 11,0 МВт по адресу: Талдомский район, р.п. Северный, ул. Садовая, д. 12</t>
  </si>
  <si>
    <t>не позднее 10.12.2025</t>
  </si>
  <si>
    <t>не позднее 19.12.2025</t>
  </si>
  <si>
    <t>не позднее 17.12.2025</t>
  </si>
  <si>
    <t>не позднее 09.12.2025</t>
  </si>
  <si>
    <t>не позднее 05.12.2025</t>
  </si>
  <si>
    <t>Капитальный ремонт котельной (в части замены трех котлов) по адресу: Московская область, г.о. Черноголовка, с. Макарово, д. 103 (в т.ч. ПИР)</t>
  </si>
  <si>
    <t>расторжение в одностороннем порядке</t>
  </si>
  <si>
    <t>Капитальный ремонт котельных, ЦТП, сетей теплоснабжения и ГВС в муниципальном округе Чехов Мосоковской области</t>
  </si>
  <si>
    <t>Реконструкция котельной № 4 по адресу: Московская область, г.о. Чехов, ул. Гагарина, стр. 42б (в т.ч. ПИР)</t>
  </si>
  <si>
    <t>Реконструкция котельной №27 по адресу: Московская область, г.о. Чехов, п.Новый Быт, ул. НАТИ, стр.10-1 (в т.ч. ПИР)</t>
  </si>
  <si>
    <t>Капитальный ремонт участков тепловых сетей по адресу: Московская область, м.о. Шатура, п. Туголесский бор, от ТК-48 до ТК-56 (в т.ч. ПИР)</t>
  </si>
  <si>
    <t>планируется заключение дополнительного соглашения о продлении сроков</t>
  </si>
  <si>
    <t>Капитальный ремонт участков тепловых сетей по адресу: Московская область, м.о. Шатура, с. Дмитровский погост, от ТК-3 до ТК-5 (в т.ч. ПИР)</t>
  </si>
  <si>
    <t>Строительство блочно-модульная котельная (БМК), расположенная по адресу: Московская область, городской округ Шатура, поселок Радовицкий, ул. Спортивная, д. 13 (в том числе ПИР и ТП)</t>
  </si>
  <si>
    <t>Строительство блочно-модульной котельной (БМК), расположенная по адресу: Москвская область, городской округ Шатура, поселок Бакшеево, ул. Комсомольская, д. 2 ( в т.ч. ПИР и ТП)</t>
  </si>
  <si>
    <t>Капитальный ремонт котельной (в части замены двух котлов и деаэратора) по адресу: Московская область, г.о. Щелково, ул. Московская (в т.ч. ПИР)</t>
  </si>
  <si>
    <t>Капитальный ремонт Котельной №29 в г.о. Щелково (в т.ч. ПИР)</t>
  </si>
  <si>
    <t>Капитальный ремонт Котельной №9 по адресу: Московская область, г.о. Щелково, ул. Механизаторов (в т.ч. ПИР)</t>
  </si>
  <si>
    <t>Капитальный ремонт Котельной по адресу: Московская область, г.о. Щелково, Фряновское ш. (в т.ч. ПИР)</t>
  </si>
  <si>
    <t>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t>
  </si>
  <si>
    <t>Строительство БМК на 16 МВт по адресу: Московская область, г.о. Щелково, мкр. №2 (в т.ч. ПИР)</t>
  </si>
  <si>
    <t>Блочно-модульная котельная 2,1 МВт, взамен действующей г.о. Электросталь, с. Иванисово, ул. Центральная Усадьба (в т.ч. ПИР)</t>
  </si>
  <si>
    <t>срок истек</t>
  </si>
  <si>
    <t>Блочно-модульная котельная 5МВт, по адресу:г.о. Электросталь, п. Елизаветино, ул. Набережная, 12-а</t>
  </si>
  <si>
    <t>Блочно-модульная котельная мощность 3МВт по адресу:г.о. Электросталь, п. Фрязево, ул. Советская, д. 3-а</t>
  </si>
  <si>
    <t>Наименование</t>
  </si>
  <si>
    <t>Подрядчик</t>
  </si>
  <si>
    <t>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г.о. Балашиха, мкр. Купавна, ул. Адмирала Нахимова, д. 9 А на участках: 
  от ЦТП-10/1 до ТК-31, от ТК-35 до ТК-35А, от ТК-34 до ТК-36, от ТК-16 до ТК-39, от ТК-43 до ТК-45 (в т.ч.ПИР)</t>
  </si>
  <si>
    <t>Капитальный ремонт участков тепловых сетей от ЦТП-2 котельной "Заречье" по ул. Декабристов, ул. 28 Июня, в г. Ногинск, г.о. Богородский: от ЦТП-2 до ТК-1; от ТК-1 до ТК-2; от ТК-2 до ж.д. №7 по ул. 28 Июня; от ТК-2 до ж.д. №9 по ул. Декабристов; от ТК-1 до ж.д. №5а по ул. Декабристов; транзитный трубопровод в ж.д. №5а по ул. Декабристов от УЗ-1 до внешней стены дома (в сторону дома №5б по ул. Декабристов); транзитный трубопровод в ж.д. №5а по ул. Декабристов от УЗ-1 до внешней стены дома (в сторону дома №5 по ул. Декабристов); от ж.д. №5а до ж.д. №5 по ул. Декабристов; от ж.д. №5 по ул. Декабристов до ТК-4; от ТК-4 до ж.д. №3а по ул. Декабристов;
  от ТК-4 до ж.д. №3б по ул. Декабристов (в т.ч. ПИР)</t>
  </si>
  <si>
    <t>Капитальный ремонт котельной (в части замены котла) по адресу:  Московская область, Дмитровский г.о., г. Дмитров, ул. Водников 27 (в т.ч. ПИР)</t>
  </si>
  <si>
    <r>
      <rPr>
        <rFont val="Times New Roman"/>
        <color theme="1"/>
        <sz val="11.0"/>
      </rPr>
      <t xml:space="preserve">Капитальный ремонт котельной </t>
    </r>
    <r>
      <rPr>
        <rFont val="Times New Roman"/>
        <b/>
        <color theme="1"/>
        <sz val="11.0"/>
      </rPr>
      <t>( в части замены насосов)</t>
    </r>
    <r>
      <rPr>
        <rFont val="Times New Roman"/>
        <color theme="1"/>
        <sz val="11.0"/>
      </rPr>
      <t xml:space="preserve"> по адресу: Московская область, г. Егорьевск, ул. Рязанская, д.106</t>
    </r>
  </si>
  <si>
    <t>Капитальный ремонт котельной «Студенческий проезд» по адресу: Московская область, г.о. Пушкино, Студенческий проезд д. 39А (в т.ч. ПИР)</t>
  </si>
  <si>
    <t>Капитальный ремонт котельной (в части замены теплового оборудования) по адресу: Московская область, г.о. Солнечногорск,  п. Менделеево (в т.ч. ПИР)</t>
  </si>
  <si>
    <t>Реконструкция котельной № 27 по адресу: Московская область, г.о. Чехов, п.Новый Быт, ул. НАТИ, стр.10-1 (в т.ч. ПИР)</t>
  </si>
  <si>
    <t xml:space="preserve">ООО СТРОЙ ГРУПП </t>
  </si>
  <si>
    <t xml:space="preserve">ООО ТЕПЛОЭНЕРГОТЕХ </t>
  </si>
  <si>
    <t>Строительство БМК на 3 МВт по адресу: Московская область, г.о. Шаховская, с. Раменье ул. Новая 13  (в т.ч. ПИР)</t>
  </si>
  <si>
    <t>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t>
  </si>
  <si>
    <t>Строительство БМК на 15 МВт по адресу: Московская область, г. Электросталь, пр-д Восточный  (в т.ч. ПИР)</t>
  </si>
  <si>
    <t>НАИМЕНОВАНИЕ</t>
  </si>
  <si>
    <t>ТИП ОБЪЕКТА</t>
  </si>
  <si>
    <t>МОГЭ</t>
  </si>
  <si>
    <t>СМР</t>
  </si>
  <si>
    <t>ИД КС</t>
  </si>
  <si>
    <t>ОПЛАТА</t>
  </si>
  <si>
    <t>Реконстукция участка тепловой сети по адресу: Московская область, г.о. Власиха, от УТ34 до ЦПТ Центральный (1-конту…</t>
  </si>
  <si>
    <t>Реконструкция участка тепловой сети по адресу: Московская область, г.о. Власиха, от ул. Заозерная д. 15 до ДС № 5 З…</t>
  </si>
  <si>
    <t>Строительство блочно-модульной котельной для ГКУЗ Московской области "Детский бронхолегочный санаторий "Озерский" п…</t>
  </si>
  <si>
    <t>Капитальный ремонт котельной (в части замены котла) по адресу: Московская область, Дмитровский г.о., г. Дмитров, ул…</t>
  </si>
  <si>
    <t>Капитальный ремонт участков тепловой сети по адресу: Московская область, Дмитровский г.о., г. Дмитров, ул. Советска…</t>
  </si>
  <si>
    <t>Капитальный ремонт участков тепловых сетей от ТК 1308/4 (2-ой Покровский пр-д, напротив д. 2) до ЦТП-3 по адресу: М…</t>
  </si>
  <si>
    <t>Капитальный ремонт участков тепловых сетей от ЦТП "Ковровый" по адресу: Московская область, г.о. Котельники, мкр.Ко…</t>
  </si>
  <si>
    <t>Строительство блочно-модульной котельной мощностью 1,5 Гкал/час, расположенной по адресу: Московская область, Одинц…</t>
  </si>
  <si>
    <t>Капитальный ремонт котельной (в части замены теплового оборудования) по адресу: Московская область, г.о. Солнечного…</t>
  </si>
  <si>
    <t>Капитальный ремонт участков тепловых сетей от котельной № 1 по адресу: Московская область, г.о. Чехов, Симферопольс…</t>
  </si>
  <si>
    <t>Капитальный ремонт участков тепловых сетей по адресу: Московская область, г.о. Чехов, от дома 62 ул. Гагарина через…</t>
  </si>
  <si>
    <t>Капитальный ремонт участков тепловых сетей от котельной № 23 по адресу: Московская область, г.о. Чехов, д. Крюково …</t>
  </si>
  <si>
    <t>Капитальный ремонт участков тепловых сетей сети от ЦТП-6 по адресу: Московская область г.о. Чехов, ул.Чехова (от ТК…</t>
  </si>
  <si>
    <t>Капитальный ремонт котельной № 5 (в части замены котлов и газогорелочного оборудования) по адресу: Московская облас…</t>
  </si>
  <si>
    <t>Реконструкция участков тепловых сетей от котельной № 1 по адресу: Московская область, г.о. Чехов, Симферопольское ш…</t>
  </si>
  <si>
    <t>Капитальный ремонт участков тепловых сетей от котельной № 4 по адресу: Московская область, г.о. Чехов, ул. Гагарина…</t>
  </si>
  <si>
    <t>Капитальный ремонт участков тепловой сети от котельной АО «ГТ Энерго» с закольцовкой котельной Фабричная от ТК-22 д…</t>
  </si>
  <si>
    <t>Строительство модульно-блочной котельной 2,1 МВт, взамен действующей г.о. Электросталь, с. Иванисово, ул. Центральн…</t>
  </si>
  <si>
    <t>SUM из Остаток</t>
  </si>
  <si>
    <t>Итого</t>
  </si>
  <si>
    <t>Наименование объекта</t>
  </si>
  <si>
    <t>1000001781.1000001867</t>
  </si>
  <si>
    <t>Строительство автоматизированного ЦТП 3, тепловых сетей и сетей ГВС от ЦТП 3 в районе ул. Садовая, д. 19 с переходом от открытой системы теплоснабжения на закрытую с установкой повысительных насосов (в т.ч. ПИР)</t>
  </si>
  <si>
    <t>Реконструкция сетей теплоснабжения от ул. Клубная до ул. Садовая в мкр. Кашира-2 городского округа Кашира Московской области, (в т.ч. ПИР</t>
  </si>
  <si>
    <t>Реконструкция тепловых сетей: г.о. Подольск, г. Подольск, мкр. Межшоссейный, Шепчинки, Парковый, Центральный</t>
  </si>
  <si>
    <t>1000001783.1000001869</t>
  </si>
  <si>
    <t>Строительство автоматизированного ЦТП 5, тепловых сетей и сетей ГВС от ЦТП 5 в районе ул. Центральная, д. 13 с переходом от открытой системы теплоснабжения на закрытую (в т.ч. ПИР</t>
  </si>
  <si>
    <t>1000004855.5327935902</t>
  </si>
  <si>
    <t>Строительство ЦТП 4, тепловых сетей и сетей ГВС от ЦТП 4 в районе ул. Юбилейная, д. 12 (в т.ч. ПИР</t>
  </si>
  <si>
    <t>Комментарий РП на 03.06.2026</t>
  </si>
  <si>
    <t>Общая статистика</t>
  </si>
  <si>
    <t>Выход из МОГЭ до 20.06.2026 тех часть. Нет договора на транспортировку газа. План предоставления договоров на транспортировку газа Заказчиком до 20.06.2026 . .СМР не завершен в части ПНР. ПНР запланирован до 10.07.2026.</t>
  </si>
  <si>
    <t>142 169 510,00</t>
  </si>
  <si>
    <t>11 148 794,08</t>
  </si>
  <si>
    <t>131 020 715,92</t>
  </si>
  <si>
    <t>СМР не завершен. Идет устранение 3 замечаний УТНКР</t>
  </si>
  <si>
    <t>СМР не завершен. Идет устранение замечаний УТНКР, идет постепенное восстановление благоустройства. Темпы благоустройства - низкие, в связи с финансовыми трудностями у подрядчика.</t>
  </si>
  <si>
    <t>СМР ведутся.
ПНР: выполнено 04.06.2025 для котлов №2 и №4, 29.05.2026 для котла №3
Необходимо выполнить до окончания строительства:
- пусконаладочные работы котла №1 (план 22.06.2026)
Замечания УТНКР:</t>
  </si>
  <si>
    <t>Согласование по 65.1 получено 12.05.2026
Повторное прохождение МОГЭ, плановая дата выхода 15.06.2026
СМР выполнен. В период ОЗП 2025-2026 тепло было запущено по новой схеме.
ИД в процессе передачи на проверку УТНКР.
04.05.2026 - назначена встреча УТНКР и Подрядной организации.
02.06.2026 - заказчик подписал акты КС на сумму 162 337 413,81 руб.</t>
  </si>
  <si>
    <t>Положительное заключение МОГЭ получено 13.05.2026
Тепломеханическое оборудование смонтировано, работает (ОЗП 2025-2026 тепло было запущено по новой схеме)
СМР не завершен в части общестроительных работ. Плановая дата завершения работ 15.07.2026</t>
  </si>
  <si>
    <t>МОГЭ не получено, необходимо внесение изменений в ТЗ к конракту, плановая дата захода в МОГЭ 20.06.2026
В контракте 16 мероприятий 
(10 сетей, 3 ЦТП, 3 Котельные)
Исключение 1 сети из этого контракта и включение его в ГП до 05.06.2026 для прохождения экспертизы
СМР не завершен</t>
  </si>
  <si>
    <t>178 679 900,00</t>
  </si>
  <si>
    <t>Заканчивают благоустройство 05.06.2026г., ожидают прибытие представителей УТНКР. Отсутствие банковской гарантии, которое исключает продление контракта. На 03.06.2026г. в наличии 10 замечаний стройконтроля. Сдача КС и ИД в полном объеме планируется до 10.07.2026г.</t>
  </si>
  <si>
    <t>239 807 502,99</t>
  </si>
  <si>
    <t>91 335 232,29</t>
  </si>
  <si>
    <t>148 472 270,70</t>
  </si>
  <si>
    <t>не завершен ПНР (проводится внутренний ПНР), предъявление УТНКР и главстройнадзору до 15.06.20206
не полностью сдана ИД (план сдачи 25.06.2026)
не устранены замечания УТНКР. устраняются замечания по ИД (план сдачи до 25.06.2026)</t>
  </si>
  <si>
    <t>Проведено совещание 01.06.2026. ПНР план до 10.06.2026. ИД частично сдана в УТНКР.</t>
  </si>
  <si>
    <t>Оплачено, руб. (план): 56 503 482.46
Оплачено, руб. (факт): 56 503 482.46
Процент оплаты: 29.99 %</t>
  </si>
  <si>
    <t>не сданы работы по ПНР под нагрузкой, благоустройству. Процент выплат 29,99%</t>
  </si>
  <si>
    <t>Положительное заключение МОГЭ получено
БМК смонтирована в проектное положение, подключена к ресурсам ТЭ, ГАЗ, ВО, Водоснабжение.
СГ 89%
проводится предварительный ПНР перед сдачей УТНКР и Ростехнадзору (срок завершения ПНР 15.06.2026)
Исполнительная документация в работе в УТНКР (остатки исполнительной документации отправлены на проверку 26.05.2026, 26.05.2026, 03.06.2025)
план сдачи объекта до 08.07.2026</t>
  </si>
  <si>
    <t>МОГЭ не получено (плановая дата 10.07.2026). СМР не завершены.
В ходе выполнения работ возникло увеличение объемов (доп. 4 505 п.м. в 4х трубном исчислении или 1 126 п.м. по каналу)
Необходимо выполнить для завершения объекта:
1. Оформление в собственность участок 4 км трассы (планируется до 01.07.2026)
2. Переврезка МКД (планоируется до 15.07.2026)</t>
  </si>
  <si>
    <t>В МОГЭ заходили . Выдано отрицательное заключение. Срок получения положительного заключения экспертизы до 01.08.2026. Сроки получения положительного заключения экспертизы увеличились, в связи с увеличением объема работ, за счет необходимости выполнения работ по перекладке трубопровода системы ГВС. Проектом было предусмотрено замена только ЦО, по факту ещё и ГВС. т.е. в место 2-х трубной, делаем 4-х трубную.СМР ведутся . СГ-50% Плановая дата дата окончания СМР 03.10.2026</t>
  </si>
  <si>
    <t>Находятся в МОГЭ с 25.05.2026
Плановая дата выхода 22.07.2026
СМР не завершен
Плановая дата ПНР 15.10.2026</t>
  </si>
  <si>
    <t>новый контракт заключен с ООО Строй Групп 20.04.2026. Идет передача строительной площадки подрядчику и допуск субподрядчика.
План завершения СМР 25.11.2026.</t>
  </si>
  <si>
    <t>новый контракт заключен с ООО Строй Групп 20.04.2026. 
Идет передача строительной площадки подрядчику и определение субподрядной организации по сборке БМК.
Заключение МОГЭ получено предыдущим подрядчиком. контракт только на СМР.
План завершения СМР 25.11.2026.</t>
  </si>
  <si>
    <t>Положительное заключение МОГЭ получено 05.03.2026
СМР не завершен в части общестроительных работ. Плановая дата завершения работ 15.07.2026</t>
  </si>
  <si>
    <t>СМР не завершен.
Перенос объекта утвержден рабочей группой, изменение в ГП не вносилось. контракт не продлен (МИНЖКХ). 
Продление сроков ПИР всвязи с поздним согласованием Заказчиком направления трассы (19.05.2026), а также необходимостью разрабатывать дополнительные разделы (прохождением в водоохранной зоне).</t>
  </si>
  <si>
    <t>В МОГЭ не заходили из-за длительного согласования направления трассы с заказчиком (трубопровод частично проложен частной территории). 
19.05.2026 заказчиком согласовано направление трассы.
Решается вопрос с заказчиком и с МОГЭ об корректировке задания на проектирование.
При согласовании захода проверки на достоверность сметной документации срок захода в МОГЭ 25.06.2026.
При согласовании захода в МОГЭ полным комплектом документов срок захода в МОГЭ 15.07.2026
СМР не завершен, в части проведения переврезки, СМР тепловых камер, гидравлических испытаний и благоустройства.
Планируемый срок завершения СМР 01.08.2026</t>
  </si>
  <si>
    <t>Документы в МОГЭ поданы. 
Плановая дата выхода из МОГЭ - 29.07.2026
СМР не завершен, плановая дата врезки 30.07.2026 г.</t>
  </si>
  <si>
    <t>СМР ведутся.
Необходимо выполнить:
ведутся работы по монтажу систем автоматизации, электроснабжения.
ПНР - 20.06.2026 год
Находятся в МОГЭ, замечания о необх. корректировки раздела ПЗ: в части несоответствия ПД заданию на проектирование</t>
  </si>
  <si>
    <t>МОГЭ не получено, плановая дата захода 15.06.2026
СМР не завершен
Работы не ведутся
Со стороны ОМСУ рассматривается вариант расторжения контракта</t>
  </si>
  <si>
    <t>Контракт с Подрядчиком ООО Грандхит расторгнут. Закупка будет переопубликована.Положительное заключение МОГЭ получено 09.03.2022.Строительная готовность объекта 89%.</t>
  </si>
  <si>
    <t>В Экспертизу Подрядчик зайти не смог, т.к. получено заключение МОГЭ в 2022 году на три объекта Ботово, Ивановское, Ярополец. Отдельно на Ивановское зайти нельзя!</t>
  </si>
  <si>
    <t>В МОГЭ не заходили из-за отсутствия тех.приса по газу. Заход в МОГЭ после 15.07.2026.
В ОМСУ отсуствуютфинансирование на техприс. В планах ОМСУ решение вопроса по лимитам на техприс до 15.07.26. Для техприса по газу необходим индивидуальный проект. Срок реализации индивидуальных проектов по техпрису два года согласно регламента Мособлгаз.
СМР не завершен, в части проведения ПНР.
Срок ПНР на 03.06.2026 не определен.</t>
  </si>
  <si>
    <t>Ранее заходили в экспертизу, получено отрицательное заключение от 24.12.2025 
(низкая динамика устранения замечаний Эксперта)
30.12.2025 
(отказ в приеме и рассмотрении заявления)
Заключили договор МОГЭ 27.04.2026
Плановая дата выхода 09.06.2026
СМР выполнен в полном объеме. Благоустройство выполнено.</t>
  </si>
  <si>
    <t>Заходили в МОГЭ, вышли из него с отрицательным заключением. Повторный заход в МОГЭ с уточнеными объемами с устранеными до 10.06.2026. В части СМР не завершено благоустройство. (тратуары, бордюры, финальное благоустройство).</t>
  </si>
  <si>
    <t>Положительное заключение МОГЭ получено в 2022. Необходимо проводить корректировку после заключения нового контратка.
Расторгнут контракт ООО "Промстройэкспериза"
Ведется судебное разбирательство на тему возврата аванса по контракту на поставку
(в теле контракта заложено 2 контракта (поставка и СМР). Аванс с контракта на СМР МОС АВС вернули)
Первое заседание состоялось 12.05.2026
Заключение нового договора после судебного процесса</t>
  </si>
  <si>
    <t>Необходимо завершить общестроительные работы и благоустройство. Количество не устраненных замечаний УТНКР (6) Планируемая дата завершения 15.07.2026</t>
  </si>
  <si>
    <t>Необходимо завершить общестроительные работы и благоустройство. Количество не устраненных замечаний УТНКР (1). Планируемая дата завершения 15.07.2026</t>
  </si>
  <si>
    <t>В МОГЭ планируется заход после изменения Задания на проектирование (связанного с изменение присоединяемой нагрузки и увеличением диаметра трубопровода) и прохождением НТС. На данный момент СМР остановлен до решения вопроса с МОГЭ. НТС назначен на 09.06.2026г.</t>
  </si>
  <si>
    <t>Устраняют замечания Заказчика в части ИД. Всего 24 замечания. Срок устранения замечаний по ИД до 10.06.2026</t>
  </si>
  <si>
    <t>Положительное заключение получено.
СМР ведется. СГ-13%.Плановая дата окончания 01.09.2026.
Объект в 65.1.</t>
  </si>
  <si>
    <t>СМР не завершен. План завершения - 30.09.2026.
не подготовлена и не сдана ИД по работам нового подрядчика, не устранены замечания УТНКР.</t>
  </si>
  <si>
    <t>Проведено совещание 02.06.2026. Подрядчик обещал увеличить количество людей и темпы работ на объекте. Актуальный ГПР будет направлен до 05.06.2026.
Совместно с МЭФ прорабатывается вариант продления сроков действия контракта</t>
  </si>
  <si>
    <t>Положительное заключение МОГЭ получено предыдущей подрядной организацией.
Контракт с ООО "ПРОФИСТРОЙ" заключен в режиме КЧС (истек 19.02.2026). Прорабатывается возможность продления контракта с МЭФ (срок до 09.06.2026)
Стройготовность на площадке 65%
Подрядчик обещал увеличить количество людей и темпы работ на объекте. План завершения СМР 25.08.2026
По сдаче исполнительной документации будет собрано ВКС 09.06.2026 совместно с УТНКР и с ГЛАВСТРОЙНАДЗОРОМ по вопросу сдачи исполнительной документации от нескольких подрядных организаций.</t>
  </si>
  <si>
    <t>Устраняются замечания УТНКР по благоустройству (срок до 20.06.2027)</t>
  </si>
  <si>
    <t>Проведено совещание 01.06.2026. Заказчик взял на себя обязательство акутуализировать нагрузки и проверить представленную документацию.
Подрядчик обещал усилиться в разработке разделов ПИР.
необходимо разделение ПИР на несколько титулов (мероприятий) отдельно заходить в МОГЭ водопроводом, трубопроводами водоотведения, трубопроводами горячего водоснабжения и отопления.</t>
  </si>
  <si>
    <t>В МОГЭ не заходили из-за длительного согласования направления трассы и нагрузок к строениям с заказчиком.
27.05.2026 заказчиком выданы нагрузки на строения (не подлежащие сносу).
план захода в МОГЭ до 15.07.2026
СМР контрактом не предусмотрен</t>
  </si>
  <si>
    <t>СМР не завершен. Осталось смонтировать 400 м. трубы.
Планируется повторный заход в МОГЭ до 30.06.2026 из за увеличения стоимости работ (большая стоимость аренды грузоподьемных кранов - порядка 30 миллионов)</t>
  </si>
  <si>
    <t>Работы выполнены . Не вышли из МОГЭ</t>
  </si>
  <si>
    <t>Замечания устранены . УТНКР подписал. ОМСУ ждет документы от Заказчика на оплату. Оплата до 15.06.2026</t>
  </si>
  <si>
    <t>Ожидают оплату по ПИРам. В ПИК подгружено
Формируют ИД и КС, к 08.06.2026г. предоставляют в УТНКР всю ИД и КС, касательно выполненных СМР.</t>
  </si>
  <si>
    <t>ИД собрана в полном объеме и передана в УТНКР. Оплата контракта остановлена до устранения выданных УТНКР замечаний.</t>
  </si>
  <si>
    <t>Не получено МОГЭ, договор заключен 21.05.2026, дата выхода 20.07.2026
Работы выполнены в полном объеме
Плановая дата оплаты 15.08.2026</t>
  </si>
  <si>
    <t>Благоустройство завершено. ИД в процессе сбора для передачи в УТНКР. Срок до 30.06.2026г.</t>
  </si>
  <si>
    <r>
      <rPr>
        <rFont val="&quot;Times New Roman&quot;, serif"/>
        <b/>
        <color theme="1"/>
        <sz val="12.0"/>
      </rPr>
      <t>СМР не завершен, плановая дата завершения 01.09.2026</t>
    </r>
    <r>
      <rPr>
        <rFont val="&quot;Times New Roman&quot;, serif"/>
        <b/>
        <color theme="1"/>
        <sz val="11.0"/>
      </rPr>
      <t>, не оформлена ИД</t>
    </r>
  </si>
  <si>
    <t>СМР не завершен - монтаж оборудования (теплообменники, насосы, ХВП, электрика, автоматика, ГРУ, демонтаж дымовой трубы, ПНР) - задержка по причине отсутствия денег для закупки оборудования у подрядной организации. После оплаты частично выполенных работ - подрядная организация возобновила работы. Плановый срок завершения ПНР 31.08.2026.</t>
  </si>
  <si>
    <t>НТС проведен 29.05.2026г. Выданы замечания. Увеличение объема связано с изменением трассировки тепловой сети, необходимостью строительства непроходных каналов под дорогами (проезд тяжелой военной техники).
Повторный НТС планируется провести до 30.06.2026</t>
  </si>
  <si>
    <t>Работы завершены, идет сдача документации в УТНКР.
Осталось устранить замечаний: раздел демонтажные работы
Плановая дата подписания в УТНКР - 11.06.2026</t>
  </si>
  <si>
    <t>Зашли в экспертизу 13.04.2026. Выданы замечания в части документации по разделу Промбеза и СД. Выход из МОГЭ 12.06.2026. Неоходимо завершить общестроительные работы и благоустройство. Количество не устраненных замечаний УТНКР (3) Планируемая дата завершения 15.07.2026</t>
  </si>
  <si>
    <t>СМР не завершен, не реализован тех прис электрика - 20.05.2026 подана новая заявка на 243 кВт, газ - договор заключен - плановая дата выполнения 15.10.2026 - нужно переврезать ГРУ, ВРУ. 
Возможна частичная оплата на 80 млн руб., у ОМСУ отсуствует бюджет на оплату, прорабатывается замещение бюджета из МинЖКХ, плановая дата 05.06.2026.
Плановый срок завершения СМР 30.10.2026</t>
  </si>
  <si>
    <t>корректировка в МОГЭ, если выше 10% удорожание МК</t>
  </si>
  <si>
    <t>Оплачено, руб. (план): 87 040 926.66
Оплачено, руб. (факт): 87 040 926.66
Процент оплаты: 53.58 %</t>
  </si>
  <si>
    <t>СМР не завершен. Задержка СМР связана с приостановкой работ в связи с попаданием БМК в охранную зону Трансгаз Москва. Вопрос решен, СМР возобнавлен. Динамика производства работ положительная. Срок реализации до 01.09.2026</t>
  </si>
  <si>
    <t>Положительное заключение МОГЭ получено. Необходимо завершить СМР и выполнить благоустройство (тратуары, бордюры, финальное благоустройство) Плановая дата завершения работ 30.06.2026</t>
  </si>
  <si>
    <t>Не закончены СМР: прокладка внутренних сетей ТС для врезки с сетями ООО "КДС" и выполнения ПНР. План окончания СМР - 30.06.2026 г.</t>
  </si>
  <si>
    <t>СМР ведутся. Необходимо выполнить до окончания монтажа:
ПНР котла №4
Сметная документация проходит экспертизу в МОГЭ.
Загружена документация в МОГЭ на корректировку сметной стоимости 01.06.2026.
ИД (сметы) на рассмотрение в УТНКР.</t>
  </si>
  <si>
    <t>Положительное заключение МОГЭ - получено.
СМР выполнен.
Заказчик 04.06.2026 подгрузит в ПИК обоснование увеличения цены после МОГЭ.
Акты КС подписанные находятся у заказчика.
Плановая дата заключения дополнительного соглашения - 15.06.2026
Плановая дата оплаты - 30.06.2026</t>
  </si>
  <si>
    <t>Сдали ИД, КС
Подали документы 
на оплату 22.05.2026 . Расмотрение и оплата по 65.1</t>
  </si>
  <si>
    <t>Контракт расторгнут, плановая дата заключения нового контракта до 01.07.2026
Требуется повторно МОГЭ</t>
  </si>
  <si>
    <t>ИД оформлена, на проверке УТНКР плановый срок 10.06.2026.</t>
  </si>
  <si>
    <t>Не выполнено благоустройство по причине низкого темпа подрядной организациии. 
Плановая дата завершения благоустройства - 01.07.2026</t>
  </si>
  <si>
    <t>Подрядчик заходил на корретировку ПИР: 
14.01.2026
(отказ в приеме и рассмотрения заявления)
16.02.2026
(отказ в приеме и рассмотрения заявления)
Заключен договор с МОГЭ 17.03.2026
МОГЭ не получено, плановая дата выхода 05.06.2026
СМР не завершен по причине отсутсвия технологического присоединения по газоснабжению. Выполнение работ по тех. присоединению после получения положительного заключения МОГЭ.
ПНР не проведён.</t>
  </si>
  <si>
    <t>До 10.06.2026 подгрузка документов в ПИК. Оплата до 15.06.2026</t>
  </si>
  <si>
    <t>Положительное заключение МОГЭ - получено 12.02.2026
НТС пройден 12.12.2025
СМР выполнен в полном объёме.
ПНР - проведён
Благоустройство - выполнено
Ожидается доведение лимитов до заказчика. Оплата 15.06.2026</t>
  </si>
  <si>
    <t>Положительное заключение получено. СМР не завершен, СГ-1%
Плановая дата завершения СМР 03.10.2026</t>
  </si>
  <si>
    <t>Не заключено дополнительное соглашение с подрядной организацией по причине отсутствия местного бюджета - высвобождение бюджета от МинЖКХ.</t>
  </si>
  <si>
    <t>СМР ведутся,
Осталось выполнить: ремонт фасада здания, замена кровли, установка окон и дверей, внутренняя отделка котельного зала и бытовых помещений, монтаж ГСВ с установкой ГРУ и автоматикой, Подключение ВРУ, установка баков дизельного топлива, Монтаж пожарной сигнализации. Плановый срок завершения 31.08.2026</t>
  </si>
  <si>
    <t>Нет тех присов по газу и электрике. 
СМР не завершен 
Идет устранение 4 замечаний УТНКР
Требуется прохожджение НТС</t>
  </si>
  <si>
    <t>Нет тех присов по газу и электрике. 
СМР не завершен 
Требуется прохождение НТС</t>
  </si>
  <si>
    <t>МОГЭ - не получено положительное заключение, нужен НТС. Плановая дата проведения НТС 16.06.2026
НТС не пройден, корретировка штабного решенияя. Направлено письмо в адрес министрества от 02.06.2026 на изменение мощности в ГП с 3,5 МВт на 10,5 МВт. Изменения в ГП будут после подтверждения РГ на штабе 06.06.2026.</t>
  </si>
  <si>
    <t>Долгое подписание ДС после МОГЭ. Лимиты доведены в мае 2026. ДС подписан. Приемка ПИР до 29.05.2026. Приемка СМР до 12.06.2026. Документы на рассмотрении УТНКР</t>
  </si>
  <si>
    <t>Переоформление ГПЗ на участок</t>
  </si>
  <si>
    <t>Положительное заключение получено. СМР завершено.Устранение замечаний по ИД. Количество не устраненных замечаний УТНКР (20) (Срок до 20.06.2026)</t>
  </si>
  <si>
    <t>СМР не завершен.
Перенос объекта утвержден рабочей группой, изменение в ГП не вносилось. контракт не продлен (МИНЖКХ). 
Документация в МОГЭ на рассмотрении с 24.04.2026 план выхода из МОГЭ 25.06.2026.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на сборочной площадке Фортис. СГ 78% (поставка после завершения оплаты подрядчиком). 
(план завершения СМР до 15.10.2026)
Договора техприс заключены, не оплачены.
До выхода из МОГЭ отсутствует возможность заключить договор стройконтроля для частичной сдачи и закрытия объекта</t>
  </si>
  <si>
    <t>Положительное заключение получено. СМР завершено.Устранение замечаний по ИД. Количество не устраненных замечаний УТНКР (13) (план. до 20.06.2026)</t>
  </si>
  <si>
    <t>Благоустройство выполнено. Идет сбор ИД. Срок сдачи ИД до 30.06.26г.</t>
  </si>
  <si>
    <t>ООО "КДС" заключил контракт после расторжения с ООО"Лэндстрой" Разработка ПСД выполняется при наличии изменений объемов и ТЗ. В МОГЭ зашли 18.05.2026 г. СМР выполняютсч с учетом устранений дефектов, допущенных предыдущей подрядной организацией.</t>
  </si>
  <si>
    <t>39 651 626,76</t>
  </si>
  <si>
    <t>Оплачено, руб. (факт): 16 621 832.69 
Процент оплаты: 28.94 %</t>
  </si>
  <si>
    <t>до 05.06.2026 план по подрузке документов ПИК. Оплата до 15.06.2026</t>
  </si>
  <si>
    <t>Объект перешел в собственность московской области, идет процедура возврата в ОМСУ. До 12.06.2026 планиреутся возврат в ОМСУ.
Плановая дата сдачи ИД 25.06.2026 - замечания со стороны заказчика в части металлолома
Плановая дата оплаты до 17.08.2026</t>
  </si>
  <si>
    <t>Не завершено благоустройство, плановая плановая дата завершения - 26.06.2026</t>
  </si>
  <si>
    <t>Положительное заключение МОГЭ - получено в 2023 году
СМР не завешен по причине не проведенного ПНР. 
Была проблема с прибором учета воды. Серпуховской филиал Водоканала выезжал на объект 02.06.2026 для опломбирования УУВ и открытия задвижки для заполнения системы водой. 
Начался процесс ПНР
Плановая дата запуска котлов в работу 15.06.2026</t>
  </si>
  <si>
    <t>СМР не завершен.
Перенос объекта утвержден рабочей группой, изменение в ГП не вносилось. контракт не продлен (МИНЖКХ). 
Документация в МОГЭ на рассмотрении с 1=22.04.2026 план выхода из МОГЭ 23.06.2026.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поставлена на объект, установлена в проектное положение. 
Договора техприс заключены, не оплачены.
(план завершения СМР до 15.10.2026)
До выхода из МОГЭ отсутствует возможность заключить договор стройконтроля для частичной сдачи и закрытия объекта</t>
  </si>
  <si>
    <t>Отсутствует положительное заключение МОГЭ. Плановая дата выхода - 30.06.2026
СМР не завершен по причине отсутствия тех приса по электроснабжению.СМР не выполнено завязан с тех присоедниением электрика - монтаж нового ВРУ, плановый срок выполнения тех присоединения октябрь 2026</t>
  </si>
  <si>
    <t>Объект перешел в собственность московской области, идет процедура возврата в ОМСУ. До 12.06.2026 планиреутся возврат в ОМСУ.
Не получено МОГЭ, плановая дата захода до 01.07.2026
Планируется НТС до 01.07.2026
Плановая дата оплаты до 15.09.2026</t>
  </si>
  <si>
    <t>СМР не завершен.
Перенос объекта утвержден рабочей группой, изменение в ГП не вносилось. контракт не продлен (МИНЖКХ). 
Документация в МОГЭ на рассмотрении с 24.04.2026 план выхода из МОГЭ 25.06.2026.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на сборочной площадке Фортис. СГ 83% (поставка после завершения оплаты подрядчиком). 
(план завершения СМР до 15.10.2026)
Договора техприс заключены, не оплачены.
До выхода из МОГЭ отсутствует возможность заключить договор стройконтроля для частичной сдачи и закрытия объекта</t>
  </si>
  <si>
    <t>В МОГЭ не заходили в связи с необходимостью прохождения НТС. Причина не верно сформирована стоимость НМЦК. ( Статус НТС на устранение замечаний)
Заход в МОГЭ запланирован 05.06.2026. СМР не завершен. Осталось выполнить общестрой и благоустройство.</t>
  </si>
  <si>
    <t>СМР завершен. 
 Не сдана ИД - не предъявляли УТНКР - плановая дата 01.07.2026</t>
  </si>
  <si>
    <t>СМР не завершен в части благоустройства. Планируется завершить до 15.06.2026. Проект на корректировке в МОГЭ (выход из МОГЭ планируется до 12.06.2026).</t>
  </si>
  <si>
    <t>В МОГЭ не заходили, в связи с сменой суб.подрядной организации. Новый суб.подрядчик выполнял работы по разработке ПИР с 0.
Пладновая дата подачи документов в МОГЭ 19.06.2026 г.
СМР не завершен, (работы не велись с 25.09.2026). Новый субподрядчик приступил к работам с 17.05.2026
Плановая дата завершения работ 15.08.2026</t>
  </si>
  <si>
    <t>ПИР оплачен. Проблематика СМР: техприс по газу. ПНР планируют до 20.07.2026г.</t>
  </si>
  <si>
    <t>Не получено положительное заключениез МОГЭ - плановая дата захода 30.06.2026 - финансовые трудности ПО. СМР не завершен - смонтировать 185 м, вырезать перспективные краны, благоустройство - - финансовые трудности ПО, планвоая дата завершения СМР 30.10.2026.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</si>
  <si>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Не завершено благоустройство. Благоустройство будет завершено до 15.06.2026. ИД формируется для предъявления. Замечания УТНКР(39): Прокладка инженерных сетей (линейные объекты) • Благоустройство</t>
  </si>
  <si>
    <t>СМР не завершен в части благоустройства. Планируется завершить до 20.06.2026</t>
  </si>
  <si>
    <t>СМР не завершен (не получено разрешение РТН, переврезка на новое ГРУ, ПНР котла №1) - плановая дата 30.06.2026 - низкая динамика выполнения работ.
Отсутствие МОГЭ - получено отрицательное заключение по причине низкой динамике устранения замечаний Плановая дата повторного захода в МОГЭ 15.06.2026.</t>
  </si>
  <si>
    <t>СМР не завершен,
Работы не ведутся по причине довендения средств после изменения в ГП и прохождения НТС.
Плановая дата оплаты до 05.06.2026
Планируемая дата продолжения СМР 05.06.2026</t>
  </si>
  <si>
    <t>Позднее получение МОГЭ
Перенос лимитов на 2026 год
Оплата до 20.03.2026
"Кредиторская задолженность
Оплата до 15.04.2026"</t>
  </si>
  <si>
    <t>Объект перешел в собственность московской области, идет процедура возврата в ОМСУ. До 12.06.2026 планиреутся возврат в ОМСУ.
Оплата до 19.06.2026</t>
  </si>
  <si>
    <t>Перенос объекта утвержден рабочей группой, изменение в ГП не вносилось. контракт не продлен (МИНЖКХ). Комплекты ИД сданы, ведется устранение замечаний УТНКР по ИД и по физике.</t>
  </si>
  <si>
    <t>Перенос объекта утвержден рабочей группой, изменение в ГП не вносилось. контракт не продлен (МИНЖКХ). 
Имеется положительное заключение МОГЭ
Стройготовность по СМР 95%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</si>
  <si>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Оплачено, руб. (план): 42 752 334.69
Оплачено, руб. (факт): 42 752 334.69
Процент оплаты: 59.22 %</t>
  </si>
  <si>
    <t>ООО "КДС" заключил контракт после расторжения с ООО"Лэндстрой" Разработка ПСД выполняется при наличии изменений объемов и ТЗ. ПИР находится на согласовании у Заказчика. Плановая дата захода в МОГЭ до 15.06.2026 г
СМР выполняютсч с учетом устранений дефектов, допущенных предыдущей подрядной организацией.</t>
  </si>
  <si>
    <t>Объект перешел в собственность московской области, идет процедура возврата в ОМСУ. До 12.06.2026 планиреутся возврат в ОМСУ.
Плановая дата сдачи ИД 25.06.2026 - замечания со стороны заказчика в части металлолома
Плановая дата оплаты до 15.09.2026</t>
  </si>
  <si>
    <t>не завершено благоустройство, срок завершения 01.07.2025, лимиты доведены 22.05.2026, после выхода из МОГЭ цена изменилась, будут готовить ДС к контракту. Оплата ПИР ожидается до 15.06.2026. СМР и благоустройство до 01.07.2026</t>
  </si>
  <si>
    <t>Плановая дата сдачи ИД 15.06.2026 - замечания со стороны заказчика в части металлолома
Плановая дата оплаты до 01.08.2026</t>
  </si>
  <si>
    <t>Не завершен СМР в части ПНР (план сдачи 15.06.2026).
Требуется повторный заход в МОГЭ с корректировкой проектной документации.
Не полностью сдана ИД (план сдачи после повторного получения положительного заключения МОГЭ).</t>
  </si>
  <si>
    <t>Положительное заключение МОГЭ получено.
Требуется повторный заход в МОГЭ с корректировкой проектной документации.
Установленное по факту оборудование не соответствует проектной документации, получившей положительное заключение МОГЭ. 
План повторного захода в МОГЭ до 30.06.2026 
СГ 78%
Не завершен СМР в части ПНР, общестроительных работ (план завершения 15.07.2026).
Не полностью сдана ИД (план сдачи после повторного получения положительного заключения МОГЭ - ).</t>
  </si>
  <si>
    <t>Получено положительное заключение экспертизы.Необходимо заврешить благоустройство. Сдать ИД/КС Плановая дата завершения работ 01.07.2026 Количество не устраненных замечаний УТНКР (15) (план. до 15.06.2026)</t>
  </si>
  <si>
    <t>Положительное заключение экспертизы получено.
СМР завершено.Устраняют замечания УТНКР по ИД, всего 13 замечаний. Срок до 10.06.2026</t>
  </si>
  <si>
    <t>Не завершено благоустройство, план выполнения до 01.07.2026, не сдано ИД</t>
  </si>
  <si>
    <t>Отсутствует МОГЭ - плановая дата выхода 10.06.2026, завершение работ по благоустройству - плановая дата 30.06.2026.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</si>
  <si>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Положительное заключение МОГЭ - получено. 
Ранее расторгнут контракт с ООО "Лэндстрой". По КЧС заклили контракт с ООО "Главстрой"
СМР не завершен по причине устранения ошибок предыдущей подрядной организацией
Плановая дата завершения работ - 30.06.2026</t>
  </si>
  <si>
    <t>Всю ИД и КС сдали. Загрузили в ПИК. Ожидают оплату!!!</t>
  </si>
  <si>
    <t>Оплачено, руб. (план): 6 425 000.00
Оплачено, руб. (факт): 6 425 000.00
Процент оплаты: 50.00 %</t>
  </si>
  <si>
    <t>03.06.2026г. УТНКР пописал ИД. Ожидают оплату.</t>
  </si>
  <si>
    <t>Оплачено, руб. (план): 9 537 000.00
Оплачено, руб. (факт): 9 537 000.00
Процент оплаты: 30.00 %</t>
  </si>
  <si>
    <t>Рабочей группой подписано увеличение стоимости контракта (до 30%). 08.06. подгружают ИД в ПИК и ожидают оплату.</t>
  </si>
  <si>
    <t>ИД на проверке . Подгрузка в ПИК до 10.06.2026.</t>
  </si>
  <si>
    <t>Не заключено допсоглашение о продлении сроков реализации объектов.
Рабочей группой штаба утвержден перенос меропиятия на 2026 (15.05.2026). Дополнение к решению штаба 22.05.2026.
Комплекты ИД сданы, ведется устранение замечаний УТНКР по ИД и по физике.</t>
  </si>
  <si>
    <t>Перенос объекта утвержден рабочей группой, изменение в ГП не вносилось. контракт не продлен (МИНЖКХ). 
Имеется положительное заключение МОГЭ
Стройготовность по СМР 94%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</si>
  <si>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Позднее доведение средств 29.12.2025
Перенос лимитов на 2026 год
Идет процедура смены заказчика
Оплата до 15.04.2026
Выплачен аванс</t>
  </si>
  <si>
    <t>Замечания со стороны заказчика в части металлолома
Плановая дата оплаты до 30.06.2026</t>
  </si>
  <si>
    <t>Оплачено, руб. (план): 80 401 676.35 
Оплачено, руб. (факт): 80 401 676.35 
Процент оплаты: 82.77 %</t>
  </si>
  <si>
    <t>Не завершено благоустройство.
Плановая дата завершения - 30.06.2026</t>
  </si>
  <si>
    <t>Не завершено благоустройство. Благоустройство будет завершено до 30.06.2026. ИД формируется для предъявления. Замечания УТНКР(39): Прокладка инженерных сетей (линейные объекты) • Благоустройство</t>
  </si>
  <si>
    <t>СМР завершены. ИД представлена в полном объеме, вынесен акт замечаний в части окраски и изоляции труб. Идет устранение замечаний.</t>
  </si>
  <si>
    <t>Не получено положительное заключениез МОГЭ - плановая дата захода 30.06.2026 - финансовые трудности ПО. СМР не завершено благоустройство - финансовые трудности ПО, планвоая дата завершения СМР 30.07.2026.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</si>
  <si>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Оплачено, руб. (план): 48 512 381.28
Оплачено, руб. (факт): 48 512 381.28
Процент оплаты: 73.55 %</t>
  </si>
  <si>
    <t>Было увеличение стоимости контракта 39 %, подрядчик оптимизировал до 30%.
Не получено МОГЭ, плановая дата захода до 15.06.2026
Плановая дата оплаты до 14.08.2026</t>
  </si>
  <si>
    <t>Положительное заключение получено.Не завершено благоустройство, лимиты доведены, оплата ПИР произведена 21.05.2026. Оплата СМР и благоустройство до 01.07.2026</t>
  </si>
  <si>
    <t>ООО "КДС" заключил контракт после расторжения с ООО"Лэндстрой" Разработка ПСД выполняется при наличии изменений объемов и ТЗ. Находятся на НТС. Плановая дата захода в МОГЭ до 10.07.2026 г
СМР выполняютсч с учетом устранений дефектов, допущенных предыдущей подрядной организацией.</t>
  </si>
  <si>
    <t>Не получено МОГЭ, плановая дата захода до 01.07.2026
Плановая дата оплаты до 17.08.2026</t>
  </si>
  <si>
    <t>Оплачено, руб. (план): 49 003 790.68
Оплачено, руб. (факт): 49 003 790.68
Процент оплаты: 76.73 %</t>
  </si>
  <si>
    <t>Не получено МОГЭ, договор заключен 21.05.2026, дата выхода 02.07.2026
Плановая дата оплаты до 17.08.2026</t>
  </si>
  <si>
    <t>СМР не завершен в части благоустройства. Планируется завершить до 10.06.2026</t>
  </si>
  <si>
    <t>СМР не завершен - Благоустройство, оформление ИД - низкий темп выполнения - плановая дата 10.06.2026</t>
  </si>
  <si>
    <t>не полностью сдана ИД (план сдачи 15.06.2026), не устранены замечания УТНКР. Благоустройство не завершено, устранение замечаний по ИД (план сдачи до 25.06.2026)
Общее количество Актов выявленных нарушений: 21
Количество неустраненных нарушений: 20</t>
  </si>
  <si>
    <t>В связи с корректировкой выполненных объемов, подрядной организацией принято решение о повторном заходе в МОГЭ для подтверждения изменений в ПСД
В МОГЭ зашли 19.05. 2026г. Плановый выход -07.07.2026г.
Плановое щкончание СМР - 10.07.2026г.</t>
  </si>
  <si>
    <t>выполнено и оплачено, хотят перенос, но не согласовано</t>
  </si>
  <si>
    <t>Положительное заключение МОГЭ получено.
СГ 70%
Необходимо завершение СМР в части установки насосного оборудования и автоматики (план завершения 15.07.2026
Частично сдана ИД (подписана на выполненные объемы работ). Оставшаяся часть ИД план сдачи до 22.07.2026</t>
  </si>
  <si>
    <t>Оплачено, руб. (план): 5 936 832.29
Оплачено, руб. (факт): 5 279 344.27
Процент оплаты: 88.71 %</t>
  </si>
  <si>
    <t>Не завершено благоустройство, ИД сдана частично, оплата произведена частично. Аванс выплачен. Благоустройство будет завершено до 30.06.2026. Замечания УТНКР(12): Монтаж оборудования.</t>
  </si>
  <si>
    <t>Оплачено, руб. (план): 10 779 944.56
Оплачено, руб. (факт): 10 779 944.56
Процент оплаты: 87.25 %</t>
  </si>
  <si>
    <t>Оплачено, руб. (план): 1 143 599.25
Оплачено, руб. (факт): 1 143 599.25
Процент оплаты: 61.95 %</t>
  </si>
  <si>
    <t>не завершено благоустройство, не передавалась ИД, МОГЭ не получено по причине изменения тех решений при рассмотрениии НТС. НТС пройден с положительным решением от 22.04, зашли в МОГЭ повторно 15.05., план. выход- 29.06. На устранении замечаний(2): 1. Сметы- некорректный формат, 2. ПД - несоответствие тех. регламента. Благоустройство будет завершено до 30.06.2026. ИД формируется для предъявления. Замечания УТНКР(15): Благоустройство • Проектно-изыскательские работы</t>
  </si>
  <si>
    <t>Проведено очное совещание 01.06.2026. План повторного захода в МОГЭ до 02.06.2026</t>
  </si>
  <si>
    <t>Оплачено, руб. (план): 10 565 866.18
Оплачено, руб. (факт): 10 565 866.18
Процент оплаты: 54.02 %</t>
  </si>
  <si>
    <t>Оплачено, руб. (план): 9 476 141.19
Оплачено, руб. (факт): 7 266 772.84
Процент оплаты: 74.69 %</t>
  </si>
  <si>
    <t>Проводится выверка выполненных работ, оформляется исполнительная документация, проводятся мероприятия по сдаче-приемке выполненных объемов работ.
В связи со сменой инспектора, увеличился срок проверки документации.</t>
  </si>
  <si>
    <t>не полностью сдана ИД (план сдачи 15.06.2026), не устранены замечания УТНКР. Благоустройство выполнено, устраняются замечания
устраняются замечания по ИД (план сдачи до 25.06.2026)</t>
  </si>
  <si>
    <t>Перенос объекта утвержден рабочей группой, изменение в ГП не вносилось. контракт не продлен (МИНЖКХ). 
Имеется положительное заключение МОГЭ
Стройготовность по СМР 95%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</si>
  <si>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Документация на проверке. Плановый срок подгрузки в ПИК до 15.06.2026.</t>
  </si>
  <si>
    <t>ООО "КДС" заключил контракт после расторжения с ООО"Лэндстрой" Разработка ПСД выполняется при наличии изменений объемов и ТЗ. Возврат ПСД из МОГЭ связан с отсутствием письма от ГРБС. Плановый заход в МОГЭ - 12.06.2026г.
СМР выполняютсч с учетом устранений дефектов, допущенных предыдущей подрядной организацией.</t>
  </si>
  <si>
    <t>Благоустройство в процессе завершения. Планируемый срок сдачи ИД в УТНКР до 30.06.2026.</t>
  </si>
  <si>
    <t>Положительное заключение получено. Не завершено благоустройство.Устранение замечаний по ИД. Количество не устраненных замечаний УТНКР (19) (план. до 20.06.2026)</t>
  </si>
  <si>
    <t>Положительное заключение получено. СМР завершено. Необходимо сдать ИД и КС . Срок 20.06.2026</t>
  </si>
  <si>
    <t>СМР не завершён. Акты КС подписаны, ИД сдана.
Заказчик требует выполнения финального благоустройства. 
(Завоз плодородного грунта и посев газона) до 30.06.2026</t>
  </si>
  <si>
    <t>Нет МОГЭ. 
Требуется прохождение НТС. НТС назначен на 16.06.2026г.
Не завершено благоустройство в связи с финансовыми трудностями подрядчика.</t>
  </si>
  <si>
    <t>ООО "КДС" заключил контракт после расторжения с ООО"Лэндстрой" Разработка ПСД выполняется при наличии изменений объемов и ТЗ. ПСД находится на просчете сметы. После согласования заказчиком будет передана в МОГЭ. Плановая дата - 20.06.2026г.
СМР выполняютсч с учетом устранений дефектов, допущенных предыдущей подрядной организацией.</t>
  </si>
  <si>
    <t>Оплата по контракту проведена полностью, работы приняты частично без учета вычета авансового платежа.
В настоящее время ведутся работы по сдаче объекта в УТНКР:_x000b_- Тепловые камеры технологические решение - Разногласия при подтверждении объемов земляных работ (в соответствии с письмом ГБУ МО «УТНКР» №ГБУ-10-1953/2026 от 27.04.2026)
- Необходимо привести в соответствие КС-2
Остаток к закрытию по КС-2 на сумму 1 228 644 тыс. руб., из них:_x000b_Не подписано в УТНКР – в работе (1 036 419 тыс. руб.):
Благоустройство – 635 876 тыс. руб. Земляные работы – 341 775 тыс. руб. Непредвиденные работы – 58 768 тыс. руб.
Необходимо провести корректировку актов выполненных работ на сумму - 36 619 тыс. руб.</t>
  </si>
  <si>
    <t>Документы на проверке. Подгрузка в ПИК ожидается до 15.06.2026</t>
  </si>
  <si>
    <t>НТС пройден 28.05.2026
На 04.06.2026 протокол на согласовании по МСЭД
Плановая дата захода в МОГЭ 15.06.2026
Планируемая дата оплаты 10.09.2026</t>
  </si>
  <si>
    <t>5 068 071,24</t>
  </si>
  <si>
    <t>Оплачено, руб. (факт): 4 000 447.56 
Процент оплаты: 35.63 %</t>
  </si>
  <si>
    <t>Плановая дата сдачи ИД 15.06.2026 - замечания со стороны заказчика в части металлолома
Плановая дата оплаты до 15.07.2026</t>
  </si>
  <si>
    <t>Положительное заключение экспертизы получено.
СМР завершено.Устраняют замечания УТНКР по ИД, всего 13 замечаний. Срок до 15.06.2026</t>
  </si>
  <si>
    <t>Документация на проверке УТНКР</t>
  </si>
  <si>
    <t>МОГЭ не получено
25.05.2026 - отказ в приёме документов. Повторная подача документов в МОГЭ - 15.06.2026
СМР выполнен в полном объёме. Благоустройство выполнено</t>
  </si>
  <si>
    <t>Положительное заключение экспертизы получено.
СМР не завершено.Необходимо завершить финальное благоустройство,сдать ИД и КС .Срок 20.06.2026</t>
  </si>
  <si>
    <t>ООО "КДС" заключил контракт после расторжения с ООО"Лэндстрой" Разработка ПСД выполняется при наличии изменений объемов и ТЗ. ПСД находится на согласовании у заказчика. Плановая дата захода в МОГЭ - 15.06.2026г.
СМР выполняютсч с учетом устранений дефектов, допущенных предыдущей подрядной организацией.</t>
  </si>
  <si>
    <t>Плановая дата сдачи ИД 25.06.2026 - замечания со стороны заказчика в части металлолома
Плановая дата оплаты до 17.08.2026</t>
  </si>
  <si>
    <t>не полностью сдана ИД (план сдачи до 17.06.2026.
не полностью завершены СМР - предъявление ПНР представителям УТНКР (план сдачи 15.06.2026).
устраняются замечания по ИД</t>
  </si>
  <si>
    <t>Положительное заключение МОГЭ получено.
СГ 96%
Не завершен СМР в части устранения замечаний УТНКР (план завершения 15.07.2026).
Не полностью сдана ИД на остаток работ (план 22.07.2026).</t>
  </si>
  <si>
    <t>Устраняют замечания ИД. Всего 10 замечаний. Дата планируемой оплаты 19.06.2026</t>
  </si>
  <si>
    <t>Плановая дата сдачи ИД 25.06.2026 - замечания со стороны заказчика в части металлолома
Плановая дата оплаты до 15.09.2026</t>
  </si>
  <si>
    <t>Устраняют замечания ИД. Осталось 16 замечаний</t>
  </si>
  <si>
    <t>Плановая дата сдачи ИД 25.06.2026 - замечания со стороны заказчика в части металлолома
Плановая дата оплаты до 15.07.2026</t>
  </si>
  <si>
    <t>Плановая дата сдачи ИД 25.06.2026 - замечания со стороны заказчика в части металлолома
Плановая дата оплаты до 01.08.2026</t>
  </si>
  <si>
    <t>НТС пройден 25.05.2026
На 04.06.2026 протокол на согласовании по МСЭД
Плановая дата захода в МОГЭ 15.06.2026
Планируемая дата оплаты 10.09.2026</t>
  </si>
  <si>
    <t>Объект перешел в собственность московской области, идет процедура возврата в ОМСУ. До 12.06.2026 планиреутся возврат в ОМСУ.
Выданы замечания со стороны заказчика в части смет, на исправлении
Плановая дата оплаты до 30.06.2026</t>
  </si>
  <si>
    <t>Объект перешел в собственность московской области, идет процедура возврата в ОМСУ. До 12.06.2026 планиреутся возврат в ОМСУ.
Не получено МОГЭ, плановая дата захода до 01.07.2026
Планируется НТС до 01.07.2026
Плановая дата оплаты до 04.09.2026</t>
  </si>
  <si>
    <t>контракт заключен 29.05.2026 с ООО "Ремистр"
Имеется положительное заключение МОГЭ (полученное предыдущим подрядчиком.
Новой подрядной организацией ланируется заходить в МОГЭ с корректировкой оборудования (план 30.06.2026)
01.06.2026 начаты СМР на объекте.Выверяются геодезический отметки отсыпки, ведется подготовка к устройству фундаментной плиты.
План завершения СМР 31.10.2026
План сдачи объекта 31.11.2026</t>
  </si>
  <si>
    <t>Устраняют замечания ИД. Всего 8 замечаний. Дата планируемой оплаты 25.06.2026</t>
  </si>
  <si>
    <t>Положительное заключение МОГЭ - получено 12.02.2026
СМР выполнен в полном объёме.
ПНР - проведён
Благоустройство - выполнено
Ожидается доведение лимитов до заказчика. Оплата 15.06.2026</t>
  </si>
  <si>
    <t>ООО "КДС" заключил контракт после расторжения с ООО"Лэндстрой" Разработка ПСД выполняется при наличии изменений объемов и ТЗ. Подача ПСД в МОГЭ -20.05.2026г. Плановый выход -10.07.2026г.
СМР выполняютсч с учетом устранений дефектов, допущенных предыдущей подрядной организацией.</t>
  </si>
  <si>
    <t>Оплачено, руб. (план): 43 381 277.05
Оплачено, руб. (факт): 33 625 397.14
Процент оплаты: 76.20 %</t>
  </si>
  <si>
    <t>Оплачено, руб. (план): 2 195 599.73
Оплачено, руб. (факт): 2 195 599.73
Процент оплаты: 85.05 %</t>
  </si>
  <si>
    <t>1000004009.1000004875</t>
  </si>
  <si>
    <t xml:space="preserve">Капитальный ремонт котельной по адресу: Московская область, г.о. Долгопрудный, ул. Заводская, д.15 ( в т.ч. ПИР)
</t>
  </si>
  <si>
    <t>1000004010.1000004876</t>
  </si>
  <si>
    <t xml:space="preserve">Капитальный ремонт котельной по адресу: Московская область, г.о. Долгопрудный, ул. Театральная, д.7 ( в т.ч. ПИР)
</t>
  </si>
  <si>
    <t>Мощность</t>
  </si>
  <si>
    <t xml:space="preserve">Диаметры </t>
  </si>
  <si>
    <t>Протяженность</t>
  </si>
  <si>
    <t>ТИП</t>
  </si>
  <si>
    <t>Начало</t>
  </si>
  <si>
    <t>Окончание</t>
  </si>
  <si>
    <t>СГ</t>
  </si>
  <si>
    <t>Оплата РП</t>
  </si>
  <si>
    <t>Дата оплаты</t>
  </si>
  <si>
    <t xml:space="preserve">Комментарий </t>
  </si>
  <si>
    <t>Комментарий 07.05.2026</t>
  </si>
  <si>
    <t>Капитальный ремонт</t>
  </si>
  <si>
    <t>125 661 231,59</t>
  </si>
  <si>
    <t>МБТ оплата до 12.05.2026</t>
  </si>
  <si>
    <t>201 369 509,99</t>
  </si>
  <si>
    <t>126 642 611,24</t>
  </si>
  <si>
    <t>74 726 898,75</t>
  </si>
  <si>
    <t>Ду250,300</t>
  </si>
  <si>
    <t>68 028 449,99</t>
  </si>
  <si>
    <t>#ЗНАЧ!</t>
  </si>
  <si>
    <t>Ду150,200</t>
  </si>
  <si>
    <t>19 758 720,00</t>
  </si>
  <si>
    <t>Ду100-200</t>
  </si>
  <si>
    <t>1 101,00</t>
  </si>
  <si>
    <t>68 216 160,00</t>
  </si>
  <si>
    <t>Повторное МОГЭ</t>
  </si>
  <si>
    <t>Строительство</t>
  </si>
  <si>
    <t>да</t>
  </si>
  <si>
    <t>52 838 942,64</t>
  </si>
  <si>
    <t>38 200 705,08</t>
  </si>
  <si>
    <t>14 638 237,56</t>
  </si>
  <si>
    <t>37 534 687,70</t>
  </si>
  <si>
    <t>23 217 390,50</t>
  </si>
  <si>
    <t>14 317 297,20</t>
  </si>
  <si>
    <t>48 895 380,00</t>
  </si>
  <si>
    <t>37 256 845,34</t>
  </si>
  <si>
    <t>11 638 534,66</t>
  </si>
  <si>
    <t>25 744 800,00</t>
  </si>
  <si>
    <t>2 900,00</t>
  </si>
  <si>
    <t>146 362 452,32</t>
  </si>
  <si>
    <t>114 240 530,18</t>
  </si>
  <si>
    <t>32 121 922,14</t>
  </si>
  <si>
    <t xml:space="preserve">Расторгнут под факт. 
На оставшиеся лимиты обьявлен конкурс для прохождения газопровода выского давления методом ГНБ (50 метров). 
Идет конкурсная процедура поиска подрядчика до 15 мая. </t>
  </si>
  <si>
    <t>2,00 / 3,48</t>
  </si>
  <si>
    <t>66 240 000,00</t>
  </si>
  <si>
    <t>10 709 903,10</t>
  </si>
  <si>
    <t xml:space="preserve">Вышли из МОГЭ. 
Доп. соглашение на согласовании (у Главного контрольного управления). Планируемая оплата - до 15.05.2026. </t>
  </si>
  <si>
    <t>6,00 /6,6</t>
  </si>
  <si>
    <t>122 000 000,00</t>
  </si>
  <si>
    <t>100-250</t>
  </si>
  <si>
    <t>47 671 200,00</t>
  </si>
  <si>
    <t>Повторный заход в МОГЭ</t>
  </si>
  <si>
    <t>Вышли из МОГЭ. 
Не предоставлены КС-2, КС-3, ИД. 
Осталось выполнить благоустройство. 
Допник на увеличение лимитов подписан.</t>
  </si>
  <si>
    <t>100-250;
 250-400</t>
  </si>
  <si>
    <t>2 123,00</t>
  </si>
  <si>
    <t>152 857 040,00</t>
  </si>
  <si>
    <t>59 370 127,92</t>
  </si>
  <si>
    <t xml:space="preserve">МОГЭ прошли
Лимиты доведены на увеличение стоимости по заключению МОГЭ. Софинансирование местного бюджета доведено. Закрытие после сдачи всех работ (ориентировочно 30.06.2026)
</t>
  </si>
  <si>
    <t>Расторгнут под факт исполнения</t>
  </si>
  <si>
    <t>28 410 450,00</t>
  </si>
  <si>
    <t>16 936 595,20</t>
  </si>
  <si>
    <t>11 473 854,80</t>
  </si>
  <si>
    <t>1 309,00</t>
  </si>
  <si>
    <t>98 953 480,00</t>
  </si>
  <si>
    <t>67 940 866,10</t>
  </si>
  <si>
    <t>Оплачены ПИРы</t>
  </si>
  <si>
    <t xml:space="preserve">Вышли из МОГЭ. 
Не предоставлены КС-2, КС-3, ИД. </t>
  </si>
  <si>
    <t>#Н/Д</t>
  </si>
  <si>
    <t>23 289 810,00</t>
  </si>
  <si>
    <t>9 000 000,00</t>
  </si>
  <si>
    <t>11 000 000,00</t>
  </si>
  <si>
    <t>280 501,33</t>
  </si>
  <si>
    <t>10 719 498,67</t>
  </si>
  <si>
    <t>9 701 400,00</t>
  </si>
  <si>
    <t>4 479 168,61</t>
  </si>
  <si>
    <t>5 222 231,39</t>
  </si>
  <si>
    <t>52 557 060,00</t>
  </si>
  <si>
    <t>16 356 529,77</t>
  </si>
  <si>
    <t>36 200 530,23</t>
  </si>
  <si>
    <t>1 400,00</t>
  </si>
  <si>
    <t>204 097 990,00</t>
  </si>
  <si>
    <t xml:space="preserve">Осталось благоустройство </t>
  </si>
  <si>
    <t>ИД передали в УТНКР на проверку</t>
  </si>
  <si>
    <t xml:space="preserve">МОГЭ прошли
Лимиты областные доведены 25.03.2026 на увеличение стоимости по заключению МОГЭ. Софинансирование местного бюджета доведено.
</t>
  </si>
  <si>
    <t xml:space="preserve">Вышли из МОГЭ. 
Оплата до конца месяца. 
Подготовка исполнительной документации для представления в УТНКР. </t>
  </si>
  <si>
    <t>183 125 914,68</t>
  </si>
  <si>
    <t>103 496 103,15</t>
  </si>
  <si>
    <t>15 190 463.49</t>
  </si>
  <si>
    <t>12 395 588.37</t>
  </si>
  <si>
    <t>2 794 875,12</t>
  </si>
  <si>
    <t xml:space="preserve">Полностью оплачен
Работы по благоустройству выполняются силами РСО. </t>
  </si>
  <si>
    <t>100-250 250-400</t>
  </si>
  <si>
    <t>Реконструкция</t>
  </si>
  <si>
    <t>35 496 560,00</t>
  </si>
  <si>
    <t xml:space="preserve">Нет дополнительного соглашения. Нет БГ </t>
  </si>
  <si>
    <t>Увеличения стоимости согласно п.65.1 ФЗ №44.
МОГЭ получено
Работы выполнены в полном объеме. 
Ведется сдача ИД в УТНКР.  Плановый срок завершения сдачи объекта 30.06.2026
Оплата планируется до 31.07.2026</t>
  </si>
  <si>
    <t>60 944 280,00</t>
  </si>
  <si>
    <t>МОГЭ получено
Работы выполнены в полном объеме. 
Ведется сдача ИД в УТНКР. Плановый срок завершения сдачи объекта 30.06.2026</t>
  </si>
  <si>
    <t>40 316 670,00</t>
  </si>
  <si>
    <t>Увеличения стоимости согласно п.65.1 ФЗ №44.
МОГЭ получено
Работы выполнены в полном объеме. Плановый срок завершения сдачи объекта 30.06.2026
Ведется сдача ИД в УТНКР</t>
  </si>
  <si>
    <t>109 011 597,00</t>
  </si>
  <si>
    <t>78 949 739,63</t>
  </si>
  <si>
    <t>30 061 857,37</t>
  </si>
  <si>
    <t>МОГЭ получено
Работы выполнены, осталось частично благоустройство. 
Ведется сдача ИД в УТНКР. Плановый срок завершения сдачи объекта 30.06.2026</t>
  </si>
  <si>
    <t>1 058,00</t>
  </si>
  <si>
    <t>74 908 600,00</t>
  </si>
  <si>
    <t>211 131 480,00</t>
  </si>
  <si>
    <t xml:space="preserve">МОГЭ нет. </t>
  </si>
  <si>
    <t>Зашли в МОГЭ 17.04.2026
Завершение СМР (план) - 31.07.2026
Сдача объекта (план) - 30.08.2026</t>
  </si>
  <si>
    <t>72 721 796,60</t>
  </si>
  <si>
    <t>5 092 208,12</t>
  </si>
  <si>
    <t>67 629 588,48</t>
  </si>
  <si>
    <t>28 106 109,31</t>
  </si>
  <si>
    <t xml:space="preserve">23 352 410,73 </t>
  </si>
  <si>
    <t>130 082 697,00</t>
  </si>
  <si>
    <t>107 982 557,13</t>
  </si>
  <si>
    <t>15 307 971,50</t>
  </si>
  <si>
    <t>11 299 549,00</t>
  </si>
  <si>
    <t>4 008 422,50</t>
  </si>
  <si>
    <t>2 600,00</t>
  </si>
  <si>
    <t>165 313 850,00</t>
  </si>
  <si>
    <t>3 040,00</t>
  </si>
  <si>
    <t>210 369 000,00</t>
  </si>
  <si>
    <t>6 160 313,88</t>
  </si>
  <si>
    <t>3 551 475,83</t>
  </si>
  <si>
    <t>2 608 838,05</t>
  </si>
  <si>
    <t>Выполнена оплата</t>
  </si>
  <si>
    <t>3 834 151,45</t>
  </si>
  <si>
    <t>1 455 120,00</t>
  </si>
  <si>
    <t>2 379 031,45</t>
  </si>
  <si>
    <t>150 039 495,07</t>
  </si>
  <si>
    <t>МОГЭ- получено. СМР не завершен. Завершение СМР 01.09.2026</t>
  </si>
  <si>
    <t>3 610,00</t>
  </si>
  <si>
    <t>245 768 800</t>
  </si>
  <si>
    <t xml:space="preserve">Получено отрицательное заключение. Повторный заход в МОГЭ до 30.05.2025г. СМР не завершен . </t>
  </si>
  <si>
    <t>30 788 012,81</t>
  </si>
  <si>
    <t>МОГЭ получено  от 18.10.2024
СМР не завешён. Оплачено частично.</t>
  </si>
  <si>
    <t xml:space="preserve">Судебное разбирательство
Частично оплата </t>
  </si>
  <si>
    <t xml:space="preserve">
Контракт №1 (поставка БМК)
 Оплачено, руб. (план): 41 319 324,73 
 Оплачено, руб. (факт): 41 319 324,73 
Процент оплаты: 100%
Контракт №2 (СМР)
Оплачено, руб. (план): 5 319 000,00 
Оплачено, руб. (факт): 5 319 000,00
Возврат оплат, руб: 5 319 000,00
Процент оплаты:30,00%
</t>
  </si>
  <si>
    <t>2 800,00</t>
  </si>
  <si>
    <t>Демонтаж по АВР</t>
  </si>
  <si>
    <t>############</t>
  </si>
  <si>
    <t>1 677 229 125,96</t>
  </si>
  <si>
    <t xml:space="preserve">Осталась благоустройство </t>
  </si>
  <si>
    <t>Вышли из МОГЭ повторно 24.04.2026
В 2025 ИД не приняты УТНКР.
11.05.2026 повторно сдают ИД в УТНКР</t>
  </si>
  <si>
    <t>22 491 000,00</t>
  </si>
  <si>
    <t>24 113 920,00</t>
  </si>
  <si>
    <t>18 625 907,27</t>
  </si>
  <si>
    <t>5 488 012,73</t>
  </si>
  <si>
    <t>22 011 250,00</t>
  </si>
  <si>
    <t>13 456 656,24</t>
  </si>
  <si>
    <t>8 554 593,76</t>
  </si>
  <si>
    <t>28 174 400,00</t>
  </si>
  <si>
    <t>12 700 115,95</t>
  </si>
  <si>
    <t>18 902 540,00</t>
  </si>
  <si>
    <t>14 630 321,14</t>
  </si>
  <si>
    <t>4 272 218,86</t>
  </si>
  <si>
    <t>31 020 400,00</t>
  </si>
  <si>
    <t>27 873 338,86</t>
  </si>
  <si>
    <t>3 147 061,14</t>
  </si>
  <si>
    <t>40 234 080,00</t>
  </si>
  <si>
    <t>37 977 512,94</t>
  </si>
  <si>
    <t>2 256 567,06</t>
  </si>
  <si>
    <t xml:space="preserve">
Ведется СМР</t>
  </si>
  <si>
    <t xml:space="preserve">12.05.2026 заход в МОГЭ. Ведется СМР (работы до 30.09.2026)
Продление контракта находится в рабочей группе с 29.04.2026
ИД,КС не сданы по факту выполненых работ. </t>
  </si>
  <si>
    <t>44 723 810,00</t>
  </si>
  <si>
    <t>30 106 425,86</t>
  </si>
  <si>
    <t>Объект передан в областную собственность.
Лимиты на контракт доведены. 
07.05.2026 перевод местного бюджета.
Оплата будет после потверждения муниципальной собственности. 
Оринтировочно оплата до 30.05.2026.</t>
  </si>
  <si>
    <t>49 289 790,00</t>
  </si>
  <si>
    <t>47 825 668,16</t>
  </si>
  <si>
    <t>1 464 121,84</t>
  </si>
  <si>
    <t>61 406 290,00</t>
  </si>
  <si>
    <t>55 269 376,57</t>
  </si>
  <si>
    <t>6 136 913,43</t>
  </si>
  <si>
    <t>45 000 000,00</t>
  </si>
  <si>
    <t>Ведется СМР,
Могэ получено 24.01.2026 
Сдано ИД, КС не направлено.</t>
  </si>
  <si>
    <t>1 300,00</t>
  </si>
  <si>
    <t>125 944 000,00</t>
  </si>
  <si>
    <t>СМР приостановлен до момента оплаты по предыдущим двум объектам Яхрома и Рыбное.
 Объекты ушли в областную собственность.Находятся на стадии возврата в муниципальную собственность. Регистрация росреестра до 30.05.2026. 
Оплата будет произведена не позднее 10.06.2026.</t>
  </si>
  <si>
    <t>ИД не передавалась</t>
  </si>
  <si>
    <t xml:space="preserve">Получено положительное заключение МОГЭ 50-1-1-2-010745-2026 18.03.2026
Финальное Благоустройство до 30.05.2026
ИД,КС не сданы по факту выполненых работ. </t>
  </si>
  <si>
    <t>35 218 000,00</t>
  </si>
  <si>
    <t>Оплачен.Расторгнут по факту выполненых работ.</t>
  </si>
  <si>
    <t>27 063 650,00</t>
  </si>
  <si>
    <t>Ожидается заключение доп соглашения на оплату измения стоимости контракта по результату  положительного заключения МОГЭ.
 Проведение оплаты планируется до 28.05.2026</t>
  </si>
  <si>
    <t>22 553 664,00</t>
  </si>
  <si>
    <t>39 750 842,50</t>
  </si>
  <si>
    <t>МОГЭ получено.НТС пройден.
 Благоустройство не завершено.
ИД,КС ,акты скрытых работ не предоставлены.</t>
  </si>
  <si>
    <t>Ожидается заключение доп соглашения на оплату измения стоимости контракта по результату  положительного заключения МОГЭ. 
Проведение оплаты планируется до 28.07.2026</t>
  </si>
  <si>
    <t xml:space="preserve">НТС не пройден.  МОГЭ не получено. СМР выполнен.
ИД,КС не сданы по факту выполненых работ. </t>
  </si>
  <si>
    <t>МОГЭ получено 01.04.2026. Благоустройство не завершено.
ИД,КС ,акты скрытых работ не предоставлены.</t>
  </si>
  <si>
    <t>МОГЭ получено15.04.2026. Продление срока контракта до 01.07.2026
Благоустройство не завершено.
ИД,КС ,акты скрытых работ не предоставлены.</t>
  </si>
  <si>
    <t>Объект предан в областную собственность. МОГЭ не пройдено.Продление сроков контракта.Благойстройство не завершено.</t>
  </si>
  <si>
    <t>3 729 400,00</t>
  </si>
  <si>
    <t>Объект передан в областную собственность.Лимиты на контракт доведены. 07.05.2026 перевод местного бюджета.Оплата будет после потверждения муниципальной собственности .Оринтировочно оаплата до 15.06.2026.</t>
  </si>
  <si>
    <t>100, 300</t>
  </si>
  <si>
    <t xml:space="preserve">Передано в областную собственность.МОГЭ не получено.Продление срока контракта. Благоустройство до 30.06.2026
ИД,КС не сданы по факту выполненых работ. </t>
  </si>
  <si>
    <t>МОГЭ не получено, НТС не пройден (до 30.05.2026) 
Благоустройство до 30.06.2026. Продление срока контракта.
ИД,КС не сданы по факту выполненых работ.</t>
  </si>
  <si>
    <t>4 635 240,00</t>
  </si>
  <si>
    <t>Передано в областную собственность.МОГЭ не получено.Работы завершены. Ожидаем подтверждение муниципальной собственности.Оринтировочно оаплата до 15.06.2026.</t>
  </si>
  <si>
    <t>МОГЭ получено05.03.2026.Благоустройство не завершено,работы до 30.06.2026 .
Продление контракта.ИД,КС не сданы по факту выполненых работ.</t>
  </si>
  <si>
    <t>МОГЭ получено 09.04.2026. Благоустройство не завершено.
ИД,КС ,акты скрытых работ не предоставлены.</t>
  </si>
  <si>
    <t>Передано в областную собственность.МОГЭ получено 18.03.2026.Работы завершены. Ожидаем подтверждение муниципальной собственности.Оринтировочно оплата до 5.07.2026.</t>
  </si>
  <si>
    <t xml:space="preserve">НТС не пройден. МОГЭ не получен. СМР выполнен.
ИД,КС не сданы по факту выполненых работ. </t>
  </si>
  <si>
    <t>29 547 200,00</t>
  </si>
  <si>
    <t>26 794 792,57</t>
  </si>
  <si>
    <t>2 752 407,43</t>
  </si>
  <si>
    <t>13 845 000,00</t>
  </si>
  <si>
    <t>255 804 152,87</t>
  </si>
  <si>
    <t>Находятся в МОГЭ. НТС - не пройден. СМР приостановлен.ИД,КС не сданы по факту выполненых работ. Планируется расторжение.</t>
  </si>
  <si>
    <t>МОГЭ не получено. Благоустройство до 30.06.2026
ИД,КС не сданы по факту выполненых работ.</t>
  </si>
  <si>
    <t>МОГЭ получено 25.03.2026. Перешел в областную собственность.Благоустройство до 30.06.2026
ИД,КС не сданы по факту выполненых работ.</t>
  </si>
  <si>
    <t xml:space="preserve">НТС не пройден. МОГЭ не получен. Благоустройство до 30.06.2026.
ИД,КС не сданы по факту выполненых работ. </t>
  </si>
  <si>
    <t>12 629 930,00</t>
  </si>
  <si>
    <t>9 477 102,44</t>
  </si>
  <si>
    <t>МОГЭ не получено. Благоустройство до 15.05.2026
ИД,КС не сданы по факту выполненых работ.</t>
  </si>
  <si>
    <t>124 592 934,19</t>
  </si>
  <si>
    <t>113 965 136,15</t>
  </si>
  <si>
    <t>10 627 798,04</t>
  </si>
  <si>
    <t>300-350</t>
  </si>
  <si>
    <t>4 500,00</t>
  </si>
  <si>
    <t>190 085 000,00</t>
  </si>
  <si>
    <t>Необходимо заключение доп соглашение по 65.1</t>
  </si>
  <si>
    <t>12 850 000,00</t>
  </si>
  <si>
    <t xml:space="preserve">Замечание ИД </t>
  </si>
  <si>
    <t>31 790 000,00</t>
  </si>
  <si>
    <t xml:space="preserve">УТНКР ИД принял, проблема с подписанием дополнительного соглашения на продление из-за банковской гарантии. Оплата  после 20.05.2026 </t>
  </si>
  <si>
    <t xml:space="preserve">БГ получена, МОГЭ получено, необходимо выполнить подключлючение внутриплощадочных сетей и ПНР. </t>
  </si>
  <si>
    <t>22 707 696,38</t>
  </si>
  <si>
    <t>1 943,00</t>
  </si>
  <si>
    <t>64 574 306,00</t>
  </si>
  <si>
    <t xml:space="preserve">Замечания ИД </t>
  </si>
  <si>
    <t xml:space="preserve">оплачен без благоустройства </t>
  </si>
  <si>
    <t>оплачен без благоустройства, выполнение благоустройства до 01.06.2026</t>
  </si>
  <si>
    <t>125 959 380,00</t>
  </si>
  <si>
    <t>63 618 841,14</t>
  </si>
  <si>
    <t>62 340 538,86</t>
  </si>
  <si>
    <t>Полностью оплачен. 
Остаток работ будет выполнен силами ОМСУ</t>
  </si>
  <si>
    <t>30 227 870,00</t>
  </si>
  <si>
    <t>3 599 397,94</t>
  </si>
  <si>
    <t>26 628 472,06</t>
  </si>
  <si>
    <t>Оплача частично</t>
  </si>
  <si>
    <t>Контракт расторгнут.Планируется переторговка контракта</t>
  </si>
  <si>
    <t>67 381 676,78</t>
  </si>
  <si>
    <t>31 450 249,63</t>
  </si>
  <si>
    <t>35 931 427,15</t>
  </si>
  <si>
    <t xml:space="preserve">Частично </t>
  </si>
  <si>
    <t xml:space="preserve">Благоустройство, МОГЭ корректировка </t>
  </si>
  <si>
    <t xml:space="preserve">Требуется повторный заход в МОГЭ в части дополнительного объема работ. По причине корректировки ТЗ в части параметров сети ( с 20.04.2026 находятся в МОГЭ)  </t>
  </si>
  <si>
    <t>6 291 122,48</t>
  </si>
  <si>
    <t>174 849,22</t>
  </si>
  <si>
    <t>6 116 273,26</t>
  </si>
  <si>
    <t>66 142 500,00</t>
  </si>
  <si>
    <t>Не сдан ИД/Не подписано КС в УТНКР
15.04.2026 - получено положительное заключение МОГЭ, ведется подготовка документации</t>
  </si>
  <si>
    <t>11 319 264,74</t>
  </si>
  <si>
    <t>04.05.2026 - Принято на проверку на бумажном носителе в одном экземпляре ИД и реестр.
06.05.2026 - По результатам проверки выписан акт замечаний №3 Документы возвращены подрядчику</t>
  </si>
  <si>
    <t>6 866 544,00</t>
  </si>
  <si>
    <t>27.04.2026 - Проверены ИД и реестр. По результатам проверки выписан акт замечаний №2</t>
  </si>
  <si>
    <t>36 580 236,67</t>
  </si>
  <si>
    <t>Завершающая документация не предоставлена, нет положительного заключения МОГЭ(плановая дата захода - 18.05.2026) Поздняя подача связана с отсутсвием документации от Энерготена</t>
  </si>
  <si>
    <t>7 800,00</t>
  </si>
  <si>
    <t>187 234 813,96</t>
  </si>
  <si>
    <t>149 794 995,61</t>
  </si>
  <si>
    <t>37 439 818,35</t>
  </si>
  <si>
    <t>108-219</t>
  </si>
  <si>
    <t>12 815 120,22</t>
  </si>
  <si>
    <t>11 147 061,66</t>
  </si>
  <si>
    <t>1 668 058,56</t>
  </si>
  <si>
    <t xml:space="preserve">
Оплачено, руб. (план): 15 270 195.60 
Оплачено, руб. (факт): 15 270 195.60 
Процент оплаты: 30.00 %
выверено, информация соотвествует</t>
  </si>
  <si>
    <t>СМР не завершен
СМР: будет выполнено до 16.06.2026
Не вышли из МОГЭ (превышение, нужно пройти НТС. устраняют замечания)
ДС 65.1</t>
  </si>
  <si>
    <t>Положительное заключение № 50-1-1-3-005480-2026 от 16.02.2026
БМК СГ - 95%.
Отсутсвует газоснабжение, без него нет возможности оплатить СМР.
Закроют по оплате еще 20%.</t>
  </si>
  <si>
    <t>10 379 170,00</t>
  </si>
  <si>
    <t>Контракт без ПИР, при оплате потребовалось положительное заключение МОГЭ
РСО зашли в МОГЭ на сумму 6 млн, контракт был изначально 10 млн.
ПО собирается подавать в суд</t>
  </si>
  <si>
    <t>2 400,00</t>
  </si>
  <si>
    <t>26 135 704,22</t>
  </si>
  <si>
    <t>24 330 031,22</t>
  </si>
  <si>
    <t>1 805 673,00</t>
  </si>
  <si>
    <t>3 500,00</t>
  </si>
  <si>
    <t>36 218 610,48</t>
  </si>
  <si>
    <t>29 195 818,50</t>
  </si>
  <si>
    <t>7 022 791,98</t>
  </si>
  <si>
    <t>148 023 620,00</t>
  </si>
  <si>
    <t>работы выполнены на 100%.. Заказчик готов оплачивать
Замечания по ИД у УТНКР.
Ориентировочное устранение замечаний и оплата 01.06.2026</t>
  </si>
  <si>
    <t>1 318,00</t>
  </si>
  <si>
    <t>64 500 000,00</t>
  </si>
  <si>
    <t xml:space="preserve">Оплачено, руб. (план): 33 578 600.29
Оплачено, руб. (факт): 33 578 600.29
Процент оплаты: 100.00 %
</t>
  </si>
  <si>
    <t>114 458 500,00</t>
  </si>
  <si>
    <t>50-160</t>
  </si>
  <si>
    <t>1) ИД не предъявляется УТНКР, подрядчик игнорирует установленные сроки реализации</t>
  </si>
  <si>
    <t>Нет заключения МОГЭ. Не прошли НТС.</t>
  </si>
  <si>
    <t>50-250</t>
  </si>
  <si>
    <t>1 196,10</t>
  </si>
  <si>
    <t>233 283 570,00</t>
  </si>
  <si>
    <t xml:space="preserve">Исполнено, руб. (план): 88 044 012.17 
Исполнено, руб. (факт): 88 044 012.17 
Процент исполнения: 100.00 %
</t>
  </si>
  <si>
    <t>100-250, 250-400</t>
  </si>
  <si>
    <t>3 025,00</t>
  </si>
  <si>
    <t>233 912 200,00</t>
  </si>
  <si>
    <t>109 518 120,00</t>
  </si>
  <si>
    <t>109 513 677,72</t>
  </si>
  <si>
    <t>4 442,28</t>
  </si>
  <si>
    <t>177 296 000,00</t>
  </si>
  <si>
    <t>87 280 436,56</t>
  </si>
  <si>
    <t>90 015563,44</t>
  </si>
  <si>
    <t>3 050,00</t>
  </si>
  <si>
    <t>107 275 730,66</t>
  </si>
  <si>
    <t>98 749 692,47</t>
  </si>
  <si>
    <t>8 526 038,19</t>
  </si>
  <si>
    <t>1 126,00</t>
  </si>
  <si>
    <t>640 326 850,00</t>
  </si>
  <si>
    <t xml:space="preserve"> СМР завершен</t>
  </si>
  <si>
    <t>Не завершены СМР. Не подписаны КС.</t>
  </si>
  <si>
    <t>12 393 000,00</t>
  </si>
  <si>
    <t>Не зашли в МОГЭ. Не завершены СМР. Не подписаны КС.</t>
  </si>
  <si>
    <t>32 530 127,62</t>
  </si>
  <si>
    <t xml:space="preserve">Объекты проходят по одному Соглашению МБТ, оплата будет после его подписания. Дата оплаты </t>
  </si>
  <si>
    <t xml:space="preserve">Нет МОГЭ, </t>
  </si>
  <si>
    <t>1 636,00</t>
  </si>
  <si>
    <t>127 937 789,10</t>
  </si>
  <si>
    <t xml:space="preserve"> Не завершены СМР. Не подписаны КС.</t>
  </si>
  <si>
    <t>2 589 275,00</t>
  </si>
  <si>
    <t xml:space="preserve"> Необходимо выполнить благоустройство</t>
  </si>
  <si>
    <t>Нет заключения МОГЭ. Не завершены СМР. Не подписаны КС.</t>
  </si>
  <si>
    <t>94 565 590,34</t>
  </si>
  <si>
    <t>39 807 460,00</t>
  </si>
  <si>
    <t>Поздний выход из МОГЭ. КС-2 подписаны готовят к загрузке в ПИК.</t>
  </si>
  <si>
    <t>4 745,00</t>
  </si>
  <si>
    <t>СМР не завершен. перенесенный объект из 2026. Было перезаключение контракта в МОГЭ с  13.04.2026
26.05.2026. КС-2 и ИТД не представлялись.Плановая дата  предачи ИД в УТНКР 15.06.2026</t>
  </si>
  <si>
    <t>СМР не завершен, перенесенный объект из 2026. Было перезаключение контракта. В МОГЭ  с  13.04.2026
26.05.2026. КС-2 и ИТД не представлялись.Плановая дата  предачи ИД в УТНКР 15.06.2026</t>
  </si>
  <si>
    <t>29 474 396,00</t>
  </si>
  <si>
    <t>Частичная оплата. Осталось благоустройство</t>
  </si>
  <si>
    <t>44 354 120,00</t>
  </si>
  <si>
    <t>250-400</t>
  </si>
  <si>
    <t>5 200,00</t>
  </si>
  <si>
    <t>433 459 656,00</t>
  </si>
  <si>
    <t>411 967 691,85</t>
  </si>
  <si>
    <t>21 491 964,15</t>
  </si>
  <si>
    <t>59 900 000,00</t>
  </si>
  <si>
    <t>74 133 890,00</t>
  </si>
  <si>
    <t>ДС по 65.1</t>
  </si>
  <si>
    <t>10 688 560,00</t>
  </si>
  <si>
    <t>142 969 662,20</t>
  </si>
  <si>
    <t>15 243 698,87</t>
  </si>
  <si>
    <t>127 725 963,33</t>
  </si>
  <si>
    <t>150-300</t>
  </si>
  <si>
    <t>41 960 320,00</t>
  </si>
  <si>
    <t>265 959 310,9</t>
  </si>
  <si>
    <t>88 644 403,28</t>
  </si>
  <si>
    <t>79 004 016,02</t>
  </si>
  <si>
    <t>9 640 387,26</t>
  </si>
  <si>
    <t>70 757 188,16</t>
  </si>
  <si>
    <t>15 433 478,54</t>
  </si>
  <si>
    <t>14 530 178,37</t>
  </si>
  <si>
    <t>903 300,17</t>
  </si>
  <si>
    <t>52 937 051,62</t>
  </si>
  <si>
    <t xml:space="preserve">Идет сдача ИД в УТНКР. Необходимо завершить благоустройство. Сроки завршения работ: до 31.05.2026          </t>
  </si>
  <si>
    <t>34 607 435,57</t>
  </si>
  <si>
    <t>60 686 700,00</t>
  </si>
  <si>
    <t>44 257 798,48</t>
  </si>
  <si>
    <t>16 428 901,52</t>
  </si>
  <si>
    <t>22 355 850,00</t>
  </si>
  <si>
    <t>81 001 390,00</t>
  </si>
  <si>
    <t>52 154 394,36</t>
  </si>
  <si>
    <t xml:space="preserve">Замечания ИД, </t>
  </si>
  <si>
    <t xml:space="preserve">Выполняется благоустройство. Идет сдача ИД в УТНКР. Сроки устранения замечаний УТНКР: до 31.05.2026                                                                             Срок оплаты: до 01.07.2026                                                      </t>
  </si>
  <si>
    <t>101 364 178,81</t>
  </si>
  <si>
    <t>69 608 576,19</t>
  </si>
  <si>
    <t xml:space="preserve">ИД на проверке, </t>
  </si>
  <si>
    <t>Выполняется благоустройство. Идет сдача ИД в УТНКР. Сроки устранения замечаний УТНКР: до 31.05.2026                                                                             Срок оплаты: до 01.07.2027</t>
  </si>
  <si>
    <t>80 471 177,42</t>
  </si>
  <si>
    <t>66 593 850,45</t>
  </si>
  <si>
    <t xml:space="preserve">ИД сдана частично, </t>
  </si>
  <si>
    <t xml:space="preserve">Необходимо выполнение благоустройства.  Идет сдача ИД в УТНКР.  Сроки устранения замечаний УТНКР:до 31.05.2026                                                                             Срок оплаты: до 01.07.2026                                                      </t>
  </si>
  <si>
    <t>72 789 000,00</t>
  </si>
  <si>
    <t xml:space="preserve">Идет сдача ИД в УТНКР. Контракт закрывают без благоустройства ( выполняется в рамках др. мун. программы). Сроки устранения замечаний УТНКР:               до 31.05.2026                                                                             Срок оплаты: до 01.07.2026                                                      </t>
  </si>
  <si>
    <t>76 539 196,61</t>
  </si>
  <si>
    <t>13 430 905,69</t>
  </si>
  <si>
    <t>63 108 290,92</t>
  </si>
  <si>
    <t>36 859 183,62</t>
  </si>
  <si>
    <t xml:space="preserve">
Сумма произведённых авансовых платежей, руб.: 11 177 925.00
Оплачено, руб. (план): 28 825 766.82
Оплачено, руб. (факт): 28 825 766.82
Процент оплаты: 78.82 %</t>
  </si>
  <si>
    <t>42 539 395,42</t>
  </si>
  <si>
    <t>26 117 224,31</t>
  </si>
  <si>
    <t>33 797 057,94</t>
  </si>
  <si>
    <t>5 932 752,28</t>
  </si>
  <si>
    <t>41 523 310,00</t>
  </si>
  <si>
    <t>24 742 353,02</t>
  </si>
  <si>
    <t xml:space="preserve">Заключение МОГЭ получено.Идет сдача ИД в УТНКР.  Контракт закрывают без благоустройства ( выполняется в рамках др. мун. программы)                                                           Сроки устранения замечаний УТНКР: до 31.05.2026    
Замечания: выполнить теплоизоляцию камеры.                                                                                    Срок оплаты: до 01.07.2026      </t>
  </si>
  <si>
    <t xml:space="preserve">Не передавалась ИД </t>
  </si>
  <si>
    <t xml:space="preserve">Сумма произведённых авансовых платежей, руб.: 12 935 200.00
Оплачено, руб. (план): 12 935 200.00
Оплачено, руб. (факт): 12 935 200.00
Процент оплаты: 50.00 %
</t>
  </si>
  <si>
    <t xml:space="preserve">Заключение МОГЭ получено.Идет сдача ИД в УТНКР.  Контракт закрывают без благоустройства ( выполняется в рамках др. мун. программы)                                                           Сроки устранения замечаний УТНКР: до 31.05.2026                                                                             Срок оплаты: до 01.07.2026      </t>
  </si>
  <si>
    <t>35 554 960,00</t>
  </si>
  <si>
    <t xml:space="preserve"> необходимо выполнить благоустройство</t>
  </si>
  <si>
    <t xml:space="preserve">
Сумма произведённых авансовых платежей, руб.: 17 777 480.00
Оплачено, руб. (план): 17 777 480.00
Оплачено, руб. (факт): 17 777 480.00
Процент оплаты: 50.00 %</t>
  </si>
  <si>
    <t xml:space="preserve">Идет сдача ИД в УТНКР, срок сдачи до 31.05.26.  Необходимо уточнить объемы засыпки.  Контракт закрывают без благоустройства ( выполняется в рамках др. мун. программы).                                                                       Срок оплаты: до 01.07.2026                                                      </t>
  </si>
  <si>
    <t>44 564 800,00</t>
  </si>
  <si>
    <t xml:space="preserve"> необходимо выполнить обратную засыпку и благоустройство</t>
  </si>
  <si>
    <t>95 774 564,30</t>
  </si>
  <si>
    <t>5 000,00</t>
  </si>
  <si>
    <t>201 822 556,92</t>
  </si>
  <si>
    <t>165 663 736,17</t>
  </si>
  <si>
    <t>36 158 820,75</t>
  </si>
  <si>
    <t>149 217 889,54</t>
  </si>
  <si>
    <t>СМР не завршен</t>
  </si>
  <si>
    <t>СМР не завершен
Положительного заключения МОГЭ получено. Все необходимое оборудование и материалы закуплены.</t>
  </si>
  <si>
    <t>184 622 259,22</t>
  </si>
  <si>
    <t>64 135 653,29</t>
  </si>
  <si>
    <t>120 486 605,93</t>
  </si>
  <si>
    <t>1 640,00</t>
  </si>
  <si>
    <t>65 837 736,42</t>
  </si>
  <si>
    <t>64 217 083,40</t>
  </si>
  <si>
    <t>1 620 653,02</t>
  </si>
  <si>
    <t>43 510 110,00</t>
  </si>
  <si>
    <t>30 244 405,92</t>
  </si>
  <si>
    <t>13 265 704,08</t>
  </si>
  <si>
    <t>61 135 840,00</t>
  </si>
  <si>
    <t>58 276 480,00</t>
  </si>
  <si>
    <t>37 417 120,00</t>
  </si>
  <si>
    <t>79 364 710,00</t>
  </si>
  <si>
    <t xml:space="preserve">Нет МОГЭ </t>
  </si>
  <si>
    <t xml:space="preserve">
Оплачено, руб. (план): 21 900 959.58
Оплачено, руб. (факт): 21 900 959.58
Процент оплаты: 27.59 %</t>
  </si>
  <si>
    <t>МОГЭ не получено. Зашли в МОГЭ 17.04.2026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30.06.2026</t>
  </si>
  <si>
    <t>119 047 040,00</t>
  </si>
  <si>
    <t>МОГЭ не получено. Заход в МОГЭ до 30.05.2026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30.07.2026</t>
  </si>
  <si>
    <t>109 504 774,11</t>
  </si>
  <si>
    <t>100-200</t>
  </si>
  <si>
    <t>1 072,40</t>
  </si>
  <si>
    <t>68 521 225,02</t>
  </si>
  <si>
    <t xml:space="preserve">
Для окончательной сдачи объекта необхолдимо устранить замечания УТНКР по ИД и по производственной части.
ориентировочный срок сдачи объекта 31.05.2026</t>
  </si>
  <si>
    <t>12 640 000,00</t>
  </si>
  <si>
    <t>61 135 000,00</t>
  </si>
  <si>
    <t>МОГЭ не получено. Зашли в МОГЭ 16.04.2026
Для окончательной сдачи объекта необхолдимо получить заключение МОГЭ, устранить замечания УТНКР по ИД и по производственной части.
ориентировочный срок сдачи объекта 31.05.2026</t>
  </si>
  <si>
    <t>9 812 370,40</t>
  </si>
  <si>
    <t>МОГЭ не получено, Заход в МОГЭ до 15.05.2026
Для окончательной сдачи объекта необхолдимо получить заключение МОГЭ, устранить замечания УТНКР по ИД и по производственной части.
ориентировочный срок сдачи объекта 30.06.2026</t>
  </si>
  <si>
    <t>28 948 630</t>
  </si>
  <si>
    <t>47 492 610</t>
  </si>
  <si>
    <t>21 520 561</t>
  </si>
  <si>
    <t>11 856 044,34</t>
  </si>
  <si>
    <t>МОГЭ не получено, Необходимо проведение НТС. Заход в МОГЭ до 30.05.2026
Для окончательной сдачи объекта необхолдимо получить заключение МОГЭ, устранить замечания УТНКР по ИД и по производственной части.
ориентировочный срок сдачи объекта 25.07.2026</t>
  </si>
  <si>
    <t>34 691 140,00</t>
  </si>
  <si>
    <t>115 078 820,00</t>
  </si>
  <si>
    <t>МОГЭ не получено. Зашли в МОГЭ 25.04.2026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15.07.2026</t>
  </si>
  <si>
    <t>10 258 152,30</t>
  </si>
  <si>
    <t>162 043 246,00</t>
  </si>
  <si>
    <t>105 463 479,61</t>
  </si>
  <si>
    <t>Выполнена частичная оплата объекта.
Для окончательной сдачи объекта остается завершение  работ по строительной части, завершение работ по благоустройству и ПНР, устранение замечаний по УТНКР по ИД и по производственной части.
ориентировочный срок сдачи объекта 30.06.2026</t>
  </si>
  <si>
    <t>24 544 451,62</t>
  </si>
  <si>
    <t>17 240 034,25</t>
  </si>
  <si>
    <t>Выполнена частичная оплата объекта.
Для окончательной сдачи объекта остается завершение работ по благоустройству, устранение замечаний по УТНКР по ИД и по производственной части.
ориентировочный срок сдачи объекта 30.06.2026</t>
  </si>
  <si>
    <t>1 000,00</t>
  </si>
  <si>
    <t>86 359 310,00</t>
  </si>
  <si>
    <t>42 375 890,33</t>
  </si>
  <si>
    <t>37 268 990,45</t>
  </si>
  <si>
    <t>21 658 856,09</t>
  </si>
  <si>
    <t>47 906 915,13</t>
  </si>
  <si>
    <t>40 489 986,28</t>
  </si>
  <si>
    <t>136 827 250,00</t>
  </si>
  <si>
    <t>37 256 091,82</t>
  </si>
  <si>
    <t>99 571 158,18</t>
  </si>
  <si>
    <t>Выполнена частичная оплата объекта.
Для окончательной сдачи объекта остается завершение работ по благоустройству и ПНР, устранение замечаний по УТНКР по ИД и по производственной части.
ориентировочный срок сдачи объекта 30.06.2026</t>
  </si>
  <si>
    <t>95 192 749,46</t>
  </si>
  <si>
    <t>39 465 614,17</t>
  </si>
  <si>
    <t>Выполнена частичная оплата объекта.
Для окончательной сдачи объекта остается завершение работ по благоустройству и ПНР, устранение замечаний по УТНКР по ИД и по производственной части.ориентировочный срок сдачи объекта 30.06.2026</t>
  </si>
  <si>
    <t>123 144 530,00</t>
  </si>
  <si>
    <t>53 932 855,08</t>
  </si>
  <si>
    <t>ПИР и СМР оплачены. Осталось благоустройство
Идет подготовка исполнительной документации. После сдачи и подписания документов ГБУ МО "УТНКР" будет произведена оплата. Ориентировочный срок - до 30.06.2026.</t>
  </si>
  <si>
    <t>30 700 420,90</t>
  </si>
  <si>
    <t>24 800 000,00</t>
  </si>
  <si>
    <t>Идет подготовка исполнительной документации. После сдачи и подписания документов ГБУ МО "УТНКР" будет произведена оплата. Ориентировочный срок - до 30.07.2026.</t>
  </si>
  <si>
    <t>65 688 660,00</t>
  </si>
  <si>
    <t>17 202 863,76</t>
  </si>
  <si>
    <t>48 485 796,24</t>
  </si>
  <si>
    <t>Идет подготовка исполнительной документации. После сдачи и подписания документов ГБУ МО "УТНКР" будет произведена оплата. Ориентировочный срок - до 30.06.2026.</t>
  </si>
  <si>
    <t>19 900 000,00</t>
  </si>
  <si>
    <t>18 093 000,00</t>
  </si>
  <si>
    <t>17 411 177,52</t>
  </si>
  <si>
    <t>25 495 960,00</t>
  </si>
  <si>
    <t xml:space="preserve">Положительное заключение МОГЭ получено
ДС не заключен
Документы ГБУ МО "УТНКР" подписаны 30.04.2026, планируется провести оплату до 25.05.2026 </t>
  </si>
  <si>
    <t>32 746 480,00</t>
  </si>
  <si>
    <t>Положительное заключение МОГЭ получено
ДС не заключен
Исполнительная документация готова в полном объеме, в настоящее время идет сдача объемов в ГБУ МО "УТКНР". Ориентировочная дата оплаты - до 10.06.2026.</t>
  </si>
  <si>
    <t>30 159 440,00</t>
  </si>
  <si>
    <t>Оплачено
Исполнительная документация сдана в ГБУ МО "УТНКР". Выполненные объемы подписаны УТНКР и оплачены в полном объеме.</t>
  </si>
  <si>
    <t>20 083 600,00</t>
  </si>
  <si>
    <t>13 157 224,82</t>
  </si>
  <si>
    <t>21 240 960,00</t>
  </si>
  <si>
    <t>Исполнительная документация готова в полном объеме, в настоящее время идет сдача объемов в ГБУ МО "УТКНР". Ориентировочная дата оплаты - до 10.06.2026.</t>
  </si>
  <si>
    <t>39 028 043,63</t>
  </si>
  <si>
    <t>500-600</t>
  </si>
  <si>
    <t>13 881 780,00</t>
  </si>
  <si>
    <t>1 072,00</t>
  </si>
  <si>
    <t>188 768 480,00</t>
  </si>
  <si>
    <t>10 193 618,40</t>
  </si>
  <si>
    <t>9 623 788,80</t>
  </si>
  <si>
    <t>149 677 000,00</t>
  </si>
  <si>
    <t>103 813 294,06</t>
  </si>
  <si>
    <t>45 863 705,94</t>
  </si>
  <si>
    <t>МОГЭ не получено. Зашли в МОГЭ 22.04.2026
БМК смонтирована на площадке
Выполнены внутриплощадочные сети.
Плановая дата проведения ПНР июнь 2026 г.</t>
  </si>
  <si>
    <t>Положительное заключение МОГЭ - не получено.
Плановая дата захода в МОГЭ - 15.06.2026
БМК смонтирована на площадке.
Не решен вопрос с техприсом по газу и тепловым сетям.
Газоснабжение: договор не заключен. Стоимость договора техприса 140 млн. руб. ОМСУ изыскивает средства. По графику Мособлгаза реализация техприса декабрь 2026 года.
Теплоснабжение: Сеть частично проходит по частной территории. Решается вопрос с сервитутом. Срок до 01.09</t>
  </si>
  <si>
    <t>СМР выполнен.
Положительное заключение МОГЭ получено
16.04.2026г была принята на поверку и подписана ИД
Получали повторное заключение МОГЭ. Нужно ДС. 
ДС будет заключено 15.05.2026</t>
  </si>
  <si>
    <t>73 576 350,00</t>
  </si>
  <si>
    <t xml:space="preserve">Повторное МОГЭ НТС </t>
  </si>
  <si>
    <t>Частично оплачен. 
Осталось только благоустройство.</t>
  </si>
  <si>
    <t xml:space="preserve">Нет ИД </t>
  </si>
  <si>
    <t xml:space="preserve">Не сданы ИД/КС </t>
  </si>
  <si>
    <t>Необходимо завершить благоустройсто, подписать КС-2 и ИД.
Ориентировочный срок сдачи объекта 31.05.2026</t>
  </si>
  <si>
    <t>3 350,00</t>
  </si>
  <si>
    <t xml:space="preserve">Сданы ИД/КС </t>
  </si>
  <si>
    <t>Работы на объекте завершены. КС-2 и ИД подписаны в полном объеме. Срок оплаты до 15.05.2026</t>
  </si>
  <si>
    <t>13 520,00</t>
  </si>
  <si>
    <t>СМР не завершен. Работы ведутся .</t>
  </si>
  <si>
    <t>72 731 936,88</t>
  </si>
  <si>
    <t>70 789 702,58</t>
  </si>
  <si>
    <t>1 942 234,30</t>
  </si>
  <si>
    <t>78 919 583,25</t>
  </si>
  <si>
    <t>69 094 743,83</t>
  </si>
  <si>
    <t>9 824 839,42</t>
  </si>
  <si>
    <t>245 355 360,00</t>
  </si>
  <si>
    <t>Частично оплачен. 
Осталось выполнить общестроительные работы.</t>
  </si>
  <si>
    <t>86 539 537,23</t>
  </si>
  <si>
    <t>33 078 064,28</t>
  </si>
  <si>
    <t>159 471 993,9</t>
  </si>
  <si>
    <t>МОГЭ не получено. Заход в МОГЭ до 30.05.2025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15.07.2026</t>
  </si>
  <si>
    <t>114 663 859,7</t>
  </si>
  <si>
    <t>МОГЭ получено. Для окончательной сдачи объекта необходимо завершить общестроительные работы, сдать ИД  в УТНКР.
Ориентировочный срок сдачи объекта 15.06.2026</t>
  </si>
  <si>
    <t>МОГЭ не получено. В МОГЭ  с 11.04.2026.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15.06.2026</t>
  </si>
  <si>
    <t>92 613 117,45</t>
  </si>
  <si>
    <t>МОГЭ получено. Для окончательной сдачи объекта необходимо завершить общестроительные работы, сдать ИД  в УТНКР.
Ориентировочный срок сдачи объекта 30.05.2026</t>
  </si>
  <si>
    <t>132 969 300,00</t>
  </si>
  <si>
    <t>2 245 284,26</t>
  </si>
  <si>
    <t>1 568 923,24</t>
  </si>
  <si>
    <t>676 361,02</t>
  </si>
  <si>
    <t>37 220 592,42</t>
  </si>
  <si>
    <t>Кредиторская задолженость</t>
  </si>
  <si>
    <t>15 874 513,99</t>
  </si>
  <si>
    <t>13 984 670,88</t>
  </si>
  <si>
    <t>1 889 843,11</t>
  </si>
  <si>
    <t>79 031 797,60</t>
  </si>
  <si>
    <t>49 744  510,20</t>
  </si>
  <si>
    <t>32 550 841,42</t>
  </si>
  <si>
    <t>10 549 500,00</t>
  </si>
  <si>
    <t>7 931 924,78</t>
  </si>
  <si>
    <t>2 617 575,22</t>
  </si>
  <si>
    <t>24 056 834,00</t>
  </si>
  <si>
    <t>17 315 292,21</t>
  </si>
  <si>
    <t>6 741 541,79</t>
  </si>
  <si>
    <t>7 285 406,55</t>
  </si>
  <si>
    <t>6 033 873,84</t>
  </si>
  <si>
    <t>1 251 532,71</t>
  </si>
  <si>
    <t xml:space="preserve">   </t>
  </si>
  <si>
    <t>24 498 825,14</t>
  </si>
  <si>
    <t>21 124 113,15</t>
  </si>
  <si>
    <t>3 374 711,99</t>
  </si>
  <si>
    <t>69 359 472,00</t>
  </si>
  <si>
    <t>30 910 856,78</t>
  </si>
  <si>
    <t>18 879 561,70</t>
  </si>
  <si>
    <t>3 617 603,12</t>
  </si>
  <si>
    <t>39 448 762,00</t>
  </si>
  <si>
    <t>23 297 744,85</t>
  </si>
  <si>
    <t>16 151 017,15</t>
  </si>
  <si>
    <t>1 460,00</t>
  </si>
  <si>
    <t>82 009 652,74</t>
  </si>
  <si>
    <t>44 169 801,50</t>
  </si>
  <si>
    <t>40 014 870,00</t>
  </si>
  <si>
    <t>26 383 615,22</t>
  </si>
  <si>
    <t>13 631 254,78</t>
  </si>
  <si>
    <t>Обьект не передан Заказчику. Документы для закрытия не загружены в ПИК. Планируемая дата закрытия 29.05.2026</t>
  </si>
  <si>
    <t>77 872 165,39</t>
  </si>
  <si>
    <t>12 327 554,91</t>
  </si>
  <si>
    <t>65 544 610,48</t>
  </si>
  <si>
    <t>81 052 158,24</t>
  </si>
  <si>
    <t>60 958 882,86</t>
  </si>
  <si>
    <t>20 093 275,38</t>
  </si>
  <si>
    <t xml:space="preserve">Нет дополнительного соглашения нет БГ </t>
  </si>
  <si>
    <t>227 145 180,00</t>
  </si>
  <si>
    <t>136 978 096,23</t>
  </si>
  <si>
    <t>90 167 083,77</t>
  </si>
  <si>
    <t>СМР будет закрыт и оплачен до 15.07.2026.
ПНР закрыт и оплчен до 15.09.2026. 
Отсутствует БГ, У Заказчика нет возможности подписать доп. соглашения на продления контракта.</t>
  </si>
  <si>
    <t>24 121 163,05</t>
  </si>
  <si>
    <t>21 017 391,31</t>
  </si>
  <si>
    <t>3 103 771,74</t>
  </si>
  <si>
    <t>6 500,00</t>
  </si>
  <si>
    <t>75 775 839,70</t>
  </si>
  <si>
    <t>5 144 279,55</t>
  </si>
  <si>
    <t>51 054 702,76</t>
  </si>
  <si>
    <t>45 478 265,50</t>
  </si>
  <si>
    <t>5 576 437,26</t>
  </si>
  <si>
    <t>10 900,00</t>
  </si>
  <si>
    <t>119 085 417,00</t>
  </si>
  <si>
    <t>208 392 559,48</t>
  </si>
  <si>
    <t>-89 307 142,48</t>
  </si>
  <si>
    <t>45 100 000,00</t>
  </si>
  <si>
    <t>38 243 508,50</t>
  </si>
  <si>
    <t>6 856 491,50</t>
  </si>
  <si>
    <t>10 056 434,00</t>
  </si>
  <si>
    <t>8 324 230,38</t>
  </si>
  <si>
    <t>1 732 203,62</t>
  </si>
  <si>
    <t>22 318 942,00</t>
  </si>
  <si>
    <t>15 831 759,89</t>
  </si>
  <si>
    <t>6 487 182,11</t>
  </si>
  <si>
    <t>5 175 677,92</t>
  </si>
  <si>
    <t>-627 194,16</t>
  </si>
  <si>
    <t>71 525 604,70</t>
  </si>
  <si>
    <t xml:space="preserve">Обьект находится в экспертизе.
 Дата получения заключения МОГЭ 04.06.2026. </t>
  </si>
  <si>
    <t>1 133,00</t>
  </si>
  <si>
    <t>Пройден НТС (протокол от 04.05.2026). Нет МОГЭ. Планируемая дата захода 15.05.2026</t>
  </si>
  <si>
    <t>100-250, 250-400, 400-550</t>
  </si>
  <si>
    <t>2 068,00</t>
  </si>
  <si>
    <t>253 537 083,80</t>
  </si>
  <si>
    <t>98 193 093,53</t>
  </si>
  <si>
    <t>155 343 990,27</t>
  </si>
  <si>
    <t>ИД СДАНА</t>
  </si>
  <si>
    <t>3 356,70</t>
  </si>
  <si>
    <t xml:space="preserve">Ждут письмо от ГРБС о увелечении лимитов. После этого заход в МОГЭ. </t>
  </si>
  <si>
    <t>1 487,00</t>
  </si>
  <si>
    <t>99 210 260,80</t>
  </si>
  <si>
    <t xml:space="preserve">Частичная оплата.
Документы исполнения приняты заказчиком 30.04.2026. Оплата произведена. 
Не выполнены частично работы по прокладке трубы и устройству ТК, благоустройству. 
Остаток оплаты будет произведен до 30.06.2026. </t>
  </si>
  <si>
    <t>ИД на проверке в УТНКРНет Дополнительного соглашения. Нет БГ</t>
  </si>
  <si>
    <t>1 321,00</t>
  </si>
  <si>
    <t>88 584 674,80</t>
  </si>
  <si>
    <t>24 825 470,00</t>
  </si>
  <si>
    <t>Нет программы МИНЭНЕРГО</t>
  </si>
  <si>
    <t xml:space="preserve">Вышли из МОГЭ (10.04.2026). ИД не предоставлена, находится на проверке в УТНКР. </t>
  </si>
  <si>
    <t>2 228,00</t>
  </si>
  <si>
    <t>Нет положительного заключения МОГЭ. Получения результаты рассмотрения. Планируемая дата захода в МОГЭ после прохождения НТС. Дата НТС: 08.05.2026</t>
  </si>
  <si>
    <t>100-250, 400-550</t>
  </si>
  <si>
    <t>1 100,00</t>
  </si>
  <si>
    <t xml:space="preserve">Ведется СМР. СГ 25%. 
НТС назначен на 08.05.2026. </t>
  </si>
  <si>
    <t xml:space="preserve">Нет МОГЭ. Планируемый заход 29.05.2026 после согласования точки присоединения к сетям теплоснабжения. </t>
  </si>
  <si>
    <t>Замечания ИД, нет БГ, нет ДС</t>
  </si>
  <si>
    <t>Срок контракта не продлен ввиду отсутствия БГ у полрядчика - будет внесен обеспечительный платеж до 15.05.2026. 
Оплата части работ будет произведена до 31.05.2026, оставшаяся част по подключению БМК и благоустройству будет произведена до 01.08.2026</t>
  </si>
  <si>
    <t>Ду 150,200 - длина 1260м
 Ду400 - длина 1380м</t>
  </si>
  <si>
    <t>1 380,00</t>
  </si>
  <si>
    <t xml:space="preserve"> оплачен только аванс, БГ не получена,</t>
  </si>
  <si>
    <t>Отсутствует заключенный контракт на строительный контроль. Отсутствует положительное заключение МОГЭ, завершение работ по прокладке трубопроводов (130 м по каналу), переврезке трубопроводов и благоустройству. ориентировочный срок сдачи объекта 30.09.2026</t>
  </si>
  <si>
    <t>Отсутствует заключенный контракт на строительный контроль. Отсутствует положительное заключение МОГЭ, не завершены СМР в части монтажа БМК, выполнению технических присоединений, выполнению внутриплозадочных сетей, благоустройству. ориентировочный срок сдачи объекта 30.12.2026</t>
  </si>
  <si>
    <t>Отсутствует заключенный контракт на строительный контроль. Отсутствует положительное заключение МОГЭ, не завершены СМР в части  выполнению технических присоединений, благоустройству. ориентировочный срок сдачи объекта 30.12.2026</t>
  </si>
  <si>
    <t>Отсутствует заключенный контракт на строительный контроль. Отсутствует положительное заключение МОГЭ,не завершены СМР в части монтажа БМК, выполнению технических присоединений, выполнению внутриплозадочных сетей, благоустройству. ориентировочный срок сдачи объекта 30.12.2026</t>
  </si>
  <si>
    <t>446 059 169,00</t>
  </si>
  <si>
    <t>371 941 152,90</t>
  </si>
  <si>
    <t>74 118 016,10</t>
  </si>
  <si>
    <t>1 628,40</t>
  </si>
  <si>
    <t>нет</t>
  </si>
  <si>
    <t>1 602,90</t>
  </si>
  <si>
    <t>12 981 000,00</t>
  </si>
  <si>
    <t>3 326 085,14</t>
  </si>
  <si>
    <t>частично не сдана ИД, повторный заход в МОГЭ</t>
  </si>
  <si>
    <t>417 327 540,00</t>
  </si>
  <si>
    <t>КС частично подписаны, оформляется доп соглашение на дополнительные работы в рамках лимита контракта</t>
  </si>
  <si>
    <t>184 538 330,00</t>
  </si>
  <si>
    <t>4 428,00</t>
  </si>
  <si>
    <t>241 174 804,12</t>
  </si>
  <si>
    <t>207 279 199,46</t>
  </si>
  <si>
    <t>33 895 604,66</t>
  </si>
  <si>
    <t>2 321,00</t>
  </si>
  <si>
    <t>170 109 670,00</t>
  </si>
  <si>
    <t>КС подписаны, не доведены лимиты для оплаты</t>
  </si>
  <si>
    <t>10 620 480,00</t>
  </si>
  <si>
    <t>4 593 926,09</t>
  </si>
  <si>
    <t>6 026 553,91</t>
  </si>
  <si>
    <t>КС подписаны, оплата до 13.05.2026</t>
  </si>
  <si>
    <t>45 833 150,00</t>
  </si>
  <si>
    <t>частично не сдана ИД, повторный заход в МОГЭ
 В Акценте и ГАСУ сумма контракта составляет 45 833 150 руб.</t>
  </si>
  <si>
    <t>32 322 880,00</t>
  </si>
  <si>
    <t>6 102 442,44</t>
  </si>
  <si>
    <t>Частично предоставлены КС на проверку в УТНКР
В Акценте и ГАСУ сумма контракта составляет 19 521 640 руб.</t>
  </si>
  <si>
    <t>9 667 360,00</t>
  </si>
  <si>
    <t>ИД сдана частично, Написано письмо на увеличеие лимитов до 10%</t>
  </si>
  <si>
    <t>81 596 030,00</t>
  </si>
  <si>
    <t>12 955 308,63</t>
  </si>
  <si>
    <t>ИД сдана частично, Написано письмо на увеличеие лимитов до 10%
В Акценте и ГАСУ сумма контракта составляет 24 478 820 руб.</t>
  </si>
  <si>
    <t>21 104 800,00</t>
  </si>
  <si>
    <t>7 508 543,54</t>
  </si>
  <si>
    <t>13 596 256,46</t>
  </si>
  <si>
    <t>КС подписаны, документация в ПИК закгружена, но отклонена заказчиков в связи с изменением процента софинансирования.
В Акценте и ГАСУ сумма контракта составляет 16 575 620 руб.</t>
  </si>
  <si>
    <t>1 633 930,00</t>
  </si>
  <si>
    <t>779 894,87</t>
  </si>
  <si>
    <t>КС подписаны, документация в ПИК закгружена, но отклонена заказчиков в связи с изменением процента софинансирования.
В Акценте и ГАСУ сумма контракта составляет 2 172 560 руб.</t>
  </si>
  <si>
    <t>5 370,00</t>
  </si>
  <si>
    <t>565 828 230,00</t>
  </si>
  <si>
    <t>392 100 041,02</t>
  </si>
  <si>
    <t>173 728 188,98</t>
  </si>
  <si>
    <t>Контракт растогрут под факт выполненных работ. 
В Акценте и ГАСУ сумма контракта составляет 565 828 230 руб.</t>
  </si>
  <si>
    <t>1 405,00</t>
  </si>
  <si>
    <t>132 660 000,00</t>
  </si>
  <si>
    <t>40 520 927,57</t>
  </si>
  <si>
    <t>КС подписаны. ИД сдана, не подгружена подрядчиком в ПИК
Срок оплаты до 22.05.2026</t>
  </si>
  <si>
    <t>56 196 000,00</t>
  </si>
  <si>
    <t>25 708 935,06</t>
  </si>
  <si>
    <t>8 948 000,00</t>
  </si>
  <si>
    <t>29 846 000,00</t>
  </si>
  <si>
    <t>13 383 977,50</t>
  </si>
  <si>
    <t>16 462 022,50</t>
  </si>
  <si>
    <t>частично не сдана ИД</t>
  </si>
  <si>
    <t>2 961 480,00</t>
  </si>
  <si>
    <t>987 052,50</t>
  </si>
  <si>
    <t>1 974 427,50</t>
  </si>
  <si>
    <t>24 286 180,00</t>
  </si>
  <si>
    <t>3 360 244,13</t>
  </si>
  <si>
    <t>20 925 935,87</t>
  </si>
  <si>
    <t xml:space="preserve">частично не сдана ИД, повторный заход в МОГЭ
В Акценте и ГАСУ - сумма контракта  12 143 110,00 </t>
  </si>
  <si>
    <t>38 920 220,00</t>
  </si>
  <si>
    <t>9 760 817,27</t>
  </si>
  <si>
    <t>29 159 402,73</t>
  </si>
  <si>
    <t xml:space="preserve">КС подписаны, контракт оплачен, но не закрыт
В Акценте и ГАСУ - сумма контракта  21 173 390,00 </t>
  </si>
  <si>
    <t>6 132 500,00</t>
  </si>
  <si>
    <t>2 396 627,13</t>
  </si>
  <si>
    <t>3 735 872,87</t>
  </si>
  <si>
    <t xml:space="preserve">ИД сдана частично, Написано письмо на увеличеие лимитов до 10%
В Акценте и ГАСУ - сумма контракта  4 102 620,00 </t>
  </si>
  <si>
    <t>62 225 120,00</t>
  </si>
  <si>
    <t xml:space="preserve">КС подписаны, документация в ПИК закгружена, но отклонена заказчиков в связи с изменением процента софинансирования.
В Акценте и ГАСУ - сумма контракта  76 305 730,00 </t>
  </si>
  <si>
    <t>4 016 730,00</t>
  </si>
  <si>
    <t>1 945 523,63</t>
  </si>
  <si>
    <t xml:space="preserve">КС подписаны, документация в ПИК закгружена, но отклонена заказчиком в связи с изменением процента софинансирования. 
 В Акценте и ГАСУ - сумма контракта  3 384 750,00 </t>
  </si>
  <si>
    <t>57 479 870,00</t>
  </si>
  <si>
    <t>46 746 923,28</t>
  </si>
  <si>
    <t xml:space="preserve">КС подписаны. ИД сдана, не подгружена подрядчиком в ПИК
Срок оплаты до 22.05.2026 
 В Акценте и ГАСУ - сумма контракта  505 598 440,00 </t>
  </si>
  <si>
    <t>16 603 350,00</t>
  </si>
  <si>
    <t>КС подписаны. Не доведены лимиты финансирования. Написано письмо на увеличеие лимитов до 10%</t>
  </si>
  <si>
    <t>95 470 680,00</t>
  </si>
  <si>
    <t>25 712 160,60</t>
  </si>
  <si>
    <t xml:space="preserve">частично не сдана ИД, повторный заход в МОГЭ
 В Акценте и ГАСУ - сумма контракта 15 806 860,00 </t>
  </si>
  <si>
    <t>16 875 830,00</t>
  </si>
  <si>
    <t>23 832 480,00</t>
  </si>
  <si>
    <t>12 256 541,72</t>
  </si>
  <si>
    <t>14 637 000,00</t>
  </si>
  <si>
    <t>3 812 480,00</t>
  </si>
  <si>
    <t>2 828 815,71</t>
  </si>
  <si>
    <t>КС подписан, контракт оплачен, но не закрыт</t>
  </si>
  <si>
    <t>60 067 000,00</t>
  </si>
  <si>
    <t>13 282 929,38</t>
  </si>
  <si>
    <t>46 784 070,62</t>
  </si>
  <si>
    <t xml:space="preserve">ИД сдана частично
В Акценте и ГАСУ - сумма контракта 21 813 080,00 </t>
  </si>
  <si>
    <t>1 173,00</t>
  </si>
  <si>
    <t>113 640 000,00</t>
  </si>
  <si>
    <t>42 137 919,38</t>
  </si>
  <si>
    <t>71 502 080,62</t>
  </si>
  <si>
    <t>Готовят документы для оплаты</t>
  </si>
  <si>
    <t>160 262 980,00</t>
  </si>
  <si>
    <t>43 589 447,27</t>
  </si>
  <si>
    <t>116 673 532,73</t>
  </si>
  <si>
    <t>22 484 997,50</t>
  </si>
  <si>
    <t>15 120 693,23</t>
  </si>
  <si>
    <t>7 364 304,27</t>
  </si>
  <si>
    <t>Отсутствует заключение МОГЭ, плановая дата повторного захода в МОГЭ 12.05.2026</t>
  </si>
  <si>
    <t>1) СМР не завершены
2) Отсутствует заключение МОГЭ, повторный заход 12.04.2026</t>
  </si>
  <si>
    <t>1) КС на оформлении на сумму 76 млн руб., заказчик изыскивает лимиты, не подписано доп согалшение по 65.1
2) Не выполнено технологическое присоединение и СМР связанный с ним (газ и электрика - врезка нового ГРУ, переключение на новые вводные шкафы)</t>
  </si>
  <si>
    <t>Не получено МОГЭ, СМР не завершено (благоустройтсво)</t>
  </si>
  <si>
    <t xml:space="preserve">1) Отсутствует заключение МОГЭ.Ранее получено отрицательное заключение МОГЭ. Повторный заход в МОГЭ 30.04.2026, </t>
  </si>
  <si>
    <t xml:space="preserve">СМР не завершен, </t>
  </si>
  <si>
    <t>100, 125, 150</t>
  </si>
  <si>
    <t>1) Отсутствует заключение МОГЭ. Ранее получено отрицательное заключение МОГЭ. Повторный заход в МОГЭ 16.04.2026</t>
  </si>
  <si>
    <t>100, 150, 200</t>
  </si>
  <si>
    <t>1 260,00</t>
  </si>
  <si>
    <t xml:space="preserve"> Оформление ИД, КС, БГ</t>
  </si>
  <si>
    <t xml:space="preserve"> СМР не завершен</t>
  </si>
  <si>
    <t>1) Отсутствует полож заключение МОГЭ, повторный заход от 06.05.2026( на  проверке комплектности)</t>
  </si>
  <si>
    <t>СМР не завершен (общестрой)</t>
  </si>
  <si>
    <t xml:space="preserve">Оформление ИД, оплачено частично </t>
  </si>
  <si>
    <t>1)СМР не заверешны
2) Отсутствует положительное заключение МОГЭ. Повторный заход в МОГЭ 16.04.2026</t>
  </si>
  <si>
    <t>1)СМР не заверешны
2) Отсутствует положительное заключение МОГЭ. Ранее получено отриц. заключение.</t>
  </si>
  <si>
    <t>50,300,
 350</t>
  </si>
  <si>
    <t>1)СМР не заверешны
2) Отсутствует положительное заключение МОГЭ. дДоговор с МОГЭ не заключен по причине отсутствия оплаты</t>
  </si>
  <si>
    <t>1 298,00</t>
  </si>
  <si>
    <t>1) СМР не завершены, плановая дата завершения 21.05.2026</t>
  </si>
  <si>
    <t>164 942 445,91</t>
  </si>
  <si>
    <t>130 876 070,05</t>
  </si>
  <si>
    <t>34 066 375,86</t>
  </si>
  <si>
    <t xml:space="preserve">Вышли из МОГЭ. Оплата произведена 27.04.2026. Ждут заключительные ИД от подрядчика. </t>
  </si>
  <si>
    <t>32 033 884,54</t>
  </si>
  <si>
    <t>21 662 835,26</t>
  </si>
  <si>
    <t>10 371 049,28</t>
  </si>
  <si>
    <t>58 618 307,54</t>
  </si>
  <si>
    <t>25 865 635,85</t>
  </si>
  <si>
    <t>30 442 986,57</t>
  </si>
  <si>
    <t xml:space="preserve">
 МОГЭ не получено. Заход в МОГЭ до 30.05.2026
Работы завершены, для окончательной сдачи объекта необходимо получить заключение МОГЭ, сдать ИД  в УТНКР.
ориентировочный срок сдачи объекта 15.07.2026</t>
  </si>
  <si>
    <t>1 330,00</t>
  </si>
  <si>
    <t>90 546 400,00</t>
  </si>
  <si>
    <t>Ведется СМР
ИД сдано частично/не подписано КС в УТНКР</t>
  </si>
  <si>
    <t>80-250</t>
  </si>
  <si>
    <t>7 495,00</t>
  </si>
  <si>
    <t>339 559 767,44</t>
  </si>
  <si>
    <t>97 652 644,68</t>
  </si>
  <si>
    <t>241 907 122,76</t>
  </si>
  <si>
    <t>Подписано доп соглашение, корректировка КС на оплату в связи со сменой подписанта и дат оформления документов</t>
  </si>
  <si>
    <t>1 580,00</t>
  </si>
  <si>
    <t>06.05.2026 подписано доп соглашение, запланирована оплата  8 млн до 13.05.2026</t>
  </si>
  <si>
    <t>22 004 065,18</t>
  </si>
  <si>
    <t>1 434 079,91</t>
  </si>
  <si>
    <t>20 569 985,27</t>
  </si>
  <si>
    <t xml:space="preserve">Пплановая дата формирования заявки на оплату до 01.04.2026 </t>
  </si>
  <si>
    <t>1) СМР не завершены
2) корректировка КС на оплату в связи со сменой подписанта и дат оформления документов</t>
  </si>
  <si>
    <t>25; 32; 40; 50; 90; 110;</t>
  </si>
  <si>
    <t>4 190,00</t>
  </si>
  <si>
    <t>10 138 909,91</t>
  </si>
  <si>
    <t>4 193 872,32</t>
  </si>
  <si>
    <t>5 945 037,59</t>
  </si>
  <si>
    <t>1 426,00</t>
  </si>
  <si>
    <t>78 580 215,59</t>
  </si>
  <si>
    <t>42 547 301,38</t>
  </si>
  <si>
    <t>22 477 500,00</t>
  </si>
  <si>
    <t>МОГЭ получено
Работы выполнены в полном объеме. 
Ведется сдача ИД в УТНКР</t>
  </si>
  <si>
    <t>273; 159; 108</t>
  </si>
  <si>
    <t>1 194,00</t>
  </si>
  <si>
    <t>81 287 512,08</t>
  </si>
  <si>
    <t>27 370 000,00</t>
  </si>
  <si>
    <t>35 939 705,34</t>
  </si>
  <si>
    <t>-8 569 705,34</t>
  </si>
  <si>
    <t>89-200</t>
  </si>
  <si>
    <t>6 293,40</t>
  </si>
  <si>
    <t>211 672 823,64</t>
  </si>
  <si>
    <t>Работы выполнены в полном объеме. 
Ведется сдача ИД в УТНКР</t>
  </si>
  <si>
    <t>93 216 000,00</t>
  </si>
  <si>
    <t>44 266 595,07</t>
  </si>
  <si>
    <t>48 949 404,93</t>
  </si>
  <si>
    <t>300-500</t>
  </si>
  <si>
    <t>13 200,00</t>
  </si>
  <si>
    <t>2 065 767 788,58</t>
  </si>
  <si>
    <t>Работы выполнены и оплачены в 2025 году в полном объеме. 
Ведется сдача ИД в УТНКР</t>
  </si>
  <si>
    <t>55 011 470,00</t>
  </si>
  <si>
    <t>63 886 297,95</t>
  </si>
  <si>
    <t>-8 874 827,95</t>
  </si>
  <si>
    <t>218 210 565,00</t>
  </si>
  <si>
    <t xml:space="preserve">Планируется повторный вход в МОГЭ из-за увеличения стоимости согласно п.65.1 ФЗ №44.
СМР не завершены.
Осталось выполнить: Монтаж 2-го контура (перевод на независимую схему теплоснабжения) </t>
  </si>
  <si>
    <t>80-300</t>
  </si>
  <si>
    <t>20 180,40</t>
  </si>
  <si>
    <t>581 387 050,00</t>
  </si>
  <si>
    <t>МОГЭ - не получено
Ведется оформление в муниципальную собственность часть трассы.
СМР - не завершен</t>
  </si>
  <si>
    <t>584 925 259,23</t>
  </si>
  <si>
    <t>184 468 993,53</t>
  </si>
  <si>
    <t>400 456 265,70</t>
  </si>
  <si>
    <t>МОГЭ получено
Осталось: Получение техприса по ЭЭ, ПНР КА-1 и КА-3, общестрой и благоустройство</t>
  </si>
  <si>
    <t>147 715 000,00</t>
  </si>
  <si>
    <t>28 307 239,91</t>
  </si>
  <si>
    <t>119 407 760,09</t>
  </si>
  <si>
    <t>МОГЭ получено
Осталось: замена одного котла, ремонт фасада, общестрой</t>
  </si>
  <si>
    <t>62 966 074,28</t>
  </si>
  <si>
    <t>59 042 627,22</t>
  </si>
  <si>
    <t>3 923 447,06</t>
  </si>
  <si>
    <t>12 954 060,00</t>
  </si>
  <si>
    <t>СМР завершён. МОГЭ не получено (Объект находится в экспертизе).
ИД - устранения замечания УТНКР
Подписание АКТов КС-2 - после получения положительного заключения МОГЭ
Плановая дата выхода из МОГЭ 13.05.2026</t>
  </si>
  <si>
    <t>22 610 000,00</t>
  </si>
  <si>
    <t>100-250,250-400</t>
  </si>
  <si>
    <t>23 255 500,00</t>
  </si>
  <si>
    <t>99 518 650,00</t>
  </si>
  <si>
    <t xml:space="preserve">
СМР не завешен</t>
  </si>
  <si>
    <t>СМР не завершен
МОГЭ не получено (план до 30.05.2026)
Ожидается НТС 12.05.2026</t>
  </si>
  <si>
    <t>99 869 020,00</t>
  </si>
  <si>
    <t>95 185 992,54</t>
  </si>
  <si>
    <t xml:space="preserve">
СМР не завершен</t>
  </si>
  <si>
    <t>МОГЭ получено от 25.02.2026
СМР не завершен</t>
  </si>
  <si>
    <t>СМР не завершен
МОГЭ не получено( находятся в экспертизе 17.03.2026
15.05.2026)</t>
  </si>
  <si>
    <t>29 160 000,00</t>
  </si>
  <si>
    <t>167 285 500,00</t>
  </si>
  <si>
    <t>Не сдана ИД в УТНКР.
Не подписан КС-2
выплачен аванс.
Подрядчик будет повторно проходить Экспертизу
(Входной контроль с 29.04.2026)</t>
  </si>
  <si>
    <t>7 750 400,00</t>
  </si>
  <si>
    <t>6 759 621,43</t>
  </si>
  <si>
    <t>990 778,57</t>
  </si>
  <si>
    <t>6 975 360,00</t>
  </si>
  <si>
    <t xml:space="preserve"> МОГЭ получено от 29.07.2025
Работы завершены. КС-2 и ИТД подписаны .</t>
  </si>
  <si>
    <t>1 792,00</t>
  </si>
  <si>
    <t>134 325 760,00</t>
  </si>
  <si>
    <t>МОГЭ - объект в экспертизе с  27.04.2026
09.06.2026
 СМР завершен 22.12.2025
Ведётся подготовка исполнительной документации</t>
  </si>
  <si>
    <t>40 848 000,00</t>
  </si>
  <si>
    <t>108-159</t>
  </si>
  <si>
    <t xml:space="preserve"> Подрядчиком не предоставлены документы, подтверждающие фактическое окончание работ.
 Окончание срока этапа Благоустройство 04.05.2026. Возможно потребуется увеличение лимитов.</t>
  </si>
  <si>
    <t>108-159, 159-250</t>
  </si>
  <si>
    <t>Подрядчиком не предоставлены документы, подтверждающие фактическое окончание работ.
 Окончание срока этапа Благоустройство 04.05.2026. Срок 20.05.2026</t>
  </si>
  <si>
    <t xml:space="preserve"> Подрядчиком не предоставлены документы, подтверждающие фактическое окончание работ. Окончание срока этапа Благоустройство 04.05.2026.</t>
  </si>
  <si>
    <t>4 450,00</t>
  </si>
  <si>
    <t>218 003 847,54</t>
  </si>
  <si>
    <t>16 599 047,09</t>
  </si>
  <si>
    <t>50-150</t>
  </si>
  <si>
    <t>2 380,00</t>
  </si>
  <si>
    <t>89 092 681,13</t>
  </si>
  <si>
    <t>49 958 299,91</t>
  </si>
  <si>
    <t>39 134 381,22</t>
  </si>
  <si>
    <t>Положительное заключение МОГЭ получено№ 50-1-1-2-0741-26 от 27.04.2026
27.04.2026 Контракт расторгнут на основании решения об одностороннем отказе от исполнения контракта.
Не сдан ИД/Не подписано КС в УТНКР Плановая дата подачи документации 15.05.2026</t>
  </si>
  <si>
    <t>38 390 512,12</t>
  </si>
  <si>
    <t>31 877 471,62</t>
  </si>
  <si>
    <t xml:space="preserve">Финальное благоустройство не завершено.
ИД,КС -2 направлена 28.12.2025 в части выполненых работ.
</t>
  </si>
  <si>
    <t>1 157,00</t>
  </si>
  <si>
    <t>79 660 454,26</t>
  </si>
  <si>
    <t>60 786 499,76</t>
  </si>
  <si>
    <t xml:space="preserve">
Не сдан ИД/Не подписано КС в УТНКР в части незавершенного финального благоустройства.</t>
  </si>
  <si>
    <t xml:space="preserve">
Не сдан ИД/Не подписано КС в УТНКР Плановая дата подачи документации 15.05.2026
СМР не завершены</t>
  </si>
  <si>
    <t>24 372 640,00</t>
  </si>
  <si>
    <t>06.11.2025 - проверена документация. Получены замечания
 - на комплектность и оформление ИД,
- не соответствуют объемы фактически выполненных работ.
ИД возвращена подрядчику ,для устранения замечаний.
Плановая дата подачи документации 15.05.2026</t>
  </si>
  <si>
    <t>39 158 842,51</t>
  </si>
  <si>
    <t>28 890 737,79</t>
  </si>
  <si>
    <t>21 313 600,00</t>
  </si>
  <si>
    <t>30.03.2026 - проверена документация. Получены замечания
Не соответствие или отсутствие обоснований объемов фактически выполненных работ, отсутствие согласования на подачу КС-2 на доп. объемы.
КС-2 и ИД возвращены ПО для устранения замечаний
Плановая дата подачи документации 15.05.2026</t>
  </si>
  <si>
    <t>НТС не пройден (06.05.2026 - подрядчик направил презентацию на проверку), МОГЭ не получен (плановая дата захода 15.05.2026 при прохождении НТС выйти планируют из экспертизы 29.05.2026), СМР не завершен</t>
  </si>
  <si>
    <t>70, 50</t>
  </si>
  <si>
    <t>1 701 000,00</t>
  </si>
  <si>
    <t>1 144 942,38</t>
  </si>
  <si>
    <t>556 057,62</t>
  </si>
  <si>
    <t>1 391 000,00</t>
  </si>
  <si>
    <t>1 070 655,29</t>
  </si>
  <si>
    <t>320 344,71</t>
  </si>
  <si>
    <t>838 500,00</t>
  </si>
  <si>
    <t>699 803,34</t>
  </si>
  <si>
    <t>138 696,66</t>
  </si>
  <si>
    <t>100, 32</t>
  </si>
  <si>
    <t>1 846 000,00</t>
  </si>
  <si>
    <t>1 610 542,01</t>
  </si>
  <si>
    <t>235 457,99</t>
  </si>
  <si>
    <t>80, 70, 50</t>
  </si>
  <si>
    <t>1 651 000,00</t>
  </si>
  <si>
    <t>1 515 583,84</t>
  </si>
  <si>
    <t>135 416,16</t>
  </si>
  <si>
    <t>1 139 500,00</t>
  </si>
  <si>
    <t>912 788,27</t>
  </si>
  <si>
    <t>226 711,73</t>
  </si>
  <si>
    <t>125, 100, 80, 70, 50</t>
  </si>
  <si>
    <t>7 043 600,00</t>
  </si>
  <si>
    <t>1 283 201,81</t>
  </si>
  <si>
    <t>90 992 551,45</t>
  </si>
  <si>
    <t>5 065 033,55</t>
  </si>
  <si>
    <t>85 927 517,90</t>
  </si>
  <si>
    <t xml:space="preserve">Подрядчик не хочет подписывать документы о закрытии. Отправлено уведомление чтобы до 25 мая были подписаны документы о расторжении в обоюдном порядке, в противном случае будет расторжение в одностороннем порядке. </t>
  </si>
  <si>
    <t>101 545 070,00</t>
  </si>
  <si>
    <t>88 948 314,18</t>
  </si>
  <si>
    <t>12 596 755,82</t>
  </si>
  <si>
    <t>16 503 408,00</t>
  </si>
  <si>
    <t>9 253 374,96</t>
  </si>
  <si>
    <t>7 250 033,04</t>
  </si>
  <si>
    <t xml:space="preserve">Поздний выход из МОГЭ, подготовка подписания КС-2, исполнительной документации и акта закрытия. Оплату произведут до 03.04.2026
</t>
  </si>
  <si>
    <t>ИД не предоставлена. Оплата после 29.05.2026</t>
  </si>
  <si>
    <t>94 613 160,00</t>
  </si>
  <si>
    <t>48 072 570,00</t>
  </si>
  <si>
    <t xml:space="preserve">Доп. соглашение на уменьшение стоимости находится в ГКУ. Подписание планируется на след. неделе. После этого будет направлено уведомление о расторжении в одностроннем порядке. Со слов подрядчика аванс должен быть закрыт в полном обьеме. </t>
  </si>
  <si>
    <t>Нет Дополнительного соглашения. Нет БГ</t>
  </si>
  <si>
    <t xml:space="preserve">Идет подписание доп соглашения (срок- до 15.05.2026) на замену товара и уменьшение суммы контракта (разница около 1 миллиона рублей). К выполнение благоустройство и тепловые камеры, неподвижные опоры. Сроки выполнения работ до 01.08.2026. Прорабатывается вариант поэтапного закрытия (сметы не бьются с начальной ценой контракта, устранение замечаний). </t>
  </si>
  <si>
    <t>83 589 920,00</t>
  </si>
  <si>
    <t xml:space="preserve">Оплачено, руб. (план): 68 930 056.21
Оплачено, руб. (факт): 68 930 056.21
Процент оплаты: 78.29 </t>
  </si>
  <si>
    <t>20 000 790,00</t>
  </si>
  <si>
    <t xml:space="preserve">Подрядчик не может зайти в экспертизу, так как Заказчик не может предоставить ГПЗУ, так как земля МинОбороны. 2 котла поменены, обвязаны. Необходим демонтаж и монтаж 1ого котла. Срок захода МОГЭ неизвестен. </t>
  </si>
  <si>
    <t>5 702 400,00</t>
  </si>
  <si>
    <t xml:space="preserve">Подрядчик обещает до конца мая выполнить благоустройство и предоставить закрывающие документы на все работы. Предоставлены документы в УТНКР на СМР. УТНКР на проверке до 15.05.2026. </t>
  </si>
  <si>
    <t>38 500 890,00</t>
  </si>
  <si>
    <t>63 344 120,00</t>
  </si>
  <si>
    <t>46 425 608,16</t>
  </si>
  <si>
    <t>16 918 511,84</t>
  </si>
  <si>
    <t>100 201 734,13</t>
  </si>
  <si>
    <t>98 661 477,04</t>
  </si>
  <si>
    <t>1 540 257,09</t>
  </si>
  <si>
    <t>СМР не завершён. МОГЭ получено 05.03.2026</t>
  </si>
  <si>
    <t>Ду273, 
 Ду159, 
 Ду108</t>
  </si>
  <si>
    <t>17 438 400,00</t>
  </si>
  <si>
    <t>15 898 224,45</t>
  </si>
  <si>
    <t>Оплата будет произведена после доведения лимитов в полном объеме с учётом НДС 22%.
Плановая дата оплаты 23.05.2026</t>
  </si>
  <si>
    <t>Ду219, 
 Ду159, 
 Ду108</t>
  </si>
  <si>
    <t>24 781 120,00</t>
  </si>
  <si>
    <t>9 267 365,38</t>
  </si>
  <si>
    <t>Ду108</t>
  </si>
  <si>
    <t>14 977 600,00</t>
  </si>
  <si>
    <t>9 155 930,26</t>
  </si>
  <si>
    <t>5 821 669,74</t>
  </si>
  <si>
    <t>Объект подаётся на бюджетное обязательство. Плановая дата оплаты 13.05.2026</t>
  </si>
  <si>
    <t>Ду 273, Ду 159, Ду 133</t>
  </si>
  <si>
    <t>31 001 600,00</t>
  </si>
  <si>
    <t>24 572 339,78</t>
  </si>
  <si>
    <t>6 429 260,22</t>
  </si>
  <si>
    <t>280 465 250,00</t>
  </si>
  <si>
    <t>62 494 200,00</t>
  </si>
  <si>
    <t>У подрядчика нет продленной банковской гарантии. Оплата будет произведена в течении недели после получения подрядчиком БГ</t>
  </si>
  <si>
    <t>Ду377</t>
  </si>
  <si>
    <t>34 876 800,00</t>
  </si>
  <si>
    <t>Оплата будет произведена после доведения лимитов в полном объеме с учётом 20%.
Плановая дата оплаты 23.05.2026</t>
  </si>
  <si>
    <t>Ду273, Ду219, Ду159</t>
  </si>
  <si>
    <t>8 234 800,00</t>
  </si>
  <si>
    <t>7 327 534,08</t>
  </si>
  <si>
    <t>907 265,92</t>
  </si>
  <si>
    <t>202 130 671,98</t>
  </si>
  <si>
    <t>2 403 626,21</t>
  </si>
  <si>
    <t>202 188 161,63</t>
  </si>
  <si>
    <t xml:space="preserve">СМР не завершен, оплачен только аванс </t>
  </si>
  <si>
    <t>Частичная оплата.  Было расторжение контракта. Новый контракт заключен в режиме КЧС.
Имеется положительное заключение МОГЭ. Завершение работ по СМР котельной, ПНР, благоустройству, устранение замечаний УТНКР.  ориентировочный срок сдачи объекта 30.09.2026</t>
  </si>
  <si>
    <t>13 297 085,84</t>
  </si>
  <si>
    <t>188 833 586,14</t>
  </si>
  <si>
    <t>Частичная оплата. Было расторжение контракта.. Имеется положительное заключение МОГЭ.
Новый контракт заключен 20.04.2026.
Необходимо завершение работ по СМР котельной, ПНР, благоустройству, устранение замечаний УТНКР. Новый контракт заключен, к работам не приступили. ориентировочный срок сдачи объекта 30.09.2026</t>
  </si>
  <si>
    <t>188 344 941,57</t>
  </si>
  <si>
    <t>97 009 709,28</t>
  </si>
  <si>
    <t>Частичная оплата. Имеется положительное заключение МОГЭ. Не сданы работы по ПНР под нагрузкой, благоустройству, устранение замечаний по УТНКР по ИД и по производственной части.
ориентировочный срок сдачи объекта 30.06.2026</t>
  </si>
  <si>
    <t>20 645 450,00</t>
  </si>
  <si>
    <t>19 035 682,00</t>
  </si>
  <si>
    <t>2 165 000,00</t>
  </si>
  <si>
    <t>Частичная оплата. Ведется судебный процесс по возврату авансов. Контракт расторгнут, новый контракт не заключен.
Имеется положительное заключение МОГЭ. Ориентировочный срок реализции 31.08.2026</t>
  </si>
  <si>
    <t>4 320 005,00</t>
  </si>
  <si>
    <t>Частичная оплата. Ведется судебный процесс по возврату авансов. Контракт расторгнут, новый контракт на ОПЗ.
Имеется положительное заключение МОГЭ.
Ориентировочный срок реализции 31.08.2026</t>
  </si>
  <si>
    <t>4 632 930,00</t>
  </si>
  <si>
    <t>Частичная оплата. Ведется судебный процесс по возврату авансов.Контракт расторгнут, новый контракт на ОПЗ.
Имеется положительное заключение МОГЭ.
Ориентировочный срок реализции 31.08.2026</t>
  </si>
  <si>
    <t>Частичная оплата. Ведется судебный процесс по возврату авансов.Контракт расторгнут, новый контракт не заключен - ожидается выход на ОПЗ. Отсутствуетположительное заключение МОГЭ.
Ориентировочный срок реализции 31.08.2026</t>
  </si>
  <si>
    <t>Частичная оплата. Контракт расторгнут, новый контракт на ОПЗ.
Имеется положительное заключение МОГЭ.
Ориентировочный срок реализции 31.12.2026</t>
  </si>
  <si>
    <t>37 200</t>
  </si>
  <si>
    <t>только проектная документация. Срок окончания контракта 15.06.2026. Ориентировочный срок реализции 31.08.2026.</t>
  </si>
  <si>
    <t>14 960 720,00</t>
  </si>
  <si>
    <t>11 941 545,54</t>
  </si>
  <si>
    <t>10 264 884,00</t>
  </si>
  <si>
    <t>16 970 000,00</t>
  </si>
  <si>
    <t>Отсутствует положительное заключение МОГЭ. Ориентировочный срок реализции 31.08.2026.
ИТД выверена с УТНКР</t>
  </si>
  <si>
    <t>4 751 592,00</t>
  </si>
  <si>
    <t>2 700,00</t>
  </si>
  <si>
    <t>56 214 480,00</t>
  </si>
  <si>
    <t>20 181 000,00</t>
  </si>
  <si>
    <t>17 540 021,68</t>
  </si>
  <si>
    <t>2 640 978,32</t>
  </si>
  <si>
    <t>98 670 000,00</t>
  </si>
  <si>
    <t>94 398 300,00</t>
  </si>
  <si>
    <t>28 107 240,00</t>
  </si>
  <si>
    <t>33 035 000,00</t>
  </si>
  <si>
    <t>39 216 064,21</t>
  </si>
  <si>
    <t>1 447,00</t>
  </si>
  <si>
    <t>241 958 129,88</t>
  </si>
  <si>
    <t>28 221 200,00</t>
  </si>
  <si>
    <t>18 240 735,65</t>
  </si>
  <si>
    <t>9 980 464,35</t>
  </si>
  <si>
    <t>13 885 300,00</t>
  </si>
  <si>
    <t>33 893 110,00</t>
  </si>
  <si>
    <t>57 527 600,00</t>
  </si>
  <si>
    <t>16 703 580,36</t>
  </si>
  <si>
    <t>40 824 019,64</t>
  </si>
  <si>
    <t>30 636 000,00</t>
  </si>
  <si>
    <t>10 374 103,86</t>
  </si>
  <si>
    <t>115 472 000,00</t>
  </si>
  <si>
    <t>40 327 194,48</t>
  </si>
  <si>
    <t>19 969 680,00</t>
  </si>
  <si>
    <t>10 427 662,60</t>
  </si>
  <si>
    <t>192 334 860,80</t>
  </si>
  <si>
    <t>141 198 031,96</t>
  </si>
  <si>
    <t>51 136 828,84</t>
  </si>
  <si>
    <t>Устраняют замечания УТНКР на объекте.
Всего 12 разделов. По ИД 6 разделов подписано. 
6 разделов на проверке УТНКР.
До 01.06.2026</t>
  </si>
  <si>
    <t>75 419 000,00</t>
  </si>
  <si>
    <t>72 741 016,41</t>
  </si>
  <si>
    <t>2 677 983,59</t>
  </si>
  <si>
    <t>86 573 728,61</t>
  </si>
  <si>
    <t>63 281 615,49</t>
  </si>
  <si>
    <t>23 292 113,12</t>
  </si>
  <si>
    <t>Устраняют замечания УТНКР на объекте.
Всего 12 разделов. По ИД 9 разделов подписано. 
3 раздела на проверке УТНКР.
До 01.06.2026</t>
  </si>
  <si>
    <t>10 007 760,00</t>
  </si>
  <si>
    <t>157 919 469,78</t>
  </si>
  <si>
    <t>130 223 171,30</t>
  </si>
  <si>
    <t>114 789 888,37</t>
  </si>
  <si>
    <t>15 433 282,93</t>
  </si>
  <si>
    <t>УТНКР 1 раздел остался проверить
До 01.06.2026</t>
  </si>
  <si>
    <t>37 641 437,39</t>
  </si>
  <si>
    <t>18 244 209,49</t>
  </si>
  <si>
    <t>19 397 227,90</t>
  </si>
  <si>
    <t>88 933 881,34</t>
  </si>
  <si>
    <t>60 308 267,03</t>
  </si>
  <si>
    <t>28 625 614,31</t>
  </si>
  <si>
    <t>6 190,00</t>
  </si>
  <si>
    <t>187 576 000,00</t>
  </si>
  <si>
    <t>3 632,60</t>
  </si>
  <si>
    <t>285 677 650,00</t>
  </si>
  <si>
    <t>221 497 993,88</t>
  </si>
  <si>
    <t>64 179 656,12</t>
  </si>
  <si>
    <t>32 907 736,25</t>
  </si>
  <si>
    <t>17 487 713,32</t>
  </si>
  <si>
    <t>15 420 022,93</t>
  </si>
  <si>
    <t>1 500,00</t>
  </si>
  <si>
    <t>52 485 181,66</t>
  </si>
  <si>
    <t>123 487,68</t>
  </si>
  <si>
    <t>52 361 693,98</t>
  </si>
  <si>
    <t>73 326 254,78</t>
  </si>
  <si>
    <t>Вышли из МОГЭ 11.03.2026. ОМСУ ждут доведения лимитов увеличения для оплаты. ОМСУ письмо направили
Не закончено благоустройство. До него все оплатят</t>
  </si>
  <si>
    <t>54 644 148,54</t>
  </si>
  <si>
    <t>46 512 225,04</t>
  </si>
  <si>
    <t>Оплатили ПИР и СМР, осталось благоустройство
Ориентировочное выполнение благоустройства 29.05.2026</t>
  </si>
  <si>
    <t>53 693 530,24</t>
  </si>
  <si>
    <t>Вышли из МОГЭ 25.02.2026. ОМСУ ждут доведения лимитов после увеличения для оплаты
ОМСУ письмо направили
Не закончено благоустройство. До него все оплатят
Ориентировочное выполнение благоустройства 29.05.2026</t>
  </si>
  <si>
    <t>165 318 997,49</t>
  </si>
  <si>
    <t>84 347 163,47</t>
  </si>
  <si>
    <t>88 969 219,61</t>
  </si>
  <si>
    <t>-4 622 056,14</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</si>
</sst>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р.-419]#,##0.00"/>
    <numFmt numFmtId="166" formatCode="#,##0.00;(#,##0.00)"/>
    <numFmt numFmtId="167" formatCode="dd.mm.yyyy"/>
    <numFmt numFmtId="168" formatCode="dd.MM.yyyy"/>
    <numFmt numFmtId="169" formatCode="d.m.yyyy"/>
    <numFmt numFmtId="170" formatCode="#,##0.000;(#,##0.000)"/>
  </numFmts>
  <fonts count="49">
    <font>
      <sz val="10.0"/>
      <color rgb="FF000000"/>
      <name val="Arial"/>
      <scheme val="minor"/>
    </font>
    <font>
      <b/>
      <color theme="1"/>
      <name val="Arial"/>
      <scheme val="minor"/>
    </font>
    <font>
      <b/>
      <sz val="11.0"/>
      <color rgb="FF000000"/>
      <name val="&quot;Times New Roman&quot;"/>
    </font>
    <font>
      <b/>
      <color rgb="FF000000"/>
      <name val="Arial"/>
    </font>
    <font>
      <b/>
      <sz val="12.0"/>
      <color theme="1"/>
      <name val="&quot;Times New Roman&quot;"/>
    </font>
    <font>
      <b/>
      <sz val="11.0"/>
      <color rgb="FF000000"/>
      <name val="Calibri"/>
    </font>
    <font>
      <sz val="11.0"/>
      <color rgb="FF000000"/>
      <name val="&quot;Times New Roman&quot;"/>
    </font>
    <font>
      <sz val="11.0"/>
      <color rgb="FF000000"/>
      <name val="Commissioner"/>
    </font>
    <font>
      <sz val="11.0"/>
      <color rgb="FF000000"/>
      <name val="Arial"/>
      <scheme val="minor"/>
    </font>
    <font>
      <b/>
      <sz val="11.0"/>
      <color rgb="FF000000"/>
      <name val="Commissioner"/>
    </font>
    <font>
      <sz val="11.0"/>
      <color rgb="FF000000"/>
      <name val="Calibri"/>
    </font>
    <font>
      <color theme="1"/>
      <name val="Arial"/>
      <scheme val="minor"/>
    </font>
    <font>
      <sz val="11.0"/>
      <color theme="1"/>
      <name val="Times New Roman"/>
    </font>
    <font>
      <sz val="12.0"/>
      <color theme="1"/>
      <name val="Times New Roman"/>
    </font>
    <font>
      <sz val="11.0"/>
      <color rgb="FF000000"/>
      <name val="Times New Roman"/>
    </font>
    <font>
      <color rgb="FF000000"/>
      <name val="Arial"/>
      <scheme val="minor"/>
    </font>
    <font>
      <sz val="11.0"/>
      <color rgb="FF000000"/>
      <name val="Roboto"/>
    </font>
    <font>
      <sz val="11.0"/>
      <color theme="1"/>
      <name val="&quot;Times New Roman&quot;"/>
    </font>
    <font>
      <sz val="11.0"/>
      <color rgb="FFFFFFFF"/>
      <name val="&quot;Times New Roman&quot;"/>
    </font>
    <font>
      <sz val="9.0"/>
      <color rgb="FF4A5A7A"/>
      <name val="&quot;Segoe UI&quot;"/>
    </font>
    <font>
      <sz val="12.0"/>
      <color theme="1"/>
      <name val="Arial"/>
      <scheme val="minor"/>
    </font>
    <font>
      <sz val="10.0"/>
      <color rgb="FF000000"/>
      <name val="Arial"/>
    </font>
    <font>
      <sz val="9.0"/>
      <color rgb="FF000000"/>
      <name val="Calibri"/>
    </font>
    <font>
      <sz val="11.0"/>
      <color rgb="FF000000"/>
      <name val="&quot;Roboto Flex&quot;"/>
    </font>
    <font>
      <b/>
      <sz val="11.0"/>
      <color rgb="FF000000"/>
      <name val="Roboto"/>
    </font>
    <font>
      <color rgb="FF000000"/>
      <name val="&quot;Times New Roman&quot;"/>
    </font>
    <font>
      <sz val="9.0"/>
      <color rgb="FF4A5A7A"/>
      <name val="Arial"/>
    </font>
    <font>
      <sz val="9.0"/>
      <color rgb="FF000000"/>
      <name val="Arial"/>
    </font>
    <font>
      <sz val="12.0"/>
      <color rgb="FF000000"/>
      <name val="Times New Roman"/>
    </font>
    <font>
      <b/>
      <sz val="11.0"/>
      <color theme="1"/>
      <name val="Times New Roman"/>
    </font>
    <font>
      <sz val="11.0"/>
      <color theme="1"/>
      <name val="Roboto"/>
    </font>
    <font>
      <color theme="1"/>
      <name val="Arial"/>
    </font>
    <font>
      <color theme="1"/>
      <name val="Times New Roman"/>
    </font>
    <font>
      <sz val="13.0"/>
      <color theme="1"/>
      <name val="Times New Roman"/>
    </font>
    <font>
      <sz val="8.0"/>
      <color theme="0"/>
      <name val="Arial"/>
    </font>
    <font>
      <b/>
      <color theme="0"/>
      <name val="Arial"/>
    </font>
    <font>
      <b/>
      <sz val="9.0"/>
      <color rgb="FFFFFFFF"/>
      <name val="Arial"/>
    </font>
    <font>
      <b/>
      <color rgb="FFFFFFFF"/>
      <name val="Arial"/>
      <scheme val="minor"/>
    </font>
    <font>
      <sz val="8.0"/>
      <color rgb="FFA0AEC0"/>
      <name val="Arial"/>
    </font>
    <font>
      <b/>
      <color rgb="FF1B3D6E"/>
      <name val="&quot;Segoe UI&quot;"/>
    </font>
    <font>
      <sz val="9.0"/>
      <color rgb="FF243560"/>
      <name val="&quot;Segoe UI&quot;"/>
    </font>
    <font>
      <b/>
      <sz val="9.0"/>
      <color rgb="FF186630"/>
      <name val="&quot;Segoe UI&quot;"/>
    </font>
    <font>
      <b/>
      <sz val="9.0"/>
      <color rgb="FF8A5F00"/>
      <name val="&quot;Segoe UI&quot;"/>
    </font>
    <font>
      <sz val="8.0"/>
      <color rgb="FFA0AEC0"/>
      <name val="&quot;Segoe UI&quot;"/>
    </font>
    <font>
      <b/>
      <sz val="9.0"/>
      <color rgb="FFB02020"/>
      <name val="&quot;Segoe UI&quot;"/>
    </font>
    <font>
      <sz val="10.0"/>
      <color rgb="FF000000"/>
      <name val="&quot;Roboto Flex&quot;"/>
    </font>
    <font>
      <color rgb="FF000000"/>
      <name val="Arial"/>
    </font>
    <font>
      <sz val="12.0"/>
      <color rgb="FF000000"/>
      <name val="&quot;Times New Roman&quot;"/>
    </font>
    <font>
      <sz val="11.0"/>
      <color rgb="FF000000"/>
      <name val="Arial"/>
    </font>
  </fonts>
  <fills count="40">
    <fill>
      <patternFill patternType="none"/>
    </fill>
    <fill>
      <patternFill patternType="lightGray"/>
    </fill>
    <fill>
      <patternFill patternType="solid">
        <fgColor rgb="FFB7B7B7"/>
        <bgColor rgb="FFB7B7B7"/>
      </patternFill>
    </fill>
    <fill>
      <patternFill patternType="solid">
        <fgColor theme="4"/>
        <bgColor theme="4"/>
      </patternFill>
    </fill>
    <fill>
      <patternFill patternType="solid">
        <fgColor rgb="FF00FFFF"/>
        <bgColor rgb="FF00FFFF"/>
      </patternFill>
    </fill>
    <fill>
      <patternFill patternType="solid">
        <fgColor theme="7"/>
        <bgColor theme="7"/>
      </patternFill>
    </fill>
    <fill>
      <patternFill patternType="solid">
        <fgColor theme="8"/>
        <bgColor theme="8"/>
      </patternFill>
    </fill>
    <fill>
      <patternFill patternType="solid">
        <fgColor rgb="FFFFFF00"/>
        <bgColor rgb="FFFFFF00"/>
      </patternFill>
    </fill>
    <fill>
      <patternFill patternType="solid">
        <fgColor rgb="FF00FF00"/>
        <bgColor rgb="FF00FF00"/>
      </patternFill>
    </fill>
    <fill>
      <patternFill patternType="solid">
        <fgColor rgb="FF93C47D"/>
        <bgColor rgb="FF93C47D"/>
      </patternFill>
    </fill>
    <fill>
      <patternFill patternType="solid">
        <fgColor theme="5"/>
        <bgColor theme="5"/>
      </patternFill>
    </fill>
    <fill>
      <patternFill patternType="solid">
        <fgColor rgb="FF9FC5E8"/>
        <bgColor rgb="FF9FC5E8"/>
      </patternFill>
    </fill>
    <fill>
      <patternFill patternType="solid">
        <fgColor rgb="FFCCCCCC"/>
        <bgColor rgb="FFCCCCCC"/>
      </patternFill>
    </fill>
    <fill>
      <patternFill patternType="solid">
        <fgColor rgb="FFD9D9D9"/>
        <bgColor rgb="FFD9D9D9"/>
      </patternFill>
    </fill>
    <fill>
      <patternFill patternType="solid">
        <fgColor rgb="FF92D050"/>
        <bgColor rgb="FF92D050"/>
      </patternFill>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rgb="FFE06666"/>
        <bgColor rgb="FFE06666"/>
      </patternFill>
    </fill>
    <fill>
      <patternFill patternType="solid">
        <fgColor rgb="FFD9EAD3"/>
        <bgColor rgb="FFD9EAD3"/>
      </patternFill>
    </fill>
    <fill>
      <patternFill patternType="solid">
        <fgColor rgb="FFB6D7A8"/>
        <bgColor rgb="FFB6D7A8"/>
      </patternFill>
    </fill>
    <fill>
      <patternFill patternType="solid">
        <fgColor rgb="FF4A86E8"/>
        <bgColor rgb="FF4A86E8"/>
      </patternFill>
    </fill>
    <fill>
      <patternFill patternType="solid">
        <fgColor rgb="FFFFE599"/>
        <bgColor rgb="FFFFE599"/>
      </patternFill>
    </fill>
    <fill>
      <patternFill patternType="solid">
        <fgColor rgb="FFFFC000"/>
        <bgColor rgb="FFFFC000"/>
      </patternFill>
    </fill>
    <fill>
      <patternFill patternType="solid">
        <fgColor rgb="FF753800"/>
        <bgColor rgb="FF753800"/>
      </patternFill>
    </fill>
    <fill>
      <patternFill patternType="solid">
        <fgColor rgb="FFFFD966"/>
        <bgColor rgb="FFFFD966"/>
      </patternFill>
    </fill>
    <fill>
      <patternFill patternType="solid">
        <fgColor rgb="FFE69138"/>
        <bgColor rgb="FFE69138"/>
      </patternFill>
    </fill>
    <fill>
      <patternFill patternType="solid">
        <fgColor rgb="FFA6A6A6"/>
        <bgColor rgb="FFA6A6A6"/>
      </patternFill>
    </fill>
    <fill>
      <patternFill patternType="solid">
        <fgColor rgb="FFF6F9FD"/>
        <bgColor rgb="FFF6F9FD"/>
      </patternFill>
    </fill>
    <fill>
      <patternFill patternType="solid">
        <fgColor rgb="FFA0AEC0"/>
        <bgColor rgb="FFA0AEC0"/>
      </patternFill>
    </fill>
    <fill>
      <patternFill patternType="solid">
        <fgColor rgb="FFFFF2CC"/>
        <bgColor rgb="FFFFF2CC"/>
      </patternFill>
    </fill>
    <fill>
      <patternFill patternType="solid">
        <fgColor rgb="FF00B0F0"/>
        <bgColor rgb="FF00B0F0"/>
      </patternFill>
    </fill>
    <fill>
      <patternFill patternType="solid">
        <fgColor rgb="FFA4C2F4"/>
        <bgColor rgb="FFA4C2F4"/>
      </patternFill>
    </fill>
    <fill>
      <patternFill patternType="solid">
        <fgColor rgb="FF666666"/>
        <bgColor rgb="FF666666"/>
      </patternFill>
    </fill>
    <fill>
      <patternFill patternType="solid">
        <fgColor rgb="FFE4EEF9"/>
        <bgColor rgb="FFE4EEF9"/>
      </patternFill>
    </fill>
    <fill>
      <patternFill patternType="solid">
        <fgColor rgb="FFDCF5E7"/>
        <bgColor rgb="FFDCF5E7"/>
      </patternFill>
    </fill>
    <fill>
      <patternFill patternType="solid">
        <fgColor rgb="FFFFF4D6"/>
        <bgColor rgb="FFFFF4D6"/>
      </patternFill>
    </fill>
    <fill>
      <patternFill patternType="solid">
        <fgColor rgb="FFFDE8E8"/>
        <bgColor rgb="FFFDE8E8"/>
      </patternFill>
    </fill>
    <fill>
      <patternFill patternType="solid">
        <fgColor rgb="FFFF9600"/>
        <bgColor rgb="FFFF9600"/>
      </patternFill>
    </fill>
    <fill>
      <patternFill patternType="solid">
        <fgColor rgb="FFA2A2A2"/>
        <bgColor rgb="FFA2A2A2"/>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left style="thin">
        <color rgb="FFA6A6A6"/>
      </left>
      <right style="thin">
        <color rgb="FFA6A6A6"/>
      </right>
      <top style="thin">
        <color rgb="FFA6A6A6"/>
      </top>
      <bottom style="thin">
        <color rgb="FFA6A6A6"/>
      </bottom>
    </border>
    <border>
      <bottom style="thin">
        <color rgb="FFE8EEF8"/>
      </bottom>
    </border>
  </borders>
  <cellStyleXfs count="1">
    <xf borderId="0" fillId="0" fontId="0" numFmtId="0" applyAlignment="1" applyFont="1"/>
  </cellStyleXfs>
  <cellXfs count="3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5" fontId="1" numFmtId="166" xfId="0" applyAlignment="1" applyBorder="1" applyFont="1" applyNumberFormat="1">
      <alignment horizontal="center" readingOrder="0" shrinkToFit="0" vertical="center" wrapText="1"/>
    </xf>
    <xf borderId="1" fillId="6" fontId="1" numFmtId="0" xfId="0" applyAlignment="1" applyBorder="1" applyFill="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1" fillId="8" fontId="1" numFmtId="0" xfId="0" applyAlignment="1" applyBorder="1" applyFill="1" applyFon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0" fillId="9"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0" fillId="10" fontId="1" numFmtId="0" xfId="0" applyAlignment="1" applyFill="1" applyFont="1">
      <alignment horizontal="center" readingOrder="0" shrinkToFit="0" vertical="center" wrapText="1"/>
    </xf>
    <xf borderId="0" fillId="11" fontId="1"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1"/>
    </xf>
    <xf borderId="1" fillId="12" fontId="2" numFmtId="0" xfId="0" applyAlignment="1" applyBorder="1" applyFill="1" applyFont="1">
      <alignment horizontal="center" readingOrder="0" shrinkToFit="0" vertical="center" wrapText="1"/>
    </xf>
    <xf borderId="0" fillId="12" fontId="2" numFmtId="0" xfId="0" applyAlignment="1" applyFont="1">
      <alignment horizontal="center" readingOrder="0" shrinkToFit="0" vertical="center" wrapText="1"/>
    </xf>
    <xf borderId="2" fillId="12" fontId="2" numFmtId="0" xfId="0" applyAlignment="1" applyBorder="1" applyFont="1">
      <alignment horizontal="center" readingOrder="0" shrinkToFit="0" vertical="center" wrapText="1"/>
    </xf>
    <xf borderId="1" fillId="12" fontId="3" numFmtId="0" xfId="0" applyAlignment="1" applyBorder="1" applyFont="1">
      <alignment horizontal="center" readingOrder="0" shrinkToFit="0" vertical="center" wrapText="1"/>
    </xf>
    <xf borderId="2" fillId="12" fontId="3" numFmtId="0" xfId="0" applyAlignment="1" applyBorder="1" applyFont="1">
      <alignment horizontal="center" readingOrder="0" shrinkToFit="0" vertical="center" wrapText="1"/>
    </xf>
    <xf borderId="0" fillId="12" fontId="4" numFmtId="0" xfId="0" applyAlignment="1" applyFont="1">
      <alignment horizontal="center" shrinkToFit="0" vertical="center" wrapText="1"/>
    </xf>
    <xf borderId="0" fillId="12" fontId="4" numFmtId="0" xfId="0" applyAlignment="1" applyFont="1">
      <alignment horizontal="center" readingOrder="0" shrinkToFit="0" vertical="center" wrapText="1"/>
    </xf>
    <xf borderId="0" fillId="12" fontId="5" numFmtId="0" xfId="0" applyAlignment="1" applyFont="1">
      <alignment horizontal="center" readingOrder="0" shrinkToFit="0" vertical="center" wrapText="1"/>
    </xf>
    <xf borderId="0" fillId="12" fontId="5" numFmtId="164" xfId="0" applyAlignment="1" applyFont="1" applyNumberFormat="1">
      <alignment horizontal="center" readingOrder="0" shrinkToFit="0" vertical="center" wrapText="1"/>
    </xf>
    <xf borderId="0" fillId="12" fontId="1" numFmtId="0" xfId="0" applyAlignment="1" applyFont="1">
      <alignment horizontal="center" shrinkToFit="0" vertical="center" wrapText="1"/>
    </xf>
    <xf borderId="1" fillId="12"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165" xfId="0" applyAlignment="1" applyFont="1" applyNumberFormat="1">
      <alignment horizontal="center" shrinkToFit="0" vertical="center" wrapText="1"/>
    </xf>
    <xf borderId="1" fillId="0" fontId="2"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2"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vertical="center"/>
    </xf>
    <xf borderId="1" fillId="0" fontId="8" numFmtId="9" xfId="0" applyAlignment="1" applyBorder="1" applyFont="1" applyNumberFormat="1">
      <alignment horizontal="center" readingOrder="0" vertical="center"/>
    </xf>
    <xf borderId="1" fillId="0" fontId="9" numFmtId="166" xfId="0" applyAlignment="1" applyBorder="1" applyFont="1" applyNumberFormat="1">
      <alignment horizontal="center" readingOrder="0" vertical="center"/>
    </xf>
    <xf borderId="1" fillId="0" fontId="7" numFmtId="10" xfId="0" applyAlignment="1" applyBorder="1" applyFont="1" applyNumberFormat="1">
      <alignment horizontal="center" readingOrder="0" vertical="center"/>
    </xf>
    <xf borderId="3" fillId="13" fontId="4" numFmtId="0" xfId="0" applyAlignment="1" applyBorder="1" applyFill="1" applyFont="1">
      <alignment horizontal="center" readingOrder="0" shrinkToFit="0" vertical="center" wrapText="1"/>
    </xf>
    <xf borderId="0" fillId="0" fontId="4" numFmtId="0" xfId="0" applyAlignment="1" applyFont="1">
      <alignment horizontal="center" readingOrder="0" shrinkToFit="0" vertical="center" wrapText="1"/>
    </xf>
    <xf borderId="0" fillId="13" fontId="4" numFmtId="167" xfId="0" applyAlignment="1" applyFont="1" applyNumberFormat="1">
      <alignment horizontal="center" readingOrder="0" shrinkToFit="0" vertical="center" wrapText="1"/>
    </xf>
    <xf borderId="0" fillId="13" fontId="4"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0" numFmtId="164" xfId="0" applyAlignment="1" applyFont="1" applyNumberFormat="1">
      <alignment horizontal="center" readingOrder="0" shrinkToFit="0" vertical="center" wrapText="1"/>
    </xf>
    <xf borderId="0" fillId="9" fontId="11" numFmtId="0" xfId="0" applyAlignment="1" applyFont="1">
      <alignment horizontal="center" shrinkToFit="0" vertical="center" wrapText="1"/>
    </xf>
    <xf borderId="1"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0" fillId="0" fontId="11" numFmtId="165" xfId="0" applyAlignment="1" applyFont="1" applyNumberFormat="1">
      <alignment horizontal="center" shrinkToFit="0" vertical="center" wrapText="1"/>
    </xf>
    <xf borderId="1" fillId="7" fontId="6" numFmtId="0" xfId="0" applyAlignment="1" applyBorder="1" applyFont="1">
      <alignment horizontal="center" readingOrder="0" shrinkToFit="0" vertical="center" wrapText="1"/>
    </xf>
    <xf borderId="2" fillId="14" fontId="6" numFmtId="0" xfId="0" applyAlignment="1" applyBorder="1" applyFill="1" applyFont="1">
      <alignment horizontal="center" readingOrder="0" shrinkToFit="0" vertical="center" wrapText="1"/>
    </xf>
    <xf borderId="2" fillId="0" fontId="6" numFmtId="0" xfId="0" applyAlignment="1" applyBorder="1" applyFont="1">
      <alignment horizontal="center" shrinkToFit="0" vertical="center" wrapText="1"/>
    </xf>
    <xf borderId="2" fillId="15" fontId="6" numFmtId="0" xfId="0" applyAlignment="1" applyBorder="1" applyFill="1" applyFont="1">
      <alignment horizontal="center" readingOrder="0" shrinkToFit="0" vertical="center" wrapText="1"/>
    </xf>
    <xf borderId="1" fillId="0" fontId="7" numFmtId="166" xfId="0" applyAlignment="1" applyBorder="1" applyFont="1" applyNumberFormat="1">
      <alignment horizontal="center" readingOrder="0" vertical="center"/>
    </xf>
    <xf borderId="4" fillId="0" fontId="12" numFmtId="0" xfId="0" applyAlignment="1" applyBorder="1" applyFont="1">
      <alignment horizontal="center" readingOrder="0" shrinkToFit="0" vertical="center" wrapText="1"/>
    </xf>
    <xf borderId="3" fillId="0" fontId="12"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1" fillId="16" fontId="4"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17" fontId="4" numFmtId="167" xfId="0" applyAlignment="1" applyBorder="1" applyFill="1" applyFont="1" applyNumberFormat="1">
      <alignment horizontal="center" readingOrder="0" shrinkToFit="0" vertical="center" wrapText="1"/>
    </xf>
    <xf borderId="0" fillId="13" fontId="4" numFmtId="0" xfId="0" applyAlignment="1" applyFont="1">
      <alignment horizontal="center" shrinkToFit="0" vertical="center" wrapText="1"/>
    </xf>
    <xf borderId="1" fillId="9" fontId="11" numFmtId="0" xfId="0" applyAlignment="1" applyBorder="1" applyFont="1">
      <alignment horizontal="center" shrinkToFit="0" vertical="center" wrapText="1"/>
    </xf>
    <xf borderId="1" fillId="5" fontId="13" numFmtId="0" xfId="0" applyAlignment="1" applyBorder="1" applyFont="1">
      <alignment horizontal="center" readingOrder="0" shrinkToFit="0" vertical="center" wrapText="1"/>
    </xf>
    <xf borderId="0" fillId="18" fontId="13" numFmtId="0" xfId="0" applyAlignment="1" applyFill="1" applyFont="1">
      <alignment horizontal="center" readingOrder="0" shrinkToFit="0" vertical="center" wrapText="1"/>
    </xf>
    <xf borderId="0" fillId="19" fontId="11" numFmtId="165" xfId="0" applyAlignment="1" applyFill="1" applyFont="1" applyNumberFormat="1">
      <alignment horizontal="center" shrinkToFit="0" vertical="center" wrapText="1"/>
    </xf>
    <xf borderId="1" fillId="0" fontId="11" numFmtId="165" xfId="0" applyAlignment="1" applyBorder="1" applyFont="1" applyNumberFormat="1">
      <alignment horizontal="center" shrinkToFit="0" vertical="center" wrapText="1"/>
    </xf>
    <xf borderId="4" fillId="0" fontId="6" numFmtId="0" xfId="0" applyAlignment="1" applyBorder="1" applyFont="1">
      <alignment horizontal="center" readingOrder="0" shrinkToFit="0" vertical="center" wrapText="1"/>
    </xf>
    <xf borderId="3" fillId="14"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4" fillId="0" fontId="14" numFmtId="4" xfId="0" applyAlignment="1" applyBorder="1" applyFont="1" applyNumberFormat="1">
      <alignment horizontal="center" readingOrder="0" vertical="center"/>
    </xf>
    <xf borderId="3" fillId="0" fontId="14" numFmtId="4" xfId="0" applyAlignment="1" applyBorder="1" applyFont="1" applyNumberFormat="1">
      <alignment horizontal="center" readingOrder="0" vertical="center"/>
    </xf>
    <xf borderId="3" fillId="0" fontId="14" numFmtId="0" xfId="0" applyAlignment="1" applyBorder="1" applyFont="1">
      <alignment horizontal="center" readingOrder="0" vertical="center"/>
    </xf>
    <xf borderId="1" fillId="0" fontId="4" numFmtId="168" xfId="0" applyAlignment="1" applyBorder="1" applyFont="1" applyNumberFormat="1">
      <alignment horizontal="center" readingOrder="0" shrinkToFit="0" vertical="center" wrapText="1"/>
    </xf>
    <xf borderId="1" fillId="0" fontId="15" numFmtId="0" xfId="0" applyAlignment="1" applyBorder="1" applyFont="1">
      <alignment horizontal="center" shrinkToFit="0" vertical="center" wrapText="1"/>
    </xf>
    <xf borderId="0" fillId="0" fontId="13" numFmtId="0" xfId="0" applyAlignment="1" applyFont="1">
      <alignment horizontal="center" readingOrder="0" shrinkToFit="0" vertical="center" wrapText="1"/>
    </xf>
    <xf borderId="1" fillId="0" fontId="11" numFmtId="3" xfId="0" applyAlignment="1" applyBorder="1" applyFont="1" applyNumberFormat="1">
      <alignment horizontal="center" shrinkToFit="0" vertical="center" wrapText="1"/>
    </xf>
    <xf borderId="4" fillId="0" fontId="14" numFmtId="0" xfId="0" applyAlignment="1" applyBorder="1" applyFont="1">
      <alignment horizontal="center" readingOrder="0" vertical="center"/>
    </xf>
    <xf borderId="1" fillId="10" fontId="4" numFmtId="0" xfId="0" applyAlignment="1" applyBorder="1" applyFont="1">
      <alignment horizontal="center" readingOrder="0" shrinkToFit="0" vertical="center" wrapText="1"/>
    </xf>
    <xf borderId="1" fillId="0" fontId="4" numFmtId="167" xfId="0" applyAlignment="1" applyBorder="1" applyFont="1" applyNumberFormat="1">
      <alignment horizontal="center" readingOrder="0" shrinkToFit="0" vertical="center" wrapText="1"/>
    </xf>
    <xf borderId="0" fillId="5" fontId="13" numFmtId="0" xfId="0" applyAlignment="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20" fontId="13" numFmtId="0" xfId="0" applyAlignment="1" applyBorder="1" applyFill="1" applyFont="1">
      <alignment horizontal="center" readingOrder="0" shrinkToFit="0" vertical="center" wrapText="1"/>
    </xf>
    <xf borderId="4" fillId="17" fontId="6" numFmtId="0" xfId="0" applyAlignment="1" applyBorder="1" applyFont="1">
      <alignment horizontal="center" readingOrder="0" shrinkToFit="0" vertical="center" wrapText="1"/>
    </xf>
    <xf borderId="0" fillId="7" fontId="11" numFmtId="165" xfId="0" applyAlignment="1" applyFont="1" applyNumberFormat="1">
      <alignment horizontal="center" shrinkToFit="0" vertical="center" wrapText="1"/>
    </xf>
    <xf borderId="3" fillId="0" fontId="2" numFmtId="0" xfId="0" applyAlignment="1" applyBorder="1" applyFont="1">
      <alignment horizontal="center" readingOrder="0" shrinkToFit="0" vertical="center" wrapText="1"/>
    </xf>
    <xf borderId="4" fillId="21" fontId="6" numFmtId="0" xfId="0" applyAlignment="1" applyBorder="1" applyFill="1" applyFont="1">
      <alignment horizontal="center" readingOrder="0" shrinkToFit="0" vertical="center" wrapText="1"/>
    </xf>
    <xf borderId="0" fillId="13" fontId="4" numFmtId="169" xfId="0" applyAlignment="1" applyFont="1" applyNumberFormat="1">
      <alignment horizontal="center" shrinkToFit="0" vertical="center" wrapText="1"/>
    </xf>
    <xf borderId="0" fillId="13" fontId="4" numFmtId="169" xfId="0" applyAlignment="1" applyFont="1" applyNumberForma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10" fontId="13" numFmtId="0" xfId="0" applyAlignment="1" applyBorder="1" applyFont="1">
      <alignment horizontal="center" readingOrder="0" shrinkToFit="0" vertical="center" wrapText="1"/>
    </xf>
    <xf borderId="0" fillId="10" fontId="13" numFmtId="0" xfId="0" applyAlignment="1" applyFont="1">
      <alignment horizontal="center" readingOrder="0" shrinkToFit="0" vertical="center" wrapText="1"/>
    </xf>
    <xf borderId="1" fillId="0" fontId="14" numFmtId="0" xfId="0" applyAlignment="1" applyBorder="1" applyFont="1">
      <alignment horizontal="center" readingOrder="0" vertical="center"/>
    </xf>
    <xf borderId="1" fillId="17" fontId="4" numFmtId="0" xfId="0" applyAlignment="1" applyBorder="1" applyFont="1">
      <alignment horizontal="center" readingOrder="0" shrinkToFit="0" vertical="center" wrapText="1"/>
    </xf>
    <xf borderId="3" fillId="15" fontId="6" numFmtId="0" xfId="0" applyAlignment="1" applyBorder="1" applyFont="1">
      <alignment horizontal="center" readingOrder="0" shrinkToFit="0" vertical="center" wrapText="1"/>
    </xf>
    <xf borderId="4" fillId="0" fontId="12" numFmtId="4" xfId="0" applyAlignment="1" applyBorder="1" applyFont="1" applyNumberFormat="1">
      <alignment horizontal="center" readingOrder="0" shrinkToFit="0" vertical="center" wrapText="1"/>
    </xf>
    <xf borderId="3" fillId="8" fontId="4" numFmtId="0" xfId="0" applyAlignment="1" applyBorder="1" applyFont="1">
      <alignment horizontal="center" readingOrder="0" shrinkToFit="0" vertical="center" wrapText="1"/>
    </xf>
    <xf borderId="1" fillId="15" fontId="16" numFmtId="0" xfId="0" applyAlignment="1" applyBorder="1" applyFont="1">
      <alignment horizontal="center" readingOrder="0" shrinkToFit="0" vertical="center" wrapText="1"/>
    </xf>
    <xf borderId="0" fillId="15" fontId="13"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1" fillId="0" fontId="14" numFmtId="4" xfId="0" applyAlignment="1" applyBorder="1" applyFont="1" applyNumberFormat="1">
      <alignment horizontal="center" readingOrder="0" vertical="center"/>
    </xf>
    <xf borderId="0" fillId="15" fontId="16" numFmtId="0" xfId="0" applyAlignment="1" applyFont="1">
      <alignment readingOrder="0"/>
    </xf>
    <xf borderId="1" fillId="9" fontId="11" numFmtId="0" xfId="0" applyAlignment="1" applyBorder="1" applyFont="1">
      <alignment horizontal="center" readingOrder="0" shrinkToFit="0" vertical="center" wrapText="1"/>
    </xf>
    <xf borderId="1" fillId="0" fontId="4" numFmtId="169" xfId="0" applyAlignment="1" applyBorder="1" applyFont="1" applyNumberFormat="1">
      <alignment horizontal="center" readingOrder="0" shrinkToFit="0" vertical="center" wrapText="1"/>
    </xf>
    <xf borderId="0" fillId="0" fontId="14" numFmtId="166" xfId="0" applyAlignment="1" applyFont="1" applyNumberFormat="1">
      <alignment horizontal="center" readingOrder="0" shrinkToFit="0" vertical="center" wrapText="0"/>
    </xf>
    <xf borderId="0" fillId="15" fontId="16" numFmtId="0" xfId="0" applyAlignment="1" applyFont="1">
      <alignment horizontal="center" readingOrder="0" shrinkToFit="0" vertical="center" wrapText="1"/>
    </xf>
    <xf borderId="0" fillId="0" fontId="14" numFmtId="0" xfId="0" applyAlignment="1" applyFont="1">
      <alignment horizontal="center" readingOrder="0" shrinkToFit="0" vertical="center" wrapText="0"/>
    </xf>
    <xf borderId="3" fillId="22" fontId="6" numFmtId="0" xfId="0" applyAlignment="1" applyBorder="1" applyFill="1" applyFont="1">
      <alignment horizontal="center" readingOrder="0" shrinkToFit="0" vertical="center" wrapText="1"/>
    </xf>
    <xf borderId="2" fillId="0" fontId="6" numFmtId="49" xfId="0" applyAlignment="1" applyBorder="1" applyFont="1" applyNumberFormat="1">
      <alignment horizontal="center" shrinkToFit="0" vertical="center" wrapText="1"/>
    </xf>
    <xf borderId="3" fillId="23" fontId="6" numFmtId="0" xfId="0" applyAlignment="1" applyBorder="1" applyFill="1" applyFont="1">
      <alignment horizontal="center" readingOrder="0" shrinkToFit="0" vertical="center" wrapText="1"/>
    </xf>
    <xf borderId="1" fillId="0" fontId="12" numFmtId="166" xfId="0" applyAlignment="1" applyBorder="1" applyFont="1" applyNumberFormat="1">
      <alignment horizontal="center" readingOrder="0" shrinkToFit="0" vertical="center" wrapText="1"/>
    </xf>
    <xf borderId="0" fillId="14" fontId="11" numFmtId="0" xfId="0" applyAlignment="1" applyFont="1">
      <alignment horizontal="center" readingOrder="0" shrinkToFit="0" vertical="center" wrapText="1"/>
    </xf>
    <xf borderId="0" fillId="15" fontId="16" numFmtId="166" xfId="0" applyAlignment="1" applyFont="1" applyNumberFormat="1">
      <alignment horizontal="center" readingOrder="0" shrinkToFit="0" vertical="center" wrapText="1"/>
    </xf>
    <xf borderId="0" fillId="17" fontId="13" numFmtId="0" xfId="0" applyAlignment="1" applyFont="1">
      <alignment horizontal="center" readingOrder="0" shrinkToFit="0" vertical="center" wrapText="1"/>
    </xf>
    <xf borderId="3" fillId="24" fontId="18" numFmtId="0" xfId="0" applyAlignment="1" applyBorder="1" applyFill="1" applyFont="1">
      <alignment horizontal="center" readingOrder="0" shrinkToFit="0" vertical="center" wrapText="1"/>
    </xf>
    <xf borderId="0" fillId="0" fontId="11" numFmtId="165" xfId="0" applyAlignment="1" applyFont="1" applyNumberFormat="1">
      <alignment horizontal="center" readingOrder="0" shrinkToFit="0" vertical="center" wrapText="1"/>
    </xf>
    <xf borderId="3" fillId="25" fontId="6" numFmtId="0" xfId="0" applyAlignment="1" applyBorder="1" applyFill="1" applyFont="1">
      <alignment horizontal="center" readingOrder="0" shrinkToFit="0" vertical="center" wrapText="1"/>
    </xf>
    <xf borderId="4" fillId="7" fontId="6" numFmtId="0" xfId="0" applyAlignment="1" applyBorder="1" applyFont="1">
      <alignment horizontal="center" readingOrder="0" shrinkToFit="0" vertical="center" wrapText="1"/>
    </xf>
    <xf borderId="1" fillId="0" fontId="14" numFmtId="166" xfId="0" applyAlignment="1" applyBorder="1" applyFont="1" applyNumberFormat="1">
      <alignment horizontal="center" readingOrder="0" vertical="center"/>
    </xf>
    <xf borderId="1" fillId="0" fontId="11" numFmtId="0" xfId="0" applyAlignment="1" applyBorder="1" applyFont="1">
      <alignment horizontal="center" shrinkToFit="0" vertical="center" wrapText="1"/>
    </xf>
    <xf borderId="3" fillId="0" fontId="12" numFmtId="4" xfId="0" applyAlignment="1" applyBorder="1" applyFont="1" applyNumberFormat="1">
      <alignment horizontal="center" readingOrder="0" shrinkToFit="0" vertical="center" wrapText="1"/>
    </xf>
    <xf borderId="1" fillId="7" fontId="4" numFmtId="0" xfId="0" applyAlignment="1" applyBorder="1" applyFont="1">
      <alignment horizontal="center" readingOrder="0" shrinkToFit="0" vertical="center" wrapText="1"/>
    </xf>
    <xf borderId="0" fillId="0" fontId="13" numFmtId="0" xfId="0" applyAlignment="1" applyFont="1">
      <alignment horizontal="center" shrinkToFit="0" vertical="center" wrapText="1"/>
    </xf>
    <xf borderId="0" fillId="20" fontId="11" numFmtId="0" xfId="0" applyAlignment="1" applyFont="1">
      <alignment horizontal="center" readingOrder="0" shrinkToFit="0" vertical="center" wrapText="1"/>
    </xf>
    <xf borderId="1" fillId="13" fontId="4" numFmtId="0" xfId="0" applyAlignment="1" applyBorder="1" applyFont="1">
      <alignment horizontal="center" readingOrder="0" shrinkToFit="0" vertical="center" wrapText="1"/>
    </xf>
    <xf borderId="4" fillId="15" fontId="6" numFmtId="0" xfId="0" applyAlignment="1" applyBorder="1" applyFont="1">
      <alignment horizontal="center" readingOrder="0" shrinkToFit="0" vertical="center" wrapText="1"/>
    </xf>
    <xf borderId="3" fillId="26" fontId="6" numFmtId="0" xfId="0" applyAlignment="1" applyBorder="1" applyFill="1" applyFont="1">
      <alignment horizontal="center" readingOrder="0" shrinkToFit="0" vertical="center" wrapText="1"/>
    </xf>
    <xf borderId="1" fillId="27" fontId="4" numFmtId="0" xfId="0" applyAlignment="1" applyBorder="1" applyFill="1" applyFont="1">
      <alignment horizontal="center" readingOrder="0" shrinkToFit="0" vertical="center" wrapText="1"/>
    </xf>
    <xf borderId="1" fillId="6" fontId="4" numFmtId="0" xfId="0" applyAlignment="1" applyBorder="1" applyFont="1">
      <alignment horizontal="center" readingOrder="0" shrinkToFit="0" vertical="center" wrapText="1"/>
    </xf>
    <xf borderId="1" fillId="28" fontId="19" numFmtId="0" xfId="0" applyAlignment="1" applyBorder="1" applyFill="1" applyFont="1">
      <alignment horizontal="left" readingOrder="0"/>
    </xf>
    <xf borderId="1" fillId="19" fontId="7" numFmtId="166" xfId="0" applyAlignment="1" applyBorder="1" applyFont="1" applyNumberFormat="1">
      <alignment horizontal="center" readingOrder="0" vertical="center"/>
    </xf>
    <xf borderId="1" fillId="29" fontId="4" numFmtId="0" xfId="0" applyAlignment="1" applyBorder="1" applyFill="1" applyFont="1">
      <alignment horizontal="center" readingOrder="0" shrinkToFit="0" vertical="center" wrapText="1"/>
    </xf>
    <xf borderId="0" fillId="15" fontId="16" numFmtId="0" xfId="0" applyAlignment="1" applyFont="1">
      <alignment readingOrder="0" vertical="center"/>
    </xf>
    <xf borderId="0" fillId="0" fontId="20" numFmtId="0" xfId="0" applyAlignment="1" applyFont="1">
      <alignment horizontal="center" readingOrder="0" shrinkToFit="0" vertical="center" wrapText="1"/>
    </xf>
    <xf borderId="0" fillId="14" fontId="21" numFmtId="0" xfId="0" applyAlignment="1" applyFont="1">
      <alignment horizontal="left" readingOrder="0" shrinkToFit="0" vertical="top" wrapText="1"/>
    </xf>
    <xf borderId="4" fillId="8" fontId="6" numFmtId="0" xfId="0" applyAlignment="1" applyBorder="1" applyFont="1">
      <alignment horizontal="center" readingOrder="0" shrinkToFit="0" vertical="center" wrapText="1"/>
    </xf>
    <xf borderId="0" fillId="0" fontId="22" numFmtId="0" xfId="0" applyAlignment="1" applyFont="1">
      <alignment horizontal="left" readingOrder="0"/>
    </xf>
    <xf borderId="0" fillId="0" fontId="14" numFmtId="4" xfId="0" applyAlignment="1" applyFont="1" applyNumberFormat="1">
      <alignment horizontal="center" readingOrder="0" vertical="center"/>
    </xf>
    <xf borderId="0" fillId="0" fontId="14" numFmtId="0" xfId="0" applyAlignment="1" applyFont="1">
      <alignment horizontal="center" readingOrder="0" vertical="center"/>
    </xf>
    <xf borderId="0" fillId="15" fontId="23" numFmtId="0" xfId="0" applyAlignment="1" applyFont="1">
      <alignment horizontal="center" readingOrder="0" vertical="center"/>
    </xf>
    <xf borderId="1" fillId="0" fontId="6" numFmtId="0" xfId="0" applyAlignment="1" applyBorder="1" applyFont="1">
      <alignment horizontal="center" readingOrder="0" shrinkToFit="0" vertical="center" wrapText="1"/>
    </xf>
    <xf borderId="1" fillId="17" fontId="13" numFmtId="0" xfId="0" applyAlignment="1" applyBorder="1" applyFont="1">
      <alignment horizontal="center" readingOrder="0" shrinkToFit="0" vertical="center" wrapText="1"/>
    </xf>
    <xf borderId="0" fillId="17" fontId="10" numFmtId="0" xfId="0" applyAlignment="1" applyFont="1">
      <alignment horizontal="center" readingOrder="0" shrinkToFit="0" vertical="center" wrapText="1"/>
    </xf>
    <xf borderId="1" fillId="0" fontId="13" numFmtId="0" xfId="0" applyAlignment="1" applyBorder="1" applyFont="1">
      <alignment horizontal="center" shrinkToFit="0" vertical="center" wrapText="1"/>
    </xf>
    <xf borderId="1" fillId="0" fontId="7" numFmtId="165" xfId="0" applyAlignment="1" applyBorder="1" applyFont="1" applyNumberFormat="1">
      <alignment horizontal="center" readingOrder="0" vertical="center"/>
    </xf>
    <xf borderId="0" fillId="30" fontId="13" numFmtId="0" xfId="0" applyAlignment="1" applyFill="1" applyFont="1">
      <alignment horizontal="center" readingOrder="0" shrinkToFit="0" vertical="center" wrapText="1"/>
    </xf>
    <xf borderId="3" fillId="13" fontId="4" numFmtId="0" xfId="0" applyAlignment="1" applyBorder="1" applyFont="1">
      <alignment horizontal="center" shrinkToFit="0" vertical="center" wrapText="1"/>
    </xf>
    <xf borderId="3" fillId="7" fontId="6" numFmtId="0" xfId="0" applyAlignment="1" applyBorder="1" applyFont="1">
      <alignment horizontal="center" readingOrder="0" shrinkToFit="0" vertical="center" wrapText="1"/>
    </xf>
    <xf borderId="1" fillId="0" fontId="12" numFmtId="4" xfId="0" applyAlignment="1" applyBorder="1" applyFont="1" applyNumberFormat="1">
      <alignment horizontal="center" readingOrder="0" shrinkToFit="0" vertical="center" wrapText="1"/>
    </xf>
    <xf borderId="0" fillId="5" fontId="13" numFmtId="0" xfId="0" applyAlignment="1" applyFont="1">
      <alignment horizontal="left" readingOrder="0" shrinkToFit="0" vertical="center" wrapText="1"/>
    </xf>
    <xf borderId="1" fillId="0" fontId="12" numFmtId="166" xfId="0" applyAlignment="1" applyBorder="1" applyFont="1" applyNumberFormat="1">
      <alignment horizontal="center" shrinkToFit="0" vertical="center" wrapText="1"/>
    </xf>
    <xf borderId="0" fillId="15" fontId="16" numFmtId="0" xfId="0" applyAlignment="1" applyFont="1">
      <alignment horizontal="center" readingOrder="0" vertical="center"/>
    </xf>
    <xf borderId="3" fillId="19" fontId="6" numFmtId="0" xfId="0" applyAlignment="1" applyBorder="1" applyFont="1">
      <alignment horizontal="center" readingOrder="0" shrinkToFit="0" vertical="center" wrapText="1"/>
    </xf>
    <xf borderId="3" fillId="17" fontId="6" numFmtId="0" xfId="0" applyAlignment="1" applyBorder="1" applyFont="1">
      <alignment horizontal="center" readingOrder="0" shrinkToFit="0" vertical="center" wrapText="1"/>
    </xf>
    <xf borderId="1" fillId="15" fontId="13" numFmtId="0" xfId="0" applyAlignment="1" applyBorder="1" applyFont="1">
      <alignment horizontal="center" readingOrder="0" shrinkToFit="0" vertical="center" wrapText="1"/>
    </xf>
    <xf borderId="0" fillId="15" fontId="11" numFmtId="0" xfId="0" applyAlignment="1" applyFont="1">
      <alignment horizontal="center" readingOrder="0" shrinkToFit="0" vertical="center" wrapText="1"/>
    </xf>
    <xf borderId="0" fillId="20" fontId="13" numFmtId="0" xfId="0" applyAlignment="1" applyFont="1">
      <alignment horizontal="center" readingOrder="0" shrinkToFit="0" vertical="center" wrapText="1"/>
    </xf>
    <xf borderId="1" fillId="9" fontId="24" numFmtId="0" xfId="0" applyAlignment="1" applyBorder="1" applyFont="1">
      <alignment horizontal="center" readingOrder="0" shrinkToFit="0" vertical="center" wrapText="1"/>
    </xf>
    <xf borderId="4" fillId="0" fontId="12" numFmtId="166" xfId="0" applyAlignment="1" applyBorder="1" applyFont="1" applyNumberFormat="1">
      <alignment horizontal="center" readingOrder="0" shrinkToFit="0" vertical="center" wrapText="1"/>
    </xf>
    <xf borderId="3" fillId="0" fontId="12" numFmtId="166" xfId="0" applyAlignment="1" applyBorder="1" applyFont="1" applyNumberFormat="1">
      <alignment horizontal="center" shrinkToFit="0" vertical="center" wrapText="1"/>
    </xf>
    <xf borderId="3" fillId="0" fontId="25" numFmtId="0" xfId="0" applyAlignment="1" applyBorder="1" applyFont="1">
      <alignment horizontal="center" readingOrder="0" shrinkToFit="0" vertical="center" wrapText="1"/>
    </xf>
    <xf borderId="4" fillId="0" fontId="12" numFmtId="166" xfId="0" applyAlignment="1" applyBorder="1" applyFont="1" applyNumberFormat="1">
      <alignment horizontal="center" shrinkToFit="0" vertical="center" wrapText="1"/>
    </xf>
    <xf borderId="4" fillId="0" fontId="4" numFmtId="0" xfId="0" applyAlignment="1" applyBorder="1" applyFont="1">
      <alignment horizontal="center" readingOrder="0" shrinkToFit="0" vertical="center" wrapText="1"/>
    </xf>
    <xf borderId="1" fillId="15" fontId="4" numFmtId="0" xfId="0" applyAlignment="1" applyBorder="1" applyFont="1">
      <alignment horizontal="center" readingOrder="0" shrinkToFit="0" vertical="center" wrapText="1"/>
    </xf>
    <xf borderId="1" fillId="28" fontId="26" numFmtId="0" xfId="0" applyAlignment="1" applyBorder="1" applyFont="1">
      <alignment horizontal="center" readingOrder="0" shrinkToFit="0" vertical="center" wrapText="1"/>
    </xf>
    <xf borderId="1" fillId="9" fontId="16" numFmtId="0" xfId="0" applyAlignment="1" applyBorder="1" applyFont="1">
      <alignment horizontal="center" readingOrder="0" shrinkToFit="0" vertical="center" wrapText="1"/>
    </xf>
    <xf borderId="1" fillId="19" fontId="13" numFmtId="0" xfId="0" applyAlignment="1" applyBorder="1" applyFont="1">
      <alignment horizontal="center" readingOrder="0" shrinkToFit="0" vertical="center" wrapText="1"/>
    </xf>
    <xf borderId="3" fillId="14" fontId="25" numFmtId="0" xfId="0" applyAlignment="1" applyBorder="1" applyFont="1">
      <alignment horizontal="center" readingOrder="0" shrinkToFit="0" vertical="center" wrapText="1"/>
    </xf>
    <xf borderId="4" fillId="0" fontId="7" numFmtId="0" xfId="0" applyAlignment="1" applyBorder="1" applyFont="1">
      <alignment horizontal="center" readingOrder="0" vertical="center"/>
    </xf>
    <xf borderId="0" fillId="0" fontId="12" numFmtId="4" xfId="0" applyAlignment="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1" fillId="14" fontId="11"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top" wrapText="1"/>
    </xf>
    <xf borderId="1" fillId="0" fontId="14" numFmtId="0" xfId="0" applyAlignment="1" applyBorder="1" applyFont="1">
      <alignment horizontal="center" readingOrder="0" shrinkToFit="0" vertical="center" wrapText="1"/>
    </xf>
    <xf borderId="3" fillId="31" fontId="6" numFmtId="0" xfId="0" applyAlignment="1" applyBorder="1" applyFill="1" applyFont="1">
      <alignment horizontal="center" readingOrder="0" shrinkToFit="0" vertical="center" wrapText="1"/>
    </xf>
    <xf borderId="3" fillId="0" fontId="12" numFmtId="166" xfId="0" applyAlignment="1" applyBorder="1" applyFont="1" applyNumberFormat="1">
      <alignment horizontal="center" readingOrder="0" shrinkToFit="0" vertical="center" wrapText="1"/>
    </xf>
    <xf borderId="1" fillId="25" fontId="11" numFmtId="0" xfId="0" applyAlignment="1" applyBorder="1" applyFont="1">
      <alignment horizontal="center" readingOrder="0" shrinkToFit="0" vertical="center" wrapText="1"/>
    </xf>
    <xf borderId="1" fillId="15" fontId="11" numFmtId="0" xfId="0" applyAlignment="1" applyBorder="1" applyFont="1">
      <alignment horizontal="center" readingOrder="0" shrinkToFit="0" vertical="center" wrapText="1"/>
    </xf>
    <xf borderId="1" fillId="5" fontId="4" numFmtId="167" xfId="0" applyAlignment="1" applyBorder="1" applyFont="1" applyNumberFormat="1">
      <alignment horizontal="center" readingOrder="0" shrinkToFit="0" vertical="center" wrapText="1"/>
    </xf>
    <xf borderId="1" fillId="9" fontId="13" numFmtId="0" xfId="0" applyAlignment="1" applyBorder="1" applyFont="1">
      <alignment horizontal="left" readingOrder="0" shrinkToFit="0" vertical="center" wrapText="1"/>
    </xf>
    <xf borderId="0" fillId="0" fontId="11" numFmtId="0" xfId="0" applyAlignment="1" applyFont="1">
      <alignment horizontal="center" shrinkToFit="0" vertical="center" wrapText="1"/>
    </xf>
    <xf borderId="1" fillId="14" fontId="13" numFmtId="0" xfId="0" applyAlignment="1" applyBorder="1" applyFont="1">
      <alignment horizontal="center" readingOrder="0" shrinkToFit="0" vertical="center" wrapText="1"/>
    </xf>
    <xf borderId="0" fillId="13" fontId="4" numFmtId="167" xfId="0" applyAlignment="1" applyFont="1" applyNumberFormat="1">
      <alignment horizontal="center" shrinkToFit="0" vertical="center" wrapText="1"/>
    </xf>
    <xf borderId="3" fillId="32" fontId="6" numFmtId="0" xfId="0" applyAlignment="1" applyBorder="1" applyFill="1" applyFont="1">
      <alignment horizontal="center" readingOrder="0" shrinkToFit="0" vertical="center" wrapText="1"/>
    </xf>
    <xf borderId="0" fillId="10" fontId="11" numFmtId="0" xfId="0" applyAlignment="1" applyFont="1">
      <alignment horizontal="center" readingOrder="0" shrinkToFit="0" vertical="center" wrapText="1"/>
    </xf>
    <xf borderId="3" fillId="0" fontId="11" numFmtId="0" xfId="0" applyAlignment="1" applyBorder="1" applyFont="1">
      <alignment horizontal="center" readingOrder="0" shrinkToFit="0" vertical="center" wrapText="1"/>
    </xf>
    <xf borderId="1" fillId="15" fontId="19" numFmtId="0" xfId="0" applyAlignment="1" applyBorder="1" applyFont="1">
      <alignment horizontal="left" readingOrder="0"/>
    </xf>
    <xf borderId="0" fillId="17" fontId="11" numFmtId="0" xfId="0" applyAlignment="1" applyFont="1">
      <alignment horizontal="center" readingOrder="0" shrinkToFit="0" vertical="center" wrapText="1"/>
    </xf>
    <xf borderId="1" fillId="16" fontId="7" numFmtId="0" xfId="0" applyAlignment="1" applyBorder="1" applyFont="1">
      <alignment horizontal="center" readingOrder="0" vertical="center"/>
    </xf>
    <xf borderId="0" fillId="0" fontId="10" numFmtId="4" xfId="0" applyAlignment="1" applyFont="1" applyNumberFormat="1">
      <alignment horizontal="center" readingOrder="0" shrinkToFit="0" vertical="center" wrapText="1"/>
    </xf>
    <xf borderId="3" fillId="0" fontId="27" numFmtId="0" xfId="0" applyAlignment="1" applyBorder="1" applyFont="1">
      <alignment readingOrder="0" shrinkToFit="0" wrapText="1"/>
    </xf>
    <xf borderId="3" fillId="0" fontId="28" numFmtId="0" xfId="0" applyAlignment="1" applyBorder="1" applyFont="1">
      <alignment horizontal="center" readingOrder="0" shrinkToFit="0" vertical="center" wrapText="1"/>
    </xf>
    <xf borderId="1" fillId="0" fontId="28"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1" fillId="9" fontId="11" numFmtId="0" xfId="0" applyAlignment="1" applyBorder="1" applyFont="1">
      <alignment horizontal="center" shrinkToFit="0" vertical="center" wrapText="1"/>
    </xf>
    <xf borderId="1" fillId="4" fontId="7" numFmtId="166" xfId="0" applyAlignment="1" applyBorder="1" applyFont="1" applyNumberFormat="1">
      <alignment horizontal="center" readingOrder="0" vertical="center"/>
    </xf>
    <xf borderId="1" fillId="4" fontId="7" numFmtId="10" xfId="0" applyAlignment="1" applyBorder="1" applyFont="1" applyNumberFormat="1">
      <alignment horizontal="center" readingOrder="0" vertical="center"/>
    </xf>
    <xf borderId="0" fillId="0" fontId="11" numFmtId="0" xfId="0" applyAlignment="1" applyFont="1">
      <alignment shrinkToFit="0" wrapText="1"/>
    </xf>
    <xf borderId="0" fillId="0" fontId="11" numFmtId="9" xfId="0" applyFont="1" applyNumberFormat="1"/>
    <xf borderId="0" fillId="0" fontId="11" numFmtId="0" xfId="0" applyFont="1"/>
    <xf borderId="0" fillId="0" fontId="11" numFmtId="0" xfId="0" applyAlignment="1" applyFont="1">
      <alignment shrinkToFit="0" vertical="center" wrapText="1"/>
    </xf>
    <xf borderId="0" fillId="0" fontId="11" numFmtId="9" xfId="0" applyAlignment="1" applyFont="1" applyNumberFormat="1">
      <alignment vertical="center"/>
    </xf>
    <xf borderId="0" fillId="0" fontId="11" numFmtId="0" xfId="0" applyAlignment="1" applyFont="1">
      <alignment vertical="center"/>
    </xf>
    <xf borderId="1" fillId="0" fontId="10" numFmtId="0" xfId="0" applyAlignment="1" applyBorder="1" applyFont="1">
      <alignment horizontal="center" readingOrder="0" shrinkToFit="0" wrapText="1"/>
    </xf>
    <xf borderId="1" fillId="0" fontId="10" numFmtId="0" xfId="0" applyAlignment="1" applyBorder="1" applyFont="1">
      <alignment horizontal="center"/>
    </xf>
    <xf borderId="1" fillId="0" fontId="10" numFmtId="167" xfId="0" applyAlignment="1" applyBorder="1" applyFont="1" applyNumberFormat="1">
      <alignment horizontal="center" readingOrder="0"/>
    </xf>
    <xf borderId="1" fillId="0" fontId="10" numFmtId="169" xfId="0" applyAlignment="1" applyBorder="1" applyFont="1" applyNumberFormat="1">
      <alignment horizontal="center" readingOrder="0"/>
    </xf>
    <xf borderId="1" fillId="0" fontId="10" numFmtId="0" xfId="0" applyAlignment="1" applyBorder="1" applyFont="1">
      <alignment horizontal="center" readingOrder="0"/>
    </xf>
    <xf borderId="0" fillId="0" fontId="11" numFmtId="0" xfId="0" applyAlignment="1" applyFont="1">
      <alignment readingOrder="0"/>
    </xf>
    <xf borderId="1" fillId="0" fontId="12" numFmtId="49" xfId="0" applyAlignment="1" applyBorder="1" applyFont="1" applyNumberFormat="1">
      <alignment horizontal="center" shrinkToFit="0" wrapText="1"/>
    </xf>
    <xf borderId="1" fillId="0" fontId="12" numFmtId="0" xfId="0" applyAlignment="1" applyBorder="1" applyFont="1">
      <alignment horizontal="center" shrinkToFit="0" wrapText="1"/>
    </xf>
    <xf borderId="1" fillId="0" fontId="29" numFmtId="0" xfId="0" applyAlignment="1" applyBorder="1" applyFont="1">
      <alignment horizontal="center" shrinkToFit="0" wrapText="1"/>
    </xf>
    <xf borderId="1" fillId="22" fontId="12" numFmtId="0" xfId="0" applyAlignment="1" applyBorder="1" applyFont="1">
      <alignment horizontal="center" shrinkToFit="0" wrapText="1"/>
    </xf>
    <xf borderId="1" fillId="25" fontId="12" numFmtId="0" xfId="0" applyAlignment="1" applyBorder="1" applyFont="1">
      <alignment horizontal="center" shrinkToFit="0" wrapText="1"/>
    </xf>
    <xf borderId="1" fillId="7" fontId="12" numFmtId="0" xfId="0" applyAlignment="1" applyBorder="1" applyFont="1">
      <alignment horizontal="center" shrinkToFit="0" wrapText="1"/>
    </xf>
    <xf borderId="3" fillId="7" fontId="12" numFmtId="0" xfId="0" applyAlignment="1" applyBorder="1" applyFont="1">
      <alignment horizontal="center" shrinkToFit="0" wrapText="1"/>
    </xf>
    <xf borderId="1" fillId="0" fontId="12" numFmtId="1" xfId="0" applyAlignment="1" applyBorder="1" applyFont="1" applyNumberFormat="1">
      <alignment horizontal="center" shrinkToFit="0" wrapText="1"/>
    </xf>
    <xf borderId="3" fillId="0" fontId="12" numFmtId="0" xfId="0" applyAlignment="1" applyBorder="1" applyFont="1">
      <alignment horizontal="center" shrinkToFit="0" wrapText="1"/>
    </xf>
    <xf borderId="5" fillId="15" fontId="30" numFmtId="0" xfId="0" applyAlignment="1" applyBorder="1" applyFont="1">
      <alignment vertical="bottom"/>
    </xf>
    <xf borderId="6" fillId="0" fontId="12" numFmtId="0" xfId="0" applyAlignment="1" applyBorder="1" applyFont="1">
      <alignment horizontal="center" shrinkToFit="0" wrapText="1"/>
    </xf>
    <xf borderId="1" fillId="19" fontId="12" numFmtId="0" xfId="0" applyAlignment="1" applyBorder="1" applyFont="1">
      <alignment horizontal="center" shrinkToFit="0" wrapText="1"/>
    </xf>
    <xf borderId="0" fillId="7" fontId="12" numFmtId="0" xfId="0" applyAlignment="1" applyFont="1">
      <alignment horizontal="center" shrinkToFit="0" wrapText="1"/>
    </xf>
    <xf borderId="2" fillId="0" fontId="12" numFmtId="0" xfId="0" applyAlignment="1" applyBorder="1" applyFont="1">
      <alignment horizontal="center" shrinkToFit="0" wrapText="1"/>
    </xf>
    <xf borderId="3" fillId="15" fontId="12" numFmtId="0" xfId="0" applyAlignment="1" applyBorder="1" applyFont="1">
      <alignment horizontal="center"/>
    </xf>
    <xf borderId="2" fillId="7" fontId="12" numFmtId="0" xfId="0" applyAlignment="1" applyBorder="1" applyFont="1">
      <alignment horizontal="center" shrinkToFit="0" wrapText="1"/>
    </xf>
    <xf borderId="1" fillId="7" fontId="31" numFmtId="0" xfId="0" applyAlignment="1" applyBorder="1" applyFont="1">
      <alignment vertical="bottom"/>
    </xf>
    <xf borderId="1" fillId="15" fontId="12" numFmtId="0" xfId="0" applyAlignment="1" applyBorder="1" applyFont="1">
      <alignment horizontal="center" shrinkToFit="0" wrapText="1"/>
    </xf>
    <xf borderId="1" fillId="0" fontId="32" numFmtId="0" xfId="0" applyAlignment="1" applyBorder="1" applyFont="1">
      <alignment horizontal="center" shrinkToFit="0" wrapText="1"/>
    </xf>
    <xf borderId="1" fillId="15" fontId="12" numFmtId="170" xfId="0" applyAlignment="1" applyBorder="1" applyFont="1" applyNumberFormat="1">
      <alignment horizontal="center" shrinkToFit="0" wrapText="1"/>
    </xf>
    <xf borderId="1" fillId="0" fontId="12" numFmtId="165" xfId="0" applyAlignment="1" applyBorder="1" applyFont="1" applyNumberFormat="1">
      <alignment horizontal="center" shrinkToFit="0" wrapText="1"/>
    </xf>
    <xf borderId="1" fillId="15" fontId="12" numFmtId="0" xfId="0" applyAlignment="1" applyBorder="1" applyFont="1">
      <alignment horizontal="center"/>
    </xf>
    <xf borderId="1" fillId="0" fontId="33" numFmtId="0" xfId="0" applyAlignment="1" applyBorder="1" applyFont="1">
      <alignment horizontal="center" shrinkToFit="0" wrapText="1"/>
    </xf>
    <xf borderId="1" fillId="0" fontId="31" numFmtId="0" xfId="0" applyBorder="1" applyFont="1"/>
    <xf borderId="0" fillId="33" fontId="34" numFmtId="0" xfId="0" applyAlignment="1" applyFill="1" applyFont="1">
      <alignment readingOrder="0"/>
    </xf>
    <xf borderId="0" fillId="33" fontId="35" numFmtId="0" xfId="0" applyAlignment="1" applyFont="1">
      <alignment readingOrder="0" shrinkToFit="0" wrapText="0"/>
    </xf>
    <xf borderId="0" fillId="33" fontId="36" numFmtId="0" xfId="0" applyAlignment="1" applyFont="1">
      <alignment readingOrder="0" shrinkToFit="0" wrapText="1"/>
    </xf>
    <xf borderId="0" fillId="33" fontId="36" numFmtId="0" xfId="0" applyAlignment="1" applyFont="1">
      <alignment readingOrder="0" shrinkToFit="0" wrapText="0"/>
    </xf>
    <xf borderId="0" fillId="33" fontId="37" numFmtId="0" xfId="0" applyAlignment="1" applyFont="1">
      <alignment readingOrder="0"/>
    </xf>
    <xf borderId="7" fillId="28" fontId="38" numFmtId="0" xfId="0" applyAlignment="1" applyBorder="1" applyFont="1">
      <alignment readingOrder="0"/>
    </xf>
    <xf borderId="7" fillId="15" fontId="39" numFmtId="0" xfId="0" applyAlignment="1" applyBorder="1" applyFont="1">
      <alignment readingOrder="0" shrinkToFit="0" wrapText="0"/>
    </xf>
    <xf borderId="0" fillId="34" fontId="40" numFmtId="0" xfId="0" applyAlignment="1" applyFill="1" applyFont="1">
      <alignment readingOrder="0" shrinkToFit="0" wrapText="1"/>
    </xf>
    <xf borderId="7" fillId="15" fontId="19" numFmtId="0" xfId="0" applyAlignment="1" applyBorder="1" applyFont="1">
      <alignment readingOrder="0" shrinkToFit="0" wrapText="0"/>
    </xf>
    <xf borderId="7" fillId="35" fontId="41" numFmtId="0" xfId="0" applyAlignment="1" applyBorder="1" applyFill="1" applyFont="1">
      <alignment readingOrder="0" shrinkToFit="0" wrapText="0"/>
    </xf>
    <xf borderId="7" fillId="36" fontId="42" numFmtId="0" xfId="0" applyAlignment="1" applyBorder="1" applyFill="1" applyFont="1">
      <alignment readingOrder="0" shrinkToFit="0" wrapText="0"/>
    </xf>
    <xf borderId="7" fillId="28" fontId="43" numFmtId="0" xfId="0" applyAlignment="1" applyBorder="1" applyFont="1">
      <alignment readingOrder="0"/>
    </xf>
    <xf borderId="7" fillId="28" fontId="39" numFmtId="0" xfId="0" applyAlignment="1" applyBorder="1" applyFont="1">
      <alignment readingOrder="0" shrinkToFit="0" wrapText="0"/>
    </xf>
    <xf borderId="7" fillId="28" fontId="40" numFmtId="0" xfId="0" applyAlignment="1" applyBorder="1" applyFont="1">
      <alignment readingOrder="0" shrinkToFit="0" wrapText="1"/>
    </xf>
    <xf borderId="7" fillId="28" fontId="19" numFmtId="0" xfId="0" applyAlignment="1" applyBorder="1" applyFont="1">
      <alignment readingOrder="0" shrinkToFit="0" wrapText="0"/>
    </xf>
    <xf borderId="7" fillId="15" fontId="43" numFmtId="0" xfId="0" applyAlignment="1" applyBorder="1" applyFont="1">
      <alignment readingOrder="0"/>
    </xf>
    <xf borderId="7" fillId="15" fontId="40" numFmtId="0" xfId="0" applyAlignment="1" applyBorder="1" applyFont="1">
      <alignment readingOrder="0" shrinkToFit="0" wrapText="1"/>
    </xf>
    <xf borderId="7" fillId="37" fontId="44" numFmtId="0" xfId="0" applyAlignment="1" applyBorder="1" applyFill="1" applyFont="1">
      <alignment readingOrder="0" shrinkToFit="0" wrapText="0"/>
    </xf>
    <xf borderId="7" fillId="34" fontId="43" numFmtId="0" xfId="0" applyAlignment="1" applyBorder="1" applyFont="1">
      <alignment readingOrder="0"/>
    </xf>
    <xf borderId="7" fillId="34" fontId="39" numFmtId="0" xfId="0" applyAlignment="1" applyBorder="1" applyFont="1">
      <alignment readingOrder="0" shrinkToFit="0" wrapText="0"/>
    </xf>
    <xf borderId="7" fillId="34" fontId="40" numFmtId="0" xfId="0" applyAlignment="1" applyBorder="1" applyFont="1">
      <alignment readingOrder="0" shrinkToFit="0" wrapText="1"/>
    </xf>
    <xf borderId="7" fillId="34" fontId="19" numFmtId="0" xfId="0" applyAlignment="1" applyBorder="1" applyFont="1">
      <alignment readingOrder="0" shrinkToFit="0" wrapText="0"/>
    </xf>
    <xf borderId="0" fillId="0" fontId="11" numFmtId="166" xfId="0" applyFont="1" applyNumberFormat="1"/>
    <xf borderId="0" fillId="0" fontId="11" numFmtId="168" xfId="0" applyFont="1" applyNumberFormat="1"/>
    <xf borderId="0" fillId="0" fontId="11" numFmtId="167" xfId="0" applyFont="1" applyNumberFormat="1"/>
    <xf borderId="0" fillId="0" fontId="11" numFmtId="169" xfId="0" applyFont="1" applyNumberFormat="1"/>
    <xf borderId="1" fillId="0" fontId="1" numFmtId="0" xfId="0" applyAlignment="1" applyBorder="1" applyFont="1">
      <alignment horizontal="center" readingOrder="0"/>
    </xf>
    <xf borderId="1" fillId="0" fontId="11" numFmtId="0" xfId="0" applyAlignment="1" applyBorder="1" applyFont="1">
      <alignment horizontal="center" readingOrder="0" shrinkToFit="0" wrapText="1"/>
    </xf>
    <xf borderId="1" fillId="15" fontId="45" numFmtId="0" xfId="0" applyAlignment="1" applyBorder="1" applyFont="1">
      <alignment horizontal="center" readingOrder="0"/>
    </xf>
    <xf borderId="1" fillId="15" fontId="45" numFmtId="0" xfId="0" applyAlignment="1" applyBorder="1" applyFont="1">
      <alignment readingOrder="0" shrinkToFit="0" wrapText="1"/>
    </xf>
    <xf borderId="1" fillId="0" fontId="11" numFmtId="0" xfId="0" applyAlignment="1" applyBorder="1" applyFont="1">
      <alignment horizontal="center" shrinkToFit="0" wrapText="1"/>
    </xf>
    <xf borderId="3" fillId="0" fontId="13" numFmtId="0" xfId="0" applyAlignment="1" applyBorder="1" applyFont="1">
      <alignment horizontal="center" readingOrder="0" shrinkToFit="0" vertical="center" wrapText="1"/>
    </xf>
    <xf borderId="1" fillId="16" fontId="13" numFmtId="0" xfId="0" applyAlignment="1" applyBorder="1" applyFont="1">
      <alignment horizontal="center" readingOrder="0" shrinkToFit="0" vertical="center" wrapText="1"/>
    </xf>
    <xf borderId="0" fillId="14"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readingOrder="0" vertical="center"/>
    </xf>
    <xf borderId="0" fillId="0" fontId="8" numFmtId="9" xfId="0" applyAlignment="1" applyFont="1" applyNumberFormat="1">
      <alignment horizontal="center" readingOrder="0" vertical="center"/>
    </xf>
    <xf borderId="0" fillId="0" fontId="7" numFmtId="166" xfId="0" applyAlignment="1" applyFont="1" applyNumberFormat="1">
      <alignment horizontal="center" readingOrder="0" vertical="center"/>
    </xf>
    <xf borderId="0" fillId="0" fontId="7" numFmtId="10" xfId="0" applyAlignment="1" applyFont="1" applyNumberFormat="1">
      <alignment horizontal="center" readingOrder="0" vertical="center"/>
    </xf>
    <xf borderId="0" fillId="29" fontId="4" numFmtId="0" xfId="0" applyAlignment="1" applyFont="1">
      <alignment horizontal="center" readingOrder="0" shrinkToFit="0" vertical="center" wrapText="1"/>
    </xf>
    <xf borderId="0" fillId="0" fontId="4" numFmtId="167" xfId="0" applyAlignment="1" applyFont="1" applyNumberFormat="1">
      <alignment horizontal="center" readingOrder="0" shrinkToFit="0" vertical="center" wrapText="1"/>
    </xf>
    <xf borderId="0" fillId="9" fontId="11" numFmtId="0" xfId="0" applyAlignment="1" applyFont="1">
      <alignment horizontal="center" readingOrder="0" shrinkToFit="0" vertical="center" wrapText="1"/>
    </xf>
    <xf borderId="1" fillId="2" fontId="11" numFmtId="0" xfId="0" applyAlignment="1" applyBorder="1" applyFont="1">
      <alignment horizontal="center" readingOrder="0" shrinkToFit="0" vertical="center" wrapText="1"/>
    </xf>
    <xf borderId="1" fillId="7" fontId="11" numFmtId="0" xfId="0" applyAlignment="1" applyBorder="1" applyFont="1">
      <alignment horizontal="center" readingOrder="0" shrinkToFit="0" vertical="center" wrapText="1"/>
    </xf>
    <xf borderId="1" fillId="7" fontId="11" numFmtId="168" xfId="0" applyAlignment="1" applyBorder="1" applyFont="1" applyNumberFormat="1">
      <alignment horizontal="center" readingOrder="0" shrinkToFit="0" vertical="center" wrapText="1"/>
    </xf>
    <xf borderId="1" fillId="2" fontId="11" numFmtId="164" xfId="0" applyAlignment="1" applyBorder="1" applyFont="1" applyNumberFormat="1">
      <alignment horizontal="center" readingOrder="0" shrinkToFit="0" vertical="center" wrapText="1"/>
    </xf>
    <xf borderId="1" fillId="2" fontId="11" numFmtId="0" xfId="0" applyAlignment="1" applyBorder="1" applyFont="1">
      <alignment horizontal="center" shrinkToFit="0" vertical="center" wrapText="1"/>
    </xf>
    <xf borderId="0" fillId="2" fontId="11" numFmtId="0" xfId="0" applyAlignment="1" applyFont="1">
      <alignment horizontal="center" readingOrder="0" shrinkToFit="0" vertical="center" wrapText="1"/>
    </xf>
    <xf borderId="0" fillId="2" fontId="11" numFmtId="0" xfId="0" applyAlignment="1" applyFont="1">
      <alignment horizontal="center" shrinkToFit="0" vertical="center" wrapText="1"/>
    </xf>
    <xf borderId="1" fillId="12" fontId="2" numFmtId="9" xfId="0" applyAlignment="1" applyBorder="1" applyFont="1" applyNumberFormat="1">
      <alignment horizontal="center" readingOrder="0" shrinkToFit="0" vertical="center" wrapText="1"/>
    </xf>
    <xf borderId="4" fillId="12" fontId="4" numFmtId="0" xfId="0" applyAlignment="1" applyBorder="1" applyFont="1">
      <alignment horizontal="center" readingOrder="0" shrinkToFit="0" vertical="center" wrapText="1"/>
    </xf>
    <xf borderId="3" fillId="12" fontId="4" numFmtId="0" xfId="0" applyAlignment="1" applyBorder="1" applyFont="1">
      <alignment horizontal="center" readingOrder="0" shrinkToFit="0" vertical="center" wrapText="1"/>
    </xf>
    <xf borderId="2" fillId="0" fontId="46" numFmtId="0" xfId="0" applyAlignment="1" applyBorder="1" applyFont="1">
      <alignment horizontal="center" shrinkToFit="0" vertical="center" wrapText="1"/>
    </xf>
    <xf borderId="1" fillId="0" fontId="6" numFmtId="9" xfId="0" applyAlignment="1" applyBorder="1" applyFont="1" applyNumberFormat="1">
      <alignment horizontal="center" readingOrder="0" shrinkToFit="0" vertical="center" wrapText="1"/>
    </xf>
    <xf borderId="1" fillId="0" fontId="46" numFmtId="0" xfId="0" applyAlignment="1" applyBorder="1" applyFont="1">
      <alignment horizontal="center" shrinkToFit="0" vertical="center" wrapText="1"/>
    </xf>
    <xf borderId="4" fillId="13" fontId="4" numFmtId="0" xfId="0" applyAlignment="1" applyBorder="1" applyFont="1">
      <alignment horizontal="center" readingOrder="0" shrinkToFit="0" vertical="center" wrapText="1"/>
    </xf>
    <xf borderId="3" fillId="15" fontId="46" numFmtId="0" xfId="0" applyAlignment="1" applyBorder="1" applyFont="1">
      <alignment horizontal="center" shrinkToFit="0" vertical="center" wrapText="1"/>
    </xf>
    <xf borderId="3" fillId="0" fontId="6" numFmtId="9" xfId="0" applyAlignment="1" applyBorder="1" applyFont="1" applyNumberFormat="1">
      <alignment horizontal="center" readingOrder="0" shrinkToFit="0" vertical="center" wrapText="1"/>
    </xf>
    <xf borderId="3" fillId="0" fontId="46" numFmtId="0" xfId="0" applyAlignment="1" applyBorder="1" applyFont="1">
      <alignment horizontal="center" shrinkToFit="0" vertical="center" wrapText="1"/>
    </xf>
    <xf borderId="4" fillId="13" fontId="4" numFmtId="4" xfId="0" applyAlignment="1" applyBorder="1" applyFont="1" applyNumberFormat="1">
      <alignment horizontal="center" readingOrder="0" shrinkToFit="0" vertical="center" wrapText="1"/>
    </xf>
    <xf borderId="0" fillId="13" fontId="4" numFmtId="168" xfId="0" applyAlignment="1" applyFont="1" applyNumberFormat="1">
      <alignment horizontal="center" readingOrder="0" shrinkToFit="0" vertical="center" wrapText="1"/>
    </xf>
    <xf borderId="3" fillId="0" fontId="6" numFmtId="4" xfId="0" applyAlignment="1" applyBorder="1" applyFont="1" applyNumberFormat="1">
      <alignment horizontal="center" readingOrder="0" shrinkToFit="0" vertical="center" wrapText="1"/>
    </xf>
    <xf borderId="3" fillId="0" fontId="47" numFmtId="0" xfId="0" applyAlignment="1" applyBorder="1" applyFont="1">
      <alignment horizontal="center" readingOrder="0" shrinkToFit="0" vertical="center" wrapText="1"/>
    </xf>
    <xf borderId="3" fillId="7" fontId="4" numFmtId="0" xfId="0" applyAlignment="1" applyBorder="1" applyFont="1">
      <alignment horizontal="center" readingOrder="0" shrinkToFit="0" vertical="center" wrapText="1"/>
    </xf>
    <xf borderId="3" fillId="38" fontId="6" numFmtId="0" xfId="0" applyAlignment="1" applyBorder="1" applyFill="1" applyFont="1">
      <alignment horizontal="center" readingOrder="0" shrinkToFit="0" vertical="center" wrapText="1"/>
    </xf>
    <xf borderId="3" fillId="13" fontId="4" numFmtId="4" xfId="0" applyAlignment="1" applyBorder="1" applyFont="1" applyNumberFormat="1">
      <alignment horizontal="center" readingOrder="0" shrinkToFit="0" vertical="center" wrapText="1"/>
    </xf>
    <xf borderId="0" fillId="39" fontId="16" numFmtId="0" xfId="0" applyAlignment="1" applyFill="1" applyFont="1">
      <alignment horizontal="center" readingOrder="0" shrinkToFit="0" vertical="center" wrapText="0"/>
    </xf>
    <xf borderId="1" fillId="0" fontId="11" numFmtId="0" xfId="0" applyAlignment="1" applyBorder="1" applyFont="1">
      <alignment horizontal="left" readingOrder="0" shrinkToFit="0" vertical="center" wrapText="1"/>
    </xf>
    <xf borderId="0" fillId="15" fontId="48" numFmtId="0" xfId="0" applyAlignment="1" applyFont="1">
      <alignment readingOrder="0"/>
    </xf>
    <xf borderId="0" fillId="15" fontId="48" numFmtId="0" xfId="0" applyAlignment="1" applyFont="1">
      <alignment readingOrder="0" shrinkToFit="0" wrapText="1"/>
    </xf>
    <xf borderId="1" fillId="0" fontId="47" numFmtId="0" xfId="0" applyAlignment="1" applyBorder="1" applyFont="1">
      <alignment horizontal="center" readingOrder="0"/>
    </xf>
    <xf borderId="3" fillId="7" fontId="6" numFmtId="9" xfId="0" applyAlignment="1" applyBorder="1" applyFont="1" applyNumberFormat="1">
      <alignment horizontal="center" readingOrder="0" shrinkToFit="0" vertical="center" wrapText="1"/>
    </xf>
    <xf borderId="3" fillId="15" fontId="6" numFmtId="4" xfId="0" applyAlignment="1" applyBorder="1" applyFont="1" applyNumberFormat="1">
      <alignment horizontal="center" readingOrder="0" shrinkToFit="0" vertical="center" wrapText="1"/>
    </xf>
    <xf borderId="3" fillId="13" fontId="4" numFmtId="167" xfId="0" applyAlignment="1" applyBorder="1" applyFont="1" applyNumberFormat="1">
      <alignment horizontal="center" readingOrder="0" shrinkToFit="0" vertical="center" wrapText="1"/>
    </xf>
    <xf borderId="4" fillId="19" fontId="6" numFmtId="0" xfId="0" applyAlignment="1" applyBorder="1" applyFont="1">
      <alignment horizontal="center" readingOrder="0" shrinkToFit="0" vertical="center" wrapText="1"/>
    </xf>
    <xf borderId="3" fillId="0" fontId="46" numFmtId="167" xfId="0" applyAlignment="1" applyBorder="1" applyFont="1" applyNumberFormat="1">
      <alignment horizontal="center" readingOrder="0" shrinkToFit="0" vertical="center" wrapText="1"/>
    </xf>
    <xf borderId="3" fillId="26" fontId="46" numFmtId="0" xfId="0" applyAlignment="1" applyBorder="1" applyFont="1">
      <alignment horizontal="center" shrinkToFit="0" vertical="center" wrapText="1"/>
    </xf>
    <xf borderId="1" fillId="25" fontId="15" numFmtId="0" xfId="0" applyAlignment="1" applyBorder="1" applyFont="1">
      <alignment horizontal="center" readingOrder="0" shrinkToFit="0" vertical="center" wrapText="1"/>
    </xf>
    <xf borderId="1" fillId="15" fontId="48" numFmtId="0" xfId="0" applyAlignment="1" applyBorder="1" applyFont="1">
      <alignment readingOrder="0" shrinkToFit="0" wrapText="1"/>
    </xf>
    <xf borderId="0" fillId="13" fontId="4" numFmtId="0" xfId="0" applyAlignment="1" applyFont="1">
      <alignment horizontal="center" readingOrder="0" vertical="center"/>
    </xf>
    <xf borderId="3" fillId="4" fontId="6" numFmtId="0" xfId="0" applyAlignment="1" applyBorder="1" applyFont="1">
      <alignment horizontal="center" readingOrder="0" shrinkToFit="0" vertical="center" wrapText="1"/>
    </xf>
    <xf borderId="3" fillId="16" fontId="6" numFmtId="0" xfId="0" applyAlignment="1" applyBorder="1" applyFont="1">
      <alignment horizontal="center" readingOrder="0" shrinkToFit="0" vertical="center" wrapText="1"/>
    </xf>
    <xf borderId="1" fillId="0" fontId="11" numFmtId="168" xfId="0" applyAlignment="1" applyBorder="1" applyFont="1" applyNumberFormat="1">
      <alignment horizontal="center" shrinkToFit="0" vertical="center" wrapText="1"/>
    </xf>
    <xf borderId="1" fillId="0" fontId="11" numFmtId="164" xfId="0" applyAlignment="1" applyBorder="1" applyFont="1" applyNumberFormat="1">
      <alignment horizontal="center" shrinkToFit="0" vertical="center" wrapText="1"/>
    </xf>
    <xf borderId="0" fillId="9" fontId="1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из Остаток относительно параметра "Предполагаемая 
Даты оплаты"</a:t>
            </a:r>
          </a:p>
        </c:rich>
      </c:tx>
      <c:overlay val="0"/>
    </c:title>
    <c:plotArea>
      <c:layout>
        <c:manualLayout>
          <c:xMode val="edge"/>
          <c:yMode val="edge"/>
          <c:x val="0.12895713404605263"/>
          <c:y val="0.15770171149144255"/>
          <c:w val="0.8497928659539473"/>
          <c:h val="0.70369804400978"/>
        </c:manualLayout>
      </c:layout>
      <c:lineChart>
        <c:varyColors val="0"/>
        <c:ser>
          <c:idx val="0"/>
          <c:order val="0"/>
          <c:tx>
            <c:strRef>
              <c:f>'График оплат'!$B$1</c:f>
            </c:strRef>
          </c:tx>
          <c:spPr>
            <a:ln cmpd="sng">
              <a:solidFill>
                <a:srgbClr val="4285F4"/>
              </a:solidFill>
            </a:ln>
          </c:spPr>
          <c:marker>
            <c:symbol val="none"/>
          </c:marker>
          <c:cat>
            <c:strRef>
              <c:f>'График оплат'!$A$2:$A$1000</c:f>
            </c:strRef>
          </c:cat>
          <c:val>
            <c:numRef>
              <c:f>'График оплат'!$B$2:$B$1000</c:f>
              <c:numCache/>
            </c:numRef>
          </c:val>
          <c:smooth val="0"/>
        </c:ser>
        <c:axId val="303832410"/>
        <c:axId val="592607660"/>
      </c:lineChart>
      <c:catAx>
        <c:axId val="303832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Предполагаемая 
Даты оплаты</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2607660"/>
      </c:catAx>
      <c:valAx>
        <c:axId val="592607660"/>
        <c:scaling>
          <c:orientation val="minMax"/>
          <c:max val="1.0E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из Остаток</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3832410"/>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752475</xdr:colOff>
      <xdr:row>0</xdr:row>
      <xdr:rowOff>352425</xdr:rowOff>
    </xdr:from>
    <xdr:ext cx="12068175" cy="4876800"/>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P498" sheet="Оплата объектов"/>
  </cacheSource>
  <cacheFields>
    <cacheField name="УИН">
      <sharedItems containsBlank="1" containsMixedTypes="1" containsNumber="1" containsInteger="1">
        <n v="1.0"/>
        <s v="ИТОГО"/>
        <s v="1000004745.5327935684"/>
        <s v="1000003937.1000004803"/>
        <s v="1000003985.1000004851"/>
        <s v="1000003675.1000004539"/>
        <s v="1000004062.1000004938"/>
        <s v="1000002771.1000003461"/>
        <s v="1000002770.1000003460"/>
        <s v="1000002767.1000003457"/>
        <s v="1000004219.1000005135"/>
        <s v="4036450991.4036451211"/>
        <s v="1000004640.5327935557"/>
        <s v="1000004851.5327935896"/>
        <s v="1000009842.5327941644"/>
        <s v="1000004515.5327935426"/>
        <s v="1000004516.5327935427"/>
        <s v="1000001486.1000001395"/>
        <s v="1000004801.5327935840"/>
        <s v="1000004081.1000004957"/>
        <m/>
        <s v="1000004804.5327935843"/>
        <s v="1000004810.5327935849"/>
        <s v="1000004802.5327935841"/>
        <s v="1000004513.5327935424"/>
        <s v="1000004174.1000005068"/>
        <s v="1000003984.1000004850"/>
        <s v="1000000902.1000000587"/>
        <s v="1000005622.5327937029"/>
        <s v="1000004360.1000005357"/>
        <s v="1000004352.1000005344"/>
        <s v="1000004916.5327936004"/>
        <s v="4036470831.4036471081"/>
        <s v="1000004638.5327935555"/>
        <s v="1000004530.5327935441"/>
        <s v="1000004460.5327935369"/>
        <s v="1000003881.1000004747"/>
        <s v="1000004713.5327935641"/>
        <s v="1000003983.1000004849"/>
        <s v="4036517181.4036517411"/>
        <s v="6068648911.6068649151"/>
        <s v="6068649261.6068649501"/>
        <s v="6068649611.6068649851"/>
        <s v="6068648551.6068648801"/>
        <s v="1000004693.5327935621"/>
        <s v="1000004462.5327935371"/>
        <s v="4036485401.4036485611"/>
        <s v="4036554811.4036555021"/>
        <s v="1000003865.1000004731"/>
        <s v="4036493601.4036493811"/>
        <s v="4036524811.4036525021"/>
        <s v="4036452661.4036452871"/>
        <s v="4036465361.4036465571"/>
        <s v="1000004058.1000004933"/>
        <s v="1000000726.1000000396"/>
        <s v="1000003575.1000004374"/>
        <s v="1000003579.1000004378"/>
        <s v="1000003580.1000004379"/>
        <s v="1000003582.1000004381"/>
        <s v="1000003584.1000004383"/>
        <s v="1000003581.1000004380"/>
        <s v="1000004845.5327935890"/>
        <s v="1000004843.5327935888"/>
        <s v="1000003578.1000004377"/>
        <s v="1000003583.1000004382"/>
        <s v="1000004450.5327935358"/>
        <s v="1000004083.1000004959"/>
        <s v="4036510481.4036510711"/>
        <s v="1000003576.1000004375"/>
        <s v="4036503591.4036503841"/>
        <s v="1000004327.1000005318"/>
        <s v="1000004328.1000005319"/>
        <s v="1000004396.1000005422"/>
        <s v="1000003658.1000004522"/>
        <s v="4035945181.4035945351"/>
        <s v="1000008996.5327940612"/>
        <s v="1000004175.1000005069"/>
        <s v="1000004663.5327935581"/>
        <s v="1000004676.5327935596"/>
        <s v="1000004432.5327935340"/>
        <s v="4036472001.4036472231"/>
        <s v="1000003646.1000004507"/>
        <s v="1000004517.5327935428"/>
        <s v="1000002844.1000003588"/>
        <s v="1000004453.5327935362"/>
        <s v="1000000938.1000000625"/>
        <s v="1000003998.1000004864"/>
        <s v="1000004000.1000004866"/>
        <s v="1000004852.5327935897"/>
        <s v="1000003996.1000004862"/>
        <s v="1000004597.5327935512"/>
        <s v="1000004070.1000004946"/>
        <s v="1000005173.5327936565"/>
        <s v="1000000880.1000000565"/>
        <s v="1000004187.1000005081"/>
        <s v="1000004180.1000005074"/>
        <s v="1000004231.1000005147"/>
        <s v="1000004008.1000004874"/>
        <s v="1000004093.1000004969"/>
        <s v="1000003995.1000004861"/>
        <s v="1000003952.1000004818"/>
        <s v="1000004016.1000004882"/>
        <s v="1000004350.1000005342"/>
        <s v="1000004351.1000005343"/>
        <s v="1000003571.1000004369"/>
        <s v="1000003572.1000004370"/>
        <s v="1000003975.1000004841"/>
        <s v="1000003648.1000004509"/>
        <s v="1000003647.1000004508"/>
        <s v="1000003973.1000004839"/>
        <s v="1000004278.1000005217"/>
        <s v="1000004641.5327935558"/>
        <s v="1000004281.1000005220"/>
        <s v="1000004639.5327935556"/>
        <s v="1000003963.1000004829"/>
        <s v="1000000808.1000000489"/>
        <s v="1000002866.1000003615"/>
        <s v="1000004020.1000004886"/>
        <s v="1000004458.5327935367"/>
        <s v="1000003965.1000004831"/>
        <s v="1000004844.5327935889"/>
        <s v="1000004568.5327935482"/>
        <s v="1000000801.1000000482"/>
        <s v="1000001803.1000001890"/>
        <s v="1000003953.1000004819"/>
        <s v="1000003852.1000004718"/>
        <s v="8349299111.8349299431"/>
        <s v="1000003664.1000004528"/>
        <s v="1000003660.1000004524"/>
        <s v="1000004091.1000004967"/>
        <s v="4035769611.4035769801"/>
        <s v="1000004398.1000005426"/>
        <s v="1000004399.1000005427"/>
        <s v="1000004401.1000005429"/>
        <s v="1000004397.1000005425"/>
        <s v="1000003997.1000004863"/>
        <s v="1000001459.1000001351"/>
        <s v="1000004452.5327935361"/>
        <s v="1000004056.1000004931"/>
        <s v="1000004025.1000004891"/>
        <s v="1000003889.1000004755"/>
        <s v="1000004923.5327936011"/>
        <s v="1000003596.1000004398"/>
        <s v="1000003938.1000004804"/>
        <s v="1000003944.1000004810"/>
        <s v="1000004060.1000004935"/>
        <s v="1000004510.5327935421"/>
        <s v="1000001747.1000001732"/>
        <s v="1000004431.5327935339"/>
        <s v="1000004014.1000004880"/>
        <s v="1000004282.1000005223"/>
        <s v="1000004524.5327935435"/>
        <s v="1000004688.5327935616"/>
        <s v="1000004087.1000004963"/>
        <s v="1000004015.1000004881"/>
        <s v="1000004454.5327935363"/>
        <s v="1000004656.5327935574"/>
        <s v="1000004657.5327935575"/>
        <s v="1000004658.5327935576"/>
        <s v="1000001809.1000001899"/>
        <s v="1000004512.5327935423"/>
        <s v="4036526031.4036526261"/>
        <s v="1000004696.5327935624"/>
        <s v="1000003570.1000004368"/>
        <s v="1000004514.5327935425"/>
        <s v="4036447661.4036447891"/>
        <s v="1000003574.1000004373"/>
        <s v="1000004660.5327935578"/>
        <s v="1000004007.1000004873"/>
        <s v="1000004092.1000004968"/>
        <s v="1000004340.1000005332"/>
        <s v="1000003597.1000004400"/>
        <s v="1000003669.1000004533"/>
        <s v="1000004349.1000005341"/>
        <s v="1000004395.1000005421"/>
        <s v="8401278341.8401278621"/>
        <s v="1000004563.5327935477"/>
        <s v="8421058841.8421059171"/>
        <s v="1000004720.5327935655"/>
        <s v="1000004721.5327935656"/>
        <s v="1000004576.5327935490"/>
        <s v="1000004518.5327935429"/>
        <s v="1000004922.5327936010"/>
        <s v="1000004337.1000005329"/>
        <s v="1000004494.5327935405"/>
        <s v="1000004303.1000005292"/>
        <s v="1000001795.1000001882"/>
        <s v="1000004919.5327936007"/>
        <s v="1000002858.1000003605"/>
        <s v="1000004503.5327935414"/>
        <s v="1000004504.5327935415"/>
        <s v="1000004534.5327935446"/>
        <s v="1000004533.5327935445"/>
        <s v="1000004532.5327935444"/>
        <s v="1000004511.5327935422"/>
        <s v="1000003882.1000004748"/>
        <s v="1000004205.1000005121"/>
        <s v="1000004904.5327935989"/>
        <s v="1000003661.1000004525"/>
        <s v="1000004582.5327935496"/>
        <s v="1000003657.1000004521"/>
        <s v="1000004932.5327936037"/>
        <s v="1000004177.1000005071"/>
        <s v="1000004001.1000004867"/>
        <s v="1000001786.1000001872"/>
        <s v="1000004921.5327936009"/>
        <s v="1000004388.1000005409"/>
        <s v="1000004469.5327935378"/>
        <s v="1000004484.5327935393"/>
        <s v="8421056411.8421056681"/>
        <s v="1000003668.1000004532"/>
        <s v="1000000897.1000000582"/>
        <s v="1000004694.5327935622"/>
        <s v="1000003666.1000004530"/>
        <s v="1000004335.1000005327"/>
        <s v="1000003676.1000004540"/>
        <s v="1000004333.1000005324"/>
        <s v="1000003990.1000004856"/>
        <s v="1000004468.5327935377"/>
        <s v="1000004011.1000004877"/>
        <s v="1000004659.5327935577"/>
        <s v="1000004413.5327935310"/>
        <s v="1000003667.1000004531"/>
        <s v="1000004214.1000005130"/>
        <s v="1000004917.5327936005"/>
        <s v="1000004573.5327935487"/>
        <s v="1000004436.5327935344"/>
        <s v="1000004224.1000005140"/>
        <s v="1000001483.1000001392"/>
        <s v="1000004661.5327935579"/>
        <s v="1000001488.1000001397"/>
        <s v="1000004451.5327935359"/>
        <s v="Да"/>
        <s v="1000004188.1000005082"/>
        <s v="1000002798.1000003539"/>
        <s v="1000004574.5327935488"/>
        <s v="1000004390.1000005411"/>
        <s v="1000003863.1000004729"/>
        <s v="1000004712.5327935640"/>
        <s v="1000004408.5327935305"/>
        <s v="1000004326.1000005317"/>
        <s v="1000003674.1000004538"/>
        <s v="4036143051.4036143281"/>
        <s v="1000002839.1000003583"/>
        <s v="1000004575.5327935489"/>
        <s v="1000004059.1000004934"/>
        <s v="1000004840.5327935885"/>
        <s v="1000004404.1000005432"/>
        <s v="1000003992.1000004858"/>
        <s v="1000004581.5327935495"/>
        <s v="1000004715.5327935643"/>
        <s v="1000003880.1000004746"/>
        <s v="1000004699.5327935627"/>
        <s v="1000004945.5327936061"/>
        <s v="4644302971.4644303171"/>
        <s v="1000004710.5327935638"/>
        <s v="1000004746.5327935685"/>
        <s v="1000004708.5327935636"/>
        <s v="1000004709.5327935637"/>
        <s v="1000004698.5327935626"/>
        <s v="1000004697.5327935625"/>
        <s v="1000004654.5327935572"/>
        <s v="1000004722.5327935657"/>
        <s v="1000004085.1000004961"/>
        <s v="1000001753.1000001754"/>
        <s v="1000000862.1000000545"/>
        <s v="1000000869.1000000552"/>
        <s v="1000000867.1000000550"/>
        <s v="1000000870.1000000553"/>
        <s v="1000003642.1000004503"/>
        <s v="8349305111.8349305381"/>
        <s v="8401466681.8401466961"/>
        <s v="1000004602.5327935517"/>
        <s v="1000003864.1000004730"/>
        <s v="1000002834.1000003578"/>
        <s v="1000000866.1000000549"/>
        <s v="1000000868.1000000551"/>
        <s v="1000001755.1000001766"/>
        <s v="1000003641.1000004502"/>
        <s v="1000000865.1000000548"/>
        <s v="1000000873.1000000556"/>
        <s v="1000000863.1000000546"/>
        <s v="1000004229.1000005145"/>
        <s v="1000004342.1000005334"/>
        <s v="1000004457.5327935366"/>
        <s v="1000003677.1000004541"/>
        <s v="8534499291.8534499531"/>
        <s v="1000004406.5327935303"/>
        <s v="1000004684.5327935608"/>
        <s v="1000004334.1000005325"/>
        <s v="1000004467.5327935376"/>
        <s v="1000004354.1000005348"/>
        <s v="1000004598.5327935513"/>
        <s v="1000004344.1000005336"/>
        <s v="1000004509.5327935420"/>
        <s v="8406119881.8406125431"/>
        <s v="1000004300.1000005275"/>
        <s v="1000004655.5327935573"/>
        <s v="1000009002.5327940618"/>
        <s v="1000005177.5327936569"/>
        <s v="1000004154.1000005048"/>
        <s v="1000003644.1000004505"/>
        <s v="1000004825.5327935867"/>
        <s v="1000004311.1000005300"/>
        <s v="1000004312.1000005301"/>
        <s v="1000004686.5327935614"/>
        <s v="1000004094.1000004970"/>
        <s v="1000004313.1000005302"/>
        <s v="1000004314.1000005303"/>
        <s v="1000004444.5327935352"/>
        <s v="1000001185.1000000971"/>
        <s v="1000001177.1000000963"/>
        <s v="1000001482.1000001391"/>
        <s v="1000004096.1000004972"/>
        <s v="1000004445.5327935353"/>
        <s v="1000004325.1000005316"/>
        <s v="1000004593.5327935508"/>
        <s v="1000004578.5327935492"/>
        <s v="1000004596.5327935511"/>
        <s v="1000004599.5327935514"/>
        <s v="1000004600.5327935515"/>
        <s v="1000001485.1000001394"/>
        <s v="1000004347.1000005339"/>
        <s v="1000004579.5327935493"/>
        <s v="1000004443.5327935351"/>
        <s v="1000004357.1000005351"/>
        <s v="1000004611.5327935526"/>
        <s v="1000004591.5327935506"/>
        <s v="1000004592.5327935507"/>
        <s v="1000004612.5327935528"/>
        <s v="1000004714.5327935642"/>
        <s v="1000004095.1000004971"/>
        <s v="1000004233.1000005149"/>
        <s v="1000004603.5327935518"/>
        <s v="1000004604.5327935519"/>
        <s v="1000004605.5327935520"/>
        <s v="1000004607.5327935522"/>
        <s v="1000004608.5327935523"/>
        <s v="1000004595.5327935510"/>
        <s v="1000004456.5327935365"/>
        <s v="1000004470.5327935379"/>
        <s v="1000002808.1000003549"/>
        <s v="1000003931.1000004797"/>
        <s v="1000003890.1000004756"/>
        <s v="1000004848.5327935893"/>
        <s v="1000004827.5327935869"/>
        <s v="1000004706.5327935634"/>
        <s v="1000004674.5327935594"/>
        <s v="1000004857.5327935904"/>
        <s v="1000004026.1000004892"/>
        <s v="1000004925.5327936013"/>
        <s v="1000004920.5327936008"/>
        <s v="1000003883.1000004749"/>
        <s v="1000003856.1000004722"/>
        <s v="1000003874.1000004740"/>
        <s v="1000004829.5327935872"/>
        <s v="1000003885.1000004751"/>
        <s v="1000003662.1000004526"/>
        <s v="1000004653.5327935570"/>
        <s v="1000004455.5327935364"/>
        <s v="1000004353.1000005347"/>
        <s v="1000004017.1000004883"/>
        <s v="1000004610.5327935525"/>
        <s v="1000004572.5327935486"/>
        <s v="4036567251.4036567481"/>
        <s v="4036479591.4036479821"/>
        <s v="1000004013.1000004879"/>
        <s v="1000000912.1000000597"/>
        <s v="1000004403.1000005431"/>
        <s v="1000004324.1000005315"/>
        <s v="1000003982.1000004848"/>
        <s v="1000003915.1000004781"/>
        <s v="1000004221.1000005137"/>
        <s v="1000001804.1000001891"/>
        <s v="1000004414.5327935312"/>
        <s v="1000005178.5327936570"/>
        <s v="8699295451.8699295801"/>
        <s v="1000004409.5327935306"/>
        <s v="1000004849.5327935894"/>
        <s v="1000003929.1000004795"/>
        <s v="1000004689.5327935617"/>
        <s v="4036051331.4036051511"/>
        <s v="1000000903.1000000588"/>
        <s v="1000003930.1000004796"/>
        <s v="1000003884.1000004750"/>
        <s v="1000004856.5327935903"/>
        <s v="1000004339.1000005331"/>
        <s v="1000004407.5327935304"/>
        <s v="1000002877.1000003629"/>
        <s v="1000004662.5327935580"/>
        <s v="1000004950.5327936078"/>
        <s v="1000004463.5327935372"/>
        <s v="1000004084.1000004960"/>
        <s v="1000003951.1000004817"/>
        <s v="1000004322.1000005313"/>
        <s v="1000004826.5327935868"/>
        <s v="1000004022.1000004888"/>
        <s v="1000004315.1000005305"/>
        <s v="1000004528.5327935439"/>
        <s v="1000004461.5327935370"/>
        <s v="1000004226.1000005142"/>
        <s v="1000004464.5327935373"/>
        <s v="1000004570.5327935484"/>
        <s v="1000004331.1000005322"/>
        <s v="1000004569.5327935483"/>
        <s v="1000004682.5327935602"/>
        <s v="1000004072.1000004948"/>
        <s v="1000001782.1000001868"/>
        <s v="1000001780.1000001866"/>
        <s v="1000004828.5327935870"/>
        <s v="1000004356.1000005350"/>
        <s v="1000004471.5327935380"/>
        <s v="1000004677.5327935597"/>
        <s v="1000004345.1000005337"/>
        <s v="1000004466.5327935375"/>
        <s v="1000004050.1000004925"/>
        <s v="1000004225.1000005141"/>
        <s v="1000004675.5327935595"/>
        <s v="1000000892.1000000577"/>
        <s v="1000000894.1000000579"/>
        <s v="1000000879.1000000564"/>
        <s v="1000000898.1000000583"/>
        <s v="1000000910.1000000595"/>
        <s v="1000000909.1000000594"/>
        <s v="1000000907.1000000592"/>
        <s v="1000003868.1000004734"/>
        <s v="1000004473.5327935382"/>
        <s v="1000003564.1000004362"/>
        <s v="1000003563.1000004361"/>
        <s v="1000000900.1000000585"/>
        <s v="1000003891.1000004757"/>
        <s v="1000003870.1000004736"/>
        <s v="1000004052.1000004927"/>
        <s v="1000004227.1000005143"/>
        <s v="1000003875.1000004741"/>
        <s v="8421058451.8421058731"/>
        <s v="1000005176.5327936568"/>
        <s v="1000004343.1000005335"/>
        <s v="1000005179.5327936571"/>
        <s v="1000003595.1000004397"/>
        <s v="4036077631.4036077871"/>
        <s v="1000004222.1000005138"/>
        <s v="1000004405.5327935302"/>
        <s v="1000004705.5327935633"/>
        <s v="1000004330.1000005321"/>
        <s v="1000004652.5327935569"/>
        <s v="1000004446.5327935354"/>
        <s v="1000003924.1000004790"/>
        <s v="1000004329.1000005320"/>
        <s v="1000004348.1000005340"/>
        <s v="4036463331.4036463601"/>
        <s v="1000004332.1000005323"/>
        <s v="1000004341.1000005333"/>
        <s v="1000004704.5327935632"/>
        <s v="1000004449.5327935357"/>
        <s v="1000004338.1000005330"/>
        <s v="1000004039.1000004914"/>
        <s v="1000004040.1000004915"/>
        <s v="1000004041.1000004916"/>
        <s v="1000004043.1000004918"/>
        <s v="8406187951.8406193471"/>
        <s v="1000004448.5327935356"/>
        <s v="1000004217.1000005133"/>
        <s v="1000004218.1000005134"/>
        <s v="1000004223.1000005139"/>
        <s v="1000004232.1000005148"/>
        <s v="1000001732.1000001716"/>
        <s v="1000001734.1000001718"/>
        <s v="1000001731.1000001715"/>
        <s v="1000001730.1000001714"/>
        <s v="1000003993.1000004859"/>
        <s v="1000003849.1000004715"/>
        <s v="1000003958.1000004824"/>
        <s v="1000004234.1000005154"/>
        <s v="1000003994.1000004860"/>
        <s v="1000003850.1000004716"/>
        <s v="1000002800.1000003541"/>
        <s v="1000004336.1000005328"/>
        <s v="1000004257.1000005186"/>
        <s v="1000002806.1000003547"/>
        <s v="1000002805.1000003546"/>
        <s v="1000004259.1000005188"/>
        <s v="1000004261.1000005190"/>
        <s v="1000004260.1000005189"/>
        <s v="1000002801.1000003542"/>
        <s v="4036488481.4036488691"/>
        <s v="1000004051.1000004926"/>
        <s v="1000003893.1000004759"/>
        <s v="1000009007.5327940627"/>
        <s v="1000004434.5327935342"/>
        <s v="1000004683.5327935605"/>
        <s v="1000004355.1000005349"/>
        <s v="1000002876.1000003628"/>
        <s v="8589578611.8589578881"/>
        <s v="1000004258.1000005187"/>
        <s v="8589578221.8589578501"/>
        <s v="8589580581.8589580911"/>
      </sharedItems>
    </cacheField>
    <cacheField name="ОМСУ">
      <sharedItems containsBlank="1" containsMixedTypes="1" containsNumber="1" containsInteger="1">
        <n v="2.0"/>
        <m/>
        <s v="Люберцы"/>
        <s v="Одинцовский"/>
        <s v="Солнечногорск"/>
        <s v="Ступино"/>
        <s v="Чехов"/>
        <s v="Балашиха"/>
        <s v="Богородский"/>
        <s v="Коломна"/>
        <s v="Наро-Фоминский"/>
        <s v="Домодедово"/>
        <s v="Шатура"/>
        <s v="Бронницы"/>
        <s v="Власиха"/>
        <s v="Волоколамский"/>
        <s v="Дмитровский"/>
        <s v="Павлово-Посадский"/>
        <s v="ГКУ МО МОС АВС"/>
        <s v="Лыткарино"/>
        <s v="Егорьевск"/>
        <s v="Сергиево-Посадский"/>
        <s v="Дзержинский"/>
        <s v="Кашира"/>
        <s v="Талдомский"/>
        <s v="Дубна"/>
        <s v="Пушкинский"/>
        <s v="Подольск"/>
        <s v="Лосино-Петровский"/>
        <s v="Можайский (АО МОСОБЛТЕПЛО)"/>
        <s v="Щёлково"/>
        <s v="Котельники"/>
        <s v="Долгопрудный"/>
        <s v="Лотошино"/>
        <s v="Серебряные Пруды"/>
        <s v="Жуковский"/>
        <s v="Звёздный городок"/>
        <s v="Истра"/>
        <s v="Краснознаменск"/>
        <s v="Королёв"/>
        <s v="Ленинский"/>
        <s v="Зарайск"/>
        <s v="Черноголовка"/>
        <s v="Электросталь"/>
        <s v="Луховицы"/>
        <s v="Рузский"/>
        <s v="Реутов"/>
        <s v="Серпухов"/>
        <s v="Фрязино"/>
        <s v="Шаховская"/>
      </sharedItems>
    </cacheField>
    <cacheField name="Мероприятие">
      <sharedItems containsBlank="1" containsMixedTypes="1" containsNumber="1" containsInteger="1">
        <n v="3.0"/>
        <m/>
        <s v="Строительство блочно-модульной котельной мощностью 31,7 Мвт по адресу: Московская область, г. Люберцы, ул. Попова, около дом д. 12 (в т.ч. ПИР)"/>
        <s v="Реконструкция котельной №1 c установкой дополнительного котла на 5 МВт по адресу: Московская область, Одинцовский г.о., г. Звенигород, ул. Нахабинское шоссе д.2 (в т.ч. ПИР)"/>
        <s v="Реконструкция котельной № 271 (Выстрел) по адресу: Московская область, г.о. Солнечногорск (в т.ч. ПИР)"/>
        <s v="Капитальный ремонт участков тепловых сетей от котельной ТЭЦ-17 (от ТК94 до ТК107) по адресу: Московская область, г.о. Ступино, от пр-т Победы по ул. Горького (в т.ч. ПИР)"/>
        <s v="Реконструкция котельной № 4 по адресу: Московская область, г.о. Чехов, ул. Гагарина, стр.42б (в т.ч. ПИР)"/>
        <s v="Строительство участков тепловой сети от котельной 2-33 до котельной 2-35 (перемычка) (в т.ч. ПИР) г.о. Балашиха"/>
        <s v="Строительство участков тепловой сети от котельной 2-22 до ГТУ ТЭЦ АО «МОЭГ» (перемычка), в т.ч. ПИР в г.о. Балашиха"/>
        <s v="Капитальный ремонт участков тепловых сетей от Котельной 2-35 (магистральная теплотрасса от кот. 35 до мкр. Кучино (участки 1-2, 3-4, 5-6, 7-8), УТ-8) ( в т.ч. ПИР) в г.о. Балашиха"/>
        <s v="Строительство участка тепловой сети между тепловыми сетями ГТУ ТЭЦ АО &quot;МОЭГ&quot; и котельной АО &quot;ЕСЭ-Кубань&quot; по адресу: Московская область, г.о. Балашиха, на перекрестке ул. Корнилаева с ул. Струве от ТК1-а до ТК1-б (в т.ч. ПИР)"/>
        <s v="Строительство тепловой сети от п. Зеленый до мкр. 30 км д. Щемилово Богородского городского округа Московской области"/>
        <s v="Капитальный ремонт участков тепловых сетей по адресу: Московская обл., г.о.Коломна, п.Сергиевский (в т.ч. ПИР)"/>
        <s v="Капитальный ремонт котельной № 13 по адресу: г. Наро-Фоминск, ул. Полубоярова (в т.ч. ПИР)"/>
        <s v="Капитальный ремонт котельных, ЦТП, сетей теплоснабжения и ГВС в муниципальном округе Чехов Московской области"/>
        <s v="Капитальный ремонт участков тепловых сетей в от ЦТП-1 котельной &quot;Заречье&quot; по ул. Декабристов, ул. 28 Июня, ул. Белякова в г. Ногинск, г.о. Богородский: от ЦТП-1 до ТК-1; от ТК-1 до ТК-2; от ТК-2 до ж.д. №1 по ул. 28 Июня; транзит в ж.д. №1 по ул. 28 Июня;"/>
        <s v="Капитальный ремонт участков тепловых сетей от ЦТП-2 котельной &quot;Заречье&quot; по ул. Декабристов, ул. 28 Июня, в г. Ногинск, г.о. Богородский: от ЦТП-2 до ТК-1; от ТК-1 до ТК-2; от ТК-2 до ж.д. №7 по ул. 28 Июня; от ТК-2 до ж.д. №9 по ул. Декабристов; от ТК-1 д"/>
        <s v="Реконструкция тепловой сети котельной г. Домодедово, мкр. Центральный: &quot;25 лет Октября&quot;, ул. Корнеева, ул. Каширское шоссе (в т.ч. ПИР)"/>
        <s v="Капитальный ремонт ЦТП котельной №2» (в части замены трубной части подогревателей, замены сетевых насосов) по адресу: Московская область, Богородский городской округ, р.п. Обухово, ул. Комбинат, д. 21а (в т.ч. ПИР)"/>
        <s v="Капитальный ремонт котельной &quot;Климова-2&quot; (в части замены котла) по адресу: Московская область, г.о. Богородский, г. Ногинск, ул. Климова, д.42г (в т.ч. ПИР)"/>
        <s v="Капитальный ремонт котельной «Воровского» (в части замены трубной части подогревателей, замены сетевого насоса) по адресу: Московская область, Богородский городской округ, р.п. Воровского, ул. Мира, д. 1а (в т.ч. ПИР)"/>
        <s v="Капитальный ремонт котельной «Фабрика» (в части замены трубной части подогревателей, капитального ремонта котла) по адресу: Московская область, Богородский городской округ, д. Большое Буньково, мкр. Фабрики (в т.ч. ПИР)"/>
        <s v="Капитальный ремонт котельной № 2 (в части капитального ремонта котла, капитального ремонта кровли) по адресу: Московская область, Богородский городской округ, р.п. Обухово, ул. Комбинат, д. 21а (в т.ч. ПИР)"/>
        <s v="Капитальный ремонт участков тепловых сетей по адресу: Московская область, г.о. Богородский, р.п. Обухово, ул. Энтузиастов: от ТК-14 до ТК-14а; от ТК-16 до ТК-17 (в т.ч. ПИР)"/>
        <s v="Капитальный ремонт котельной &quot;Климова-0&quot; по адресу: Московская область, г.о. Богородский, г. Ногинск, ул. Климова, д. 42г (в т.ч. ПИР)"/>
        <s v="Строительство БМК мощностью 15 МВт по адресу: Московская область, г.о. Шатура, п. Шатурторф (в т.ч. ПИР)"/>
        <s v="Капитальный ремонт сетей теплоснабжения и ГВС в р.п.Менделеево (в т.ч. ПИР+СМР)"/>
        <s v="Капитальный ремонт котельной № 405 «ДКВР» по адресу: Московская область, г. Бронницы, ул. Красная, военный городок 11/1 (в т.ч. ПИР)"/>
        <s v="Капитальный ремонт участков тепловых сетей от Котельной №3 по адресу: Московская область, г.о. Власиха: от МКД ул. Маршала Жукова д.22 до МКД ул. Маршала Жукова д.21, от ТК-2 до ТК-4, от опуска сети в землю до ввода в служебное здание №1 (в т.ч. ПИР)"/>
        <s v="Капитальный ремонт участков тепловой сети по адресу: Московская область, Волоколамский г.о., п.Сычево ТК 1- ТК 32 (в т.ч. ПИР)"/>
        <s v="Строительство БМК по адресу: Московская область, Дмитровский г.о., р.п. Икша, ул. Рабочая (в т.ч. ПИР)"/>
        <s v="Строительство блочно-модульной котельной (БМК), расположенная по адресу: Московская область, городской округ Шатура, поселок Радовицкий, ул. Спортивная, д. 13 (в том числе ПИР и ТП)"/>
        <s v="Реконструкция котельной № 27 по адресу: Московская область, г.о. Чехов, п. Новый Быт, ул. НАТИ, стр. 10-1 (в т.ч. ПИР)"/>
        <s v="Реконструкция участков тепловых сетей и сетей ГВС от котельной &quot;Городок&quot; по адресу: Московская область, г.о.Павловский Посад, ул. Городковская, 73а корп.30, до тепловой камеры ТК-1Г (в т.ч. ПИР)"/>
        <s v="Реконструкция участков тепловых сетей по адресу: Московская область, Одинцовский г.о., пос. Старый Городок (в т.ч. ПИР)"/>
        <s v="Строительство блочного теплового пункта котельной №2 по адресу: Московская область, г.о. Власиха (в т.ч. ПИР)"/>
        <s v="Реконструкция участка тепловой сети по адресу: Московская область, г.о. Власиха, от ул. Заозерная д. 15 до ДС № 5 Звездочка (в т.ч. ПИР)"/>
        <s v="Строительство БМК по адресу: Московская область, Дмитровский г.о., п.Автополигон (в т.ч. ПИР)"/>
        <s v="Строительство котельной для жилого дома по адресу: Московская область, г. Волоколамск, ул. Северное шоссе, д.12"/>
        <s v="Капитальный ремонт тепловых сетей г. Волоколамск (в т.ч. ПИР)"/>
        <s v="Капитальный ремонт тепловых сетей с. Осташево (в т.ч. ПИР)"/>
        <s v="Капитальный ремонт тепловых сетей с. Ярополец (в т.ч. ПИР)"/>
        <s v="Капитальный ремонт тепловых сетей с. Ивановское (в т.ч. ПИР)"/>
        <s v="Строительство БМК на 7,5 МВт по адресу: Московская область, г.о. Люберцы, д. Марусино, в районе домов ул. Заречная д. 25а (в т.ч. ПИР)"/>
        <s v="Капитальный ремонт участков тепловых сетей от ЦТП Северо-Западный г.о.Ступино (от ЦТП Северо-Западный до ТК-97, ТК-271, ТК-303, ТК-270) (в т.ч. ПИР)"/>
        <s v="Строительство блочно-модульной котельной для ГКУЗ Московской области &quot;Детский бронхолегочный санаторий &quot;Озерский&quot; по адресу: Озерский район, пл. Карла Маркса, д. 11 (в т.ч. ПИР)"/>
        <s v="Строительство блочно-модульной котельной для ГКУЗ Московской области &quot;Детский бронхолегочный санаторий &quot;Озерский&quot; по адресу: Озерский район, ул. Крюкова, д. 26 (в т.ч. ПИР)"/>
        <s v="Капитальный ремонт участков тепловых сетей от котельной № 1 по адресу: Московская область, г.о. Лыткарино, квартал 2, мкр.5, стр.5а (от ТК-302а до ТК-11) (в т.ч. ПИР)"/>
        <s v="Строительство блочно-модульной котельной для ГАУ СО Московской области &quot;Ступинский комплексный центр социального обслуживания населения&quot; по адресу: Ступинский муниципальный район, с. Липитино, ул. Клубная (в т.ч. ПИР)"/>
        <s v="Строительство блочно-модульной котельной для ГБСУ СО Московской области &quot;Денежниковский психоневрологический интернат&quot; по адресу: Раменский муниципальный район, п. Денежниково, д. 24 (в т.ч. ПИР)"/>
        <s v="Строительство блочно-модульной котельной для ГБУЗ Московской области &quot;Можайская центральная районная больница&quot;, филиал &quot;Клементьевская участковая больница&quot; по адресу: Можайский муниципальный район, Клементьевское сельское поселение, д. Клементьево (в т.ч."/>
        <s v="Строительство блочно-модульной котельной для ГБУЗ Московской области &quot;Психиатрическая больница N 4&quot; по адресу: Рузский муниципальный район, с. Покровское (Рузский городской округ) (в т.ч. ПИР)"/>
        <s v="Реконструкция Котельной №53 по адресу: Московская область, г.о. Наро-Фоминск, п. Калининец (в т.ч. ПИР)"/>
        <s v="Капитальный ремонт газовой котельной по адресу: Дмитровский г.о., п. Деденево, ул. Набережная, дом 21г, стр.1 (замена котла)"/>
        <s v="Капитальный ремонт тепловой сети по адресу: Московская область, Дмитровский г.о., г. Дмитров, ул. Водников 25 (от котельной до ТК-А2) (у детской поликлиники) (в т.ч. ПИР)"/>
        <s v="Капитальный ремонт участков тепловой сети по адресу: Московская область, Дмитровский г.о., г. Дмитров, ул. Водников , д.27 (от ТК-С20 до ТК-С20в) (в т.ч. ПИР)"/>
        <s v="Капитальный ремонт участков тепловой сети по адресу: Московская область, Дмитровский г.о., г. Дмитров, ул. Водников , д.27 (от ТК-С22 до ТК-С22а) (в т.ч. ПИР)"/>
        <s v="Капитальный ремонт участков тепловой сети по адресу: Московская область, Дмитровский г.о., г. Дмитров, ул. Водников, д. 27 (от ТК-С14 до перехода дороги ул.Комсомольская) (в т.ч. ПИР)"/>
        <s v="Капитальный ремонт участков тепловой сети по адресу: Московская область, Дмитровский г.о., г. Дмитров, ул. Водников, д. 27 (от Садовая 2 до ТК-А1) (в т.ч. ПИР)"/>
        <s v="Капитальный ремонт участков тепловой сети по адресу: Московская область, Дмитровский г.о., г. Дмитров, ул. Водников, д. 27 (от ТК-С1 до ТК-С13а) (в т.ч. ПИР)"/>
        <s v="Капитальный ремонт котельной № 14 по адресу: Наро-Фоминский г.о., г. Апрелевка, ул. Апрелевская, д.65 (в т.ч. ПИР)"/>
        <s v="Капитальный ремонт котельной № 50 (в части замены 3-х котлов и оборудования) по адресу: Московская область, г.о. Наро-Фоминск, р.п. Селятино, ул. Промышленная, зд. 20 (в т.ч. ПИР)"/>
        <s v="Капитальный ремонт участков тепловой сети по адресу: Московская область, Дмитровский г.о., г. Дмитров, ул. Профессиональная (от котельной до ТК-П1 ул.Профессиональная) (в т.ч. ПИР)"/>
        <s v="Капитальный ремонт участков тепловой сети по адресу: Московская область, Дмитровский г.о., г. Дмитров, ул. Водников, д. 27 (от перехода дороги ул.Комсомольская у школы №2 до ТК-С20) (в т.ч. ПИР)"/>
        <s v="Реконструкция тепловых сетей котельной по адресу: Московская обл., Одинцовский г.о., г. Звенигород, ул. Ленина, д.30 ( в т .ч. ПИР)"/>
        <s v="Капитальный ремонт котельной (в части замены насосов, котла ПТВМ с автоматизацией) по адресу: Московская область, г. Егорьевск, Касимовское шоссе, д.3А"/>
        <s v="Строительство котельной №37,п.Сычево,Школьный пр.,д.4, г.о. Волоколамский (в т.ч. ПИР, ТП)"/>
        <s v="Капитальный ремонт тепловой сети по адресу: Московская область, Дмитровский г.о., г. Дмитров, ул. Водников 25 (от ТК-А4 до ТК-А6) (в т.ч. ПИР)"/>
        <s v="Строительство блочно-модульной котельной (БМК), расположенная по адресу: Московская область, городской округ Шатура, поселок Бакшеево, ул. Комсомольская, д. 2 (в том числе ПИР и ТП)"/>
        <s v="Капитальный ремонт участков тепловой сети по адресу: Московская область, Дмитровский г.о., г. Дмитров, ул. Профессиональная (от ТК-П2 до ТК-П3) (в т.ч. ПИР)"/>
        <s v="Капитальный ремонт участков тепловой сети по адресу: Московская область, Дмитровский г.о., г.Дмитров, ул. Профессиональная (от ТК-П3 до ТК-По ул.Оборонная) (в т.ч. ПИР)"/>
        <s v="Капитальный ремонт участков тепловых сетей по адресу: Московская область, Сергиево-Посадский г.о., г. Хотьково, от К-6 на МОПБ № 5 (в т.ч. ПИР)"/>
        <s v="Капитальный ремонт участков тепловых сетей от т.6 до т.46 от ТЭЦ-23 по адресу: Московская область, г.о. Балашиха, мкр. Янтарный, кв. Изумрудный (в т.ч. ПИР)"/>
        <s v="Наружные сети водоснабжения, водоотведения и теплоснабжения г.о. Шатура (реконструкция) ПИР"/>
        <s v="Аварийно-восстановительные работы на теплотрассе от ТЭЦ до центральной бойлерной 120019 в городском округе Дзержинский Московской области (капитальный ремонт, в т.ч. ПИР)"/>
        <s v="Капитальный ремонт участков тепловых сетей от котельной &quot;Заречье&quot; до ЦТП-1 по адресу: Московская область, г.о. Богородский, г. Ногинск, ул. Белякова, д. 2 (в т.ч. ПИР)"/>
        <s v="Капитальный ремонт тепловой сети, от квартальной котельной по адресу: Московская область, г.о. Люберцы, г. Люберцы, пос. Калинина, д.44а, до ЦТП АО «Люберецкая теплосеть» №№ 1, 5, 8, 10, 12, 42, 46 (в т.ч. ПИР)"/>
        <s v="Реконструкция участков тепловых сетей от котельной 90 МВт, расположенной по адресу: Московская область, г.о. Кашира, д. Горки, вдоль улиц Садовая, Кржижановского, 8 Марта, Центральная, Юбилейная, Вахрушева, Масленникова, Клубная (в т.ч. ПИР)"/>
        <s v="Строительство БМК на 6 МВт по адресу: Московская область, г.о. Богородский, г. Ногинск, ул. Жарова (в т.ч. ПИР)"/>
        <s v="Строительство автоматизированной блочно-модульной котельной производительностью 11,0 МВт по адресу: Талдомский район, р.п. Северный, ул. Садовая, д. 12"/>
        <s v="Реконструкция котельной №3 (в части замены котла и установки дополнительного котла) по адресу: Московская область, г.о. Дубна, ул. Тверская, д. 20а (в т.ч. ПИР)"/>
        <s v="Капитальный ремонт участков тепловых сетей по адресу: Московская область, г.о. Богородский, г.Электроугли, мкр. Светлый: от ТК-29 до ТК-33 по ул. Трудовая; от ТК-33 до ТК-36 по ул. Чехова; от ТК-24 до ТК-32; от ТК-6 до ТК-25; от ТК-10 до ТК-17; от ТК-10 д"/>
        <s v="Капитальный ремонт котельной №2 (в части замены и монтажа котлов, насосов, дымовой трубы, резервно-топливного хозяйства, химической водоподготовки, горелок, теплообменников, автоматики и оборудования) по адресу: Московская область, г.о. Пушкинский, п. Лес"/>
        <s v="Реконструкция участков тепловых сетей котельной № 278 по адресу: Московская область, Одинцовский г.о., городок Кубинка-1, Кубинка (в т.ч. ПИР)"/>
        <s v="Аварийно-восстановительные работы сетей теплоснабжения и ГВС в р.п. Менделеево г. о. Солнечногорск"/>
        <s v="Капитальный ремонт котельной (в части замены котла) по адресу: Московская область, Дмитровский г.о., г. Яхрома ул. Ленина (в т.ч. ПИР)"/>
        <s v="Капитальный ремонт котельной (в части замены котла) по адресу: Московская область, Дмитровский г.о., п. опытного хозяйства &quot;Ермолино&quot;, ул. Центральная (в т.ч. ПИР)"/>
        <s v="Капитальный ремонт котельной № 7 (в части замены 2-х котлов и оборудования) по адресу: г. Наро-Фоминск, ул. Ленина (в т.ч. ПИР)"/>
        <s v="Капитальный ремонт котельной &quot;Студенческий проезд&quot; по адресу: Московская область, г.о. Пушкино, Студенческий проезд д.39А (в т.ч. ПИР)"/>
        <s v="Капитальный ремонт участков тепловой сети от котельной по адресу: г.о.Подольск, ул.Гайдара 11, вдоль улиц Высотная, Гайдара, Готвальда, Свердлова, Кирова, Ленинградский пр-д, Юбилейная, Красногвардейский бульвар, Ленинградская (в т.ч. ПИР)"/>
        <s v="Строительство БМК на 6 МВт по адресу: Московская область, г.о. Лосино-Петровский д. Мизиново (в т.ч. ПИР)"/>
        <s v="Капитальный ремонт котельной (в части замены котла) по адресу: Московская область, Дмитровский г.о., п. Новосиньково, д. 79, стр. 1 (в т.ч. ПИР)"/>
        <s v="Капитальный ремонт сетей теплоснабжения пос. Строитель г.о. Можайск (в т.ч. ПИР)"/>
        <s v="Строительство БМК на 12 МВт по адресу: Московская область, г.о. Щелково, п. Фряново, ул. Первомайская (в т.ч. ПИР)"/>
        <s v="Строительство БМК мощностью 6,0 МВт по адресу: Московская область, г.Кашира ул. 1-ая Дзержинская (в т.ч. ПИР)"/>
        <s v="Капитальный ремонт участков тепловых сетей от ЦТП &quot;Ковровый&quot; по адресу: Московская область, г.о. Котельники, мкр.Ковровый, д.47 (от камеры ТКМ Дзержинское ш. д. 4 до тепловой камеры 18 мкр. Ковровый, д. 14), в т.ч. ПИР"/>
        <s v="Капитальный ремонт котельной по адресу: Московская область, г.о. Долгопрудный, ул. Первомайская, д.40 ( в т.ч. ПИР)"/>
        <s v="Капитальный ремонт котельной по адресу: Московская область, г.о. Щелково, Фряновское ш. (в т.ч. ПИР)"/>
        <s v="Капитальный ремонт котельной по адресу: Московская область, г.о.Солнечногорск, п. Миронцево (в т.ч. ПИР)"/>
        <s v="Строительство БМК мощностью 6 МВт по адресу: Московская область, г.о. Ступино, с. Татариново"/>
        <s v="Капитальный ремонт участков тепловых сетей от к.1308/10 до ТК-3 в г.о. Котельники (в т.ч.ПИР)"/>
        <s v="Капитальный ремонт участков тепловых сетей котельной «Бригадная» (в/ч Ильинское) от котельной в направлении ж.д. 50 ул. Бригадная в г.о. Домодедово (в т.ч. ПИР)"/>
        <s v="Капитальный ремонт участков тепловых сетей котельной «Бригадная» (в/ч Ильинское) к ж.д. 105, 106, 107, 108, 109, 110, объектам в/ч в г.о. Домодедово (в т.ч. ПИР)"/>
        <s v="Капитальный ремонт участка теплосети по адресу: Московская область, г.о. Дубна, от ул. 9 Мая до ул. Вокзальная, от Павильона задвижек до ЦТП-3 (в т.ч. ПИР)"/>
        <s v="Капитальный ремонт участка теплосети по адресу: Московская область, г.о. Дубна, ул. Вернова, от ул. Промышленная до павильона задвижек (в т.ч. ПИР)"/>
        <s v="Реконструкция котельной №16 по адресу: Московская область, г.о. Лотошино, с.Микулино, ул. Микрорайон, д.19 (в т.ч. ПИР)"/>
        <s v="Капитальный ремонт котельной №1 (в части замены кабеля резервного питания) по адресу: Московская область, г.о. Дубна, ул. Промышленная, д. 6 (в т.ч. ПИР)"/>
        <s v="Капитальный ремонт котельной №1 (в части замены котла) по адресу: Московская область, г.о. Дубна, ул. Промышленная, д. 6 (в т.ч. ПИР)"/>
        <s v="Реконструкция котельной №14 по адресу: Московская область, г.о. Лотошино,д. Михалёво, д.28 (в т.ч. ПИР)"/>
        <s v="Реконструкция участков тепловых сетей по адресу: Московская область, Дмитровский г.о., с. Внуково, д. 127 от котельной до мкр. Внуковский (в т.ч. ПИР)"/>
        <s v="Капитальный ремонт участка теплосети по адресу: Московская область, г.о. Дубна, ул. Энтузиастов, от ТК-44А до ТК-43А (в т.ч. ПИР)"/>
        <s v="Строительство БМК на 3 МВт по адресу: Московская область, Одинцовский г.о., п. ПМС-4 (в т.ч. ПИР)"/>
        <s v="Капитальный ремонт участков тепловых сетей от Котельной &quot;7 квартал&quot; до ул. Смурякова, 16 в г.о. Пушкинский, г. Ивантеевка (в т.ч. ПИР)"/>
        <s v="Реконструкция котельной №4 по адресу: Московская область, г.о. Лотошино, п.Лотошино, ул.Спортивная, д. 9 (в т.ч. ПИР)"/>
        <s v="Капитальный ремонт сетей теплоснабжения п. Рязановский (в т.ч. ПИР)"/>
        <s v="Капитальный ремонт участков тепловых сетей вдоль улицы Октябрьская от ТК-5 до ТК-3 на ж/д 87 ул. Александра Невского от котельной по адресу: Московская область, г. Егорьевск, ул. Парижской Коммуны д. 1б (в т.ч. ПИР)"/>
        <s v="Реконструкция теплосети с. Мочилы"/>
        <s v="Реконструкция участков тепловых сетей по адресу: Московская область, Одинцовский г.о., р.п. Большие Вяземы, ул. Городок 17 (в т.ч. ПИР)"/>
        <s v="Реконструкция котельной №6 по адресу: Московская область, г.о. Лотошино, ул. 2-я Ветеринарная, д.23 (в т.ч. ПИР)"/>
        <s v="Капитальный ремонт котельной № 4 (в части замены 2-х котлов и оборудования) по адресу: г. Наро-Фоминск, ул. Московская, зд. 40 д (в т.ч. ПИР)"/>
        <s v="Строительство теплогенерирующей установки по адресу: Московская область, г.о. Егорьевск, д.Колычево, ул.Зинаиды Самсоновой, участок 34А (в т.ч. ПИР)"/>
        <s v="Капитальный ремонт сетей теплоснабжения с. Починки"/>
        <s v="Капитальный ремонт сетей теплоснабжения п. Новый (в т.ч. ПИР)"/>
        <s v="Строительство БМК на 8 МВт по адресу: Московская область, г.о. Ступино, п. Жилёво, ул. Северная"/>
        <s v="Капитальный ремонт участков тепловых сетей от котельной по адресу: Московская область, г.о. Егорьевск, д. Старое (в т.ч. ПИР)"/>
        <s v="Реконструкция котельной, расположенной по адресу: Московская область, Одинцовский г.о., п. д/х &quot;Жуковка&quot;, Жуковка-2 (в т.ч. ПИР)"/>
        <s v="Реконструкция участков тепловых сетей от котельной МП &quot;Теплоцентраль&quot; (от ТК-1401 до ТК1406) в г.о. Жуковский (в т.ч. ПИР)"/>
        <s v="Капитальный ремонт участков тепловых сетей по адресу: Московская область, г.о. Пушкинский, г. Ивантеевка, Центральный проезд, от ТК-1 до ТК у дома 17 (в т.ч. ПИР)"/>
        <s v="Капитальный ремонт котельной №9 по адресу: Московская область, г.о. Щелково, ул. Механизаторов"/>
        <s v="Капитальный ремонт тепловых сетей и сетей горячего водоснабжения п. ЗАТО Звёздный городок Московской области"/>
        <s v="Капитальный ремонт участков тепловых сетей от котельной по адресу: Московская область, г. Истра, с. Павловская Слобода (в т.ч. ПИР)"/>
        <s v="Капитальный ремонт участков тепловых сетей от котельной по адресу: Московская область, г. Истра, с. Рождествено (в т.ч. ПИР)"/>
        <s v="Капитальный ремонт участков тепловых сетей от котельной по адресу: Московская область, г. Истра, д. Покровское (в т.ч. ПИР)"/>
        <s v="Капитальный ремонт участков тепловых сетей от котельной №8 по адресу: Московская область, г. Дедовск, ул.Гагарина, д.18 (в т.ч. ПИР)"/>
        <s v="Капитальный ремонт котельной по адресу: Московская область, г.Истра, с. Онуфриево (в т.ч. ПИР)"/>
        <s v="Реконструкция сетей теплоснабжения от ул. Клубная до ул. Садовая в мкр. Кашира-2 городского округа Кашира Московской области, (в т.ч. ПИР)"/>
        <s v="Реконструкция участков тепловых сетей котельной по адресу: Московская область, Одинцовский г.о., г. Звенигород, пр-д Ветеранов, д.6 (в т.ч. ПИР)"/>
        <s v="Реконструкция Котельной №42 по адресу: г.о.Коломна, п. Заречный 1,4 МВт со снижением мощности до 1,4 МВт (в т.ч. ПИР)"/>
        <s v="Реконструкция участка тепловой сети по адресу: Московская область, г.о. Краснознаменск, ул. Победы от ТК134 до ТК121 (в т.ч. ПИР)"/>
        <s v="Капитальный ремонт ЦТП № 2А по адресу:Московская область, г.о.Лыткарино, мкр.5, квартал 2, стр.10 (в т.ч. ПИР)"/>
        <s v="Капитальный ремонт котельной «Школьная-2» по адресу: Московская область, г.о. Пушкинский, г. Ивантеевка, ул. Школьная, д.15а (в т.ч. ПИР)"/>
        <s v="Реконструкция котельной по адресу: Московская область, г.о.Солнечногорск, п.Стекольный завод (в т.ч.ПИР)"/>
        <s v="Строительство БМК на 5 МВт по адресу: Московская область, Одинцовский г.о., дер. Хлюпино (в т.ч. ПИР)"/>
        <s v="Реконструкция котельной МОВИР по адресу: Московская область, г.о.Ступино, п.Михнево, ул.Тимирязева, д.1 (в т.ч. ПИР)"/>
        <s v="Реконструкция котельной (в части замены котла) по адресу: Московская область, г.о. Жуковский, ул. Энергетическая, д. 17 (в т.ч. ПИР)"/>
        <s v="Капитальный ремонт участков тепловых сетей от ЦТП № 5 котельной № 2-35 по адресу: г.о. Балашиха, мкр.Павлино, д.34Д на участках: от ЦТП до тепловых вводов потребителей мкр.Павлино, 12 стр.1 (школа № 12), по ул. Горького до ЦТП 8 на участках: от ТК-1 до ЦТ"/>
        <s v="Реконструкция теплосети и ГВС от котельной №2 р.п. Серебряные Пруды (в т.ч. ПИР)"/>
        <s v="Строительство БМК на 2 МВт по адресу: Московская область, г.о. Богородский, г. Электроугли, мкр. Вишняковские Дачи, ул.Длинная (в т.ч. ПИР)"/>
        <s v="Капитальный ремонт участков тепловых сетей от котельной №14 по адресу: Московская область, г.о. Лотошино,д. Михалёво, д.28 (в т.ч. ПИР)"/>
        <s v="Строительство БМК мощностью 4,0 МВт по адресу: Московская область, г. Кашира, ул. Ильича (в т.ч. ПИР)"/>
        <s v="Строительство БМК на 3,4 МВт по адресу: Московская область, Павлово-Посадский г.о., д.Алферово, д.2/1 (в т.ч. ПИР)"/>
        <s v="Реконструкция участков тепловой сети по адресу: Московская область, г.о. Власиха, по ул. Заозерная (перевод потребителей на 2-ой контур отопления) (в т.ч. ПИР)"/>
        <s v="Капитальный ремонт котельной № 5 (в части замены котлов и газогорелочного оборудования) по адресу: Московская область г.о. Чехов, п. Мещерское, стр. 15а (в т.ч. ПИР)"/>
        <s v="Капитальный ремонт участков тепловых сетей от котельной №16 по адресу: Московская область, г.о. Лотошино, с.Микулино, ул.Микрорайон, д.19 (в т.ч. ПИР)"/>
        <s v="Реконструкция участков тепловых сетей по адресу: Московская область, Одинцовский г.о., г. Кубинка, Кубинка-10, в/г 10 (в т.ч. ПИР)"/>
        <s v="Капитальный ремонт участков тепловых сетей по адресу: Московская область, г.о.Коломна, г.Озеры, мкр.1 , 1А, ул. Маршала Катукова, участки от ТК-1 до ТК-2, от ТК-2 до ТК-3, от ТК-34 до ТК-38 (в т.ч. ПИР)"/>
        <s v="Капитальный ремонт участков тепловых сетей по адресу: Московская область, г.о.Коломна, г.Озеры, ул.Ленина, д.73Б по территории ЦРБ (в т.ч. ПИР)"/>
        <s v="Капитальный ремонт участков тепловых сетей от Котельной №7 по адресу: г.о. Коломна, ул.Юбилейная, д.1А, до ЦТП №27 по ул.Цементников, 16а (в т.ч. ПИР)"/>
        <s v="Капитальный ремонт тепловой сети ЦО и ГВС (пр-т Космонавтов) (в т.ч. ПИР)"/>
        <s v="Капитальный ремонт участков тепловых сетей от котельной «Заречье» по адресу: Московская обл., г.о. Богородский, г. Ногинск: от опуска до ТК-9; от ТК-9 до ж.д. №2 корп. 1 по ул. Белякова; от ТК-1 до ТК-2; от ТК-2 до ТК-3; от ТК-3 до ТК-4; от ТК-4 до ТК-5; "/>
        <s v="Строительство БМК, г. Коломна-1, военный городок Сосновый бор, в/ч 17204 (в том числе ПИР)"/>
        <s v="Капитальный ремонт участков тепловых сетей от котельной № 2 г. Кашира, мкр. № 3, ул.Металлургов, д.5а: от ЦТП-1 до ТК ул. Ленина д. 7/3; от ТК ул. Дзержинская до здания ТП школы № 9 (в т.ч. ПИР)"/>
        <s v="Капитальный ремонт участков тепловых сетей от опуска в районе Дзержинского ш. до к.1308/5 ул. 2-й Покровский пр-д в г.о. Котельники (в т.ч.ПИР)"/>
        <s v="Капитальный ремонт участков тепловых сетей по ул. Жарова, ул. 200-летия города, ул. Верхняя, ул. Текстилей в г. Ногинск г.о. Богородский: от территории АО НПО ПРИБОР до ТК -7; от ТК-7 до ж.д. №2 по ул. 200 летия Города; транзит в ж.д. №1 по ул. 200 летия "/>
        <s v="Строительство котельной с наружными сетями теплоснабжения по адресу: Московская область, г. Краснознаменск, в районе ул. Индустриальная, в том числе ПИР и технологическое присоединение"/>
        <s v="Капитальный ремонт участка тепловой по адресу: Московская область, г.о. Краснознаменск, ул. Победы от ТК51 до ТК121 (в т.ч. ПИР)"/>
        <s v="Капитальный ремонт участка теплосети по адресу: Московская область, г.о. Дубна, пр-т Боголюбова, от ТК-2 до ЦТП-5 (в т.ч. ПИР)"/>
        <s v="Капитальный ремонт Котельной № 2 (в части замены бака-аккумулятора) по адресу: Московская область, г.о. Краснознаменск, пр-т Мира, д. 15Е (в т.ч. ПИР)."/>
        <s v="Капитальный ремонт котельной № 29 в г.о. Щелково (в т.ч. ПИР)"/>
        <s v="Капитальный ремонт участков тепловой сети по адресу: Московская область, Дмитровский г.о., рп Икша ул. Рабочая (от ТК-9 до ТК-19) (в т.ч. ПИР)"/>
        <s v="Капитальный ремонт участков тепловых сетей от ТК-32 до ТК-30/5 по ул. Советская в г.о. Ленинский (в т.ч. ПИР)"/>
        <s v="Строительство участков тепловых сетей (закольцовка) от котельной от ул. Березовая д.8 до тепловых сетей в 6-й микрорайон в г.о. Ленинский (в т.ч. ПИР)"/>
        <s v="Капитальный ремонт участков тепловых сетей от котельной «Металлистов» до ТК 15, от ТК 31 до ТК 36, от ТК 1 до ТК 42, от ТК 41 до здания МБУ «Благоустройство, ЖКХ и ДХ городского округа Зарайск» (в т.ч. ПИР)"/>
        <s v="Капитальный ремонт участков тепловой сети по адресу: Московская область, г.о. Черноголовка, ул. Третий проезд, от ТК 35 до ТК 36, от ТК 37 до ТК 42 (в т.ч. ПИР)"/>
        <s v="Проектирование и строительство системы теплоснабжения комплекса объектов ГАУ МО «Серпуховский историко-художественный музей»"/>
        <s v="Реконструкция ЦТП по адресу: Московская область, Одинцовский г.о., г. Кубинка, Кубинка-10, в/г 10 (в т.ч. ПИР)"/>
        <s v="Строительство модульно-блочной котельной 5МВт, по адресу:г.о. Электросталь, п. Елизаветино, ул. Набережная, 12-а (в т.ч. ПИР)"/>
        <s v="Капитальный ремонт участков тепловых сетей от ТК 2 до ЦТП 2 пос Развилка в г.о. Ленинский (в т.ч. ПИР)"/>
        <s v="Капитальный ремонт участков тепловых сетей от ТК 1а до ТК 40 пос Развилка в г.о. Ленинский (в т.ч. ПИР)"/>
        <s v="Капитальный ремонт участков тепловых сетей от ТК-7 до ТК-8 в г.о. Ленинский (в т.ч. ПИР)"/>
        <s v="Строительство БМК на 3 МВт по адресу: Московская область, Павлово-Посадский г.о., д.Ефимово (в т.ч. ПИР)"/>
        <s v="Капитальный ремонт котельной «Оранжерейная» по адресу: Московская область, г.о. Пушкинский, г. Ивантеевка, ул. Оранжерейная, д. 14а (в т.ч. ПИР)"/>
        <s v="Капитальный ремонт участков тепловой сети по адресу: Московская область, Дмитровский г.о., г. Яхрома, ул. Ленина (от Л1 до ТК-Л4) (в т.ч. ПИР)"/>
        <s v="Строительство БМК на 4,4 МВт по адресу: Московская область, Московская область, Павлово-Посадский г.о., д.Кузнецы (в т.ч. ПИР)"/>
        <s v="Капитальный ремонт котельной по адресу: Московская область, г.о. Егорьевск, г. Егорьевск, ул. Жукова Гора, д. 19Б (в т.ч. ПИР)"/>
        <s v="Капитальный ремонт наружных тепловых сетей в г.о.Лосино-Петровский"/>
        <s v="Капитальный ремонт участка тепловой сети по адресу: Московская область, г.о. Пушкинский, п. Софрино-1, на территории в/ч 75555 (в т.ч. ПИР)"/>
        <s v="Реконструкция участков тепловых сетей от котельной 8/15 до т/к Строителей, 2 в г.о. Лосино-Петровский (в т.ч. ПИР)"/>
        <s v="Капитальный ремонт участков тепловых сетей Котельной по адресу: Московская область, г.о. Лосино-Петровский д. Мизиново: от котельной до ЦТП д. Мизиново, от МКД ул Набережная д.1 до МКД ул. Набережная д.18, от ТК №1 до МКД ул. Набережная, д. 58 до МКД ул. "/>
        <s v="Капитальный ремонт участков тепловых сетей Котельной по адресу: Московская область, г.о Лосино-Петровский, п. Свердловский, ул. Заводская: от забора котельной до ТК№1, от ТК до МКД ул. Заводская д.17А до МКД ул. Заводская д.17, от МКД ул. Заводская д.1 до"/>
        <s v="Капитальный ремонт участков тепловых сетей от котельной по адресу: Московская область, г.о. Лосино-Петровский, п. Юность: от ТК-1 до ЦТП № 2 ул. Кузнецкая, от ТК-1 до ТК-5, от ЦТП № 2 до ж.д. № 7, от ЦТП № 2 до ТК-10, от ТК-10 до элеватора ж.д № 9 ул. Куз"/>
        <s v="Капитальный ремонт участков тепловых сетей в г.о. Лосино-Петровский от Котельной 8/15: от ТК ул. Гоголя, д. 7 до ул. Чехова, д. 8, от ТК ул. Октябрьская, д. 9 до МКД ул. Суворова, д. 11 (в т.ч. ПИР)"/>
        <s v="Капитальный ремонт участков тепловых сетей от котельной №3 до ЦТП №1 (ул. Ленина, д. 4, стр. 1) в г.о. Лосино-Петровский: от котельной №3 до ТК д/с «Родничок», от ТК д/с «Родничок» до ЦТП №1 (в т.ч. ПИР)"/>
        <s v="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
        <s v="Реконструкция ЦТП &quot;Спортивный&quot; по адресу: Московская область, г.о. Власиха (в т.ч. ПИР)"/>
        <s v="Строительство БМК на 2,5 МВт по адресу: Московская область, г.о.Коломна, ул. Красногвардейская (в т.ч. ПИР)"/>
        <s v="Строительство БМК на 1,5 МВт по адресу: Московская область, г.о. Домодедово, д. Шубино-2 (в т.ч. ПИР)"/>
        <s v="Капитальный ремонт участков тепловых сетей по адресу: Московская область, г.о. Пушкинский, г. Ивантеевка, от ТК 5 до ул. Дзержинского, 4 (в т.ч. ПИР)"/>
        <s v="Капитальный ремонт участков тепловых сете от ТК 11 до ЦТП 5а в г.о. Ленинский (в т.ч. ПИР)"/>
        <s v="Капитальный ремонт участков тепловых сетей от Котельной 1-3 от ТК-4 (у д.4, ул. Калинина) до ТК-13 (у д.16/5, ул. Свердлова) в г.о. Балашиха (в т.ч. ПИР)"/>
        <s v="Капитальный ремонт котельной «мкр. Мамонтовка» по адресу: Московская область, г.о. Пушкинский, мкр. Мамонтовка, ул. Октябрьская, д. 23 (в т.ч. ПИР)"/>
        <s v="Строительство ЦТП по адресу: Московская область, Дмитровский г.о., с. Внуково (в т.ч. ПИР)"/>
        <s v="Капитальный ремонт котельной (в части замены котла) по адресу: Московская область, Дмитровский г.о., г. Дмитров, ул. Водников 27 (в т.ч. ПИР)"/>
        <s v="Строительство тепловой сети по ул. Клубная, 9а (в т.ч. ПИР)"/>
        <s v="Капитальный ремонт участков тепловой сети по адресу: Московская область, г.о. Пушкинский, п. Зеленый городок, в районе домов 2, 4, 6 ,8 (в т.ч. ПИР)"/>
        <s v="Капитальный ремонт котельной &quot;БЖД&quot; (в части замены двух котлов) по адресу: Московская область, г.о. Павловский Посад, Большой железнодорожный проезд, д.24 (в т.ч. ПИР)"/>
        <s v="Капитальный ремонт участков тепловых сетей от котельной №7 по адресу: Московская область, г.о. Лотошино, п.Новолотошино, д.35: от ТК-11 до ТК-14, от ТК-6 до ТК-7 (в т.ч. ПИР)"/>
        <s v="Капитальный ремонт участков тепловых сетей от котельной КСПЗ по адресу: Московская область, г.о. Подольск, мкр. Климовск до ЦТП 10, 11: от ТК цтп 11 до ЦТП-11, от Р-49 ул. Заводская д. 14 до ТК 58 ул. Заводская д. 14, от ТК 58 ул. Заводская д.14 до ТК 60 "/>
        <s v="Строительство модульно-блочной котельной мощность 3МВт по адресу:г.о. Электросталь, п. Фрязево, ул. Советская, д. 3-а (в т.ч. ПИР)"/>
        <s v="Капитальный ремонт участков тепловых сетей от ТК 5/0 у пожарной части до ТК 7 по ул. Советская в г.о. Ленинский (в т.ч. ПИР)"/>
        <s v="Капитальный ремонт теплосети от ТК-184 до ТК-12 г.Черноголовка проезд Строителей (в т.ч. ПИР)"/>
        <s v="Капитальный ремонт участков тепловых сетей от котельной 90 МВт, расположенной по адресу: Московская область, г.о. Кашира, д. Горки, вдоль улиц Центральная, Мира, Московская, Советский проспект, Клубная (в т.ч. ПИР)"/>
        <s v="Капитальный ремонт участков тепловых сетей от ТК-17А у ж/д №12 до ТК-16 у школы № 4 в г.о. Ленинский (в т.ч. ПИР)"/>
        <s v="Капитальный ремонт участков тепловой сети по адресу: Московская область, Дмитровский г.о., г. Яхрома, ул. Ленина (от котельной до ТК-Т4) (в т.ч. ПИР)"/>
        <s v="Капитальный ремонт участка тепловой сети по адресу: Московская область, г.о. Краснознаменск, ул. Октябрьская от ТК59 до ТК51 (в т.ч. ПИР)"/>
        <s v="Капитальный ремонт участков тепловой сети по адресу: Московская область, Дмитровский г.о., г. Дмитров, ул. Внуковская, д. 40а (от котельной до ТК-2) (в т.ч. ПИР)"/>
        <s v="Реконструкция котельной &quot;Дединово&quot; по адресу: Московская область, г.о. Луховицы, с.Дединово, ул. Гражданская, д.26а (в т.ч. ПИР)"/>
        <s v="Капитальный ремонт участков тепловых сетей от котельной от №3а по адресу: Московская область, г.о. Лотошино, п.Лотошино, ул.Западная, д.1: от ТК-19 до ТК-21, от ТК-1 до КСЦ п.Лотошино (в т.ч. ПИР)"/>
        <s v="Капитальный ремонт участков тепловых сетей от котельной №4 по адресу: Московская область, г.о. Лотошино, п.Лотошино, ул.Спортивная, д. 9 (в т.ч. ПИР)"/>
        <s v="Капитальный ремонт участков тепловых сетей №№ 79, 80, 86, 87, 88, 89, 90, 91, 93, 94, 95, 184, 187, 190, 191 от котельной № 7, г. Наро-Фоминск, ул. Ленина (в т.ч. ПИР)"/>
        <s v="Капитальный ремонт участка тепловой сети по адресу: Московская область, г.о. Серебряные Пруды п. Успенский от ТК-7 до ТК-18 (в т.ч. ПИР)"/>
        <s v="Капитальный ремонт магистральной теплотрассы от ТК-16 у школы №4 до ТК у ЦТП 6А в г.о. Ленинский (в т.ч. ПИР)"/>
        <s v="Строительство БМК на 15 МВт по адресу: Московская область, г. Электросталь, пр-д Восточный (в т.ч. ПИР)"/>
        <s v="Капитальный ремонт участков тепловых сетей по адресу: Московская область, г.о. Пушкинский, г. Ивантеевка, от котельной «Школьная-2» до ТК-22 ул. Хлебозаводская, д. 29 (в т.ч. ПИР)"/>
        <s v="Капитальный ремонт участков тепловых сетей Котельной ТЭЦ (от ТК-237 до ТК-397) по адресу: Московская область, г. Ступино, ул. Калинина (в т.ч. ПИР)"/>
        <s v="Строительство БМК мощностью 1,0 МВт по адресу: Московская область, ул. Коммунистическая (в т.ч. ПИР)"/>
        <s v="Капитальный ремонт участков тепловых сетей от котельной №1, от ЦТП-7 до ТК-189 (в т.ч. ПИР)"/>
        <s v="Реконструкция тепловая сети котельной &quot;Авиационная&quot;, г. Домодедово, мкр.Авиационный, ул.Королева (в т.ч. ПИР)"/>
        <s v="Капитальный ремонт участка теплосети по адресу: Московская область, г.о. Дубна, ул. Попова 9а, от ТК-42 до ЦТП-4 (в т.ч. ПИР)"/>
        <s v="Реконструкция тепловая сеть котельной &quot;25 лет Октября&quot;, г. Домодедово, мкр. Центральный, ул. Корнеева (в т.ч. ПИР)"/>
        <s v="Реконструкция участков тепловых сетей от котельной №1 по адресу: Московская область, Одинцовский г.о., г. Звенигород, ул. Нахабинское шоссе д.2 (в т.ч. ПИР)"/>
        <s v="Капитальный ремонт участка теплосети по адресу: Московская область, г.о. Дубна, ул. Энтузиастов, д. 7, от ТК-1 до ТК-42 (в т.ч. ПИР)"/>
        <s v="Строительство БМК на 2,5 МВт по адресу: Московская область, г.о. Щелково, д. Хлепетово (в т.ч. ПИР)"/>
        <s v="Капитальный ремонт участков тепловый сетей от Котельной № 422 до ТК-26 у д. 3 по ул. Текстильщиков в г.о. Люберцы (в т.ч. ПИР)"/>
        <s v="Капитальный ремонт участков тепловых сетей Котельной ТЭЦ (от ТК-32 до ТК-86 и ТК494) по адресу: Московская область, пр-т Победы (в т.ч. ПИР)"/>
        <s v="Капитальный ремонт котельной &quot;Карповская&quot; (в части замены 5 котлов) по адресу: Московская область, г.о.Павловский Посад, ул.Карповская, д.4, стр.5 (в т.ч. ПИР)"/>
        <s v="Капитальный ремонт участков тепловых сетей от котельной № 1 по адресу: Московская область, г.о. Лыткарино, квартал 2, мкр.5, стр.5а (от ТК-4 до ТК-5А) (в т.ч. ПИР)"/>
        <s v="Реконструкция участка тепловой сети по адресу: Московская область, г.о. Власиха, от поликлиники до зд. № 292 ул.Лесная (казарменная зона) (в т.ч. ПИР)"/>
        <s v="Капитальный ремонт участков тепловых сетей сети от ЦТП-6 по адресу: Московская область г.о. Чехов, ул.Чехова (от ТК-15 у дома 4а ул. Чехова до ТК-18 по ул. Вишневый бульвар) (в т.ч. ПИР)"/>
        <s v="Капитальный ремонт участков тепловой сети по адресу: Московская область, Дмитровский г.о., г. Дмитров, ул. Советская (от ТК-К20 до д7 ул.2-ая Центральная) (в т.ч. ПИР)"/>
        <s v="Капитальный ремонт участков тепловой сети от котельной АО «ГТ Энерго» с закольцовкой котельной Фабричная от ТК-22 до ТК-22/2, от ТК-15 до ЦТП-10, от ТК-9 до ТК-7, т ТК-15 до ТК-4/23, от ТК-15 до ТК-22 в г.о. Щелково"/>
        <s v="Капитальный ремонт ЦТП № 30 котельной № 43 по адресу г. Наро-Фоминск, ул. Пешехонова, Наро-Фоминский г.о."/>
        <s v="Строительство БМК на 1,0 МВт на территории Апрелевской районной больницы по адресу: Московская область, Наро-Фоминский г.о.,г.Апрелевка, ул.Февральская 40 (в т.ч. ПИР)"/>
        <s v="Капитальный ремонт участков тепловых сетей от ЦТП№1 Северный до МКД № 36 по ул. Советская по адресу: Московская область, г.о. Ступино, п. Михнево (в т.ч. ПИР)"/>
        <s v="Строительство БМК 7,0 МВт взамен котельной № 2 г. Наро-Фоминск, ул. Карла Маркса (в т.ч. ПИР)"/>
        <s v="Строительство БМК 0,4 МВт по г. Наро-Фоминск, ул. Нарское лесничество (в т.ч. ПИР)"/>
        <s v="Реконструкция участков тепловых сетей от котельной № 1 по адресу: Московская область, г.о. Чехов, Симферопольское ш., стр. 2б (в т.ч. ПИР)"/>
        <s v="Капитальный ремонт котельной № 7 по адресу: Московская область, г.о. Серебряные Пруды, п. Успенский (в т.ч. ПИР)"/>
        <s v="Капитальный ремонт участков тепловых сетей от ТК 9 до ТК 11 в г.о. Ленинский (в т.ч. ПИР)"/>
        <s v="Реконстукция участка тепловой сети по адресу: Московская область, г.о. Власиха, от УТ4 до ЦПТ Солнечный (1-контур) (в т.ч. ПИР)"/>
        <s v="Реконструкция ЦТП &quot;Школьный&quot; по адресу: Московская область, г.о. Власиха, мкр.Школьный ( в т.ч. ПИР)"/>
        <s v="Капитальный ремонт участков тепловых сетей №№ 63, 87 от котельной № 14, г. Апрелевка, ул. Апрелевская (в т.ч. ПИР)"/>
        <s v="Капитальный ремонт участков тепловых сетей от котельной ТЭЦ-17 по адресу: Московская область, г. Ступино, ул. Калинина, от ТК-359 до ТК-337 (в т.ч. ПИР)"/>
        <s v="Строительство тепловых сетей к котельной № 5 по адресу г. Наро-Фоминск, ул. Новикова, Наро-Фоминский г.о. (в т.ч. ПИР)"/>
        <s v="Капитальный ремонт участков тепловых сетей №№ 33, 34, 1, 2, 2А, 202 от котельной № 45, п. Новая Ольховка (в т.ч. ПИР)"/>
        <s v="Капитальный ремонт участков тепловых сетей №№ 72, 73, 74, 90, 91А, 91, 92, 92А, 99, 68, 67, 87, 240, 241 от котельной № 10, г. Наро-Фоминск, ул. Льва Толстова (в т.ч. ПИР)"/>
        <s v="Капитальный ремонт участков тепловых сетей №№ 36, 37, 38, 38А от котельной № 12, г. Наро-Фоминск, ул. Маршала Жукова Г.К. (в т.ч. ПИР)"/>
        <s v="Капитальный ремонт участков тепловых сетей №№ 35, 45 от котельной № 30, д. Головково (в т.ч. ПИР)"/>
        <s v="Капитальный ремонт участков тепловых сетей №№ 161, 135, 136, 147 от котельной № 19, г. Апрелевка, ул. Августовская (в т.ч. ПИР)"/>
        <s v="Капитальный ремонт участков тепловых сетей №№ 65, 7 от котельной № 20, г. Апрелевка, ул. Парковая (в т.ч. ПИР)"/>
        <s v="Капитальный ремонт участков тепловых сетей от ТК-3 до ТК-9 по ул. Богданова в г.о. Пушкинский, г. Ивантеевка (в т.ч. ПИР)"/>
        <s v="Капитальный ремонт участков тепловых сетей №№ 30А-б/н, 30Б, 31А, 31Б, 22, 288 от котельной № 50, р.п. Селятино (в т.ч. ПИР)"/>
        <s v="Капитальный ремонт Котельной №58 (в части замены котла) по адресу: Московская область, г.о. Наро-Фоминск, г. Апрелевка, ул. Дубки"/>
        <s v="Капитальный ремонт сетей теплоснабжения в районе пос. Летний Отдых, ул. Зеленая, 3а (в т.ч. ПИР)"/>
        <s v="Капитальный ремонт сети теплоснабжения г. Одинцово,Микрорайон № 4; ТК-4 - ТК-6; ЦТП № 9 - ЦТП № 4 (ППУ из.) (в т.ч. ПИР)"/>
        <s v="Капитальный ремонт сети теплоснабжения пос. Шарапово, ТК-5 - ж.д. 23 (в т.ч. ПИР)"/>
        <s v="Капитальный ремонт сети теплоснабжения г. Одинцово,мкр. № 7: т.вр. 3 - ТК-4а; т.вр. 3 - ТК-4. (в т.ч. ПИР)"/>
        <s v="Капитальный ремонт сети теплоснабжения г. Одинцово, Микрорайон № 3: ЦТП № 5/6, ул. Жукова д.47 и ул. Жукова д.37; ул. Жукова д.47 - ТК-10, (в т.ч. ПИР)"/>
        <s v="Капитальный ремонт котельной ИФА РАН им. Обухова (в части замены котла) по адресу: Московская область, Одинцовский г.о., п. Новошихово (в т.ч. ПИР)"/>
        <s v="Реконструкция ЦТП, расположенного по адресу: Московская область, Одинцовский г.о., п. д/х &quot;Жуковка&quot;, Жуковка-1 (в т.ч. ПИР)"/>
        <s v="Капитальный ремонт тепловой сети, расположенной по адресу: Московская область, Одинцовский г.о., п. д/х &quot;Жуковка&quot;, Жуковка-2 (в т.ч. ПИР)"/>
        <s v="Капитальный ремонт участков тепловой сети от котельной ООО &quot;РЭК НИКА&quot; по адресу: г.о. Подольск, ул.Садовая, д.6: от котельной до ТК1; от ТК1 до ТК2; от ТК1 до ТК3; от ТК3 до ТК4; от ТК4 до ТК5; от ТК5 до ТК6; от ТК3 до ТК7; от ТК7 до ТК8; от ТК8 до ТК9 (в"/>
        <s v="Капитальный ремонт участков тепловых сетей от котельной № 1 по адресу: Московская область, г.о. Лыткарино, квартал 2, мкр.5, стр.5а (от ТК-3 до ТК-154) (в т.ч. ПИР)"/>
        <s v="Строительство участка тепловой сети между Котельной №1 и Котельной №2 по адресу: Московская область, Одинцовский г.о., р.п. Большие Вяземы, ул. Городок 17 (в т.ч. ПИР)"/>
        <s v="Капитальный ремонт сетей теплоснабжения п. Гарь- Покровское (в т.ч. ПИР)"/>
        <s v="Капитальный ремонт сети теплоснабжения г. Одинцово, микрорайон № 1 (в т.ч. ПИР)"/>
        <s v="Реконструкция тепловых сетей и сетей ГВС п. Покровский городок (в т.ч. ПИР)"/>
        <s v="Строительство БМК на 1,5 МВт по адресу: Московская область, Одинцовский г.о., Санаторий &quot;Поречье&quot; (в т.ч. ПИР)"/>
        <s v="Капитальный ремонт сети теплоснабжения г. Одинцово, Можайское шоссе (в т.ч. ПИР)"/>
        <s v="Капитальный ремонт сети теплоснабжения г. Одинцово, б-р М. Крылова (в т.ч. ПИР)"/>
        <s v="Капитальный ремонт сети теплоснабжения г. Одинцово, мкр. № 8: Союзная 32 а - ЦТП № 3; ТК-4 - ЦТП № 4. (в т.ч. ПИР)"/>
        <s v="Капитальный ремонт участков тепловых сетей от ТК 1308/4 (2-ой Покровский пр-д, напротив д. 2) до ЦТП-3 по адресу: Московская область, г.Котельники, 2-ой Покровский пр-д д. 2а (в т.ч. ПИР)"/>
        <s v="Капитальный ремонт участков тепловой сети по адресу: Московская область, Дмитровский г.о., рп Деденево, ш Московское (от котельной до ТК-6) (в т.ч. ПИР)"/>
        <s v="Реконструкция участков тепловых сетей по адресу: Московская область, Одинцовский г.о., п. ПМС-4 (в т.ч. ПИР)"/>
        <s v="Капитальный ремонт участка тепловой сети по адресу: Московская область, г.о. Краснознаменск, ул. Строителей от ТК59 до т.узел 31.1 (в т.ч. ПИР)"/>
        <s v="Строительство БМК мощностью 0,36 мВт по адресу: Московская область г.о. Егорьевск, п. Шувое, пер. Пролетарский, д.1 (в т.ч. ПИР)"/>
        <s v="Капитальный ремонт участков тепловых сетей по адресу: Московская область, г.о. Чехов, от дома 62 ул. Гагарина через ТК-10 до ТК 11; от ТК-14 до ТК-15; от ТК-15 до дома 60 ул.Гагарина (в т.ч. ПИР)"/>
        <s v="Реконструкция участков тепловых сетей по адресу: Московская область, г. Кашира, вдоль улиц Садовая, Вахрушева, Гвардейская (в т.ч. ПИР)"/>
        <s v="Капитальный ремонт участков тепловой сети по адресу: Московская область, Дмитровский г.о., г. Дмитров, ул. Водников, д.27 (от ТК-А14 до ТК-А16) (в т.ч. ПИР)"/>
        <s v="Капитальный ремонт участков тепловых сетей от котельной №2а по адресу: Московская область, г.о. Лотошино, п.Кировский, ул.Волоколамское шоссе, д.4: от ТК-1 до угла поворота, от ТК-19 до ТК-21, от ТК-9 до ТК-9а (в т.ч. ПИР)"/>
        <s v="Капитальный ремонт участков тепловых сетей от котельной №1 по адресу: Московская область, г.о. Талдомский, г. Талдом, мкр Юбилейный, д.25 к школе №2, от ТК4 до ТК7 (в т.ч. ПИР)"/>
        <s v="Капитальный ремонт участков тепловой сети от котельной, расположенной по адресу г.о.Подольск, пос.Поливаново: от ТК1 дом №29 до ТК4 дом №49; от ТК4 дом №49 до ТК6 дом №27; от ТК6 дом №27 до ТК22 дом № Корпус 4 (в т.ч. ПИР)"/>
        <s v="Капитальный ремонт участков тепловой сети от котельной по адресу: Московская область, Дмитровский г.о., г. Дмитров, ул. Водников, д. 27 (от ТК-А13 до ТК-П5) (в т.ч. ПИР)"/>
        <s v="Капитальный ремонт участков тепловых сетей Котельной 1-3: от ТК-13 (у д.16/5, ул. Свердлова) до ТК-15 (у д.15/3, ул. Свердлова), от ТК-15 (у д.15/3, ул. Свердлова) до ЦТП №12 (мкр.19) в г.о. Балашиха (в т.ч. ПИР)"/>
        <s v="Реконструкция котельной с целью перевода на газообразное топливо д. Челохово, 1 (в т.ч. ПИР)"/>
        <s v="Капитальный ремонт участков тепловых сетей и сетей ГВС от котельной &quot;Городок&quot; по адресу: Московская область, г.Павловский Посад, ул. Городковская, 73а корп.30, от ТК 26 до ТК 42 по ул. Комсомольская, ул. Белинского, ул. Кооперативная (в т.ч. ПИР)"/>
        <s v="Капитальный ремонт участков тепловых сетей от ул. Советская, 7 до мкр. Юбилейный, 12 в г.о. Пушкинский, п. Лесной (в т.ч. ПИР)"/>
        <s v="Строительство БМК по адресу: Московская область, Рузский м.о., д. Глухово (в т.ч. ПИР)"/>
        <s v="Капитальный ремонт участка тепловой сети по адресу: Московская область, г.о. Черноголовка, ул. Центральная, от ТК 46А до ЦТП 3"/>
        <s v="Капитальный ремонт Котельной «7 квартал» по адресу: Московская область, г.о. Пушкинский, г. Ивантеевка, ул. Толмачева, д. 80А (в т.ч. ПИР)"/>
        <s v="Капитальный ремонт котельной (в части замены трех котлов) по адресу: Московская область, с. Макарово, д. 103 (в т.ч. ПИР)"/>
        <s v="Капитальный ремонт участков тепловой сети по адресу: Московская область, г.о. Луховицы, от котельной Павловское, участок вдоль ул. Молодежная, дома 5Б - 12, участок от Молодежная 5Б до Центральная 11А: от ТК 1 до ТК 10, от ТК 1 до ТК 14 (в т.ч. ПИР)"/>
        <s v="Капитальный ремонт участков тепловых сетей и сетей ГВС от котельной &quot;Городок&quot; по адресу: Московская область, г.о. Павловский Посад, ул. Городковская, 73а корп.30, от узла смешения &quot;&quot;шк.№6&quot;&quot; до автовокзала г.о. Павловский Посад (в т.ч. ПИР)"/>
        <s v="Капитальный ремонт участков тепловых сетей и сетей ГВС от котельной &quot;БЖД&quot; по адресу: Московская область, г. Павловский Посад, Большой железнодорожный проезд, д.24, участки по ул.Кирова-ул.Ленина (в т.ч. ПИР)"/>
        <s v="Реконструкция участка тепловой сети по адресу: Московская область, г. Кашира: от ТК д. 31 по ул. Садовая до ТК у д. 10 ул. Юбилейная (в т.ч. ПИР)"/>
        <s v="Капитальный ремонт котельной КСПЗ по адресу: Московская область, г.о. Подольск (в т.ч. ПИР)"/>
        <s v="Капитальный ремонт участков тепловых сетей и сетей ГВС от котельной &quot;Ефимово&quot; адресу: Московская область, Павлово-Посадский г.о., д.Ефимово, до д.№69 д. Ефимово (в т.ч. ПИР)"/>
        <s v="Капитальный ремонт участков тепловых сетей и сетей ГВС от котельной по адресу: Московская область, Московская область, Павлово-Посадский г.о., д.Кузнецы, до ТК8 (в т.ч. ПИР)"/>
        <s v="Капитальный ремонт участков тепловых сетей от котельной по адресу: Московская область, г.Подольск, ул.Чистова, д.17а: от Р10 до ТК1, от ТК-1 до ТК2, от ТК-2 до ТК4, от ТК-4 до Р13, от Р-13 до ТК-5 (в т.ч. ПИР)"/>
        <s v="Модернизация котельной по адресу: г.о. Подольск, г. Подольск, ул. Победы, д. 4а"/>
        <s v="Реконструкция котельной по адресу: г.о. Подольск, г. Подольск, ул. Ульяновых, д. 9"/>
        <s v="Реконструкция тепловых сетей: Г.о. Подольск, г. Подольск, мкр. Ново-Сырово"/>
        <s v="Капитальный ремонт котельной &quot;Западная&quot; (в части установки аккумуляторных баков запаса холодной воды) по адресу: Московская область, г.о. Шатура, г. Рошаль, ул. Лесная (в т.ч. ПИР)"/>
        <s v="Капитальный ремонт участков тепловых сетей от котельной по адресу: Московская область, г.Подольск, ул.Литейная, д. 4б: от котельной ул. Литейная 4Б до ТК-1, от ТК-1 Литейная,4б до ТК-6, от ТК-6 Литейная, 4б до ТК-7, от ТК-7 до ТК-8 Литейная, 4б (в т.ч. ПИ"/>
        <s v="Капитальный ремонт участков тепловой сети по адресу: Московская область, Дмитровский г.о., г. Дмитров, ул. Водников 25 (от ТК-Д4 до д.2 мкр.Маркова) (в т.ч. ПИР)"/>
        <s v="Капитальный ремонт участков тепловой сети от котельной по адресу: г.о.Подольск, ул.Пионерская, д.2а: вдоль улиц Пионерская, Б. Серпуховская (в т.ч. ПИР)"/>
        <s v="Капитальный ремонт участков тепловых сетей от ЦТП-3а до ТК-31 у.ж.д. 28 по ул.Советская в г.о. Ленинский (в т.ч. ПИР)"/>
        <s v="Капитальный ремонт участков тепловой сети от котельной по адресу: г.о.Подольск, мкр.Климовск, ул.Заводская, д.2: вдоль улиц Западная, Заводская, Южный пос., Симферопольская, Революции, 8 Марта, Театральная, пр.50лет Октября (в т.ч. ПИР)"/>
        <s v="Капитальный ремонт участков тепловой сети от котельной, расположенной по адресу: г.о. Подольск, р-н Силикатная-2, пр-зд Авиаторов, д. 14, участки: пр-зд Авиаторов д. 2 от ТК6 до ТК7; пр-зд Авиаторов д. 2 от ТК6 до ТК7; пр-зд Авиаторов д. 12 от ТК1 до ТК12"/>
        <s v="Капитальный ремонт участка тепловой сети от котельной по адресу: г.о. Подольск, ул. Московская, 5Б, от ТК1 до ТК2 (в т.ч. ПИР)"/>
        <s v="Реконструкция тепловых сетей: Г.о. Подольск, г. Подольск, мкр. Межшоссейный, Шепчинки, Парковый, Центральный (в т.ч. ПИР)"/>
        <s v="Капитальный ремонт участков тепловой сети по адресу: Московская область, п. Новосиньково (от ТК-5 до ТК-7) (в т.ч. ПИР)"/>
        <s v="Капитальный ремонт участков тепловых сетей от ТК 5/8а у ЦТП 22 до ТК5/7 и до ЦТП 2а в г.о. Ленинский (в т.ч. ПИР)"/>
        <s v="Капитальный ремонт участков тепловых сетей котельной по адресу: Московская область, г.Подольск, Художественный проезд, д.2: от Р-2 (Художественный проезд д.5) до ТК-2 (Художественный проезд д.6, д.8), от ТК-2 (Художественный проезд д.6, д.8) до ТК-4 (Худо"/>
        <s v="Капитальный ремонт участков тепловых сетей от котельной «РУС» по адресу: Московская область, г.о. Талдомский, г. Талдом, ул. Собцова, 1а (в т.ч. ПИР)"/>
        <s v="Капитальный ремонт участка тепловой сети от котельной по адресу: г.о.Подольск ул. Народная, д.17А: от ТК-11 ул. Народная, д.17 до Р-2 ул. Народная, д.15 (в т.ч. ПИР)"/>
        <s v="Капитальный ремонт участков тепловой сети от котельной по адресу: г.о.Подольск, ул.Победы, д.4: от P-8 до P-9 (транзит в COШ №l5. ул.Победы,д.2); от TK-17 ул. Народная, 12а до P-9 ул. Победы, д.2; от TK-1 ул. Победы,4 дo TK смотровая ул. Пионерская, 24а ("/>
        <s v="Капитальный ремонт участков тепловой сети от котельной по адресу: г.о.Подольск, ул.Литейная,4Б: от ТК-4 до ул.Литейная,6а; от ТК-4 до ТК-5; от ТК-8 до Р-1; от ТК-13 до ТК-14; от ТК-14 до Р-3; от ТК-2 до ТК- 3; от ТК-9 до ТК-12; от Р-3 до Р-ш; от Р-1 до ул"/>
        <s v="Капитальный ремонт участка тепловой сети от котельной по адресу: г.о.Подольск, ул.Чистова,17а, до ТК-5 ул.Чистова,11/8 (в т.ч. ПИР)"/>
        <s v="Реконстукция участка тепловой сети по адресу: Московская область, г.о. Власиха, от УТ34 до ЦПТ Центральный (1-контур) (в т.ч. ПИР)"/>
        <s v="Капитальный ремонт котельной &quot;Восточная&quot; (в части установки аккумуляторных баков запаса холодной воды) по адресу: Московская область, г.о. Шатура, г. Рошаль, ул. Коммунаров (в т.ч. ПИР)"/>
        <s v="Капитальный ремонт участков тепловых сетей по адресу: Московская область, г.о. Шатура, п. Туголесский бор, от ТК-48 до ТК-56 (в т.ч. ПИР)"/>
        <s v="Капитальный ремонт участков тепловой сети от котельной по адресу: г.о. Подольск, ул.Садовая, д.11: от котельной до Р-1; от Р1 до Р2; от Р13 до Р15; от ТК3 до ТК4 (в т.ч. ПИР)"/>
        <s v="Капитальный ремонт участков тепловой сети от котельной по адресу: г.о. Подольск, ул.Давыдова, д.1: от котельной до ТК1; от ТК2 до ТК3; от ТК4 до Давыдова, д. 8/2 (в т.ч. ПИР)"/>
        <s v="Капитальный ремонт участков тепловой сети от котельной по адресу: г.о. Подольск, ул.Калужская, д.4: от ТК1 до ТК2; от ТК2 до ТК4 пр. Ленина, д. 10; от ТК7 до ТК8 пр. Ленина, д. 8 (в т.ч. ПИР)"/>
        <s v="Капитальный ремонт участков тепловой сети от котельной по адресу: г.о. Подольск, ул.Заводская, 2: от ТК 35 Южный пос. д.28 до ТК 130 ул.Симферопольская, д.41 (в т.ч. ПИР)"/>
        <s v="Капитальный ремонт участка тепловой сети от котельной по адресу: г.о.Подольск, мкр. Климовск, ул. Школьная, д. 34а: от ТК 31 (Рощинская д. 15) до ЦТП 12 (в т.ч. ПИР)"/>
        <s v="Капитальный ремонт участка тепловой сети от котельной по адресу: г.о.Подольск, мкр.Климовск, ул.Школьная, д.34а от ТК-96 до ТК-99: от ТК-96 (ЦТП-16, ул. Ленина 10а) до ТК-99 (ул. Ленина,12) (в т.ч. ПИР)"/>
        <s v="Реконструкция участков тепловых сетей по адресу: Московская область, Одинцовский г.о., п. Барвиха (в т.ч. ПИР)"/>
        <s v="Капитальный ремонт участков тепловых сетей от котельной №11 по адресу: Московская область, г.о. Лотошино, д. Ушаково, д.57: от ТК-2 до зд.школы, от ТК-9 до ТК-15 (в т.ч. ПИР)"/>
        <s v="Капитальный ремонт участков тепловых сетей от ТК70 до ТК74А по Центральному проезду в г.о. Пушкино (в т.ч. ПИР)"/>
        <s v="Капитальный ремонт котельной (в части замены теплового оборудования) по адресу: Московская область, г.о. Солнечногорск, п. Менделеево (в т.ч. ПИР)"/>
        <s v="Капитальный ремонт ЦТП №6 по адресу:Московская область, г.о.Лыткарино, ул.Комсомольская, д.24 (в т.ч. ПИР)"/>
        <s v="Капитальный ремонт участков тепловых сетей по адресу: Московская область, г.о. Пушкинский, п. Лесной, от ул. Центральная, 1 до ул. Мичурина, 9 (в т.ч. ПИР)"/>
        <s v="Капитальный ремонт участков тепловой сети по адресу: Московская область, г.о. Луховицы, от котельной Красная пойма от ул. Школьная до ул. Лесная: от ТК 16 до ТК 18, от ТК 8 до ТК 16 (в т.ч. ПИР)"/>
        <s v="Капитальный ремонт участков тепловой сети от котельной по адресу: Московская область, Талдомский г.о., р.п. Запрудня, пер. Мира, д. 10: от ТК-11 до ТК-32, от ТК-32 до ТК-33, от ТК-33 до ТК-36, от ТК-36 до ТК-50, от ТК-50 до ТК-51А (с входом в дом), от ТК-"/>
        <s v="Капитальный ремонт котельной «Евсеево» в части замены котлов КСВа-2,5; ЗИО-100 и ХВП, расположенной по адресу: Московская область, Павлово-Посадский городской округ, д.Евсеево, 36в (в т.ч. ПИР)"/>
        <s v="Капитальный ремонт тепловых сетей по адресу: г. Лыткарино, ул. Советская, от ТК-163 до ТК-165 (в т.ч. ПИР)"/>
        <s v="Строительство тепловых сетей от БМК мощностью 6,0 МВт по адресу: Московская область, г. Кашира ул. 1-ая Дзержинская до врезки в существующую Сети (в т.ч. ПИР)"/>
        <s v="Капитальный ремонт участков тепловых сетей по адресу: Московская область, г.о. Пушкинский, г. Ивантеевка от ТК-47а до ТК-48 по ул. Советский проспект (в т.ч. ПИР)"/>
        <s v="Капитальный ремонт участков тепловых сетей по адресу: Московская область, г.о. Пушкинский, г. Ивантеевка, от ул. Оранжерейная, 14а до ул. Первомайская, д. 34 (в т.ч. ПИР)"/>
        <s v="Реконструкция ЦТП по адресу: Московская область, г.о. Ленинский, Петровский проезд д. 22а (в т.ч. ПИР)"/>
        <s v="Капитальный ремонт участков тепловых сетей от котельной №1 по адресу: Московская область, г.о. Лыткарино, квартал 2, мкр.5, стр.5а (ТК-3 до ТК-4 ул. Спортивная) (в т.ч. ПИР)"/>
        <s v="Капитальный ремонт участка тепловой сети по адресу: Московская область, г.о. Черноголовка, ул. Коммунальная, от ТК 33 до ТК 205 (в т.ч. ПИР)"/>
        <s v="Капитальный ремонт участков тепловой сети от котельной Врачево-Горки по адресу: Московская область, г.о. Луховицы, п. Врачево-Горки, участок вдоль ул. Клубная, дома 1-5 (в т.ч. ПИР)"/>
        <s v="Реконструкция ЦТП №1 по адресу: Московская область, г.о. Ленинский, пос. Новодрожжино, д.9а (в т.ч. ПИР)"/>
        <s v="Капитальный ремонт участков тепловых сетей с увеличением диаметра от Котельной &quot;Студенческий проезд&quot; до ТК-5 (ЦТП ЦГБ) в г.о. Пушкинский (в т.ч. ПИР)"/>
        <s v="Капитальный ремонт участков тепловых сетей от Котельной &quot;Детская&quot; до ТК-22 (Гимназии №3) по ул. Коминтерна в г.о. Пушкинский, г. Ивантеевка (в т.ч. ПИР)"/>
        <s v="Реконструкция участков тепловых сетей по адресу: Московская область, Одинцовский г.о., п. Новошихово (в т.ч. ПИР)"/>
        <s v="Капитальный ремонт участков тепловых сетей от котельной №1 по адресу: Московская область, г.о. Талдомский, г. Талдом, мкр Юбилейный, 24а (в т.ч. ПИР)"/>
        <s v="Реконструкция участков тепловых сетей от ЦТП 1 до ЦТП 3 в г.о. Реутов (в т.ч. ПИР)"/>
        <s v="Капитальный ремонт участков тепловых сетей от ТК 5-1 до ЦТП 1 и от ТК 5-2 до ЦТП №2 котельной №5 в г.о. Реутов (в т.ч. ПИР)"/>
        <s v="Реконструкция участков тепловых сетей (закольцовка) от ТК 4-8 котельной № 4 до ул Комсомольская д.28 (в т.ч. ПИР)"/>
        <s v="Строительство БМК д. Старониколаево, д. 195"/>
        <s v="Строительство БМК д. Сумароково, д. 34"/>
        <s v="Капитальный ремонт участков тепловых сетей от котельной №6 по адресу: Московская область, г.о. Лотошино, ул. 2-я Ветеринарная, д.23 (в т.ч. ПИР)"/>
        <s v="Капитальный ремонт сетей теплоснабжения от котельной БАНЯ, г. Можайск (в т.ч. ПИР)"/>
        <s v="Капитальный ремонт участков тепловых сетей от котельной № 1 по адресу: Московская область, г.о. Чехов, Симферопольское ш., стр. 2б (от ТК -32 у дома № 13а , ул.Полиграфистов до ТК 34) (в т.ч. ПИР)"/>
        <s v="Капитальный ремонт участков тепловой сети по адресу: Московская область, Дмитровский г.о., г. Дмитров, ул. Водников 25, (от ТК-А6 до д.20 мкр.Маркова) (в т.ч. ПИР)"/>
        <s v="Строительство БМК с. Мочилы ул. Лесная, мощностью 0,3 МВт"/>
        <s v="Капитальный ремонт ЦТП по адресу: Московская область, г.о. Серебряные Пруды, рп. Серебряные Пруды, пер. Школьный (в т.ч. ПИР)"/>
        <s v="Капитальный ремонт участков тепловых сетей от котельной № 1 по адресу: Московская область, г.о. Лыткарино, квартал 2, мкр. 5, стр. 5а (от ТК-412 до ТК-409), в т.ч. ПИР"/>
        <s v="Капитальный ремонт теплосети с. Узуново, микр-н Северный, г.о. Серебряные пруды (в т.ч. ПИР)"/>
        <s v="Капитальный ремонт участка тепловой сети по адресу: Московская область, г.о. Серебряные Пруды, рп. Серебряные Пруды, ул. Октябрьская (в т.ч. ПИР)"/>
        <s v="Капитальный ремонт участков тепловой сети от котельной №7 по адресу: Московская область, г.о. Серебряные Пруды, пос.Успенский, от ТК-10 до перехода на трубу диаметром 89 (в т.ч. ПИР)"/>
        <s v="Строительство блочно-модульной котельной мощностью 1,5 Гкал/час, расположенной по адресу: Московская область, Одинцовский г.о., п. д/х &quot;Жуковка&quot;, Жуковка-2 (в т.ч. ПИР)"/>
        <s v="Капитальный ремонт участка тепловой сети по адресу: Московская область, г.о. Звёздный городок, от ТК-1 до запорной арматуры на транзите в доме 24 (в т.ч. ПИР)"/>
        <s v="Капитальный ремонт участка тепловой сети по адресу: Московская область, г.о. Серебряные Пруды, с. Подхожее, мкр. Юбилейный (в т.ч. ПИР)"/>
        <s v="Капитальный ремонт центрального теплового пункта по адресу: Московская область, г. Пущино, мкр &quot;Г&quot;, д. 7а (ЦТП-Г)"/>
        <s v="Реконструкция участка тепловой сети по адресу: Московская область, г. Кашира, в районе ул. Больничная (в т.ч. ПИР)"/>
        <s v="Замена участка трубопровода теплоснабжения от котельной «ГЭМЗ» до тепловой камеры ТК-2.1 в районе магазина «Магнит», с увеличением диаметра до 2Dу=500мм, по адресу: Московская область, городское посление Солнечногорск"/>
        <s v="Капитальный ремонт сетей теплоснабжения и ГВС от котельной Выстрел (в т.ч. ПИР+СМР)"/>
        <s v="Капитальный ремонт котельной Лыткино в/г 213 по адресу: Московская область, г.о. Солнечногорск, в/г 213 (в т.ч. ПИР)"/>
        <s v="Реконструкция ЦТП по адресу: Московская область, г.о. Ленинский, пос. Измайлово д.14б (в т.ч. ПИР)"/>
        <s v="Капитальный ремонт тепловых сетей от котельной № 1 по адресу: г. Лыткарино, 5 мкр., кв-л 2, стр. 5а, до ТК-207 и ТК-3 (в т.ч. ПИР)"/>
        <s v="Капитальный ремонт участков тепловой сети по адресу: Московская область, Дмитровский г.о., рп Икша ул. Рабочая (от котельной до т.А ул.Рабочая) (в т.ч. ПИР)"/>
        <s v="Капитальный ремонт участков тепловых сетей от котельной № 23 по адресу: Московская область, г.о. Чехов, д. Крюково (в т.ч. ПИР)"/>
        <s v="Капитальный ремонт участков тепловых сетей от котельной ТЭЦ-17 (от ул. Горького до ул. Андропова) по адресу: Московская область, г.Ступино, пр-т Победы"/>
        <s v="Капитальный ремонт участка теплосети по адресу: Московская область, г.о. Дубна, ул. Попова, от ЦТП-4 до ТК-49 (в т.ч. ПИР)"/>
        <s v="Капитальный ремонт ЦТП Северная (в части замены оборудования) по адресу: Московская область, г.о. Ступино, п. Михнево (в т.ч. ПИР)"/>
        <s v="Капитальный ремонт участков тепловых сетей Котельной мкр. &quot;Б&quot; от ЦТП-4 до ЦТП-6 в г.о.Ступино (в т.ч. ПИР)"/>
        <s v="Капитальный ремонт котельной ( в части замены насосов) по адресу: Московская область, г. Егорьевск, ул. Рязанская, д.106"/>
        <s v="Строительство БМК мощностью 6 МВт по адресу: Московская область, г.о. Ступино, д. Леонтьево"/>
        <s v="Капитальный ремонт тепловой сети по адресу: Московская область, Дмитровский г/о, р.п. Деденево, ул. Набережная, д. 21Г, стр. 1 (в т.ч. ПИР)"/>
        <s v="Капитальный ремонт участков тепловой сети по адресу: Московская область, г.о. Луховицы, от котельной Григорьевское до ТК №4 (в т.ч. ПИР)"/>
        <s v="Строительство участков тепловых сетей для переключения на новую БМК по адресу: Московская область, г.о.Ступино, п.Жилёво, ул.Северная"/>
        <s v="Капитальный ремонт котельной № 3 по адресу г. Наро-Фоминск, ул. Калинина (в.ч.ПИР)"/>
        <s v="Капитальный ремонт участков тепловых сетей от котельной ТЭЦ-17 (от ТК-29 до ТК-31) по адресу: Московская область, г. Ступино, пр-т Победы (в т.ч. ПИР)"/>
        <s v="Капитальный ремонт участков тепловых сетей от ЦТП Северо-Западный г.о.Ступино (от ТК-93 до ЦТП Северо-Западный) (в т.ч. ПИР)"/>
        <s v="Капитальный ремонт участков тепловых сетей от котельной №1, от ж/д №7 до ж/д №1 квартала 1 (в т.ч. ПИР)"/>
        <s v="Капитальный ремонт тепловых сетей котельной Семёновское участка от ТК-2 до ТК на ул. Черемушки (в т.ч. ПИР)"/>
        <s v="Капитальный ремонт котельной в части замены котла ДКВР 4-13, по адресу: Московская область, г.о. Ступино, д. Леонтьево (в т.ч. ПИР)"/>
        <s v="Капитальный ремонт участков тепловой сети по адресу: Московская область, Дмитровский г.о., г. Дмитров, ул. Комсомольская (от ТК-М1 до ТК-М4) (в т.ч. ПИР)"/>
        <s v="Капитальный ремонт ЦТП котельной Михневская Керамика в части замены теплообменного и насосного оборудования, по адресу: Московская область, г.о. Ступино, п. Михнево (в т.ч. ПИР)"/>
        <s v="Капитальный ремонт участков тепловых сетей от котельной по адресу: Московская обл., Можайский г.о., с. Борисово: от ТК 2 до ТК 4, от ТК4 до ТК 10 (в т.ч. ПИР)"/>
        <s v="Строительство тепловых сетей от БМК мощностью 4,0 МВт по адресу: Московская область, г. Кашира, ул. Ильича до врезки в существующую сеть (в т.ч. ПИР)"/>
        <s v="Реконструкция сети теплоснабжения р.п. Запрудня. КТС 057 пер. Мира ,д. 10 (в т.ч. ПИР)"/>
        <s v="Реконструкция участка тепловой сети (бесканальная прокладка) МО, г. Талдом, мкр. Юбилейный: от ТК-4 к ж/д №№ 29, 32, 34; от ТК-5 к ж/д №№ 28, 30, 31, 33, 35, 36, 37, 38. (в т.ч. ПИР)"/>
        <s v="Капитальный ремонт участков тепловой сети по адресу: Московская область, г.о. Луховицы, п. Фруктовая, от котельной Фруктовая, вдоль ул. Молодежная, дома 21-29: от ТК 10 до ТК 16 (в т.ч. ПИР)"/>
        <s v="Капитальный ремонт участков тепловых сетей от котельной №3 по адресу: Московская область, г.о. Талдомский, г. Талдом, ул. Мичурина, 3а (в т.ч. ПИР)"/>
        <s v="Капитальный ремонт участков тепловых сетей от котельной №18 по адресу: Московская область, г.о. Лотошино, д. Доры, д.67: от ТК-2 до ТК-4 (в т.ч. ПИР)"/>
        <s v="Реконструкция участка тепловой сети по адресу: Московская область, г. Кашира, от дома № 13 по ул. Московская до сущ. ТК на пожарную часть (в т.ч. ПИР)"/>
        <s v="Капитальный ремонт тепловой сети по адресу: Московская область, г. Дмитров ,ул. Космонавтов (от котельной до ЦТП (в жд15) мкр.Космонавтов) (в т.ч. ПИР)"/>
        <s v="Капитальный ремонт участков тепловых сетей от котельной №1 по адресу: Московская область, г.о. Лотошино, п.Лотошино, ул.Микрорайон, д.9: от ж.д.6 до ж.д.11, от ТК-9 до ответвления на здания РООиР (в т.ч. ПИР)"/>
        <s v="Строительство БМК на 5 МВт по адресу: Московская область, г.о. Луховицы, с.Матыра, ул. Школьная, д.15 (в т.ч. ПИР)"/>
        <s v="Капитальный ремонт участков тепловых сетей от котельной АО &quot;ЛЗОС&quot;, от ТК-371 до ТК-375 (в т.ч. ПИР)"/>
        <s v="Реконструкция участков тепловых сетей от ЦТП-2 ст. Кашира по адресу: Московская область, г. Кашира, ул. Ильича, д. 47: от т/к № 13 до ввода в ж/д 28 по ул. Пролетарская, от т/к № 2 до ТК № 3, от т/к № 10 до ТК № 11 по ул. Иванова (в т.ч. ПИР)"/>
        <s v="Капитальный ремонт тепловых сетей от УТ-113 до жилого дома №1А по ул. Школьная в г. о. Фрязино (в т.ч. ПИР)"/>
        <s v="Капитальный ремонт ввода сетей отопления и ГВС от УТ-88 до ж/д № 27 по ул.Нахимова МО, г.Фрязино, ул. Нахимова, д.27 (в т.ч. ПИР)"/>
        <s v="Капитальный ремонт ввода тепловых сетей от УТ-26 до здания по адресу ул.Ленина, 26 МО, г.Фрязино, ул.Ленина, д.26 (в т.ч. ПИР)"/>
        <s v="Капитальный ремонт ввода сетей отопления и ГВС от УТ-1116 до дома 2А по Окружному проезду г. Фрязино (в т.ч. ПИР)"/>
        <s v="Капитальный ремонт ввода сетей отопления и ГВС от УТ-207 до ж/д № 2А по ул.Московская, г.Фрязино, МО (в т.ч. ПИР)"/>
        <s v="Капитальный ремонт тепловых сетей от жилого дома №8 до жилого дома №10 по ул.Попова в г. о. Фрязино (в т.ч. ПИР)"/>
        <s v="Капитальный ремонт вводов сетей отопления и ГВС МО, г.Фрязино, пр. Мира: от УТ-207 до ж/д № 11; от УТ-259А до ж/д № 17; от УТ-4 до ж/д № 24/2; от УТ-4 до ж/д № 24/3; от УТ-208 до ж/д № 13 (в т.ч. ПИР)"/>
        <s v="Реконструкция участков тепловых сетей от котельной №13 до УТ-6 по ул. Вокзальная, д. 45 в г.о. Фрязино (в т.ч. ПИР)"/>
        <s v="Капитальный ремонт участков тепловых сетей от УТ-410 до УТ-408 по ул. Рабочая в г.о. Фрязино"/>
        <s v="Капитальный ремонт участка тепловой сети по адресу: Московская область, г.о. Черноголовка, ул. Первая, от ТК 178 до ТК 184 (в т.ч. ПИР)"/>
        <s v="Капитальный ремонт участка тепловой сети по адресу: Московская область, г.о. Черноголовка, ул. Лесная от ТК 7 до ТК 8 (в т.ч. ПИР)"/>
        <s v="Капитальный ремонт теплосети от ТК-81 до ТК-83 г.Черноголовка ул. Объездная (в т.ч. ПИР)"/>
        <s v="Капитальный ремонт ЦТП №7 по адресу:Московская область, мкр.5, квартал 7, стр.3Б (в т.ч. ПИР)"/>
        <s v="Капитальный ремонт участка тепловой сети по адресу: Московская область, г.о. Черноголовка, ул. Соединительная, от ТК 28 до ТК 30А (в т.ч. ПИР)"/>
        <s v="Строительство БМК на 4,5 МВт по адресу: Московская область, г.о. Луховицы, п. Фруктовая, ул. Почтовая, д. 16 (в т.ч. ПИР)"/>
        <s v="Капитальный ремонт участков тепловых сетей от котельной №5, от ТК- 5 до ж/д № 37,38 ЗИЛ городок (в т.ч. ПИР)"/>
        <s v="Капитальный ремонт участка тепловой сети по адресу: Московская область, г.о. Черноголовка, ул. Школьный б-р, от ТК 15 до ТК 18 (в т.ч. ПИР)"/>
        <s v="Строительство модульно-блочной котельной 2,1 МВт, взамен действующей г.о. Электросталь, с. Иванисово, ул. Центральная Усадьба (в т.ч. ПИР)"/>
        <s v="Капитальный ремонт участка тепловой сети по адресу: Московская область, г.о. Черноголовка, ул. Техническая, д. 2 от котельной до ТК 1 (в т.ч. ПИР)"/>
        <s v="Капитальный ремонт участков тепловых сетей по адресу: Мсосковская область, Дмитровский г.о., с. Рогачево, пл Осипова т.А через дорогу с. Рогачево пл.Осипова (в т.ч. ПИР)"/>
        <s v="Капитальный ремонт котельной (в части капитального ремонта котла ПТВМ 100 по адресу: Московская область, г.о. Черноголовка, ул. Техническая, д. 2 (в т.ч. ПИР)"/>
        <s v="Строительство БМК на 2,1 МВт по адресу: Московская область, г.о. Чехов, д. Бершово (в т.ч. ПИР)"/>
        <s v="Реконструкция котельной № 6 по адресу: пос. Чернецкое, г. Чехов-7, ул. Победы, военный городок № 18 (в том числе ПИР)"/>
        <s v="Капитальный ремонт участков тепловых сетей от котельной №1 по ул. 1 кв-л до ТК-235 (в т.ч. ПИР)"/>
        <s v="Капитальный ремонт участков тепловых сетей от котельной № 4 по адресу: Московская область, г.о. Чехов, ул. Гагарина, стр 42б (от ТК-22 до ТК-23 в районе д. 110-112 по ул. Гагарина) (в т.ч. ПИР)"/>
        <s v="Капитальный ремонт участков тепловой сети от котельной по адресу: Московская область, Талдомский г.о., р.п. Запрудня, пер. Мира, д.10: от ТК-6 до ТК-69, до ТК-70, до ТК-71, до ТК-72, до ТК-73, от ТК-70 до ТК-81, от ТК-81 до ТК-82, от ТК-82 до ТК-83, от ТК"/>
        <s v="Капитальный ремонт участков тепловой сети по адресу: Московская область, Дмитровский г.о., г. Дмитров, ул. Комсомольская (от ТК-М1 до ТК-М15) (в т.ч. ПИР)"/>
        <s v="Реконструкция участка теплосети по адресу: Московская область, г.о. Дубна, пр-т Боголюбова, (от дома № 39 до дома № 37) (в т.ч. ПИР)"/>
        <s v="Капитальный ремонт участков тепловых сетей от котельной по адресу: Московская область, г.Подольск, ул.Пионерская, д.2а: от котельной до ТК-6, от ТК-6 до Р4, от Р4 до ТК-12, от ТК-12 до ТК-13, от ТК-13 до ТК-14, Р-4 до ТК10, от ТК-10 до Б.Серпуховская, 50 "/>
        <s v="Строительство блочного теплового пункта по адресу: Московская область, г.о.Власиха, в районе пересечения улиц Заозёрная и Солнечная (в т.ч. ПИР)"/>
        <s v="Капитальный ремонт участков тепловой сети по адресу: Московская область, Дмитровский г.о., г. Дмитров, ул. Профессиональная к мкр.4 (от ТК-П1 до ТК-П2) (в т.ч. ПИР)"/>
        <s v="Капитальный ремонт участков тепловой сети (от ТК-8 до ТК-9) (в т.ч. ПИР)"/>
        <s v="Строительство блочно-модульной котельной (БМК), расположенная по адресу: Московская область, городской округ Шатура, поселок Мишеронский, ул. Советская (в том числе ПИР и ТП)"/>
        <s v="Капитальный ремонт участков тепловой сети по адресу: Московская область, Дмитровский г.о., г. Дмитров, ул. Комсомольская (от ТК-М6 до ТК-М32) (в т.ч. ПИР)"/>
        <s v="Капитальный ремонт участков тепловой сети по адресу: Московская область, Дмитровский г.о., п. Рыбное (от ТК-2 до ТК-12) (в т.ч. ПИР)"/>
        <s v="Капитальный ремонт участков тепловой сети от котельной по адресу: Московская область, Талдомский г.о., р.п. Запрудня, пер. Мира, д. 10: от ТК-7А до ТК-8, от ТК-8 до ТК-9, от ТК-9 до ТК-10, от ТК-10 до ТК-11, от ТК-15 до ул. Ленина д. 1 (до запорной армату"/>
        <s v="Капитальный ремонт участков тепловых сетей от котельной по адресу: Московская область, г.Подольск, ул. Победа, д.4а: от котельной до Р8 (Победы,2), от Р8 (Победы,2) до Р9, от Р9 до ТК-17 (в т.ч. ПИР)"/>
        <s v="Капитальный ремонт участков тепловой сети по адресу: Московская область, Дмитровский г.о., рп Некрасовский ул. Заводская (от бойлерной до ТК-6) (в т.ч. ПИР)"/>
        <s v="Капитальный ремонт котельной (в части установки аккумуляторных баков запаса холодной воды) по адресу: Московская область, г.о. Шатура, п. Осаново-Дубовое (в т.ч. ПИР)"/>
        <s v="Капитальный ремонт котельной (в части установки аккумуляторных баков запаса холодной воды) по адресу: Московская область, г.о. Шатура, р.п. Черусти ул. Новая (в т.ч. ПИР)"/>
        <s v="Капитальный ремонт котельной (в части замены аккумуляторного бака запаса холодной воды) по адресу: Московская область, г.о. Шатура, п. Середниково, (в т.ч. ПИР)"/>
        <s v="Капитальный ремонт котельной (в части замены аккумуляторного бака запаса холодной воды) по адресу: Московская область, г.о. Шатура, с. Дмитровский погост (в т.ч. ПИР)"/>
        <s v="Строительство БМК по адресу: г. Шатура, мкр. Керва (в т.ч. ПИР)"/>
        <s v="Капитальный ремонт участков тепловых сетей от Котельной ул.Кирова, д.38 до Котельной ул.Парковая, д.11в г.о.Подольск: от котельной ул. Кирова д. 38 до ТК–16, от ТК–16 до ТК–19, ТК–19 до ТК–28-1, от ТК–28-1 до ТК–29, от ТК–29 до котельная ул. Парковая д. 1"/>
        <s v="Капитальный ремонт участков тепловых сетей по адресу: Московская область, г.о. Шатура, п. Туголесский бор, от ТК-4 до ТК-7 (в т.ч. ПИР)"/>
        <s v="Капитальный ремонт участков тепловых сетей по адресу: Московская область, г.о. Шатура, п. Туголесский бор, от ТК-38 до компенсатора по ул. Октябрьская (в т.ч. ПИР)"/>
        <s v="Капитальный ремонт участков тепловых сетей от котельной №1, от ТК-28 до ТК-30 (в т.ч. ПИР)"/>
        <s v="Капитальный ремонт участков тепловых сетей по адресу: Московская область, г.о. Шатура, с. Дмитровский погост, от ТК-3 до ТК-5 (в т.ч. ПИР)"/>
        <s v="Реконструкция тепловых сетей, расположенных по адресу: Московская область, муниципальный округа Шатура, с. Дмитровский Погост, ул. Школьная"/>
        <s v="Реконструкция центрального теплового пункта-1, расположенного по адресу: Московская область, муниципальный округ Шатура, с. Дмитровский Погост, ул. Ленина, д. 14А"/>
        <s v="Реконструкция центрального теплового пункта-2, расположенного по адресу: Московская область, муниципальный округ Шатура, с. Дмитровский Погост, ул. Футбольная, д. 9"/>
        <s v="Реконструкция центрального теплового пункта-3, расположенного по адресу: Московская область, муниципальный округ Шатура, с. Дмитровский Погост, ул. Гришина, д. 10Б"/>
        <s v="Капитальный ремонт котельной по адресу: Московская область, г.о. Шаховская с. Ивашково д. 75а (в т.ч. ПИР)"/>
        <s v="Реконструкция тепловых сетей котельной с. Ивашково, г.о. Шаховская (в т.ч. ПИР)"/>
        <s v="Строительство БМК на 3 МВт по адресу: Московская область, г.о. Шаховская, п. Шаховская, ул. Базаева д. 27 (в т.ч.ПИР)"/>
        <s v="Строительство БМК на 3 МВт по адресу: Московская область, г.о. Шаховская, с. Раменье ул. Новая 13 (в т.ч. ПИР)"/>
        <s v="Капитальный ремонт котельной № 8 по адресу: Московская область, г.о. Шаховская, пер. Заречный д. 11а (в т.ч. ПИР)"/>
        <s v="Реконструкция тепловых сетей котельной д. Степаньково, г.о. Шаховская (в т.ч. ПИР)"/>
        <s v="Строительство БМК на 1,2 МВт по адресу: Московская область, г.о. Щелково, пл. Ленина (в т.ч. ПИР)"/>
        <s v="Капитальный ремонт участков тепловой сети по адресу: Московская область, Дмитровский г.о., г. Яхрома, ул. Ленина (от ТК Б1 (у д.3 ул.Ленина) до ТК-Б1 (у терапии)) (в т.ч. ПИР)"/>
        <s v="Капитальный ремонт участков тепловой сети от Котельной ул. Сиреневая, участки по ул. Комсомольская от ТК-1122 до ТК-1144 , от ТК-1144 до ТК-1437 (в т.ч. ПИР)"/>
        <s v="Строительство БМК на 0,3 МВт по адресу: Московская область, г.о. Щелково, д. Еремино (в т.ч. ПИР)"/>
        <s v="Капитальный ремонт котельной (в части замены двух котлов и диаэратора) по адресу: Московская область, г.о. Щелково, ул. Московская (в т.ч. ПИР)"/>
        <s v="Капитальный ремонт участков тепловых сетей от котельной д. Богослово до д.18 и от ТК-6 до ТК-9а в г.о. Щелково (в т.ч. ПИР)"/>
        <s v="Капитальный ремонт участков тепловых сетей от ТК до вводов в МКД (в т.ч. ПИР)"/>
        <s v="Капитальный ремонт участков тепловых сетей от Котельной № 8 до ТК-1 (в т.ч. ПИР)"/>
        <s v="Капитальный ремонт Котельной №3 (ул. Текстильщиков) (в части замены 2 котлов, горелок, насосов, системы автоматики, ХВП) в г.о. Щелково (в т.ч. ПИР)"/>
        <s v="Строительство БМК по адресу: г. Озёры, ул. Ленина, вблизи дома 55 (в том числе ПИР)"/>
        <s v="Строительство БМК на 3,5 МВт по адресу: Московская область, г.о. Луховицы, пос.совхоза &quot;Орешково&quot;, ул. Центральная, д.27 (в т.ч. ПИР)"/>
        <s v="Капитальный ремонт ЦТП №17 по адресу:Московская область, г.о. Лыткарино, ул.Советская, д.14 (в т.ч. ПИР)"/>
        <s v="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
        <s v="Строительство БМК на 16 МВт по адресу: Московская область, г.о. Щелково, мкр. № 2 (в т.ч. ПИР)"/>
        <s v="Реконструкция участка тепловой сети по адресу: Московская область, г. Кашира, от дома № 9 до дома № 4/1 по ул. Садовая (в т.ч. ПИР)"/>
        <s v="Капитальный ремонт участков тепловых сетей от котельной №2 по адресу: Московская область, г.о. Талдомский, г. Талдом, Промышленный проезд, 12 (в т.ч. ПИР)"/>
        <s v="Капитальный ремонт участков тепловых сетей от ТК-1 до ТК-8 ул. К. Маркса, 26 - ул.Октябрьская, 25 в г.о. Электросталь(в т.ч. ПИР)"/>
        <s v="Капитальный ремонт сети теплоснабжения и горячего водоснабжения в т.ч. (ПИР) п. Елизаветино, г.о. Электросталь (в т.ч. ПИР)"/>
        <s v="Капитальный ремонт участков тепловых сетей от ТК-1 до ТК-203, от ТК-435 до ТК-444, от ТК-322 до ТК-368, от ТК-25 до ТК-168, от ТК-412 до ТК-448, от ТК-8 до ТК-91, от ТК-9 до ТК-83а, от ТК-51 до ТК-59, ТК-84а до ТК-88, от ТК-21 до ТК-39, от ТК-93 до ТК-95а"/>
        <s v="Капитальный ремонт сети теплоснабжения и горячего водоснабжения в т.ч. (ПИР) с. Иванисово г.о. Электросталь (в т.ч. ПИР)"/>
        <s v="Капитальный ремонт сети теплоснабжения и горячего водоснабжения в т.ч. (ПИР) п. Фрязево, г.о. Электросталь (в т.ч. ПИР)"/>
      </sharedItems>
    </cacheField>
    <cacheField name="Подрядчики">
      <sharedItems containsBlank="1" containsMixedTypes="1" containsNumber="1" containsInteger="1">
        <n v="4.0"/>
        <m/>
        <s v="АО ГК ЕКС"/>
        <s v="ООО ЛЕГИОНСТРОЙГРУПП"/>
        <s v="ООО РОУД ГРУПП"/>
        <s v="ООО РСПК"/>
        <s v="ООО РКС"/>
        <s v="ООО ЕВРО СТРОЙ"/>
        <s v="ООО РУССТРОЙТЕХНОЛОГИИ"/>
        <s v="ООО СК МАГИРУС"/>
        <s v="ООО СТРОЙ ГРУПП"/>
        <s v="АО АГУНА"/>
        <s v="ООО ТЕПЛОПОРТ"/>
        <s v="АО НПТО ЖКХ"/>
        <s v="ООО РЕСУРС"/>
        <s v="ООО РСК ИМПУЛЬС"/>
        <s v="ООО МТ-ПРОЕКТ"/>
        <s v="АО МОСОБЛГАЗ"/>
        <s v="ООО СТАЙЛГРУПП"/>
        <s v="ООО ТЭСКИП"/>
        <s v="МУП БЛАГОУСТРОЙСТВО И РАЗВИТИЕ ГОРОДСКОГО ОКРУГА ВЛАСИХА"/>
        <s v="ООО ВЫМПЕЛСТРОЙ"/>
        <s v="ООО КЭС ГРУПП"/>
        <s v="ООО ПСК-71"/>
        <s v="ООО СК ИМПЕРИЯ"/>
        <s v="ООО ГЛАВСТРОЙ"/>
        <s v="ООО ТАРИУС ЭНЕРГО"/>
        <s v="ООО СЗ ФОРМУЛА РЕМОНТА"/>
        <s v="был ООО ГРАНДХИТ"/>
        <s v="ООО АСК-38"/>
        <s v="ООО РБК СТРОЙИНВЕСТ"/>
        <s v="ООО ПРОМСТРОЙЭКСПЕРТИЗА"/>
        <s v="ООО ТЕЗА-СТРОЙ"/>
        <s v="ООО МОСПРОЕКТ"/>
        <s v="ООО УНИСТРОЙ"/>
        <s v="ООО АЛЬФАСТРОЙ"/>
        <s v="ООО АРХИН"/>
        <s v="ООО ИМПУЛЬСЭНЕРГОСТРОЙ"/>
        <s v="ООО СЗСМЭУ"/>
        <s v="ООО СК ВЕКТОР"/>
        <s v="ООО ВМО-ПРОЕКТ"/>
        <s v="ЗАО ПК КОТЛОСТРОЙ"/>
        <s v="ООО ПРОФИСТРОЙ"/>
        <s v="ООО ТРАССТРОЙ"/>
        <s v="ООО ГЕОМАР"/>
        <s v="АО МИСК"/>
        <s v="ООО ИНВЕСТСТРОЙ"/>
        <s v="ООО ИСК"/>
        <s v="ООО РАДУГА"/>
        <s v="ООО ДАКОРП"/>
        <s v="ООО МОНТАЖ"/>
        <s v="ООО ЛИДЕР"/>
        <s v="ООО МОИК"/>
        <s v="АО МОСОБЛТЕПЛО"/>
        <s v="ООО МЕГАПОЛИС"/>
        <s v="ООО СТРОЙСНАБ"/>
        <s v="ООО ЭНЕРГОРЕМСТРОЙ"/>
        <s v="ООО ВКС ПРОЕКТ"/>
        <s v="был ООО ВКС ПРОЕКТ"/>
        <s v="ООО ТК СТРОЙ"/>
        <s v="ООО ЭЛЕКТРЕТИКА"/>
        <s v="ООО ГАЗЭНЕРГО ПРОМСЕРВИС"/>
        <s v="ООО СПМК МАГИСТРАЛЬ"/>
        <s v="ООО ЭКОМОНТАЖ"/>
        <s v="ООО ГАЗПРОЕКТМОНТАЖ"/>
        <s v="ООО СИТИ ИТИ РИТЕЙЛ"/>
        <s v="ООО АРТ СТРОЙ"/>
        <s v="ООО ТЕХНОЕВРОСТРОЙ"/>
        <s v="ООО М1 ГАЗЭКСПЛУАТАЦИЯ"/>
        <s v="ООО ОПТИМГРУПП"/>
        <s v="ООО АЛЬФА СТРОЙ"/>
        <s v="ООО КСК"/>
        <s v="ООО ИНЖГОРСТРОЙ"/>
        <s v="ООО ИНДЖЕТ"/>
        <s v="ООО ТВЭЛ"/>
        <s v="ООО СОВРЕМЕННЫЕ ТЕХНОЛОГИИ ТЕПЛОСНАБЖЕНИЯ"/>
        <s v="ООО ТПП КОНТУР"/>
        <s v="ООО ПКФ ЭНЕРГОСТРОЙ"/>
        <s v="ООО СТАНДАРТСТРОЙ"/>
        <s v="ООО СУ-106"/>
        <s v="АО ТЕПЛОСЕТЬ"/>
        <s v="АО ТЕПЛОУЧЕТ"/>
        <s v="ООО КДС"/>
        <s v="АО АСП"/>
        <s v="АО ИУ СТАЛЬКОНСТРУКЦИЯ"/>
        <s v="АО АВТОБЫТДОР"/>
        <s v="ООО КАСКАД-ЭНЕРГО"/>
        <s v="ООО СМУ-ЭС"/>
        <s v="ООО ЭТС"/>
        <s v="ООО ТЕПЛОИНЖСТРОЙ"/>
        <s v="ООО ИЭС"/>
        <s v="ООО СТРОЙСЕРВИС"/>
        <s v="ООО ТРОЯ"/>
        <s v="ООО ИТС-СТРОЙ"/>
        <s v="ООО ПСМ"/>
        <s v="ООО А-ГРУПП"/>
        <s v="ООО КАЛЬДЕРА"/>
        <s v="ООО ПРОМИНЖИНИРИНГ"/>
        <s v="ООО АЛСТРОЙ"/>
        <s v="ООО МИРАСТРОЙ"/>
        <s v="ООО ИНЖСТРОЙ"/>
        <s v="ООО АСТАТ"/>
        <s v="ООО ГСП"/>
        <s v="ООО РНП"/>
        <s v="ООО ГК А-СТРОЙ"/>
        <s v="ООО РУСВОДА ИНЖИНИРИНГ"/>
        <s v="ООО РЕМИСТР"/>
        <s v="ООО ЭРГАНА"/>
        <s v="ООО КОСМА"/>
        <s v="ООО СМУ-102"/>
        <s v="ООО ТУЛАОБОРОНСТРОЙ"/>
        <s v="ООО ОПУСГРУПП"/>
        <s v="ООО ГИПРОН"/>
        <s v="ООО ВРЕМЯ"/>
        <s v="ООО НИЛ"/>
        <s v="ООО МКСМ"/>
        <s v="ООО ГЭС"/>
        <s v="ООО ПГК МСК"/>
        <s v="ООО САРАТОВТЕХМОНТАЖ"/>
        <s v="ООО ЛЭНДСТРОЙ"/>
        <s v="ООО ГК ИМПЕРИЯ"/>
        <s v="АО ТЕПЛОСЕТЬ ФРЯЗИНО"/>
        <s v="ИП ДОБРА ЛИДИЯ ЕВГЕНЬЕВНА"/>
        <s v="ООО АЛЬФАГИДРОСТРОЙ"/>
        <s v="ООО ЭНЕРГОИНДУСТРИЯ"/>
        <s v="ООО ТЕПЛОЭНЕРГОТЕХ"/>
        <s v="ИП РАКОВСКИЙ ДЕНИС ВИКТОРОВИЧ"/>
        <s v="ООО ВЕКТОР"/>
        <s v="АО ПК ТИС"/>
        <s v="МПКХ ШАХОВСКАЯ"/>
        <s v="ООО ГК ТРАНСГАЗ РАЗВИТИЕ"/>
        <s v="ООО ЕВРОГАЗ"/>
        <s v="ООО СК"/>
        <s v="ООО ТЕХПРОМСТРОЙ-13"/>
        <s v="ООО СТАРТСТРОЙ"/>
      </sharedItems>
    </cacheField>
    <cacheField name="Тип">
      <sharedItems containsBlank="1" containsMixedTypes="1" containsNumber="1" containsInteger="1">
        <n v="5.0"/>
        <m/>
        <s v="БМК"/>
        <s v="Котельная"/>
        <s v="Сети"/>
        <s v="ТС и ГВС"/>
        <s v="ЦТП"/>
        <s v="ТГУ"/>
      </sharedItems>
    </cacheField>
    <cacheField name="МОГЭ положительное заключение получено">
      <sharedItems containsBlank="1" containsMixedTypes="1" containsNumber="1" containsInteger="1">
        <n v="6.0"/>
        <m/>
        <s v="Нет"/>
        <s v="Да"/>
      </sharedItems>
    </cacheField>
    <cacheField name="В МОГЭ заходили?" numFmtId="0">
      <sharedItems containsBlank="1">
        <m/>
        <s v="Заходили"/>
        <s v="В МОГЭ"/>
        <s v="Не заходили ни разу"/>
      </sharedItems>
    </cacheField>
    <cacheField name="Типовая причина" numFmtId="0">
      <sharedItems containsBlank="1">
        <m/>
        <s v="Долгая передача исходных данных от ОМСУ подрядчику"/>
        <s v="Корректировка ТЗ"/>
        <s v="Оформление ТС в муниципальную собственность"/>
        <s v="Низкий темп разработки ПИР подрядчиком"/>
        <s v="Длительное согласование ПИР с Заказчиком"/>
        <s v="Длительное прохождение НТС"/>
        <s v="Отсутствие тех.приса"/>
        <s v="Необходимость проведения НТС"/>
        <s v="Проведение дополнительных инж. изысканий в соответствии с ЗНП"/>
        <s v="&quot;Повторное МОГЭ, корретировка объемов&quot;"/>
        <s v="Смена проектировщика"/>
        <s v="Попадание в зоны ЗОУИТ"/>
        <s v="Финансовые трудности у ПО"/>
        <s v="Отсутствие ГПЗУ на земельный участок"/>
      </sharedItems>
    </cacheField>
    <cacheField name="СМР завершен">
      <sharedItems containsBlank="1" containsMixedTypes="1" containsNumber="1" containsInteger="1">
        <n v="7.0"/>
        <m/>
        <s v="Нет"/>
        <s v="Да"/>
        <s v="Нет, Да"/>
      </sharedItems>
    </cacheField>
    <cacheField name="Остаток СМР">
      <sharedItems containsBlank="1" containsMixedTypes="1" containsNumber="1" containsInteger="1">
        <n v="8.0"/>
        <m/>
        <s v="ПНР не проведен"/>
        <s v="Благоустройство"/>
        <s v="Монтаж не завершен"/>
        <s v="Благоустройство, Монтаж не завершен"/>
        <s v="ПНР не проведен, Благоустройство"/>
      </sharedItems>
    </cacheField>
    <cacheField name="Типовая причина2" numFmtId="0">
      <sharedItems containsBlank="1">
        <m/>
        <s v="Отсутствие тех.прис"/>
        <s v="Финансовые трудности подрядчиков"/>
        <s v="Низкий темп производства работ подрядной"/>
        <s v="Расторжение контракта (новый подрядчик)"/>
        <s v="Попадание в зоны ЗОУИТ"/>
        <s v="Выявление доп. объема работ"/>
        <s v="&quot;Длительное согласования с ведомствами (Ростехнадзор, МОГ и тд)&quot;"/>
        <s v="&quot;Длительное получение РНР, допусков на работы&quot;"/>
      </sharedItems>
    </cacheField>
    <cacheField name="СГ %">
      <sharedItems containsBlank="1" containsMixedTypes="1" containsNumber="1">
        <m/>
        <n v="0.9"/>
        <n v="0.85"/>
        <n v="0.88"/>
        <n v="0.99"/>
        <n v="0.81"/>
        <e v="#N/A"/>
        <n v="1.0"/>
        <n v="0.22"/>
        <n v="0.94"/>
        <n v="0.45"/>
        <n v="0.98"/>
        <n v="0.91"/>
        <n v="0.87"/>
        <n v="0.95"/>
        <n v="0.5"/>
        <n v="0.3"/>
        <n v="0.56"/>
        <n v="0.75"/>
        <n v="0.67"/>
        <n v="0.35"/>
        <n v="0.89"/>
        <n v="0.73"/>
        <n v="0.7"/>
        <n v="0.92"/>
        <n v="0.25"/>
        <n v="0.14"/>
        <n v="0.82"/>
        <n v="0.97"/>
        <n v="0.53"/>
        <n v="0.68"/>
        <n v="0.37"/>
        <n v="0.93"/>
        <n v="0.78"/>
        <n v="0.17"/>
        <n v="0.77"/>
        <n v="0.83"/>
        <n v="0.15"/>
        <n v="0.8"/>
        <n v="0.84"/>
        <n v="0.76"/>
        <n v="0.72"/>
        <n v="0.74"/>
        <n v="0.96"/>
        <n v="0.29"/>
        <n v="0.6"/>
        <n v="0.71"/>
        <n v="0.21"/>
        <n v="0.08"/>
        <n v="0.86"/>
        <n v="0.69"/>
        <n v="0.79"/>
        <n v="0.55"/>
        <n v="0.58"/>
        <n v="0.65"/>
        <n v="0.62"/>
        <n v="0.57"/>
        <n v="0.43"/>
        <n v="0.2"/>
      </sharedItems>
    </cacheField>
    <cacheField name="Оплачено">
      <sharedItems containsBlank="1" containsMixedTypes="1" containsNumber="1" containsInteger="1">
        <n v="9.0"/>
        <m/>
        <s v="Нет"/>
        <s v="Частично"/>
        <s v="Да"/>
        <s v="Контракт расторгнут"/>
      </sharedItems>
    </cacheField>
    <cacheField name="Сумма контракта" numFmtId="0">
      <sharedItems containsString="0" containsBlank="1" containsNumber="1">
        <n v="10.0"/>
        <n v="4.145513544592996E10"/>
        <n v="5.2111718E8"/>
        <n v="3.01279365E8"/>
        <n v="7.4154847189E8"/>
        <n v="3.0949620393E8"/>
        <n v="2.8046525E8"/>
        <n v="5.283894264E7"/>
        <n v="8520544.26"/>
        <n v="4.882174354E7"/>
        <n v="3.118758596E7"/>
        <n v="1.5425222364E8"/>
        <n v="2.46616321E8"/>
        <n v="2.1989956081E8"/>
        <n v="2.7422625E8"/>
        <n v="1.4452258402E8"/>
        <n v="2.841045E7"/>
        <n v="1.90085E8"/>
        <n v="2399700.0"/>
        <n v="1.380923E7"/>
        <m/>
        <n v="2206080.0"/>
        <n v="2.650563114E7"/>
        <n v="1.096426E7"/>
        <n v="3.930641E7"/>
        <n v="2.442230282E8"/>
        <n v="5.8138705E8"/>
        <n v="1.8312591E8"/>
        <n v="1.519046E7"/>
        <n v="2.457688E8"/>
        <n v="2.4361609734E8"/>
        <n v="1.7017675878E8"/>
        <n v="2.3815254E8"/>
        <n v="2.3087068154E8"/>
        <n v="2.262388887E8"/>
        <n v="2.1113148E8"/>
        <n v="2.810610931E7"/>
        <n v="2.5580415287E8"/>
        <n v="1.53079715E7"/>
        <n v="5.984970667E7"/>
        <n v="2.10369E8"/>
        <n v="6160313.88"/>
        <n v="3834151.45"/>
        <n v="1.9212207E8"/>
        <n v="1.3432576E8"/>
        <n v="1.726387306E7"/>
        <n v="1.561029331E7"/>
        <n v="1.88768474E8"/>
        <n v="1.084348136E7"/>
        <n v="1.2809145E8"/>
        <n v="2.503000698E7"/>
        <n v="4.131932473E7"/>
        <n v="2.974361485E8"/>
        <n v="2.2491E7"/>
        <n v="2.411392E7"/>
        <n v="1.752363E7"/>
        <n v="2.11686E7"/>
        <n v="1.890254E7"/>
        <n v="3.10204E7"/>
        <n v="4.023408E7"/>
        <n v="2.4025867686E8"/>
        <n v="1.5947199391E8"/>
        <n v="5.2827E7"/>
        <n v="6.140629E7"/>
        <n v="1.2151329E8"/>
        <n v="1.4802362E8"/>
        <n v="1.5003949507E8"/>
        <n v="3.521142E7"/>
        <n v="2.0459178784E8"/>
        <n v="2.99595E7"/>
        <n v="5.477854E7"/>
        <n v="1.3227422E8"/>
        <n v="2.0136950999E8"/>
        <n v="1.3640398E8"/>
        <n v="1.66537425599E9"/>
        <n v="2.0409799E8"/>
        <n v="1.5961413826E8"/>
        <n v="1.5957378989E8"/>
        <n v="1.5850905222E8"/>
        <n v="1.345953477E8"/>
        <n v="1.27113E8"/>
        <n v="9.895348E7"/>
        <n v="1.3987372268E8"/>
        <n v="1.75874E8"/>
        <n v="2.1167282364E8"/>
        <n v="2.954643E7"/>
        <n v="1.591718E7"/>
        <n v="1.146638597E8"/>
        <n v="1.0511412E8"/>
        <n v="1.6244128914E8"/>
        <n v="1.4921788954E8"/>
        <n v="1.261231E7"/>
        <n v="1.432E8"/>
        <n v="1.302231713E8"/>
        <n v="1.2927103371E8"/>
        <n v="8.000224E7"/>
        <n v="1.2459294E8"/>
        <n v="8.657372861E7"/>
        <n v="2.18210565E8"/>
        <n v="1.5888841772E8"/>
        <n v="8.669524585E7"/>
        <n v="2.844435E7"/>
        <n v="9.510377E7"/>
        <n v="1.2595936882E8"/>
        <n v="5.584219044E7"/>
        <n v="1.1904704E8"/>
        <n v="7920000.0"/>
        <n v="7.11613E7"/>
        <n v="1.25944E8"/>
        <n v="7761120.0"/>
        <n v="9.0E7"/>
        <n v="1.256E8"/>
        <n v="1.1507882E8"/>
        <n v="1.56167391E8"/>
        <n v="1.281512E7"/>
        <n v="1.0140446231E8"/>
        <n v="8.74460272E7"/>
        <n v="7.936471E7"/>
        <n v="1976808.0"/>
        <n v="3.32E7"/>
        <n v="4.923096E7"/>
        <n v="1.1423479E8"/>
        <n v="3.357860029E7"/>
        <n v="2.2714518E8"/>
        <n v="2.2411893E8"/>
        <n v="1.073149E8"/>
        <n v="9.312277772E7"/>
        <n v="8.804401217E7"/>
        <n v="2.1443612463E8"/>
        <n v="1.0951812E8"/>
        <n v="9.42528E7"/>
        <n v="1.9543566E8"/>
        <n v="1.11559023E8"/>
        <n v="5.879569787E8"/>
        <n v="6.0285821E7"/>
        <n v="6.299126714E7"/>
        <n v="7.632129298E7"/>
        <n v="7.2257526E7"/>
        <n v="1.0287544E8"/>
        <n v="1.9020036E8"/>
        <n v="7.15256047E7"/>
        <n v="9.951865E7"/>
        <n v="9.85669312E7"/>
        <n v="5.811714472E7"/>
        <n v="3.2566240714E8"/>
        <n v="8.595222587E7"/>
        <n v="6.325717E7"/>
        <n v="9.456559034E7"/>
        <n v="6.406675273E7"/>
        <n v="9.175936198E7"/>
        <n v="6.24942E7"/>
        <n v="6.1135E7"/>
        <n v="1.2349323824E8"/>
        <n v="2.526384877E7"/>
        <n v="3.699478212E7"/>
        <n v="6.97536E7"/>
        <n v="4.33459656E8"/>
        <n v="8.599336E7"/>
        <n v="5.32894756E7"/>
        <n v="5.955E7"/>
        <n v="1.7340380691E8"/>
        <n v="6.615295214E7"/>
        <n v="2.6595931092E8"/>
        <n v="8.86444E7"/>
        <n v="5.777215E7"/>
        <n v="1.543347854E7"/>
        <n v="1.9233486089E8"/>
        <n v="5.7067164E7"/>
        <n v="6.0686698E7"/>
        <n v="3.657120722E7"/>
        <n v="5.6856463E7"/>
        <n v="5.89E7"/>
        <n v="9.107843348E7"/>
        <n v="5.455015E7"/>
        <n v="7.332625478E7"/>
        <n v="3.384570226E7"/>
        <n v="4.235725141E7"/>
        <n v="3.379705794E7"/>
        <n v="5.319098759E7"/>
        <n v="7.403731E7"/>
        <n v="5.2593156E7"/>
        <n v="5.180076784E7"/>
        <n v="5.0900652E7"/>
        <n v="2.0182254617E8"/>
        <n v="3.992012389E7"/>
        <n v="1.8416693527E8"/>
        <n v="6.583773642E7"/>
        <n v="4.351010392E7"/>
        <n v="7.120892E7"/>
        <n v="5.994063E7"/>
        <n v="3.856038E7"/>
        <n v="6.821616E7"/>
        <n v="7.27217966E7"/>
        <n v="3.781745691E7"/>
        <n v="4.7199154E7"/>
        <n v="6.412909E7"/>
        <n v="5.740083E7"/>
        <n v="1.2566123159E8"/>
        <n v="6.034040928E7"/>
        <n v="4.5E7"/>
        <n v="4.472381E7"/>
        <n v="4.298478E7"/>
        <n v="4.295E7"/>
        <n v="4.50322278E7"/>
        <n v="1.228977E7"/>
        <n v="7.218918349E7"/>
        <n v="5.369353024E7"/>
        <n v="9.760695511E7"/>
        <n v="5.460733E7"/>
        <n v="3.906428426E7"/>
        <n v="8.315098894E7"/>
        <n v="4.597198215E7"/>
        <n v="5.293705162E7"/>
        <n v="4.5368512E7"/>
        <n v="1.62043246E8"/>
        <n v="4.749261E7"/>
        <n v="3.469114E7"/>
        <n v="4.904315E7"/>
        <n v="7.858021559E7"/>
        <n v="1.091851199E8"/>
        <n v="1.7711854878E8"/>
        <n v="4.70691504E7"/>
        <n v="4.628220442E7"/>
        <n v="3.253012762E7"/>
        <n v="1.07354297E7"/>
        <n v="2.885495E7"/>
        <n v="3.658023667E7"/>
        <n v="3.179E7"/>
        <n v="2.9681377266E8"/>
        <n v="6.738167678E7"/>
        <n v="4.74863126E7"/>
        <n v="1.3131761281E8"/>
        <n v="4.57072E7"/>
        <n v="3.539522825E7"/>
        <n v="8.0803974E7"/>
        <n v="4.031667E7"/>
        <n v="3.10016E7"/>
        <n v="2.706365E7"/>
        <n v="1.9017408329E8"/>
        <n v="7.273194E7"/>
        <n v="7.624629528E7"/>
        <n v="4.0848E7"/>
        <n v="1.0558687054E8"/>
        <n v="3.307806428E7"/>
        <n v="3.036880046E7"/>
        <n v="9.828519112E7"/>
        <n v="3.555496E7"/>
        <n v="3.549656E7"/>
        <n v="1.09011597E8"/>
        <n v="2255280.0"/>
        <n v="2.508338537E7"/>
        <n v="1.730249E7"/>
        <n v="9.632055E7"/>
        <n v="4.97445102E7"/>
        <n v="1.114517E7"/>
        <n v="2.405689E7"/>
        <n v="2.616589774E7"/>
        <n v="6603550.0"/>
        <n v="3.496768E7"/>
        <n v="2.670359703E7"/>
        <n v="2.021913E7"/>
        <n v="4.305033E7"/>
        <n v="6.9359472E7"/>
        <n v="2.3410646E7"/>
        <n v="3.9448762E7"/>
        <n v="3.8149488E7"/>
        <n v="1.288697444E7"/>
        <n v="5.762746188E7"/>
        <n v="7.787216539E7"/>
        <n v="6.595588051E7"/>
        <n v="2.48E7"/>
        <n v="2.412116305E7"/>
        <n v="7.57758397E7"/>
        <n v="5.105470276E7"/>
        <n v="2.2657643699E8"/>
        <n v="5.376293976E7"/>
        <n v="1.0056434E7"/>
        <n v="2.2318942E7"/>
        <n v="1.4790022E7"/>
        <n v="2.03396E7"/>
        <n v="3.1357648E7"/>
        <n v="2.4263712E7"/>
        <n v="3.410899379E7"/>
        <n v="1.650470756E7"/>
        <n v="2.478112E7"/>
        <n v="2.202929919E7"/>
        <n v="3.08155904E7"/>
        <n v="2.894863E7"/>
        <n v="2.13136E7"/>
        <n v="6.386070984E7"/>
        <n v="2.903107214E7"/>
        <n v="6.802844999E7"/>
        <n v="2.0E7"/>
        <n v="3.769531794E7"/>
        <n v="2.08324E7"/>
        <n v="2.082794E7"/>
        <n v="2.096447702E7"/>
        <n v="1.9073756826E8"/>
        <n v="2.000078287E7"/>
        <n v="6.195209516E7"/>
        <n v="7785131.5"/>
        <n v="0.0"/>
        <n v="2.583127862E7"/>
        <n v="4.46059169E8"/>
        <n v="5.996205356E7"/>
        <n v="1.0106070161E8"/>
        <n v="4406311.51"/>
        <n v="4.2570836726E8"/>
        <n v="2.1183426E8"/>
        <n v="2.4697760945E8"/>
        <n v="2.064545E7"/>
        <n v="5951042.59"/>
        <n v="2.57151776E7"/>
        <n v="1.10336646E7"/>
        <n v="4.152331E7"/>
        <n v="2.103689436E7"/>
        <n v="1.2354662E7"/>
        <n v="1845768.13"/>
        <n v="5.6006323238E8"/>
        <n v="2.420789E7"/>
        <n v="2.58704E7"/>
        <n v="6113335.03"/>
        <n v="2.01891566E7"/>
        <n v="1642579.62"/>
        <n v="4063310.82"/>
        <n v="1.338933922E7"/>
        <n v="2876109.64"/>
        <n v="7.599367913E7"/>
        <n v="1.9035682E7"/>
        <n v="1.697E7"/>
        <n v="1.955561735E7"/>
        <n v="9728411.03"/>
        <n v="1.639409168E7"/>
        <n v="2.392725967E7"/>
        <n v="5750611.28"/>
        <n v="4114470.38"/>
        <n v="1.1299687267E8"/>
        <n v="2.1520561E7"/>
        <n v="8.1856E7"/>
        <n v="2.24775E7"/>
        <n v="3.277325E7"/>
        <n v="1.512069323E7"/>
        <n v="4.237589033E7"/>
        <n v="7.966045426E7"/>
        <n v="2.274914972E7"/>
        <n v="3.90280299E7"/>
        <n v="1.3851E7"/>
        <n v="1.9841024E7"/>
        <n v="1.916934484E7"/>
        <n v="8.018206229E7"/>
        <n v="6.077631141E7"/>
        <n v="2.403697903E7"/>
        <n v="4.790691513E7"/>
        <n v="7.590756282E7"/>
        <n v="2.585184E7"/>
        <n v="3.531760245E7"/>
        <n v="3.496283E7"/>
        <n v="1.356552868E7"/>
        <n v="1.5925677557E8"/>
        <n v="3.198955E7"/>
        <n v="5.861831E7"/>
        <n v="2.586563585E7"/>
        <n v="3.044298657E7"/>
        <n v="1.264E7"/>
        <n v="1.271881517E7"/>
        <n v="1.74384E7"/>
        <n v="1.691788E7"/>
        <n v="2.200406E7"/>
        <n v="2.367253574E7"/>
        <n v="2.501933275E7"/>
        <n v="9.648258645E7"/>
        <n v="2.001495566E7"/>
        <n v="1.239055E7"/>
        <n v="8.105215824E7"/>
        <n v="1.16301E7"/>
        <n v="8.517680556E7"/>
        <n v="3.593970534E7"/>
        <n v="1.099492E7"/>
        <n v="9.3216E7"/>
        <n v="2.06576778858E9"/>
        <n v="7.81336E7"/>
        <n v="6.932492527E7"/>
        <n v="1.513642375E7"/>
        <n v="1.438668E7"/>
        <n v="1.243193254E7"/>
        <n v="6.296607428E7"/>
        <n v="1.131926474E7"/>
        <n v="1.821590698E7"/>
        <n v="2.654096E7"/>
        <n v="1.037917E7"/>
        <n v="9.986902E7"/>
        <n v="1.3609192E7"/>
        <n v="2.454445162E7"/>
        <n v="2.539287E7"/>
        <n v="3.722059242E7"/>
        <n v="7067134.53"/>
        <n v="7228230.0"/>
        <n v="1.217830197E7"/>
        <n v="4.527958476E7"/>
        <n v="1.539165E7"/>
        <n v="1.2491261E7"/>
        <n v="1.295406E7"/>
        <n v="9203493.71"/>
        <n v="1.177335E7"/>
        <n v="2.1800384754E8"/>
        <n v="8.909268E7"/>
        <n v="1.87264969E7"/>
        <n v="1.776888E7"/>
        <n v="1.185604434E7"/>
        <n v="1.070975814E7"/>
        <n v="9889991.55"/>
        <n v="9812370.4"/>
        <n v="1.0079142703E8"/>
        <n v="1.011414809E7"/>
        <n v="7012240.0"/>
        <n v="1701310.0"/>
        <n v="1391000.0"/>
        <n v="838500.0"/>
        <n v="1846000.0"/>
        <n v="1651000.0"/>
        <n v="1139500.0"/>
        <n v="3740000.0"/>
        <n v="1.320543E7"/>
        <n v="1283200.0"/>
        <n v="9.099255E7"/>
        <n v="1.0732177E8"/>
        <n v="1.65034E7"/>
        <n v="3.000648411E7"/>
        <n v="9.613381339E7"/>
        <n v="9.42045796E7"/>
        <n v="1.552425514E7"/>
        <n v="9.353346384E7"/>
        <n v="6.915395642E7"/>
        <n v="6466510.0"/>
        <n v="8806148.0"/>
        <n v="1.0332516E8"/>
        <n v="6.526518806E7"/>
        <n v="1.0020173413E8"/>
        <n v="1.981467364E7"/>
        <n v="8693889.52"/>
        <n v="3.915884251E7"/>
        <n v="8097400.0"/>
        <n v="5786800.0"/>
        <n v="2.192676775E7"/>
        <n v="1.30082697E8"/>
        <n v="7193340.0"/>
        <n v="7009516.8"/>
        <n v="2.066211E8"/>
        <n v="6124100.0"/>
        <n v="1.156239832E7"/>
        <n v="3.839051212E7"/>
        <n v="1.667753472E7"/>
        <n v="5275116.0"/>
        <n v="2702790.0"/>
        <n v="4046510.0"/>
        <n v="3513980.0"/>
        <n v="4632930.66"/>
        <n v="1.8838758241E8"/>
        <n v="5.901291954E7"/>
        <n v="1.496072E7"/>
        <n v="1.026488E7"/>
        <n v="1.807536867E7"/>
        <n v="4751592.0"/>
        <n v="2.1600001E8"/>
        <n v="2.972273E7"/>
        <n v="3.5741E7"/>
        <n v="2.42697E7"/>
        <n v="6.391472E7"/>
        <n v="2.360422E7"/>
        <n v="9.052151664E7"/>
        <n v="7.239224679E7"/>
        <n v="3.149413286E7"/>
        <n v="3.696237466E7"/>
        <n v="3.921606421E7"/>
        <n v="3729400.0"/>
        <n v="2.380136828E7"/>
        <n v="2.111816246E7"/>
        <n v="1.6427608519E8"/>
        <n v="2.798160604E7"/>
        <n v="1.656969889E7"/>
        <n v="5.3686464E7"/>
        <n v="3.7141802E7"/>
        <n v="1.1305509705E8"/>
        <n v="9.228134099E7"/>
        <n v="2.88621101E7"/>
        <n v="4202910.99"/>
        <n v="2.4180904474E8"/>
        <n v="2589275.0"/>
        <n v="1429680.0"/>
        <n v="8.893367767E7"/>
        <n v="2.4102702882E8"/>
        <n v="2.8693865418E8"/>
        <n v="3.290773625E7"/>
        <n v="5.248518166E7"/>
      </sharedItems>
    </cacheField>
    <cacheField name="Выплачено" numFmtId="0">
      <sharedItems containsString="0" containsBlank="1" containsNumber="1">
        <n v="11.0"/>
        <n v="2.9166656835840015E10"/>
        <n v="1.551886962E8"/>
        <n v="7.1084755E7"/>
        <n v="5.116684456E8"/>
        <n v="1.7429488636E8"/>
        <n v="7.011631E7"/>
        <n v="4.126411708E7"/>
        <n v="6353861.49"/>
        <n v="4.022355101E7"/>
        <n v="2.669598369E7"/>
        <n v="1.433674895E8"/>
        <n v="4.0E7"/>
        <n v="1.8600237105E8"/>
        <n v="8.2267875E7"/>
        <n v="1.0990151421E8"/>
        <n v="1.659223329E7"/>
        <n v="5.70255E7"/>
        <n v="2399700.0"/>
        <n v="1.17354375E7"/>
        <m/>
        <n v="2206080.0"/>
        <n v="2.610693793E7"/>
        <n v="8079644.9"/>
        <n v="3.104219842E7"/>
        <n v="2.35437784E8"/>
        <n v="4.011557155E8"/>
        <n v="1.6623589543E8"/>
        <n v="1.233385197E7"/>
        <n v="7.373064E7"/>
        <n v="7.308482921E7"/>
        <n v="5.105302763E7"/>
        <n v="7.1445762E7"/>
        <n v="6.926120446E7"/>
        <n v="6.787166661E7"/>
        <n v="6.3339444E7"/>
        <n v="2.427709273E7"/>
        <n v="1.1365378512E8"/>
        <n v="4175000.0"/>
        <n v="5.984970667E7"/>
        <n v="7018012.4"/>
        <n v="0.0"/>
        <n v="5.594594678E7"/>
        <n v="1.22734146E7"/>
        <n v="1.504463562E7"/>
        <n v="5.6630544E7"/>
        <n v="1.2808004984E8"/>
        <n v="1.853416842E7"/>
        <n v="4.131932473E7"/>
        <n v="1.965769781E8"/>
        <n v="2.246279006E7"/>
        <n v="1.942931061E7"/>
        <n v="1.512096682E7"/>
        <n v="1.651564405E7"/>
        <n v="1.635505298E7"/>
        <n v="2.946624211E7"/>
        <n v="3.748866654E7"/>
        <n v="1.3571645618E8"/>
        <n v="4.784159818E7"/>
        <n v="4.727123481E7"/>
        <n v="5.687967226E7"/>
        <n v="1.2151329E7"/>
        <n v="4.222486602E7"/>
        <n v="4.501184852E7"/>
        <n v="2.791092128E7"/>
        <n v="1.0229589392E8"/>
        <n v="2.610841286E7"/>
        <n v="4.91418065E7"/>
        <n v="7.599798227E7"/>
        <n v="1.0519727496E8"/>
        <n v="4.0921194E7"/>
        <n v="1.57008172871E9"/>
        <n v="1.0989082063E8"/>
        <n v="1.4276621419E8"/>
        <n v="5.63609823E7"/>
        <n v="1.5520801091E8"/>
        <n v="4.53072888E7"/>
        <n v="3.81339E7"/>
        <n v="8336917.12"/>
        <n v="1.0756197087E8"/>
        <n v="8.7937E7"/>
        <n v="2.0832257078E8"/>
        <n v="2.825891256E7"/>
        <n v="1.441645065E7"/>
        <n v="3.439915791E7"/>
        <n v="2.627853E7"/>
        <n v="1.3786524632E8"/>
        <n v="7.460894478E7"/>
        <n v="1.243513566E7"/>
        <n v="7.062502395E7"/>
        <n v="1.2627684369E8"/>
        <n v="5.995E7"/>
        <n v="6.449881499E7"/>
        <n v="1.2432971615E8"/>
        <n v="8.346294564E7"/>
        <n v="1.5056528984E8"/>
        <n v="6.692979E7"/>
        <n v="8.669524585E7"/>
        <n v="2.772356895E7"/>
        <n v="8.894564252E7"/>
        <n v="1.1495382463E8"/>
        <n v="1.824453085E7"/>
        <n v="5.475238705E7"/>
        <n v="4489928.93"/>
        <n v="6.856578567E7"/>
        <n v="5.475238745E7"/>
        <n v="6.171946131E7"/>
        <n v="2328336.0"/>
        <n v="2.7E7"/>
        <n v="6.28E7"/>
        <n v="5.292731462E7"/>
        <n v="1.56167391E8"/>
        <n v="1.163672603E7"/>
        <n v="3.935504061E7"/>
        <n v="2.623380816E7"/>
        <n v="2.190095958E7"/>
        <n v="5.721726599E7"/>
        <n v="2.433003122E7"/>
        <n v="2.91958185E7"/>
        <n v="5.7117395E7"/>
        <n v="3.357860029E7"/>
        <n v="1.7221920973E8"/>
        <n v="1.6318185252E8"/>
        <n v="5.365745E7"/>
        <n v="3.971907122E7"/>
        <n v="8.804401217E7"/>
        <n v="2.1418317046E8"/>
        <n v="1.0951367772E8"/>
        <n v="9.425148856E7"/>
        <n v="1.9543566E8"/>
        <n v="1.0647879557E8"/>
        <n v="5.7762662937E8"/>
        <n v="7447641.0"/>
        <n v="2.023457649E7"/>
        <n v="2.476501585E7"/>
        <n v="6.111680183E7"/>
        <n v="5.143772E7"/>
        <n v="1.3900707415E8"/>
        <n v="2.145768141E7"/>
        <n v="4.9759325E7"/>
        <n v="4.92834656E7"/>
        <n v="1.123588609E7"/>
        <n v="2.7839570898E8"/>
        <n v="8.587039882E7"/>
        <n v="1.83356238E7"/>
        <n v="9.230179089E7"/>
        <n v="1.922002582E7"/>
        <n v="7.047001713E7"/>
        <n v="1.874826E7"/>
        <n v="1.742040895E7"/>
        <n v="9.131876847E7"/>
        <n v="1.42570496E7"/>
        <n v="3.400147483E7"/>
        <n v="4.738180963E7"/>
        <n v="4.33459656E8"/>
        <n v="4.299668E7"/>
        <n v="1.7865E7"/>
        <n v="1.5243748544E8"/>
        <n v="2.120355857E7"/>
        <n v="2.5570705668E8"/>
        <n v="8.404780399E7"/>
        <n v="4.4052461E7"/>
        <n v="1.543347854E7"/>
        <n v="1.2158925844E8"/>
        <n v="1.71201492E7"/>
        <n v="4.763543801E7"/>
        <n v="2.882576682E7"/>
        <n v="1.70569389E7"/>
        <n v="2.005998027E7"/>
        <n v="5.247305399E7"/>
        <n v="1.6365045E7"/>
        <n v="3.573666844E7"/>
        <n v="2.98115417E7"/>
        <n v="2.85876201E7"/>
        <n v="2.959301944E7"/>
        <n v="1.595729628E7"/>
        <n v="3.7018655E7"/>
        <n v="1.57779468E7"/>
        <n v="1.554023035E7"/>
        <n v="1.52701956E7"/>
        <n v="1.8980230969E8"/>
        <n v="5746333.54"/>
        <n v="1.8416693527E8"/>
        <n v="6.583773642E7"/>
        <n v="3.235449104E7"/>
        <n v="7.016645386E7"/>
        <n v="5.994063E7"/>
        <n v="3.823627751E7"/>
        <n v="3.410808E7"/>
        <n v="3.890700237E7"/>
        <n v="4140270.0"/>
        <n v="1.41597462E7"/>
        <n v="3.2064545E7"/>
        <n v="2.558545571E7"/>
        <n v="9.385757086E7"/>
        <n v="2.866169441E7"/>
        <n v="1.35E7"/>
        <n v="1.3417143E7"/>
        <n v="1.20983004E7"/>
        <n v="1.224075E7"/>
        <n v="1.489975173E7"/>
        <n v="5978074.45"/>
        <n v="4.275233469E7"/>
        <n v="2.435521638E7"/>
        <n v="6.870694511E7"/>
        <n v="2.6351855E7"/>
        <n v="1.113332E7"/>
        <n v="5.555234064E7"/>
        <n v="1.903179214E7"/>
        <n v="2.646852581E7"/>
        <n v="2.007906418E7"/>
        <n v="1.3704311767E8"/>
        <n v="2.2560385E7"/>
        <n v="9887796.54"/>
        <n v="2.447253185E7"/>
        <n v="5.443181294E7"/>
        <n v="8.552594804E7"/>
        <n v="1.6995066758E8"/>
        <n v="2.35345752E7"/>
        <n v="2.314110221E7"/>
        <n v="9600000.0"/>
        <n v="1.00418E7"/>
        <n v="2.705452788E7"/>
        <n v="1.403055764E7"/>
        <n v="2.7462775518E8"/>
        <n v="4.543619192E7"/>
        <n v="4.451360212E7"/>
        <n v="1.0584260471E8"/>
        <n v="2.463608217E7"/>
        <n v="1.499127948E7"/>
        <n v="6.04875776E7"/>
        <n v="2.866953781E7"/>
        <n v="1.085056E7"/>
        <n v="6933948.0"/>
        <n v="1.7064686455E8"/>
        <n v="7.078970163E7"/>
        <n v="7.598014352E7"/>
        <n v="2.243267998E7"/>
        <n v="1.0438084118E8"/>
        <n v="3.247532081E7"/>
        <n v="2.626323464E7"/>
        <n v="8.043593458E7"/>
        <n v="1.777748E7"/>
        <n v="1.774828E7"/>
        <n v="9.135280186E7"/>
        <n v="1950440.28"/>
        <n v="7525015.61"/>
        <n v="1.574585595E7"/>
        <n v="8.074077893E7"/>
        <n v="4.427506033E7"/>
        <n v="8814014.4"/>
        <n v="2.079954E7"/>
        <n v="2.003585261E7"/>
        <n v="6603550.0"/>
        <n v="1.748384E7"/>
        <n v="2.513271488E7"/>
        <n v="1.946358084E7"/>
        <n v="2.112411316E7"/>
        <n v="3.844861522E7"/>
        <n v="1.526195858E7"/>
        <n v="2.329774485E7"/>
        <n v="3.783985124E7"/>
        <n v="1.234732849E7"/>
        <n v="5.299894611E7"/>
        <n v="3.952584024E7"/>
        <n v="6.329320559E7"/>
        <n v="7440000.0"/>
        <n v="2.411742576E7"/>
        <n v="7.511585533E7"/>
        <n v="4.925045294E7"/>
        <n v="2.208536793E8"/>
        <n v="5.211654726E7"/>
        <n v="8640441.27"/>
        <n v="1.668739136E7"/>
        <n v="5802872.08"/>
        <n v="1.688565875E7"/>
        <n v="1.417395168E7"/>
        <n v="7279113.6"/>
        <n v="1.746179645E7"/>
        <n v="8673390.0"/>
        <n v="6278060.0"/>
        <n v="1.510270016E7"/>
        <n v="1.375928384E7"/>
        <n v="6394080.0"/>
        <n v="4.900379068E7"/>
        <n v="1.42282095E7"/>
        <n v="5.330892095E7"/>
        <n v="5400000.0"/>
        <n v="3.769531794E7"/>
        <n v="6249720.0"/>
        <n v="6248382.0"/>
        <n v="6799470.87"/>
        <n v="1.7667177934E8"/>
        <n v="6000237.0"/>
        <n v="4.806319966E7"/>
        <n v="6613098.29"/>
        <n v="1.226985734E7"/>
        <n v="3.7655021201E8"/>
        <n v="5.996205356E7"/>
        <n v="1.0106070161E8"/>
        <n v="4317611.13"/>
        <n v="4.0214671208E8"/>
        <n v="1.7272390811E8"/>
        <n v="2.4697760945E8"/>
        <n v="7128617.45"/>
        <n v="5936832.29"/>
        <n v="1.260308032E7"/>
        <n v="1.10336646E7"/>
        <n v="2.844084157E7"/>
        <n v="2.103689436E7"/>
        <n v="1.077994456E7"/>
        <n v="1143599.25"/>
        <n v="4.3175027577E8"/>
        <n v="1.117398509E7"/>
        <n v="1.29352E7"/>
        <n v="5310281.59"/>
        <n v="7311792.0"/>
        <n v="1548426.85"/>
        <n v="4063310.82"/>
        <n v="1.338933922E7"/>
        <n v="2876109.64"/>
        <n v="6.410232828E7"/>
        <n v="7145789.44"/>
        <n v="5091000.0"/>
        <n v="1.056586618E7"/>
        <n v="9476141.19"/>
        <n v="1.600472885E7"/>
        <n v="1.986378836E7"/>
        <n v="5505187.73"/>
        <n v="4085583.64"/>
        <n v="1.0143031375E8"/>
        <n v="1.022872264E7"/>
        <n v="8.1856E7"/>
        <n v="1.123875E7"/>
        <n v="2.200142002E7"/>
        <n v="1.512069323E7"/>
        <n v="3.179114289E7"/>
        <n v="6.929242482E7"/>
        <n v="1.2612648E7"/>
        <n v="2.891738034E7"/>
        <n v="3906562.3"/>
        <n v="9920512.0"/>
        <n v="1.916934484E7"/>
        <n v="7.047116742E7"/>
        <n v="5.116110141E7"/>
        <n v="1.4421771E7"/>
        <n v="3.830777661E7"/>
        <n v="6.653918885E7"/>
        <n v="2.521436214E7"/>
        <n v="2.953390758E7"/>
        <n v="2.574939144E7"/>
        <n v="4493280.0"/>
        <n v="1.510208035E8"/>
        <n v="3.137779691E7"/>
        <n v="4.985963579E7"/>
        <n v="2.586563585E7"/>
        <n v="3.044298657E7"/>
        <n v="3601766.08"/>
        <n v="3744158.69"/>
        <n v="8719200.0"/>
        <n v="8291500.21"/>
        <n v="1.968264354E7"/>
        <n v="2.010668897E7"/>
        <n v="2.138397348E7"/>
        <n v="9.648258645E7"/>
        <n v="1.130989587E7"/>
        <n v="5587696.84"/>
        <n v="7.244893431E7"/>
        <n v="3316829.31"/>
        <n v="6.881294014E7"/>
        <n v="3.593970534E7"/>
        <n v="3133550.0"/>
        <n v="4.6608E7"/>
        <n v="2.06576778858E9"/>
        <n v="7.315448555E7"/>
        <n v="6.146888004E7"/>
        <n v="7346320.51"/>
        <n v="6761739.6"/>
        <n v="9832554.3"/>
        <n v="6.296607428E7"/>
        <n v="6101920.87"/>
        <n v="1.821590698E7"/>
        <n v="2.630810785E7"/>
        <n v="3113751.0"/>
        <n v="9.518599254E7"/>
        <n v="6396320.24"/>
        <n v="1.767796582E7"/>
        <n v="2.443136368E7"/>
        <n v="3.036841493E7"/>
        <n v="7067134.53"/>
        <n v="7119068.45"/>
        <n v="5439701.61"/>
        <n v="4.527958476E7"/>
        <n v="1.479210041E7"/>
        <n v="5870892.67"/>
        <n v="6477030.0"/>
        <n v="2761048.11"/>
        <n v="5534296.59"/>
        <n v="1.4525089973E8"/>
        <n v="6.831186572E7"/>
        <n v="1.2490749E7"/>
        <n v="5330664.0"/>
        <n v="5631969.21"/>
        <n v="5087135.12"/>
        <n v="4648296.02"/>
        <n v="4661164.2"/>
        <n v="9.573673184E7"/>
        <n v="5096809.2"/>
        <n v="1998200.0"/>
        <n v="1173116.44"/>
        <n v="1144724.98"/>
        <n v="632651.89"/>
        <n v="1662958.06"/>
        <n v="1387745.16"/>
        <n v="990477.46"/>
        <n v="2116493.79"/>
        <n v="1.223297714E7"/>
        <n v="1238809.57"/>
        <n v="6.640286574E7"/>
        <n v="1.003195982E8"/>
        <n v="7112989.17"/>
        <n v="2.501217528E7"/>
        <n v="7.339390895E7"/>
        <n v="8.921851474E7"/>
        <n v="1.349091512E7"/>
        <n v="6.893005621E7"/>
        <n v="6.441723858E7"/>
        <n v="5607342.29"/>
        <n v="4138889.56"/>
        <n v="1.0233426854E8"/>
        <n v="6.526518806E7"/>
        <n v="1.0020173413E8"/>
        <n v="1.995582947E7"/>
        <n v="7576298.4"/>
        <n v="3.485029187E7"/>
        <n v="3805778.0"/>
        <n v="1736040.0"/>
        <n v="1.80201E7"/>
        <n v="1.2626805734E8"/>
        <n v="3380869.8"/>
        <n v="3294472.9"/>
        <n v="2.0114629294E8"/>
        <n v="2878327.0"/>
        <n v="1390572.0"/>
        <n v="3.5442341E7"/>
        <n v="1.37834306E7"/>
        <n v="2479304.52"/>
        <n v="824262.98"/>
        <n v="1384128.92"/>
        <n v="1436351.69"/>
        <n v="5.631415814E7"/>
        <n v="1.350501693E7"/>
        <n v="8800994.61"/>
        <n v="1.541181117E7"/>
        <n v="4649209.59"/>
        <n v="2.0419288449E8"/>
        <n v="2.909765983E7"/>
        <n v="3.498560974E7"/>
        <n v="2.373807972E7"/>
        <n v="6.3914718E7"/>
        <n v="1.925306828E7"/>
        <n v="7.627504289E7"/>
        <n v="6.816990174E7"/>
        <n v="3.149413286E7"/>
        <n v="2.433341922E7"/>
        <n v="3.637567177E7"/>
        <n v="1118820.0"/>
        <n v="2.269431596E7"/>
        <n v="1.965304488E7"/>
        <n v="1.0735188294E8"/>
        <n v="2.47850025E7"/>
        <n v="1.628069879E7"/>
        <n v="4.259136648E7"/>
        <n v="3.249388308E7"/>
        <n v="1.1081229927E8"/>
        <n v="9.018818946E7"/>
        <n v="2.684425362E7"/>
        <n v="3962394.15"/>
        <n v="2.416904617E8"/>
        <n v="727682.57"/>
        <n v="428904.0"/>
        <n v="6.359770517E7"/>
        <n v="2.2076935659E8"/>
        <n v="2.3453211931E8"/>
        <n v="3.003542289E7"/>
        <n v="5.248518166E7"/>
      </sharedItems>
    </cacheField>
    <cacheField name="Остаток" numFmtId="0">
      <sharedItems containsString="0" containsBlank="1" containsNumber="1">
        <n v="12.0"/>
        <n v="1.0824957116360008E10"/>
        <n v="3.659284838E8"/>
        <n v="2.3019461E8"/>
        <n v="2.2988002628999996E8"/>
        <n v="1.3520131757E8"/>
        <n v="2.1034894E8"/>
        <n v="0.0"/>
        <n v="2.06616321E8"/>
        <n v="3.389718975999999E7"/>
        <n v="1.91958375E8"/>
        <n v="1.330595E8"/>
        <m/>
        <n v="8785244.199999988"/>
        <n v="1.802313345E8"/>
        <n v="1.7203816E8"/>
        <n v="1.7053126813E8"/>
        <n v="1.1912373115E8"/>
        <n v="1.66706778E8"/>
        <n v="1.6160947707999998E8"/>
        <n v="1.5836722208999997E8"/>
        <n v="1.47792036E8"/>
        <n v="1.4215036775E8"/>
        <n v="1.11329715E7"/>
        <n v="2.033509876E8"/>
        <n v="6160313.88"/>
        <n v="3834151.45"/>
        <n v="1.3617612322E8"/>
        <n v="1.3432576E8"/>
        <n v="1.3213793E8"/>
        <n v="1.084348136E7"/>
        <n v="1.008591704E8"/>
        <n v="1.0454222068E8"/>
        <n v="1.1163039572999999E8"/>
        <n v="1.09361961E8"/>
        <n v="1.0579875397999999E8"/>
        <n v="1.0502764654999998E8"/>
        <n v="1.0229589392E8"/>
        <n v="5.6276237730000004E7"/>
        <n v="9.617223503000002E7"/>
        <n v="9.5482786E7"/>
        <n v="9.529252727999997E7"/>
        <n v="9.420716937E7"/>
        <n v="1.6847924069999993E7"/>
        <n v="1.0321280758999999E8"/>
        <n v="3301041.3100000024"/>
        <n v="8.928805889999999E7"/>
        <n v="8.89791E7"/>
        <n v="9.061656288E7"/>
        <n v="3.2311751810000002E7"/>
        <n v="8.7937E7"/>
        <n v="3350252.8599999845"/>
        <n v="8.026470179E7"/>
        <n v="7.883559E7"/>
        <n v="2.4576042819999993E7"/>
        <n v="7.460894475999999E7"/>
        <n v="7.257497605E7"/>
        <n v="3946327.6099999994"/>
        <n v="6.932103371E7"/>
        <n v="1.5503425009999998E7"/>
        <n v="3110782.969999999"/>
        <n v="6.764527516E7"/>
        <n v="9.195862772E7"/>
        <n v="3.7597659589999996E7"/>
        <n v="6.429465295E7"/>
        <n v="6.429465255E7"/>
        <n v="6.422453869E7"/>
        <n v="6.3E7"/>
        <n v="6.28E7"/>
        <n v="6.215150538E7"/>
        <n v="6.20494217E7"/>
        <n v="6.121221904000001E7"/>
        <n v="5.746375042E7"/>
        <n v="5.744659371E7"/>
        <n v="1976808.0"/>
        <n v="5.7117395E7"/>
        <n v="5.492597027000001E7"/>
        <n v="5.365745E7"/>
        <n v="5.34037065E7"/>
        <n v="5.283818E7"/>
        <n v="4.2756690650000006E7"/>
        <n v="5.155627713E7"/>
        <n v="1.1140724170000002E7"/>
        <n v="5.143772E7"/>
        <n v="5.1193285849999994E7"/>
        <n v="5.006792329000001E7"/>
        <n v="4.9759325E7"/>
        <n v="4.92834656E7"/>
        <n v="4.6881258629999995E7"/>
        <n v="4.726669815999997E7"/>
        <n v="81827.05000001192"/>
        <n v="4.49215462E7"/>
        <n v="4.484672691E7"/>
        <n v="2.128934485000001E7"/>
        <n v="4.374594E7"/>
        <n v="4.371459105E7"/>
        <n v="3.2174469769999996E7"/>
        <n v="4.299668E7"/>
        <n v="5.32894756E7"/>
        <n v="4.1685E7"/>
        <n v="4.494939357E7"/>
        <n v="1.3719689E7"/>
        <n v="7.074560244999999E7"/>
        <n v="3.99470148E7"/>
        <n v="3.97995241E7"/>
        <n v="3.8840019730000004E7"/>
        <n v="3.860537949E7"/>
        <n v="3.8185105E7"/>
        <n v="3.758958634E7"/>
        <n v="3.723369131E7"/>
        <n v="3.7018655E7"/>
        <n v="3.68152092E7"/>
        <n v="3.626053749E7"/>
        <n v="3.56304564E7"/>
        <n v="3.417379035E7"/>
        <n v="3.410808E7"/>
        <n v="3.381479423E7"/>
        <n v="3.367718691E7"/>
        <n v="3.30394078E7"/>
        <n v="3.2064545E7"/>
        <n v="3.181537429E7"/>
        <n v="3.1803660730000004E7"/>
        <n v="3.167871487E7"/>
        <n v="3.15E7"/>
        <n v="3.1306667E7"/>
        <n v="3.08864796E7"/>
        <n v="3.070925E7"/>
        <n v="3.0132476069999997E7"/>
        <n v="2.9436848799999997E7"/>
        <n v="2.9338313860000003E7"/>
        <n v="2.890001E7"/>
        <n v="2.8255475E7"/>
        <n v="2.7930964259999998E7"/>
        <n v="2.7598648299999997E7"/>
        <n v="2.6940190009999998E7"/>
        <n v="2.646852581E7"/>
        <n v="2.528944782E7"/>
        <n v="2.5000128330000013E7"/>
        <n v="2.4932225E7"/>
        <n v="2.480334346E7"/>
        <n v="2.457061815E7"/>
        <n v="2.4148402650000006E7"/>
        <n v="2.365917186E7"/>
        <n v="7167881.199999988"/>
        <n v="2.35345752E7"/>
        <n v="2.314110221E7"/>
        <n v="2.293012762E7"/>
        <n v="1800422.120000001"/>
        <n v="2.254967903E7"/>
        <n v="3.179E7"/>
        <n v="2.218601748000002E7"/>
        <n v="2.194548486E7"/>
        <n v="2972710.480000004"/>
        <n v="2.107111783E7"/>
        <n v="2.040394877E7"/>
        <n v="2.03163964E7"/>
        <n v="1.1647132190000001E7"/>
        <n v="2.015104E7"/>
        <n v="2.0129702E7"/>
        <n v="1.952721873999998E7"/>
        <n v="1.841532002E7"/>
        <n v="4105565.8200000003"/>
        <n v="1.7849256540000007E7"/>
        <n v="1.777748E7"/>
        <n v="1.774828E7"/>
        <n v="1.765879514E7"/>
        <n v="1.755836976E7"/>
        <n v="1.748384E7"/>
        <n v="2662674.9199999943"/>
        <n v="1.736E7"/>
        <n v="3453941.25"/>
        <n v="1.718369632E7"/>
        <n v="1.69845984E7"/>
        <n v="1.664719734E7"/>
        <n v="1.650470756E7"/>
        <n v="1.610773E7"/>
        <n v="1.5751239190000001E7"/>
        <n v="1.5712890239999998E7"/>
        <n v="1.518934616E7"/>
        <n v="1.491952E7"/>
        <n v="1.4856919160000004E7"/>
        <n v="1.480286264E7"/>
        <n v="1.4719529039999992E7"/>
        <n v="1.46E7"/>
        <n v="1.458268E7"/>
        <n v="1.4579558E7"/>
        <n v="1.4165006149999999E7"/>
        <n v="1.4065788919999987E7"/>
        <n v="1.4000545870000001E7"/>
        <n v="1.38888955E7"/>
        <n v="1.3561421280000001E7"/>
        <n v="1.351683255E7"/>
        <n v="1.3112097280000001E7"/>
        <n v="1.308246843E7"/>
        <n v="1.303390491E7"/>
        <n v="1.29352E7"/>
        <n v="1.2877364600000001E7"/>
        <n v="1.1891350849999994E7"/>
        <n v="1.1889892559999999E7"/>
        <n v="1.1879E7"/>
        <n v="1.1566558920000002E7"/>
        <n v="1.129183836E7"/>
        <n v="1.123875E7"/>
        <n v="1.077182998E7"/>
        <n v="1.0584747439999998E7"/>
        <n v="1.0368029440000013E7"/>
        <n v="1.0136501719999999E7"/>
        <n v="1.0110649559999999E7"/>
        <n v="9944437.7"/>
        <n v="9920512.0"/>
        <n v="9710894.870000005"/>
        <n v="9615210.0"/>
        <n v="9615208.030000001"/>
        <n v="9599138.520000003"/>
        <n v="9368373.969999991"/>
        <n v="9213438.559999999"/>
        <n v="9072248.68"/>
        <n v="9038233.92"/>
        <n v="8974656.48"/>
        <n v="8719200.0"/>
        <n v="8626379.79"/>
        <n v="3635359.2699999996"/>
        <n v="8603223.929999992"/>
        <n v="8313270.6899999995"/>
        <n v="7861370.0"/>
        <n v="4.6608E7"/>
        <n v="7856045.229999997"/>
        <n v="7790103.24"/>
        <n v="7624940.4"/>
        <n v="2599378.2399999984"/>
        <n v="5217343.87"/>
        <n v="7265419.0"/>
        <n v="7212871.76"/>
        <n v="6866485.800000001"/>
        <n v="6852177.490000002"/>
        <n v="6738600.36"/>
        <n v="6620368.33"/>
        <n v="6477030.0"/>
        <n v="6442445.6000000015"/>
        <n v="6239053.41"/>
        <n v="6235747.8999999985"/>
        <n v="1.2438216E7"/>
        <n v="6224075.13"/>
        <n v="5622623.0200000005"/>
        <n v="5241695.530000001"/>
        <n v="5151206.2"/>
        <n v="5054695.189999998"/>
        <n v="5017338.89"/>
        <n v="5014040.0"/>
        <n v="4994308.829999998"/>
        <n v="4986064.859999999"/>
        <n v="2033340.0200000014"/>
        <n v="4736717.840000004"/>
        <n v="4667258.4399999995"/>
        <n v="-141155.8299999982"/>
        <n v="1117591.1199999992"/>
        <n v="4308550.640000001"/>
        <n v="4291622.0"/>
        <n v="4050760.0"/>
        <n v="3906667.75"/>
        <n v="3814639.6599999964"/>
        <n v="3812470.2"/>
        <n v="3715043.9"/>
        <n v="3245773.0"/>
        <n v="1.017182632E7"/>
        <n v="2948171.1199999973"/>
        <n v="2894104.120000001"/>
        <n v="2795811.48"/>
        <n v="1878527.02"/>
        <n v="2662381.08"/>
        <n v="2077628.31"/>
        <n v="4632930.66"/>
        <n v="1.8838758241E8"/>
        <n v="2698761.3999999985"/>
        <n v="2663557.500000002"/>
        <n v="2610580.0"/>
        <n v="2242797.780000001"/>
        <n v="2093151.5300000012"/>
        <n v="2017856.4800000004"/>
        <n v="1861592.4300000002"/>
        <n v="1000776.0"/>
      </sharedItems>
    </cacheField>
    <cacheField name="Остаток %">
      <sharedItems containsBlank="1" containsMixedTypes="1" containsNumber="1">
        <n v="13.0"/>
        <n v="0.2964283792081162"/>
        <n v="0.7022000000076758"/>
        <n v="0.7640570073559468"/>
        <n v="0.3100000000055289"/>
        <n v="0.4368432176330635"/>
        <n v="0.7500000089137603"/>
        <n v="0.21905861437957044"/>
        <n v="0.2542892453679948"/>
        <n v="0.17611399975823153"/>
        <n v="0.14401891431291783"/>
        <n v="0.07056452012907907"/>
        <n v="0.8378047331263205"/>
        <n v="0.15414851050697737"/>
        <n v="0.7"/>
        <n v="0.23955473841520106"/>
        <n v="0.4159813276452855"/>
        <n v="0.0"/>
        <n v="0.15017437612379547"/>
        <m/>
        <n v="0.015041830465916643"/>
        <n v="0.26309254796949355"/>
        <n v="0.2102509890880393"/>
        <n v="0.03597221877375767"/>
        <n v="0.31000232031312014"/>
        <n v="0.09223170314894268"/>
        <n v="0.18805276667066037"/>
        <n v="0.6999999999671614"/>
        <n v="0.700000000023505"/>
        <n v="0.7000000000086628"/>
        <n v="0.13623431609716452"/>
        <n v="0.5557000000005512"/>
        <n v="0.7272662808393653"/>
        <n v="0.9666395124756975"/>
        <n v="1.0"/>
        <n v="0.7088000000208201"/>
        <n v="0.2890694598283845"/>
        <n v="0.03623619869061905"/>
        <n v="0.6999999904645094"/>
        <n v="8.900016355499468E-5"/>
        <n v="0.2595220434892583"/>
        <n v="0.33909520046115044"/>
        <n v="0.0012542768218399066"/>
        <n v="0.19426992334717874"/>
        <n v="0.13710990131610856"/>
        <n v="0.2198046139092807"/>
        <n v="0.13476956112776375"/>
        <n v="0.05010115569109362"/>
        <n v="0.06823601931496882"/>
        <n v="0.4351236011381071"/>
        <n v="0.6999999999561051"/>
        <n v="0.10516904594241576"/>
        <n v="0.07371586428686706"/>
        <n v="0.9"/>
        <n v="0.7147423767909472"/>
        <n v="0.7000000000066648"/>
        <n v="0.20733326630962337"/>
        <n v="0.5"/>
        <n v="0.12854310452444134"/>
        <n v="0.10290039676121343"/>
        <n v="0.4254512914912672"/>
        <n v="0.4775908479629112"/>
        <n v="0.057219887323977085"/>
        <n v="0.46157813396398467"/>
        <n v="0.10555408345190533"/>
        <n v="0.6468030098247859"/>
        <n v="0.020825569667897434"/>
        <n v="0.6633814647071936"/>
        <n v="0.915749126559268"/>
        <n v="0.23100659073700433"/>
        <n v="0.015827505876228526"/>
        <n v="0.043576074672980844"/>
        <n v="0.09428361996283259"/>
        <n v="0.7000000000000001"/>
        <n v="0.75"/>
        <n v="0.1512918479661851"/>
        <n v="0.4999999999329839"/>
        <n v="0.014047731145206537"/>
        <n v="0.5068084919692737"/>
        <n v="0.030304342695730367"/>
        <n v="0.536245682582776"/>
        <n v="0.1937873865781758"/>
        <n v="0.0021126706697826864"/>
        <n v="0.03593218196727497"/>
        <n v="0.3100000000458273"/>
        <n v="0.5787623103029036"/>
        <n v="0.025340042925923803"/>
        <n v="0.06475166525995767"/>
        <n v="0.08737376419952751"/>
        <n v="0.6732841117756124"/>
        <n v="0.5400777117179898"/>
        <n v="0.4330897815656566"/>
        <n v="0.036473677827695644"/>
        <n v="0.5400777083579734"/>
        <n v="0.5099452033443435"/>
        <n v="0.5400777083046212"/>
        <n v="0.09195340894193739"/>
        <n v="0.6119003078021449"/>
        <n v="0.7240466250049928"/>
        <n v="0.5010000000026164"/>
        <n v="0.2671677343373494"/>
        <n v="0.40696223474009036"/>
        <n v="0.24180997488038272"/>
        <n v="0.2718961645943963"/>
        <n v="0.5734763052340789"/>
        <n v="0.001179624797064618"/>
        <n v="4.056205493667342E-5"/>
        <n v="1.391406939632155E-5"/>
        <n v="0.045538471863454805"/>
        <n v="0.017569906820122997"/>
        <n v="0.8764611499609501"/>
        <n v="0.6787717185458735"/>
        <n v="0.6755162958718522"/>
        <n v="0.15418081391272656"/>
        <n v="0.2691545160587498"/>
        <n v="0.806668305125228"/>
        <n v="0.14514017314771105"/>
        <n v="9.520061775220658E-4"/>
        <n v="0.710141572884149"/>
        <n v="0.023938934255692428"/>
        <n v="0.6999999999843912"/>
        <n v="0.23201278202697467"/>
        <n v="0.7150501521223521"/>
        <n v="0.2605362870756639"/>
        <n v="0.4356738860418693"/>
        <n v="0.080911607488067"/>
        <n v="0.320725960667263"/>
        <n v="0.12091038739929126"/>
        <n v="0.6794767597804744"/>
        <n v="0.03854820575574373"/>
        <n v="0.05185433044839838"/>
        <n v="0.23747928716518255"/>
        <n v="0.3678251676406222"/>
        <n v="0.21505964931557162"/>
        <n v="0.21179066781706307"/>
        <n v="0.6594230853989814"/>
        <n v="0.42386960353767383"/>
        <n v="0.5126347507148653"/>
        <n v="0.11919269776144391"/>
        <n v="0.32508321129517775"/>
        <n v="0.12439066463901788"/>
        <n v="0.6999999999435995"/>
        <n v="0.7000000000386094"/>
        <n v="0.05955844234506414"/>
        <n v="0.8560542157676154"/>
        <n v="0.2563913177617619"/>
        <n v="0.014639544315515536"/>
        <n v="0.00840506473224595"/>
        <n v="0.46498843278027596"/>
        <n v="0.8905196081837752"/>
        <n v="0.554266798755349"/>
        <n v="0.25309047450503347"/>
        <n v="0.5249999999668548"/>
        <n v="0.718544554607468"/>
        <n v="0.715"/>
        <n v="0.6691313652930135"/>
        <n v="0.5135731221983812"/>
        <n v="0.4077736771198934"/>
        <n v="0.5464031463169444"/>
        <n v="0.29608556037252254"/>
        <n v="0.51743007761046"/>
        <n v="0.7150000259597742"/>
        <n v="0.3319100428248015"/>
        <n v="0.5860132356725019"/>
        <n v="0.5574229064422479"/>
        <n v="0.15428059451487422"/>
        <n v="0.5249706217451515"/>
        <n v="0.714976315566453"/>
        <n v="0.501"/>
        <n v="0.30730893862644343"/>
        <n v="0.21668860996506537"/>
        <n v="0.04046939888211966"/>
        <n v="0.7048889536449965"/>
        <n v="0.06461126563010322"/>
        <n v="0.062395606992907665"/>
        <n v="0.6164443175539466"/>
        <n v="0.0747472641891658"/>
        <n v="0.3256892067505477"/>
        <n v="0.06260141748719407"/>
        <n v="0.19399536402522888"/>
        <n v="0.46100215786571913"/>
        <n v="0.5764604377145103"/>
        <n v="0.2514281834702833"/>
        <n v="0.2888912251433464"/>
        <n v="0.65"/>
        <n v="0.743791099870121"/>
        <n v="0.10268075650572513"/>
        <n v="0.026704063854202223"/>
        <n v="0.0034906844853591075"/>
        <n v="0.450825499902076"/>
        <n v="0.011422152714935454"/>
        <n v="0.018221848319112176"/>
        <n v="0.13519025308252167"/>
        <n v="0.18160677449573448"/>
        <n v="0.16199006001168847"/>
        <n v="0.13516712780674683"/>
        <n v="0.7000000000398671"/>
        <n v="0.08996589797191044"/>
        <n v="0.16174919132002458"/>
        <n v="0.10995082367903192"/>
        <n v="0.20916285709414928"/>
        <n v="0.13540195760964946"/>
        <n v="0.23427612501247969"/>
        <n v="0.05882661231875255"/>
        <n v="0.037368035123172966"/>
        <n v="0.5093158830605944"/>
        <n v="0.4456616506538574"/>
        <n v="0.34807614535711656"/>
        <n v="0.4094175921160719"/>
        <n v="0.008116406699874922"/>
        <n v="0.0418753022683887"/>
        <n v="0.08031788350557845"/>
        <n v="0.4924265937380016"/>
        <n v="0.04037054618043177"/>
        <n v="1.5493821721001573E-4"/>
        <n v="0.008709693915803677"/>
        <n v="0.03533954214720415"/>
        <n v="0.025257514709054112"/>
        <n v="0.030623185922301954"/>
        <n v="0.14080465600430533"/>
        <n v="0.2523215768919513"/>
        <n v="0.6076495302035386"/>
        <n v="0.16981362711164427"/>
        <n v="0.5479905992949471"/>
        <n v="0.48805888096530686"/>
        <n v="0.6500000807066024"/>
        <n v="0.7150131765040502"/>
        <n v="0.5099006715769431"/>
        <n v="0.524699999965456"/>
        <n v="0.23264569399906945"/>
        <n v="0.5098972083640037"/>
        <n v="0.2163731356831403"/>
        <n v="0.73"/>
        <n v="0.6756670407989027"/>
        <n v="0.0737441975816033"/>
        <n v="0.6999998930541862"/>
        <n v="0.22418766409965593"/>
        <n v="0.15054764457093628"/>
        <e v="#DIV/0!"/>
        <n v="0.5250000001742074"/>
        <n v="0.15582900615142384"/>
        <n v="0.020130301681734682"/>
        <n v="0.0553469393417156"/>
        <n v="0.1846271320323728"/>
        <n v="0.6547124208966141"/>
        <n v="0.002387867299736434"/>
        <n v="0.509897208720814"/>
        <n v="0.3150632362882439"/>
        <n v="0.12745937039799224"/>
        <n v="0.38042095785888336"/>
        <n v="0.22910441034440257"/>
        <n v="0.5384155707085583"/>
        <n v="0.13136094064192003"/>
        <n v="0.6378356884903256"/>
        <n v="0.05732006464319825"/>
        <n v="0.15647815694852507"/>
        <n v="0.6246107998652215"/>
        <n v="0.45970173219819116"/>
        <n v="0.025931248096124068"/>
        <n v="0.023750192300986333"/>
        <n v="0.16982602128461802"/>
        <n v="0.04267781946130774"/>
        <n v="0.007020767518564505"/>
        <n v="0.10236176140714427"/>
        <n v="0.5247000001533417"/>
        <n v="0.32867750314662114"/>
        <n v="0.24978230209611735"/>
        <n v="0.13015277826762436"/>
        <n v="0.44557716858702884"/>
        <n v="0.25906123332143904"/>
        <n v="0.7179581041080065"/>
        <n v="0.12111056503982075"/>
        <n v="0.15820654095203834"/>
        <n v="0.4000173240572154"/>
        <n v="0.200370624865989"/>
        <n v="0.12341818946572249"/>
        <n v="0.024658897006944163"/>
        <n v="0.16376238670753837"/>
        <n v="0.26352096097484096"/>
        <n v="0.6687722162554154"/>
        <n v="0.05171504973978291"/>
        <n v="0.01912352908996844"/>
        <n v="0.14941874322204104"/>
        <n v="0.7150501518987342"/>
        <n v="0.7056204811568152"/>
        <n v="0.5098972087519239"/>
        <n v="0.10549946055409778"/>
        <n v="0.1506322266935988"/>
        <n v="0.14530200730473117"/>
        <n v="0.43492775791640204"/>
        <n v="0.5490356085888036"/>
        <n v="0.10614429173527203"/>
        <n v="0.7148064668403539"/>
        <n v="0.19211644898414293"/>
        <n v="0.7150002000924063"/>
        <n v="0.06372565004044359"/>
        <n v="0.11332208724932676"/>
        <n v="0.5146594313600662"/>
        <n v="0.53"/>
        <n v="0.20908883085042854"/>
        <n v="0.46092603979505475"/>
        <n v="0.008773313022588426"/>
        <n v="0.046891693339936584"/>
        <n v="0.27975714863414824"/>
        <n v="0.03786520861958496"/>
        <n v="0.18409641127361728"/>
        <n v="0.015102113518800565"/>
        <n v="0.5533284013321276"/>
        <n v="0.03895291213092812"/>
        <n v="0.7000000003259632"/>
        <n v="0.529930173654907"/>
        <n v="0.33372322842444824"/>
        <n v="0.2332494014098577"/>
        <n v="0.33299062463732865"/>
        <n v="0.5249706353577959"/>
        <n v="0.5249999996731952"/>
        <n v="0.5300000008594548"/>
        <n v="0.5249706227967098"/>
        <n v="0.050150050842077035"/>
        <n v="0.4960713295231175"/>
        <n v="0.7150411280846063"/>
        <n v="0.31046285509401583"/>
        <n v="0.17704890007189075"/>
        <n v="0.24549565891472866"/>
        <n v="0.09915598049837483"/>
        <n v="0.15945175045427018"/>
        <n v="0.13077888547608604"/>
        <n v="0.43409256951871655"/>
        <n v="0.07364037823834585"/>
        <n v="0.03459353958852863"/>
        <n v="0.27023843446523915"/>
        <n v="0.06524465446292954"/>
        <n v="0.5689985596907304"/>
        <n v="0.16644098694440473"/>
        <n v="0.23654428798894855"/>
        <n v="0.05292805170588543"/>
        <n v="0.13097826605289878"/>
        <n v="0.2630439055703853"/>
        <n v="0.06849525443247233"/>
        <n v="0.13286420495754278"/>
        <n v="0.5299999999999999"/>
        <n v="0.009590030734043804"/>
        <n v="-0.0071238029232561315"/>
        <n v="0.1285490363581247"/>
        <n v="0.1100275279816998"/>
        <n v="0.1781688844677073"/>
        <n v="0.029324727638449843"/>
        <n v="0.5299999994293473"/>
        <n v="0.026496844029965973"/>
        <n v="0.8797332558942668"/>
        <n v="0.07679426392606292"/>
        <n v="0.17353308918789653"/>
        <n v="0.6950325478487045"/>
        <n v="0.6579450143456954"/>
        <n v="0.5912464811979579"/>
        <n v="0.045731704532441075"/>
        <n v="0.097301671978354"/>
        <n v="0.14261105731387028"/>
        <n v="0.147358405166073"/>
        <n v="0.021546969941863725"/>
        <n v="0.05466261557117516"/>
        <n v="0.021030038963446553"/>
        <n v="0.02113511821157768"/>
        <n v="0.02190469103449986"/>
        <n v="3.129169618516673E-8"/>
        <n v="0.18433787348194514"/>
        <n v="0.15738218137304952"/>
        <n v="0.058325929049397464"/>
        <n v="0.341670565167092"/>
        <n v="0.07242930919303484"/>
        <n v="0.04651212934385133"/>
        <n v="0.06937713367699899"/>
        <n v="0.34651545405505657"/>
        <n v="0.11423945914435436"/>
        <n v="0.017441481702145854"/>
        <n v="0.2066647101213446"/>
        <n v="0.12513983354927158"/>
        <n v="0.019838095216601303"/>
        <n v="0.02268228341227534"/>
        <n v="0.06991368520903814"/>
        <n v="0.05722625117978059"/>
        <n v="4.903995221829908E-4"/>
        <n v="0.7189628100530072"/>
        <n v="0.28488614396463424"/>
        <n v="0.08404730510588712"/>
        <n v="0.18264020586478658"/>
        <n v="0.08728383314425037"/>
      </sharedItems>
    </cacheField>
    <cacheField name="Типовая причина3" numFmtId="0">
      <sharedItems containsBlank="1">
        <m/>
        <s v="контракт расторгнут"/>
        <s v="Не завершены СМР"/>
        <s v="Не доведены лимиты от ГРБС"/>
        <s v="Отсутствие доп.ника"/>
        <s v="Передача объекта в собственность МО"/>
        <s v="Формирование пакета документов для оплаты"/>
        <s v="&quot;ИД, КС принята УТНКР, заказчик выставляет доп.требования к перевыполнению Благоустройства&quot;"/>
        <s v="65.1, Формирование пакета документов для оплаты"/>
        <s v="Низкий темп подгрузки документов в ПИК"/>
      </sharedItems>
    </cacheField>
    <cacheField name="Сданы ИП/КС">
      <sharedItems containsBlank="1" containsMixedTypes="1" containsNumber="1" containsInteger="1">
        <n v="14.0"/>
        <m/>
        <s v="Частично"/>
        <s v="Нет"/>
        <s v="Да"/>
      </sharedItems>
    </cacheField>
    <cacheField name="Сумма СМР">
      <sharedItems containsBlank="1" containsMixedTypes="1" containsNumber="1">
        <n v="15.0"/>
        <n v="1.2669342456752499E10"/>
        <m/>
        <n v="1.4216951E8"/>
        <n v="7.128934143E8"/>
        <s v="299 933 679,69"/>
        <n v="2.720512925E8"/>
        <n v="3.820070508E7"/>
        <n v="2.973575791E7"/>
        <n v="3.942990715E7"/>
        <n v="2.685569273E7"/>
        <s v="146 539 612"/>
        <n v="2.3428550495E8"/>
        <s v="92613 117,45"/>
        <s v="274 226 250,00"/>
        <n v="1.37296455E8"/>
        <s v="26 989 927,5"/>
        <s v="190 085 000"/>
        <s v="2 279 715"/>
        <s v="13 118 768,5"/>
        <s v="2 095 776"/>
        <s v="25 180 349,6"/>
        <s v="10 416 047"/>
        <s v="37 341 089,5"/>
        <n v="2.3980750299E8"/>
        <n v="5.523581273E8"/>
        <n v="1.739696145E8"/>
        <n v="1.4430937E7"/>
        <s v="233480 360,00"/>
        <s v="234 694 928,39"/>
        <s v="170 176 758,78"/>
        <n v="2.310079638E8"/>
        <n v="2.19327147463E8"/>
        <s v="226 238 888,70"/>
        <n v="2.0034492E8"/>
        <s v="21 786 778,08"/>
        <s v="252 984 999,70"/>
        <s v="14 542 572,92"/>
        <n v="5.832764482E7"/>
        <s v="199 850 550,00"/>
        <s v="5 852 298,19"/>
        <s v="3 642 443,88."/>
        <s v="127 616 640,00"/>
        <n v="1.6400679406999998E7"/>
        <n v="1.48297786445E7"/>
        <n v="1.216868775E8"/>
        <s v="23 778 506,63"/>
        <n v="4.131932473E7"/>
        <s v="297436 148,50"/>
        <s v="22 462 790,00"/>
        <s v="19 902 847,41"/>
        <s v="14 301 954,82"/>
        <s v="15 474 284,05"/>
        <s v="15 643 488,98"/>
        <s v="28 180 826,11"/>
        <s v="36 098 857,74"/>
        <s v="240258 676,86"/>
        <s v="159471 993,91"/>
        <s v="45 695 127,17"/>
        <s v="55 521 608,23"/>
        <s v="121 513 290,00"/>
        <s v="141036 621,97"/>
        <s v="26 514 205,28"/>
        <s v="204 591 787,84"/>
        <s v="24 317 028,86"/>
        <s v="46 885 806,50"/>
        <s v="127 811 737,43"/>
        <n v="1.9782385869E8"/>
        <n v="0.0"/>
        <s v="231 857 703,00"/>
        <s v="121 540 899,64"/>
        <s v="149 580 683,69"/>
        <s v="134 595 347,70"/>
        <s v="123 299 610,00"/>
        <s v="90 473 613,28"/>
        <s v="136 833 194,74"/>
        <s v="175 874 000,00"/>
        <n v="2.1167282364E8"/>
        <s v="26 794 792,56"/>
        <s v="13 700 390,65"/>
        <s v="114663 859,70"/>
        <s v="99 858 414,00"/>
        <s v="9 921 375,66"/>
        <s v="136 040 000,00"/>
        <s v="107 874 326,58"/>
        <s v="122 151 403,66"/>
        <n v="1.18363293E8"/>
        <s v="69 339 471,00"/>
        <n v="2.0742669282E8"/>
        <s v="133 859 580,00"/>
        <s v="21 723 049,85"/>
        <s v="79 255 368,51"/>
        <s v="103 668 778,94"/>
        <s v="48 965 081,32"/>
        <n v="1.13094688E8"/>
        <s v="2 921 774,59"/>
        <s v="65 328 660,67"/>
        <s v="119 681 306,57"/>
        <s v="90 000 000,00"/>
        <s v="119 312 488,00"/>
        <n v="1.09324879E8"/>
        <s v="101 404 462,31"/>
        <s v="87 446 027,20"/>
        <n v="7.53964745E7"/>
        <s v="114 234 790,00"/>
        <s v="209 305 736,96"/>
        <s v="101 944 155,00"/>
        <s v="40 686 455,00"/>
        <s v="83 641 811,6"/>
        <n v="2.037143184E8"/>
        <n v="1.04042214E8"/>
        <n v="8.954016E7"/>
        <n v="2.4710867E8"/>
        <n v="1.0598107185E8"/>
        <s v="594 491 147,65"/>
        <s v="60 285 821,00"/>
        <n v="5.9841703783E7"/>
        <n v="7.250522833E7"/>
        <s v="97 556 668,00"/>
        <s v="156 799 316,94"/>
        <s v="69 994 551,62"/>
        <s v="91 557 165,00"/>
        <n v="1.878575027E7"/>
        <s v="308 705 049,70"/>
        <s v="78 174 883,50"/>
        <n v="6.00943115E7"/>
        <s v="87 292 766,39"/>
        <n v="6.0863415093499996E7"/>
        <n v="7.116317E7"/>
        <n v="5.936949E7"/>
        <n v="5.807825E7"/>
        <s v="123 493 238,24"/>
        <n v="2.138686829E7"/>
        <n v="3.5145043014E7"/>
        <n v="4.420000782E7"/>
        <n v="4.117866732E8"/>
        <s v="81 693 692,00"/>
        <n v="5.062500182E7"/>
        <s v="56 572 500,00"/>
        <n v="1.486183792E8"/>
        <s v="55 348 750,66"/>
        <n v="2.5266134537E8"/>
        <n v="7.913456622E7"/>
        <s v="40 196 607.13"/>
        <n v="1.466180461E7"/>
        <s v="142 359 677,00"/>
        <s v="54 173 475,25"/>
        <s v="29 746 662,39"/>
        <s v="54 043 396,42"/>
        <s v="58 900 000,00"/>
        <n v="8.6524511806E7"/>
        <s v="54 550 150,00"/>
        <s v="48 678 322,05"/>
        <n v="2.739828722E7"/>
        <n v="2.611722431E7"/>
        <n v="2.786430566E7"/>
        <n v="5.05314382105E7"/>
        <s v="70 335 444,50"/>
        <s v="49 957 879,90"/>
        <n v="4.921072944800001E7"/>
        <s v="31 012 142,00"/>
        <n v="6.48573801E7"/>
        <n v="6.762958848E7"/>
        <n v="3.59265840645E7"/>
        <s v="46 059 295,54"/>
        <s v="60 922 135,50"/>
        <s v="55 214 741,85"/>
        <n v="1.2195733903E8"/>
        <s v="57 323 388,82"/>
        <s v="44 473 767,22"/>
        <s v="38 699 718,26"/>
        <s v="40 327 729,81"/>
        <s v="40 800 969,35"/>
        <n v="4.278061641E7"/>
        <n v="5641278.89"/>
        <s v="29 869 469,25"/>
        <s v="91 127 794,14"/>
        <s v="52 703 710,00"/>
        <s v="37 113 365,25"/>
        <s v="75 485 930,45"/>
        <s v="43 668 312,48"/>
        <n v="5.029019904E7"/>
        <s v="43 123 403,87"/>
        <s v="150 684 932,11"/>
        <n v="4.51179795E7"/>
        <n v="3.2956583E7"/>
        <s v="49043 150,00"/>
        <s v="73 930 647,59"/>
        <s v="102 170 390,84"/>
        <s v="148 032 345,47"/>
        <s v="44 715 692,88"/>
        <s v="46 282 204,42"/>
        <s v="32 191 664,14"/>
        <s v="22 010 725,29"/>
        <s v="33 763 540,39"/>
        <s v="29 310 380,00"/>
        <s v="296 813 772,66"/>
        <s v="62 587 919,06"/>
        <s v="31 821 745,00"/>
        <s v="43 424 160,00"/>
        <n v="3.36254668375E7"/>
        <s v="80 803 974,00"/>
        <n v="3.832399581E7"/>
        <n v="2.945152E7"/>
        <s v="22 651 329,80"/>
        <s v="165 320 517,00"/>
        <s v="69 095 343,00"/>
        <s v="72 433 980,52"/>
        <s v="38 808 000,00"/>
        <s v="100 307 527,01"/>
        <s v="33078 064,28"/>
        <n v="2.8850360437E7"/>
        <s v="95 920 737,51"/>
        <s v="33 810 841,84"/>
        <n v="1.045694195E8"/>
        <s v="2 142 516,00"/>
        <s v="24 063 385,37"/>
        <s v="16 437 365,50"/>
        <s v="91 504 522,50"/>
        <s v="47 257 284,69"/>
        <s v="10 587 911,50"/>
        <s v="22 854 045,50"/>
        <s v="20615 985,60"/>
        <s v="6 273 372,50"/>
        <s v="33 218 996,00"/>
        <s v="20307 661,45"/>
        <s v="19 208 173,50"/>
        <s v="22 703 355,33"/>
        <s v="38 448 615,22"/>
        <s v="15 261 958,58"/>
        <s v="24 365 440,63"/>
        <s v="37 839 851,24"/>
        <s v="11 312 448,49"/>
        <s v="46 601 014,67"/>
        <s v="27 680 585,22"/>
        <s v="24 800,00"/>
        <s v="21 133 014,0"/>
        <s v="70 631 560,15"/>
        <s v="46 913 729,30"/>
        <s v="207 463 145,60"/>
        <s v="42 225 379,83"/>
        <s v="8 640 441,27"/>
        <s v="16 687 391,36"/>
        <s v="5 802 872,08"/>
        <s v="29 791 608,00"/>
        <s v="24 263 712,00"/>
        <n v="3.24035441E7"/>
        <n v="2.3542064E7"/>
        <s v="20 928 940,80"/>
        <s v="29 290 115,19"/>
        <n v="2.75011985E7"/>
        <s v="20 247 920,00"/>
        <s v="27 758 529,76"/>
        <n v="6.481744008E7"/>
        <n v="3.5810552043E7"/>
        <s v="19 470 800,00"/>
        <s v="19 786 543,00"/>
        <s v="20 964 477,02"/>
        <s v="182 027 500,00"/>
        <s v="19 007 005,83"/>
        <s v="58 660 587,19"/>
        <n v="7395874.925"/>
        <s v="24 539 714,69"/>
        <n v="5.6963950882E7"/>
        <n v="9.60076665295E7"/>
        <s v="17 009 350,00"/>
        <s v="24 442 635,22"/>
        <s v="38 998 414,00"/>
        <s v="23 009 518,16"/>
        <s v="24 562 686,82"/>
        <s v="18 629 356,70"/>
        <n v="6.622393913E7"/>
        <s v="18 636 290,00"/>
        <n v="1.61215E7"/>
        <s v="112 996 872,67"/>
        <n v="2.044453295E7"/>
        <s v="112 575 324,95"/>
        <n v="1.992683594E7"/>
        <n v="1.43646585685E7"/>
        <s v="39 552 969,07"/>
        <s v="77 535 970,02"/>
        <n v="2.1611692233999997E7"/>
        <s v="13 122 000,00"/>
        <s v="18 848 971,80"/>
        <n v="1.8210877597999997E7"/>
        <s v="71 144 391,53"/>
        <s v="45 668 926,50"/>
        <s v="44 639 715,95"/>
        <s v="66 976 043,61"/>
        <n v="2.4559248E7"/>
        <n v="3.35517223275E7"/>
        <s v="34 962 830,00"/>
        <s v="12 046 121,60"/>
        <s v="133 998 364,08"/>
        <s v="25 724 448,64"/>
        <s v="34 753 562,54"/>
        <s v="24 572 354,0575"/>
        <s v="28 920 837,24"/>
        <n v="1.2008E7"/>
        <s v="12 718 815,17"/>
        <n v="1.656648E7"/>
        <s v="16 080 681,06"/>
        <n v="2.200406E7"/>
        <n v="2.2488908952999998E7"/>
        <n v="9.16584571275E7"/>
        <n v="1.9014207877E7"/>
        <n v="1.17710225E7"/>
        <s v="60 850 228,91"/>
        <s v="11 056 097,71"/>
        <s v="83 322 804,12"/>
        <n v="3.4142720073E7"/>
        <s v="10 445 820,00"/>
        <n v="8.85552E7"/>
        <n v="2.00916548058E9"/>
        <n v="7.422692E7"/>
        <s v="60 308 946,80"/>
        <s v="13 665 759,20"/>
        <n v="1.1810335912999999E7"/>
        <n v="5.9817770566E7"/>
        <s v="5 152 141,07"/>
        <s v="11 034 060,00"/>
        <n v="2.5213912E7"/>
        <n v="9.4875569E7"/>
        <s v="12 935 726,94"/>
        <s v="22 685 754,76"/>
        <n v="2.41232265E7"/>
        <s v="32081 489,65"/>
        <n v="6713777.8035"/>
        <n v="6866818.5"/>
        <n v="4.301560552199999E7"/>
        <n v="1.46220675E7"/>
        <s v="11 872 901,64"/>
        <n v="1.2306357E7"/>
        <s v="8 743 319,0245"/>
        <s v="11 153 700,00"/>
        <s v="134 245 465,83"/>
        <s v="84 638 046,00"/>
        <s v="16 632 283,83"/>
        <s v="16 880 436,00"/>
        <n v="1.126324212E7"/>
        <s v="10 174 899,48"/>
        <s v="9 399 664,01"/>
        <n v="9321751.88"/>
        <s v="87 561 211,05"/>
        <s v="6 661 678,00"/>
        <n v="1616244.5"/>
        <n v="1321450.0"/>
        <n v="796575.0"/>
        <n v="1753700.0"/>
        <n v="1568450.0"/>
        <n v="1082525.0"/>
        <n v="3553000.0"/>
        <n v="1.25451585E7"/>
        <n v="1283200.0"/>
        <n v="7.0216535E7"/>
        <s v="102 834 070,84"/>
        <n v="1.567823E7"/>
        <n v="9.13271227E7"/>
        <s v="81 118 994,86"/>
        <n v="8.88567906E7"/>
        <s v="5 499 097,54"/>
        <s v="8 370 366,59"/>
        <s v="101 420 196,29"/>
        <n v="6.2001928657E7"/>
        <n v="9.519164742349999E7"/>
        <n v="8259195.043999999"/>
        <s v="37 480 033,46"/>
        <s v="7 696 691,71"/>
        <s v="5 497 460,00"/>
        <s v="118 931 915,69"/>
        <s v="6 836 167,38"/>
        <s v="6 658 390,61"/>
        <s v="200 744 047,72"/>
        <s v="5 821 042,53"/>
        <s v="4 403 669,38"/>
        <s v="36 800 222,14"/>
        <s v="5 011 480,70"/>
        <n v="2567650.5"/>
        <n v="3844184.5"/>
        <n v="3338281.0"/>
        <n v="4401284.127"/>
        <n v="1.789682032895E8"/>
        <n v="1.4212684E7"/>
        <n v="9751636.0"/>
        <n v="4514012.4"/>
        <n v="2.052000095E8"/>
        <n v="2.82365935E7"/>
        <n v="3.395395E7"/>
        <n v="2.3056215E7"/>
        <n v="6.0718984E7"/>
        <n v="2.2424009E7"/>
        <n v="8.599544081E7"/>
        <n v="6.877263445E7"/>
        <n v="2.991942622E7"/>
        <n v="3.511425593E7"/>
        <s v="3 542 583,98"/>
        <s v="102 611 000,00"/>
        <n v="1.0740234219749999E8"/>
        <s v="82 411 992,00"/>
        <s v="2 425 608,58"/>
        <s v="1 358 200,00"/>
        <s v="82 500 789,32"/>
      </sharedItems>
    </cacheField>
    <cacheField name="Сумма подписанных КС">
      <sharedItems containsBlank="1" containsMixedTypes="1" containsNumber="1">
        <n v="16.0"/>
        <n v="7.403002883919E9"/>
        <m/>
        <n v="1.1390026450000003E7"/>
        <n v="1.6006099768E8"/>
        <s v="165 584 162,09"/>
        <n v="0.0"/>
        <n v="3.820070508E7"/>
        <n v="2.973575791E7"/>
        <n v="3.942990715E7"/>
        <n v="2.685569273E7"/>
        <s v="146 539 612"/>
        <s v="4520 741,57"/>
        <n v="1.37296455E8"/>
        <s v="26 989 927,5"/>
        <s v="30 576 573"/>
        <s v="2 279 715"/>
        <s v="13 118 768,5"/>
        <s v="2 095 776"/>
        <s v="25 180 349,6"/>
        <s v="10 416 047"/>
        <s v="37 341 089,5"/>
        <n v="2.24697719E8"/>
        <n v="1.739696145E8"/>
        <n v="1.171715937E7"/>
        <s v="20 863 612,27"/>
        <s v="9 140 963,17"/>
        <s v="17 033 079,50"/>
        <s v="1 878 750,00"/>
        <n v="2.970328954E7"/>
        <n v="1.6400679406999998E7"/>
        <n v="1.48297786445E7"/>
        <n v="1.216868775E8"/>
        <s v="23 778 506,63"/>
        <s v="27336 187,74"/>
        <s v="22 462 790,00"/>
        <s v="19 902 847,41"/>
        <s v="14 301 954,82"/>
        <s v="15 474 284,05"/>
        <s v="15 643 488,98"/>
        <s v="28 180 826,11"/>
        <s v="36 098 857,74"/>
        <s v="6899 892,67"/>
        <s v="7828 966,65"/>
        <s v="45 695 127,17"/>
        <s v="55 521 608,23"/>
        <s v="5 949 658,68"/>
        <s v="26 514 205,28"/>
        <s v="14 811 277,47"/>
        <s v="24 317 028,86"/>
        <s v="46 885 806,50"/>
        <s v="58 266 714,70"/>
        <n v="1.2669783333E8"/>
        <s v="88 889 697,53"/>
        <s v="135 024 157,56"/>
        <s v="31 012 613,90"/>
        <s v="57 031 254,69"/>
        <s v="8 793 470,00"/>
        <n v="2.0311029009E8"/>
        <s v="26 794 792,56"/>
        <s v="13 700 390,65"/>
        <s v="5629 148,69"/>
        <s v="9 921 375,66"/>
        <n v="6.70937727525E7"/>
        <s v="115 887 049,00"/>
        <n v="1.18363293E8"/>
        <s v="77 166 736,90"/>
        <s v="21 723 049,85"/>
        <s v="79 255 368,51"/>
        <s v="103 668 778,94"/>
        <n v="5.20147677E7"/>
        <s v="2 921 774,59"/>
        <s v="65 328 660,67"/>
        <n v="5.201476808E7"/>
        <s v="4 968 324,46"/>
        <n v="5.028094889E7"/>
        <s v="39 355 040,61"/>
        <s v="4 461 540,00"/>
        <n v="2.08059116E7"/>
        <s v="147 538 877,38"/>
        <s v="59 332 303,00"/>
        <s v="83 641 811,6"/>
        <n v="2.0347401194E8"/>
        <n v="1.0403799383E8"/>
        <n v="8.953891413E7"/>
        <n v="9.42880781E7"/>
        <n v="1.0115485579E8"/>
        <s v="559 362 530,37"/>
        <s v="7 301 798,64"/>
        <n v="2.352676506E7"/>
        <s v="54 845 103,03"/>
        <n v="5.441274522E7"/>
        <s v="205 326 226,52"/>
        <s v="78 174 883,50"/>
        <n v="1.741884261E7"/>
        <s v="77 173 870,13"/>
        <s v="53 499 008.15"/>
        <n v="1.65493885E7"/>
        <s v="12 501 975,78"/>
        <n v="2.138686829E7"/>
        <n v="3.5145043014E7"/>
        <n v="4.420000782E7"/>
        <n v="4.117866732E8"/>
        <n v="1.486183792E8"/>
        <s v="13 336 551,58"/>
        <n v="2.4292170385E8"/>
        <n v="7.913456622E7"/>
        <s v="41 721 248.40"/>
        <n v="1.466180461E7"/>
        <s v="152 123 101,06"/>
        <s v="22 001 221,99"/>
        <s v="3 414 257,53"/>
        <s v="6 157 171,92"/>
        <s v="12 800 000,00"/>
        <n v="2.739828722E7"/>
        <n v="2.611722431E7"/>
        <s v="27 864 305,66"/>
        <n v="8.934754065E7"/>
        <s v="38 699 718,26"/>
        <n v="5641278.89"/>
        <s v="12 890 000"/>
        <s v="31 755 602,62"/>
        <n v="2.514509952E7"/>
        <s v="56 579 766,39"/>
        <n v="2.143236575E7"/>
        <n v="9393406.71"/>
        <s v="2346 312,73"/>
        <s v="36 032 914,21"/>
        <s v="28 846 995,64"/>
        <s v="170 033 656,48"/>
        <s v="32 191 664,14"/>
        <s v="6 926 375,18"/>
        <s v="20 210 303,17"/>
        <s v="33 370 018,73"/>
        <s v="22 087 776,59"/>
        <s v="31 495 034,46"/>
        <s v="37 516 628,00"/>
        <s v="60 487 577,60"/>
        <n v="9507539.91"/>
        <s v="22 651 329,80"/>
        <s v="170 646 864,55"/>
        <n v="6.725021655E7"/>
        <n v="7.218113634E7"/>
        <n v="9.916179912E7"/>
        <s v="5352 119,92"/>
        <s v="73 331 724,01"/>
        <s v="39 506 991,58"/>
        <n v="7.894973963E7"/>
        <n v="1852918.27"/>
        <n v="1.495856315E7"/>
        <n v="7.670373998E7"/>
        <n v="4.206130731E7"/>
        <n v="8373313.68"/>
        <n v="1.9759563E7"/>
        <s v="986 295,83"/>
        <n v="6273372.5"/>
        <s v="971 885,73"/>
        <n v="1.84904018E7"/>
        <s v="22 703 355,33"/>
        <s v="38 448 615,22"/>
        <s v="15 261 958,58"/>
        <s v="24 365 440,63"/>
        <s v="37 839 851,24"/>
        <s v="11 312 448,49"/>
        <s v="46 601 014,67"/>
        <s v="27 680 585,22"/>
        <s v="7 440 000,00"/>
        <s v="21 133 014,0"/>
        <s v="70 631 560,15"/>
        <s v="46 913 729,30"/>
        <s v="207 463 145,60"/>
        <s v="42 225 379,83"/>
        <s v="8 640 441,27"/>
        <s v="16 687 391,36"/>
        <s v="5 802 872,08"/>
        <s v="1 225 440,00"/>
        <n v="1.643853237E7"/>
        <n v="1.307131965E7"/>
        <n v="4.766067573E7"/>
        <n v="3.5810552043E7"/>
        <s v="312 419,10"/>
        <s v="978 089,48"/>
        <s v="176 882 542,05"/>
        <s v="6 546 337,33"/>
        <n v="7395874.925"/>
        <n v="5.6963950882E7"/>
        <n v="9.60076665295E7"/>
        <s v="9 149 740,93"/>
        <s v="16 780 956,98"/>
        <n v="5.48556155E7"/>
        <s v="10 402 766,98"/>
        <s v="14 598 089,99"/>
        <n v="9717286.51"/>
        <s v="78 777 909,30"/>
        <n v="1.43646585685E7"/>
        <s v="5 106 899,88"/>
        <s v="61 470 471,84"/>
        <s v="27 928 307,52"/>
        <n v="1.8210877597999997E7"/>
        <s v="13 877 326,97"/>
        <s v="14 241 615,28"/>
        <s v="7 416 928,85"/>
        <s v="35 102 166,72"/>
        <n v="2.4559248E7"/>
        <n v="3.35517223275E7"/>
        <s v="2 079 840,00"/>
        <s v="133 998 364,08"/>
        <s v="25 724 448,64"/>
        <s v="34 753 562,54"/>
        <s v="24 572 354,0575"/>
        <s v="28 920 837,24"/>
        <n v="3421677.78"/>
        <s v="12 718 815,17"/>
        <n v="2.200406E7"/>
        <n v="2.2488908952999998E7"/>
        <s v="17 646 588,56"/>
        <n v="9.16584571275E7"/>
        <n v="1.9014207877E7"/>
        <n v="1.17710225E7"/>
        <s v="60 850 228,91"/>
        <s v="67 294 856,46"/>
        <n v="3.4142720073E7"/>
        <n v="4.42776E7"/>
        <n v="9.0663611138E8"/>
        <n v="6.949676127E7"/>
        <s v="32 137 177,26"/>
        <n v="5.9817770566E7"/>
        <s v="5 152 141,07"/>
        <s v="11 034 060,00"/>
        <n v="2.5213912E7"/>
        <n v="9.4875569E7"/>
        <s v="7 304 417,37"/>
        <n v="2.41232265E7"/>
        <s v="23216 555,59"/>
        <n v="6713777.8035"/>
        <n v="6866818.5"/>
        <n v="4.301560552199999E7"/>
        <n v="1.46220675E7"/>
        <s v="2 622 995,7045"/>
        <s v="134 245 465,83"/>
        <s v="59 886 075,31"/>
        <n v="5350370.75"/>
        <n v="4428105.99"/>
        <s v="62 852 829,80"/>
        <n v="1616244.5"/>
        <n v="1321450.0"/>
        <n v="796575.0"/>
        <n v="1753700.0"/>
        <n v="1568450.0"/>
        <n v="1082525.0"/>
        <n v="3553000.0"/>
        <n v="1.25451585E7"/>
        <n v="1283200.0"/>
        <n v="7.0216535E7"/>
        <s v="102 834 070,84"/>
        <n v="1.567823E7"/>
        <n v="7.230671798E7"/>
        <s v="55 080 952,14"/>
        <n v="8.88567906E7"/>
        <s v="69 153 956,42"/>
        <s v="5 499 097,54"/>
        <s v="101 420 196,29"/>
        <n v="6.2001928657E7"/>
        <n v="9.519164742349999E7"/>
        <s v="29 767 066,08"/>
        <s v="96 831 775,82"/>
        <s v="200 744 047,72"/>
        <s v="32 006 837,18"/>
        <n v="1.28297660835E7"/>
        <n v="8360944.8795"/>
        <s v="12 699 014,86"/>
        <n v="4416749.1104999995"/>
        <n v="1.939832402655E8"/>
        <n v="2.7642776838499997E7"/>
        <n v="3.3236329253000002E7"/>
        <n v="2.2551175733999997E7"/>
        <n v="6.0718984E7"/>
        <n v="1.829041487E7"/>
        <n v="7.246129075E7"/>
        <n v="6.476140665E7"/>
        <n v="2.991942622E7"/>
        <n v="3.511425593E7"/>
        <s v="6 340 433,33"/>
        <n v="1.0735188294E8"/>
        <n v="1.0740234219749999E8"/>
        <s v="55 727 135,29"/>
        <s v="63 597 705,17"/>
        <s v="234 532 119,31"/>
      </sharedItems>
    </cacheField>
    <cacheField name="Остаток2">
      <sharedItems containsBlank="1" containsMixedTypes="1" containsNumber="1">
        <n v="17.0"/>
        <n v="5.766314592442499E9"/>
        <m/>
        <n v="1.3077948355E8"/>
        <n v="5.5283241662E8"/>
        <s v="134 349 517,60"/>
        <n v="2.720512925E8"/>
        <n v="0.0"/>
        <n v="2.3428550495E8"/>
        <s v="88092 375,88"/>
        <s v="274 226 250,00"/>
        <s v="159 508 427"/>
        <n v="1.510978399000001E7"/>
        <n v="5.523581273E8"/>
        <n v="2713777.63"/>
        <s v="233480 360,00"/>
        <s v="234 694 928,39"/>
        <s v="149 313 146,51"/>
        <n v="2.310079638E8"/>
        <n v="1.5352900322599998E8"/>
        <s v="217 097 925,53"/>
        <n v="2.0034492E8"/>
        <s v="4 753 698,58"/>
        <s v="252 984 999,70"/>
        <s v="12 663 822,92"/>
        <s v="28624 355,28"/>
        <s v="199 850 550,00"/>
        <s v="5 852 298,19"/>
        <s v="3 642 443,88."/>
        <s v="127 616 640,00"/>
        <n v="4.131932473E7"/>
        <s v="270099 960,76"/>
        <s v="233358 784,19"/>
        <s v="151643 027,26"/>
        <s v="115 563 631,32"/>
        <s v="141036 621,97"/>
        <s v="189 780 510,37"/>
        <s v="69 545 022,73"/>
        <n v="7.112602536E7"/>
        <s v="142 968 005,47"/>
        <s v="121 540 899,64"/>
        <s v="14 556 526,13"/>
        <s v="134 595 347,70"/>
        <s v="123 299 610,00"/>
        <s v="59 460 999,38"/>
        <s v="79 801 940,05"/>
        <s v="167 080 530,00"/>
        <n v="8562533.5"/>
        <s v="109034 711,01"/>
        <s v="99 858 414,00"/>
        <s v="68 946 227,25"/>
        <s v="69 438 907,74"/>
        <s v="122 151 403,66"/>
        <s v="67 725 572,82"/>
        <n v="2.0742669282E8"/>
        <s v="133 859 580,00"/>
        <s v="48 965 081,32"/>
        <n v="6.10799203E7"/>
        <n v="6.107991992E7"/>
        <s v="119 681 306,57"/>
        <s v="85 031 675,54"/>
        <s v="119 312 488,00"/>
        <n v="5.904393011E7"/>
        <s v="62 049 421,70"/>
        <s v="82 984 487,20"/>
        <n v="5.45905629E7"/>
        <s v="114 234 790,00"/>
        <s v="61 766 859,58"/>
        <s v="101 944 155,00"/>
        <s v="53 403 645,78"/>
        <n v="240306.46"/>
        <n v="4220.17"/>
        <n v="1245.87"/>
        <n v="1.528205919E8"/>
        <n v="4826216.11"/>
        <s v="35 128 617,28"/>
        <s v="52 984 022,36"/>
        <n v="5.9841703783E7"/>
        <n v="4.8978463269999996E7"/>
        <s v="36 255 557,29"/>
        <s v="97 556 668,00"/>
        <n v="1.0238657172E8"/>
        <s v="69 994 551,62"/>
        <s v="91 557 165,00"/>
        <n v="1.878575027E7"/>
        <s v="103 378 823,18"/>
        <n v="4.267546889E7"/>
        <s v="10 118 896,26"/>
        <n v="4.26043905645E7"/>
        <n v="1.766416185E7"/>
        <n v="5.936949E7"/>
        <n v="4.15288615E7"/>
        <s v="110 991 262,46"/>
        <s v="81 693 692,00"/>
        <n v="5.062500182E7"/>
        <s v="56 572 500,00"/>
        <s v="42 012 199,08"/>
        <n v="9739641.52000001"/>
        <s v="70 745 602 ,46"/>
        <s v="54 173 475,25"/>
        <s v="7 745 440,40"/>
        <s v="54 043 396,42"/>
        <s v="55 485 742,47"/>
        <n v="8.6524511806E7"/>
        <s v="48 392 978,08"/>
        <s v="61 101 201,43"/>
        <n v="3.5372006744500004E7"/>
        <s v="70 335 444,50"/>
        <s v="49 957 879,90"/>
        <n v="3.44475106155E7"/>
        <s v="31 012 142,00"/>
        <n v="6.48573801E7"/>
        <n v="6.762958848E7"/>
        <n v="3.59265840645E7"/>
        <s v="46 059 295,54"/>
        <s v="60 922 135,50"/>
        <s v="55 214 741,85"/>
        <n v="3.260979838E7"/>
        <s v="57 323 388,82"/>
        <s v="44 473 767,22"/>
        <s v="40 327 729,81"/>
        <s v="40 800 969,35"/>
        <n v="2.8625852266499996E7"/>
        <s v="45 754 088,36"/>
        <s v="59 372 191,52"/>
        <s v="52 703 710,00"/>
        <s v="37 113 365,25"/>
        <s v="75 485 930,45"/>
        <s v="43 668 312,48"/>
        <n v="2.514509952E7"/>
        <s v="43 123 403,87"/>
        <s v="94 105 165,72"/>
        <n v="2.368561375E7"/>
        <n v="2.356317629E7"/>
        <s v="46696 837,27"/>
        <s v="37 897 733,38"/>
        <s v="73 323 395,20"/>
        <s v="6 551 961,17"/>
        <s v="44 715 692,88"/>
        <s v="46 282 204,42"/>
        <s v="1 800 422,12"/>
        <s v="33 763 540,39"/>
        <s v="-4 059 638,73"/>
        <s v="274 725 996,07"/>
        <s v="31 092 884,60"/>
        <s v="21 179 886,03"/>
        <s v="43 424 160,00"/>
        <n v="1.93837513315E7"/>
        <s v="20 316 396,40"/>
        <n v="2.8816455900000002E7"/>
        <n v="2.945152E7"/>
        <s v="230 000,00"/>
        <s v="1 845 126,45"/>
        <s v="252 844,18"/>
        <s v="38 808 000,00"/>
        <s v="1 145 727,89"/>
        <s v="27725 944,36"/>
        <n v="2.8850360437E7"/>
        <s v="22 589 013,50"/>
        <s v="33 810 841,84"/>
        <n v="3.374834164E7"/>
        <n v="2.5619679870000005E7"/>
        <s v="289 597,73"/>
        <s v="24 063 385,37"/>
        <s v="1 478 802,35"/>
        <s v="14 800 782,52"/>
        <s v="5 195 977,38"/>
        <s v="2 214 597,82"/>
        <s v="3 094 482,50"/>
        <s v="19629 689,77"/>
        <s v="33 218 996,00"/>
        <s v="19335 775,72"/>
        <s v="717 771,70"/>
        <s v="17 360 ,00"/>
        <s v="29 791 608,00"/>
        <s v="23 038 272,00"/>
        <n v="1.5965011730000002E7"/>
        <n v="2.3542064E7"/>
        <s v="20 928 940,80"/>
        <s v="29 290 115,19"/>
        <n v="1.442987885E7"/>
        <s v="20 247 920,00"/>
        <s v="27 758 529,76"/>
        <n v="1.715676435E7"/>
        <s v="19 470 800,00"/>
        <n v="1.94741239E7"/>
        <s v="19 986 387,54"/>
        <s v="5 144 957,95"/>
        <s v="19 007 005,83"/>
        <s v="52 114 249,86"/>
        <s v="24 539 714,69"/>
        <s v="7 859 609,07"/>
        <s v="24 442 635,22"/>
        <s v="22 217 457,02"/>
        <s v="23 009 518,16"/>
        <s v="24 562 686,82"/>
        <s v="18 629 356,70"/>
        <n v="1.1368323630000003E7"/>
        <s v="8 233 523,02"/>
        <n v="1.61215E7"/>
        <s v="98 398 782,68"/>
        <n v="1.072724644E7"/>
        <s v="33 797 415,65"/>
        <n v="1.992683594E7"/>
        <s v="34 446 069,19"/>
        <s v="16 065 498,18"/>
        <s v="13 122 000,00"/>
        <s v="18 848 971,80"/>
        <s v="57 267 064,56"/>
        <s v="31 427 311,22"/>
        <s v="37 222 787,10"/>
        <s v="31 873 876,89"/>
        <s v="32 882 990,00"/>
        <s v="12 046 121,60"/>
        <n v="8586322.22"/>
        <n v="1.656648E7"/>
        <s v="16 080 681,06"/>
        <s v="4 898 608,56"/>
        <s v="11 056 097,71"/>
        <s v="16 027 947,66"/>
        <s v="10 445 820,00"/>
        <n v="4.42776E7"/>
        <n v="1.1025293692E9"/>
        <n v="4730158.73"/>
        <s v="28 171 769,54"/>
        <s v="13 665 759,20"/>
        <n v="1.1810335912999999E7"/>
        <s v="12 935 726,94"/>
        <s v="15 381 337,39"/>
        <s v="8864 934,06"/>
        <s v="11 872 901,64"/>
        <n v="1.2306357E7"/>
        <s v="6 120 323,32"/>
        <s v="11 153 700,00"/>
        <s v="24 751 970,69"/>
        <s v="16 632 283,83"/>
        <s v="16 880 436,00"/>
        <n v="5912871.369999999"/>
        <s v="10 174 899,48"/>
        <s v="9 399 664,01"/>
        <n v="4893645.890000001"/>
        <s v="24 708 381,25"/>
        <s v="6 661 678,00"/>
        <n v="1.902040472E7"/>
        <s v="26 038 042,72"/>
        <s v="4 736 717,84"/>
        <s v="8 370 366,59"/>
        <n v="8259195.043999999"/>
        <s v="7 712 967,38"/>
        <s v="7 696 691,71"/>
        <s v="5 497 460,00"/>
        <s v="22 100 139,87"/>
        <s v="6 836 167,38"/>
        <s v="6 658 390,61"/>
        <s v="5 821 042,53"/>
        <s v="4 403 669,38"/>
        <s v="4 793 384,96"/>
        <s v="5 011 480,70"/>
        <n v="2567650.5"/>
        <n v="3844184.5"/>
        <n v="3338281.0"/>
        <n v="4401284.127"/>
        <n v="1.789682032895E8"/>
        <s v="3 542 583,98"/>
        <s v="26 684 856,71"/>
        <s v="2 425 608,58"/>
        <s v="1 358 200,00"/>
        <s v="25 335 972,50"/>
      </sharedItems>
    </cacheField>
    <cacheField name="Типовые причины" numFmtId="0">
      <sharedItems containsBlank="1">
        <m/>
        <s v="&quot;Замечания не устранимы, требуется повторный заход в МОГЭ&quot;"/>
        <s v="Исполнительная документация не подписана с Заказчиком"/>
        <s v="Низкий темп устранения замечания УТНКР"/>
        <s v="Спор из-за объемов выполненных работ"/>
        <s v="Заказчик выставляет замечания подрядчику"/>
        <s v="Исполнительная документация не подписана с Заказчиком, ИД и КС-2 не переданы в УТНКР"/>
        <s v="ИД и КС-2 не переданы в УТНКР"/>
        <s v="Низкий темп устранения замечания УТНКР, Исполнительная документация не подписана с Заказчиком"/>
        <s v="Замечания не устранимы, требуется повторный заход в МОГЭ"/>
        <s v="Низкий темп устранения замечания УТНКР, Отсутсвуют акты скрытых работ"/>
      </sharedItems>
    </cacheField>
    <cacheField name="Завершающая документация (принята/подписана частично/на проверке/возвращена с замечаниями)">
      <sharedItems containsBlank="1" containsMixedTypes="1" containsNumber="1">
        <n v="18.0"/>
        <m/>
        <s v="СМР не завершен"/>
        <s v="ИД на проверке в УТНКР нет Дополнительного соглашения нет. Нет БГ"/>
        <s v="ИД сдана частично, замечания УТНКР, оплата произведена частично"/>
        <s v="Дополн. согл. не заключено"/>
        <s v="Оплата 2025"/>
        <s v="СМР завершен"/>
        <s v="ПИР оплачен. МОГЭ получено. Оплата СМР плановая дата 15.06.2026"/>
        <s v="Ид не предоставлена"/>
        <s v="Оплачено в 2026"/>
        <s v="ИД сдана частично, замечания УТНКР, оплата произведена частично, не завершены работы по ПНР"/>
        <s v="СМР ведется"/>
        <s v="Ведется СМР"/>
        <s v="Контракт расторгнут"/>
        <s v="МОГЭ получено&#10;СМР не завершен"/>
        <s v="СМР не завершен, контракт не продлен (МИНЖКХ)"/>
        <s v="Нет МОГЭ"/>
        <s v="СМР не завершены"/>
        <s v="Оплачена 2026"/>
        <s v="Не передавалась"/>
        <s v="Оплата выполнена по факту выполненных работ (рассторгли контракт)."/>
        <s v="Контракт рассторгнут"/>
        <s v="Замечания ИД"/>
        <s v="СМР не завершен, оплачен только аванс"/>
        <s v="Оплачено все кроме Благоустройства, благоустройство не выполнено до конца"/>
        <s v="Осталась благоустройство"/>
        <s v="Принята"/>
        <s v="Завершающая документация собрана, подписана."/>
        <s v="Оплачены ПИРы, Завершающая документация собрана, подписана."/>
        <s v="на проверке"/>
        <s v="Согласование по 65.1"/>
        <s v="ИД сдана частично"/>
        <s v="Оплата по факту выполненных работ"/>
        <s v="Оплачен частично"/>
        <n v="5.20147677E7"/>
        <n v="5.201476808E7"/>
        <n v="5.028094889E7"/>
        <s v="Плановая дата формирования заявки на оплату до 01.04.2026"/>
        <n v="2.08059116E7"/>
        <s v="Исключен из ГП"/>
        <s v="Нет МОГЭ&#10;СМР не завершен"/>
        <s v="ИД сдана частично, СМР не закончены. Нет Дополнительного соглашения. Нет БГ"/>
        <s v="СМР не завершен (теплосеть), отсутствие МОГЭ"/>
        <s v="Оплата выполнена"/>
        <s v="СМР не завешен"/>
        <s v="Лимиты довели на этой неделе, допник не заключен еще"/>
        <s v="Лимиты не доведены,"/>
        <n v="1.741884261E7"/>
        <s v="Заключение доп. согл."/>
        <n v="1.65493885E7"/>
        <s v="ИД на проверке"/>
        <s v="ИД не передали в УТНКР на проверку"/>
        <s v="оплачено"/>
        <s v="Повторный заход в МОГЭ в связи с изменением стоимости СМР"/>
        <s v="ИД подписана"/>
        <s v="Ид не направлялась"/>
        <s v="СМР не завершено (благоустройство)"/>
        <s v="Нет Дополнительного соглашения."/>
        <s v="Перенос на 2027"/>
        <s v="ИД сдана частично,"/>
        <s v="Осталась обратная засыпка и повторный заход в МОГЭ для корректировки смет"/>
        <s v="Замечания ИД,"/>
        <s v="СМР не завершен, отсутствие МОГЭ"/>
        <n v="5679170.73"/>
        <s v="ИД на проверке,"/>
        <s v="Готовят к оплате"/>
        <s v="Не завершено благоустройство"/>
        <s v="ИД возвращена с замечаниями со стороны заказчика"/>
        <s v="СМР не завершеены ИД сдана частично"/>
        <n v="2.143236575E7"/>
        <n v="9393406.71"/>
        <s v="Оплтата СМР плановая дата 15.06.2026"/>
        <s v="Пплановая дата формирования заявки на оплату до 01.04.2026"/>
        <s v="на проверке ИД ."/>
        <s v="отсутствует МОГЭ"/>
        <s v="Было расторжение под факт выполненых рабоот&#10;Работы по КЧС.&#10;&#10;СМР не завершен"/>
        <s v="Замечание ИД"/>
        <s v="ИД с замечаниями"/>
        <s v="Частично"/>
        <s v="Частично оплачено"/>
        <s v="Ид не сдана"/>
        <s v="ИД подписана&#10;Лимиты доведены в 2 половине марта"/>
        <s v="СМР не завершен (камеры, благ) , отсутствие МОГЭ"/>
        <s v="Оплата 2024"/>
        <s v="Работы на объекте завершены. КС-2 и ИТД подписаны в полном объеме. Акт закрытия подписан 24.12.2025"/>
        <s v="Благоустройство выполнено, офомленпи"/>
        <n v="1.307131965E7"/>
        <s v="СМР не завершен, Замечания ИД"/>
        <s v="Сдача документации УТНКР приостановлена в связи с повторным заходом в МОГЭ."/>
        <s v="Не сдана ИД"/>
        <s v="Контракт не заключен"/>
        <s v="ИД сдана частично, замечания УТНКР, оплата произведена частично, не выполнены работы по монтажу насосной группы и автоматики"/>
        <s v="Не передавалась ИД"/>
        <s v="Сдана ИД, нет ДС"/>
        <n v="9717286.51"/>
        <s v="Оплата полностью 2025"/>
        <s v="Частично оплачено и сдана ИД"/>
        <s v="Не получено МОГЭ, СМР не завершено (благоустройство)"/>
        <s v="ИД сдана частично, ведутся работы по замечаниям"/>
        <s v="Нет ИД"/>
        <n v="3421677.78"/>
        <s v="СМР завершены, КС-2 подписаны, ИД представлена, акт закрытия от 24.12.2025 подписан"/>
        <s v="Нет МОГЭ, выходят на НТС"/>
        <s v="Оплата полностью 2026"/>
        <s v="Оплата по факту выполнения"/>
        <s v="Оплачено в 2025"/>
        <s v="Подрядчик получил заключение МОГЭ со стоимостью меньше договорной, планирует повторный заход в МОГЭ для подтверждения стоимости"/>
        <s v="ИД не сдано"/>
        <s v="Нет МОГЭ&#10;СМР завершен"/>
        <s v="СМР не завершен, нет МОГЭ"/>
        <n v="5350370.75"/>
        <n v="4428105.99"/>
        <s v="подписана частично"/>
        <s v="Замечания ИД и КС"/>
        <s v="Частично закрыты КС ИД"/>
        <s v="КС-2 не подгружены в ПИК (благоустройство)&#10;Частичная оплата"/>
      </sharedItems>
    </cacheField>
    <cacheField name="Причина не оплаты">
      <sharedItems containsBlank="1" containsMixedTypes="1" containsNumber="1" containsInteger="1">
        <n v="19.0"/>
        <m/>
        <s v="СМР не завершен. Нет договоров на траспортировку газа. План предоставления договоров на траспортировку газа от Заказчика до 20.06.2026 . Выход из МОГЭ до 20.06.2026 тех часть. Устраняют замечания МОГЭ раздел ВО."/>
        <s v="СМР не завершен в части благоустройства."/>
        <s v="Идет согласование ИД. Доп.согласования с эксплуатирующей организацией. Ожидается исполнение договора техприс по увеличению электрич. мощности с ОборонЭнерго. Плановая дата завершения СМР - 20.09.2026. Крайняя дата оплаты 30.09.2026"/>
        <s v="Согласование по 65.1 получено 12.05.2026&#10;Повторное прохождение МОГЭ, плановая дата выхода 15.06.2026"/>
        <s v="СМР не завершен"/>
        <s v="СМР не закончен&#10;Получено положительное заключение МОГЭ 26.05.2026&#10;Договор заключен по КЧС&#10;Режим ЧС закончился, планируются новые торги на оставшийся объём"/>
        <s v="Устраняют замечания УТНКР по ИД, всего 3 замечания. Срок до 05.06.2026"/>
        <s v="МОГЭ не получено, необходимо внесение изменений в ТЗ к конракту, плановая дата захода в МОГЭ 15.06.2026&#10;СМР не завершен"/>
        <s v="не предоставлена ИД (план. до 05.06.26)&#10;Замечания УТНКР - 14. Необходимо выполнить: сварные стыки: ду219 - 14 шт, ду76-10 шт., выполнить устройство ТК-3 шт., выполнить подключение соцобъектов - 1, подключение МКД-1. СГ-94%"/>
        <s v="не завершен ПНР (проводится внутренний ПНР), предъявление УТНКР и главстройнадзору до 25.06.20206&#10;не полностью сдана ИД (план сдачи 25.06.2026)&#10;не устранены замечания УТНКР. устраняются замечания по ИД (план сдачи до 25.06.2026)"/>
        <s v="Идет согласование ИД. Крайняя дата оплаты 15.11.2026&#10;Для завершения работ необходимо принять в муниципальную собственность 4км ТС, дата заседания назначена на 01.06.2026.&#10;Плановая дата захода в МОГЭ 10.07.2026."/>
        <s v="СМР ведется. Подрядчиком проведено натурное обследование на Объекте. Было выявлено, что замена сети теплоснабжения невозможна без замены ГВС. Трубопроводы диаметром от 100 мм до 250 мм имеет протяженность 1380 м по траншее, а общую протяженность трубопров"/>
        <s v="не закончено СМР, не получено положительное заключение МОГЭ (20.05.2026 подрядчику направлен договор для подписания для входа в МОГЭ) плановая дата выхода 26.06.26"/>
        <s v="новый контракт заключен с ООО Строй Групп 20.04.2026. &#10;&#10;Работы на стройплощадке не возобновлены.&#10;Договор на сборку БМК не заключен.&#10;&#10;План завершения СМР 25.11.2026."/>
        <s v="СМР не завершен. (план завершения до 15.09.2026г&#10;Продление сроков ПИР всвязи с поздним согласованием Заказчиком направления трассы (19.05.2026), а также необходимостью разрабатывать дополнительные разделы (прохождением в водоохранной зоне).&#10;Отсутствует за"/>
        <s v="Зашли в МОГЭ. Плановая дата выхода 29.07.2026&#10;СМР не завершен, плановая дата врезки 30.07.2026 г."/>
        <s v="СМР не завершен. Идет частичное согласование ИД. Крайняя дата оплаты 30.09.2026"/>
        <s v="Оплата выполнена по факту выполненных работ (рассторгли контракт)."/>
        <s v="не закончено СМР, не получено положительное заключение МОГЭ&#10;14.05.2026 - Результаты рассмотрения документации&#10;Плановая дата захода в МОГЭ - 15.06.2026"/>
        <s v="Контракт расторгнут"/>
        <s v="Контракт расторгнут. Судебные разбирательства. В Экспертизу Подрядчик зайти не смог, т.к. получено заключение МОГЭ в 2022 году на три объекта Ботово, Ивановское, Ярополец. Отдельно на Ивановское зайти нельзя!"/>
        <s v="СМР не завершен, нет техприса, по газу. В ОМСУ отсуствуют средства на техприс. В планах ОМСУ решение вопроса по лимитам на техприс до 15.07.26. Для техприса по газу необходим индивидуальный проект. Срок реализации индивидуальных проектов по техпрису два г"/>
        <s v="СМР завершён.&#10;В МОГЭ&#10;Плановая дата выхода 09.06.2026"/>
        <s v="Повторный заход в МОГЭ с уточнеными объемами с устранеными до 10.06.2026. Не завершено благоустройство. (тратуары, бордюры, финальное благоустройство)."/>
        <s v="Оплата 2025"/>
        <s v="-"/>
        <s v="Нет МОГЭ&#10;Заход после НТС"/>
        <s v="Замечания ИД. Не устранено 23 замечаний. Срок устранения до 10.06.2026"/>
        <s v="СМР ведется&#10;Объект в 65.1"/>
        <s v="СМР не завершен. План завершения - 18.11.2026.&#10;&#10;Необходимо продление срока действия контракта.&#10;&#10;не подготовлена и не сдана ИД по работам нового подрядчика, не устранены замечания УТНКР."/>
        <s v="не закончено СМР, подрячдик приостанавливал работы на объекте в связи с заключением ДС по 65.1, выход на объект 25.05.2026&#10;СМР завершение до 01.08.2026"/>
        <s v="СМР не завершен в части благоустройства. Планируется завершить до 30.05.2026"/>
        <s v="Только проектирование.&#10;Нет заключения МОГЭ. (план захода 30.06.2026). Задержка связана с длительным представлением исходных данных для проектирования со стороны Заказчика."/>
        <s v="не сдана ИД. Срок предоставления ИД до 15.07.2026"/>
        <s v="СМР не завершен&#10;монтаж трубы (400 метров)&#10;Повторный заход в могэ до 30.06.2026 из за увеличения обьемов работ (большая стоимость грузоподьемных кранов - порядка 30 миллионов)"/>
        <s v="Замечания устранены . УТНКР подписал. ОМСУ ждет документв от Заказчика на оплату."/>
        <s v="8 из 10 участков ИД подптсана, 2 на проверке. Сдача всей ИД и КС до 09.6. Замечания УТНКР(41): Благоустройство"/>
        <s v="ИД сдана"/>
        <s v="не закончено СМР&#10;Плановая дата завершения СМР до 01.09.2026&#10;Низкая динамика работы подрядчиком"/>
        <s v="Находятся в МОГЭ с 21.05.2026 &#10;плановая дата выхода 02.07.26"/>
        <s v="Благоустройство завершено. ИД в процессе сбора для передачи в УТНКР. Срок до 30.05.2026г."/>
        <s v="СМР не завершен, плановая дата завершения 01.09.2026, не оформлена ИД"/>
        <s v="Идет согласование ИД. Крайняя дата оплаты 30.06.2026"/>
        <s v="Зашли в экспертизу 13.04.2026. Выданы замечания в части документации по разделу Промбеза и СД. Выход из МОГЭ 12.06.2026. Остальные разделы согласованы. Неоходимо завершить общестроительные работы и благоустройство. Количество не устраненных замечаний УТНК"/>
        <s v="СМР не завершен, не реализован тех прис электрика - 20.05.2026 подана новая заявка на 243 кВт, газ - договор заключен - плановая дата выполнения 15.10.2026 - нужно переврезать ГРУ, ВРУ. &#10;Возможна частичная оплата на 80 млн руб., у ОМСУ отсуствует бюджет н"/>
        <s v="ИД в УТНКР подписана в полном объеме. Повторныйт заход в МОГЭ по доп. объемам. Срок рассмотрения 15 дней"/>
        <s v="СМР не завершен. Задержка СМР связана с приостановкой работ в связи с попаданием БМК в охранную зону Трансгаз Москва. Вопрос решен, СМР возобнавлен."/>
        <s v="Необходимо завершить СМР и выполнить благоустройство (тратуары, бордюры, финальное благоустройство) Плановая дата завершения работ 30.06.2026"/>
        <s v="замечанеия устранены. Подгружено в ПИК на подписании"/>
        <s v="плановый выход из МОГЭ - 04.06.2026г. устранение замечаний ПСД, в МОГЭ с 21.03.2026, не закончены СМР (план. до 30.06.) Замечания УТНКР(13): Проектно-изыскательские работы • Инженерные системы"/>
        <s v="Заключено дополнительное соглашение после выхода МОГЭ и доведения лимитов, ИД не подписана утнкр. Плановая дата оплаты до 15.06.2026"/>
        <s v="Плановая дата захода в МОГЭ 29.05.2026. Идет согласование ИД. Крайняя дата оплаты 20.09.2026"/>
        <s v="КС не подгружены в ПИК&#10;ИД исправление замечаний"/>
        <s v="Сдали ИД, КС&#10;Подали документы на оплату 22.05.2026"/>
        <s v="Оплата выполнена"/>
        <s v="Не закончено СМР, не заключен новый контракт"/>
        <s v="Получено отрицательное заключение МОГЭ (замечания по тех.части ,СД) , повторный заход в МОГЭ до 20.06.2026, необходимо завершить общестроительные работы. Количество не устраненных замечаний УТНКР (13) Плановая дата завршения работ 15.08.2026"/>
        <s v="Получено отрицательное заключение МОГЭ, повторный заход в МОГЭ до 20.06.2026, необходимо завершить общестроительные работы. Количество не устраненных замечаний УТНКР (10). Плановая дата завршения работ 15.08.2026"/>
        <s v="не закончено СМР&#10;13.02.2026 - Отказ в приеме и рассмотрении заявления&#10;Заявителем представлен неполный комплект документов, необходимых для предоставления услуги&#10;Плановая дата захода 30.06.26"/>
        <s v="Нет тех приса по газу и электрике (планируемый срок до 31.07.2026)&#10;нет МОГЭ&#10;Заход до 12.06.2026"/>
        <s v="ИД оформлена, на проверке УТНКР плановый срок 10.06.2026"/>
        <s v="Подрядчик находится в МОГЭ, выход из МОГЭ до 20.06.2026. Необходимо завершить общестроительные работы и финальное благоустройстово. Количество не устраненных замечаний УТНКР (17) Плановая дата завершения работ 01.07.2026"/>
        <s v="не завершено благоустройство, план выполнения до 01.07.2026, не сдано ИД"/>
        <s v="Благоустройство не завершено&#10;Зашли в МОГЭ. &#10;Плановая дата выхода 29.07.2026"/>
        <s v="Подрядчик находится в МОГЭ, выход из МОГЭ до 18.06.2026, необходимо завершить общестроительные работы. Количество не устраненных замечаний УТНКР (8). Плановая дата завршения работ 15.08.2026"/>
        <s v="Неоходимо завершить общестроительные работы и благоустройство. Количество не устраненных замечаний УТНКР (6). Планируемая дата завершения 15.07.2026"/>
        <s v="СМР не завершен&#10;МОГЭ не получено, плановая дата выхода 05.06.2026"/>
        <s v="СМР завершен, идет устранение 6 замечаний УТНКР. ПНР до 20.07.2026г."/>
        <s v="Плановая дата выхода из МОГЭ - 13.07.2026, СМР не завершен переключение на новую теплосеть, вырезать перспективные краны, благоустройство. Ожидается закрытие объемов по объекту Капитальный ремонт участка тепловой сети по адресу: Московская область, г.о. П"/>
        <s v="Замечания ИД. 11 замечаний.Устранение замечаний до 01.06.2026"/>
        <s v="Благоустройство в стадии завершения, идет сбор полного комплекта ИД для сдачи в УТНКР. Срок до 15.06.2026г."/>
        <s v="Исправлялись заменчания ИД"/>
        <s v="СМР не завершен, объект перенесен на 2026. СГ-1%"/>
        <s v="устраняют замечания ИД. Завершают общестрой. Всего 28 замечаний"/>
        <s v="Не подписано доп соглашение - нет местного бюджета. Высвобождение денег с объектов МинЖКХ - плановая дата 05.06.2026, &#10;Документы на оплату подготовлены"/>
        <s v="ИД согласование ИД. Требуется подписание доп.согл. на включение незапланированных объемов работ по установке 3 котла в рамках стоимости контракта (вместо благоустройства). &#10;Плановая дата завершения СМР по 3 котлу 30.09.2026. Крайняя дата оплаты 30.11.2026"/>
        <s v="Нет тех присов по газу и электрике. &#10;СМР не завершен &#10;Идет устранение 4 замечаний УТНКР&#10;Требуется прохождение НТС"/>
        <s v="НТС не пройден, корретировка штабного решенияя. Направлено письмо в адрес министрества от 02.06.2026 на изменение мощности в ГП с 3,5 МВт на 10,5 МВт."/>
        <s v="Зашли повторно в МОГЭ 10.05.2026 в связи с необходимостью разработки дополнительных разделов ПИР связанных с мероприятием реконструкция. Выход из МОГЭ до 15.07.2026.Не завершен ПНР. ПНР запланирован на 25.06.2026."/>
        <s v="Долгое подписание ДС после МОГЭ. Лимиты доведены в марте 2026. ДС подписан. Приемка ПИР до 29.05.2026. Приемка СМР до 12.06.2026. Документы на рассмотрении УТНКР"/>
        <s v="ИД не сдана&#10;Переоформление ГПЗ на участок"/>
        <s v="Устранение замечаний по ИД. Количество не устраненных замечаний УТНКР (20) (план. до 20.06.2026)"/>
        <s v="СМР не завершен.&#10;Перенос объекта утвержден рабочей группой, изменение в ГП не вносилось. контракт не продлен (МИНЖКХ). &#10;&#10;БМК на сборочной площадке Фортис. (поставка после завершения оплаты подрядчиком). &#10;Договора техприс заключены, не оплачены.&#10;&#10;Документа"/>
        <s v="Идет согласование ИД. Оплачено частично. Крайняя дата оплаты 20.07.2026"/>
        <s v="после получения подрядчиком БГ будет подписано доп соглашение на продление срока действия контракта"/>
        <s v="Устранение замечаний по ИД. Количество не устраненных замечаний УТНКР (13) (план. до 20.06.2026)"/>
        <s v="СМР не завершен, требуется частичная обратная засыпка и благоустройство. Идет устранение замечаний УТНКР."/>
        <s v="Благоустройство не выполнено, в стадии завершения. Идет сбор ИД. Срок сдачи ИД до 30.06.26г."/>
        <s v="Повторный заход в МОГЭ 18.05. после замечаний ПСД. Плановый выход из МОГЭ - 07.07.2026г. Не закончены СМР (засыпка возле ТК и благоустройство возле ТК. Срок- 01.06.) Замечания УТНКР(11): Благоустройство • Проектно-изыскательские работы"/>
        <s v="Благоустройство не завершено&#10;Заказчик вскрыл БГ"/>
        <s v="01.06.2026 ИД подписаны и переданы подрядчику для итогового подписания у заказчика &#10;02.06.2026 заказчик подписал документацию, формируется пакет документов для оплаты"/>
        <s v="Ждут подписания."/>
        <s v="СМР не завершен &#10;Плановая дата сдачи ИД 25.06.2026"/>
        <s v="не завершено благоустройство, плановая дата выполнения работ 26.06.2026"/>
        <s v="Был отдельный контракт на ПИР, получил положительное заключение МОГЭ. &#10;Не завершен СМР (тепловые камеры), неподвижные опоры. Подрядчик не может определиться со сроком окончания работ."/>
        <s v="СМР ЦТП не завершен (остались общестроительные работы), перекладка наружных тепловых сетей."/>
        <s v="Благоустройство до 15.06.2026. Замечания ИД всего 16 замечаний. до 20.06.2026"/>
        <s v="СМР не завершен.&#10;Перенос объекта утвержден рабочей группой, изменение в ГП не вносилось. контракт не продлен (МИНЖКХ). &#10;&#10;БМК поставлена на объект, установлена в проектное положение. &#10;Договора техприс заключены, не оплачены.&#10;&#10;Документация в МОГЭ с 15.04.20"/>
        <s v="Нет МОГЭ (плановый срок выхода из МОГЭ 30.06.2026) увеличение более 30%, НТС не пройден, СМР не выполнено завязан с тех присоедниением электрика - монтаж нового ВРУ, плановый срок выполнения тех присоединения октябрь 2026"/>
        <s v="01.04.2026 - выданы результаты рассмотрения&#10;Плановая дата захода в МОГЭ 01.07.2026. Планируется НТС"/>
        <s v="СМР не завершен. Осталось выполнить общестрой и благоустройство. Заход в МОГЭ запланирован 05.06.2026. Находятся на НТС в связи с удорожанием. ( Статус НТС на устранение замечаний)"/>
        <s v="СМР завершен. Не сдана ИД - не предъявляли УТНКР - плановая дата 01.07.2026"/>
        <s v="СМР не завершен в части благоустройства. Планируется завершить до 30.05.2026. Проект на корректировке в МОГЭ (выход из МОГЭ планируется до 12.06.2026)."/>
        <s v="Идет согласование ИД. Оплачено частично. Крайняя дата оплаты 01.09.2026"/>
        <s v="СМР не завершён&#10;МОГЭ не получено&#10;плановая дата заключения договора с МОГЭ 19.06.2026"/>
        <s v="не завершили СМР в части благоустройства и ПНР (план. до 15.08.) ПНР не выполнен по причине отсутвия второго электрического ввода. Подрядчик будет закрывать часть оплату без пнр. готовят документы и Доп соглашение на оформление оплаты&#10; Замечания УТНКР(5):"/>
        <s v="отсутствие МОГЭ- отказ по причине неполного комплекта документов. Плановая дата захода в МОГЭ - 30.06.2026, СМР не завершен - смонтировать 185 м, вырезать перспективные краны, благоустройство. Ожидается закрытие объемов по объекту Капитальный ремонт участ"/>
        <s v="не завершено благоустройство, не передавалась ИД Благоустройство будет завершено до 01.06.2026. ИД формируется для предъявления. Замечания УТНКР(39): Прокладка инженерных сетей (линейные объекты) • Благоустройство"/>
        <s v="СМР не завершен - плановая дата 30.06.2026, отсутствие МОГЭ- получено отриц заключение, Плановая дата МОГЭ 15.06.2026"/>
        <s v="не закончено СМР"/>
        <s v="Смена РСО МУП ДУ ЖКХ на ГУП МО &quot;Дмитровское ЖКХ&quot;&#10; Объект перешел в собственность московской области, идет процедура возврата в ОМСУ. Постановление о принятии в муниципальную собственность на согласовании."/>
        <s v="не разработан ПИР (план. до 10.06. отправить на согл. заказчику), план захода в МОГЭ - 20.06.2026г., не закончены СМР в части врезки в магистральный трубовод участка. (план. до 20.07.) Замечания УТНКР(47): Проектно-изыскательские работы • Земляные работы "/>
        <s v="Не завершено благоустройство - план завершения до 16.06.2026, не сдана ИД"/>
        <s v="Не завершен СМР в части общестроительных работ (план завершения до 08.07.2026).&#10;&#10;Не в полном объеме устранены замечания по ИД (срок устранения до 08.07.2026)"/>
        <s v="ИД в УТНКР подписана в полном объеме. Повторныйт заход в МОГЭ по доп. объемам. Срок рассмотрения 15 дней Замечания УТНКР(3): Работы завершены • Подготовка исполнительной документации • Подготовка объекта к сдаче"/>
        <s v="Благоустройство до 25.06.2026. Замечания ИД."/>
        <s v="не завершено благоустройство&#10;&#10;Замечания УТНКР (34): Монтаж оборудования • Благоустройство"/>
        <s v="ИД не сдана в полном обьеме"/>
        <s v="ПИР на просчете смет (план захода в МОГЭ до 15.06.), не закончены СМР: монтаж 120 п.м. трубы и благоустройств (срок до 20.06.) Замечания УТНКР(51): Проектно-изыскательские работы • Подготовительные работы • Земляные работы • Устройство ж/б колодцев, камер"/>
        <s v="не завершено благоустройство, не передавалась ИД &#10;&#10;Замечания УТНКР(46): Устройство ж/б колодцев, камер (линейные объекты) • Общестроительные работы • Благоустройство"/>
        <s v="Плановая дата сдачи ИД 25.06.2026"/>
        <s v="не завершено благоустройство, срок завершения 01.07.2025, лимиты доведены 22.05.2026, после выхода из МОГЭ цена изменилась, сейчас будут готовить ДС к контракту. Оплата ПИР ожидается до 15.06.2026. СМР и благоустройство до 01.07.2026"/>
        <s v="Не завершен СМР в части ПНР (план сдачи 08.07.2026), в части демонтажных и общестроительных работ (план завершения до 25.07.2026) &#10;&#10;Требуется повторный заход в МОГЭ с корректировкой проектной документации.&#10;&#10;Не полностью сдана ИД (план сдачи после повторно"/>
        <s v="Получено отрицательное заключение МОГЭ, повторный заход в МОГЭ до 10.06.2026 Выход из МОГЭ до 01.08.2026"/>
        <s v="Необходимо заврешить благоустройство. Сдать ИД/КС Плановая дата завершения работ 01.07.2026 Количество не устраненных замечаний УТНКР (15) (план. до 15.06.2026)"/>
        <s v="Устраняют замечания УТНКР по ИД, всего 13 замечаний. Срок до 10.06.2026"/>
        <s v="Необходимо сдать ИД, выполнить финальное благоустройство&#10;Замечания УТНКР (25): Общестроительные работы • Монтаж оборудования • засыпка грунта (линейные объекты) • Благоустройство"/>
        <s v="Благоустройство до 15.06.2026. Замечания ИД 17 замечаний."/>
        <s v="отсутствует МОГЭ, плановая дата выхода 10.06.2026, завершение работ по благоустройству.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s v="СМР не завершен (Низкий темп производственных работ)&#10;Плановая дата завершения работ - 30.06.2026"/>
        <s v="устраняют замечания по ИД (план. до 10.06.) Замечания УТНКР(7): Благоустройство"/>
        <s v="не предоставлена ИД (план. до 01.06.26)&#10;Замечания УТНКР - 3. Все касаются ИД. СГ объекта 100%"/>
        <s v="Плановая дата направления ИД после отработки замечаний 15.06.2026"/>
        <s v="Мероприятие прошло согласование Рабочей группы о изменении цены Контракта, Допсоглашение на изменение сроков подгружено в ПИК, готовится изменение стоимости. БГ подрядчиком оформлена.Техническая Проблема с размещением в ЕАСУЗ. Оплата до 15.06.2026&#10;Замечан"/>
        <s v="Ведутся работы по благоустройству. Срок окончания работ до 30.05.2026."/>
        <s v="Находятся в МОГЭ с корректировкой с 20.04.2026"/>
        <s v="на подписании"/>
        <s v="Не заключено допсоглашение о продлении сроков реализации объекта.&#10;Рабочей группой штаба утвержден перенос мероприятия на 2026 (15.05.2026). &#10;Дополнение к решению штаба сформировано, направлено в МЭФ.&#10;&#10;Измеения ожидаются при актуализации госпрограммы (до 2"/>
        <s v="устраняют замечания УТНКР по ИД. Срок устранения замечаний до 15.06.2026"/>
        <s v="Идет согласование ИД. Оплачено частично. Крайняя дата оплаты 30.06.2026"/>
        <s v="отправлено письмо в минэнерго на корректировку лимитов в связи с изменением ставки НДС (22%)"/>
        <s v="Проверка смет со стороны заказчика, подготовка доп согл о изменении суммы контракта, оплата ожидается до 15.06.2026"/>
        <s v="ждут подписания в ПИК и оплату"/>
        <s v="лимиты не доведены в полном объеме"/>
        <s v="СМР не завершены, план выполнения до 01.07.2026, не сдано ИД"/>
        <s v="Идет соглосование ИД. Оплачено частично."/>
        <s v="СМР не завершен благоустройство , отсутствие МОГЭ - планвоая дата захода 30.06.2026 (нет денег для захода). Ожидается закрытие объемов по объекту Капитальный ремонт участка тепловой сети по адресу: Московская область, г.о. Пушкинский, п. Софрино-1, на тер"/>
        <s v="Повторно зашли в МОГЭ с устраненными замечаниями. Выход из МОГЭ 10.06.2026"/>
        <s v="Заключено дополнительное соглашение после выхода МОГЭ и доведения лимитов, ИД подписана утнкр. Плановая дата оплаты до 25.05.2026"/>
        <s v="25.03.2026 - выданы результаты рассмотрения&#10;Плановая дата захода в МОГЭ -15.06.2026"/>
        <s v="Благоустройство не завершено. Планируемая дата до 30.06.2026."/>
        <s v="не завершено благоустройство, лимиты доведены, оплата ПИР произведена 21.05.2026. Оплата СМР и благоустройство до 01.07.2026"/>
        <s v="нет техприс по газу. Работы по реализации техприс начаты. Плановый Срок окончания работ техприс 10.07. 2026"/>
        <s v="подали ПСД в МОГЭ -21.05. , возврат с замечаниями ПСД, не закончены СМР в части финального благоустройства ( план. до 20.06.) Замечания УТНКР(32): Проектно-изыскательские работы • Устройство ж/б колодцев, камер (линейные объекты) • Пуско-наладочные работы"/>
        <s v="Завершение благо до 10.06.2026&#10;15.02.2026-Отказ в приеме и рассмотрении заявления Обращение за предоставлением иной услуги Некорректное заполнение обязательных полей в форме интерактивного запроса на РПГУ МО&#10;Плановая дата захода в МОГЭ -15.06.2026"/>
        <s v="Получено отрицательное заключение МОГЭ, повторный заход в МОГЭ до 10.06.2026. Выход из МОГЭ до 01.08.2026"/>
        <s v="Не завершено СМР,&#10;Подготовка сопоставительной ведомости на сумму полученного аванса,&#10;Сопоставительная ведомость находится у подрядчика – исправление замечаний&#10;Подготовка к расторжению контракта"/>
        <s v="Завершение благо до 10.06.2026&#10;05.11.2025-Отказ в приеме и рассмотрении заявления &#10;Заявителем представлен неполный комплект документов, необходимых для предоставления услуги&#10;Плановая дата захода в МОГЭ -15.06.2026"/>
        <s v="Получили заключение МОГЭ . Готовят повторный заход в МОГЭ с уточненными обьемами. Планируют зайти в МОГЭ до 05.06.2026"/>
        <s v="СМР не завершен - Благоустройство, оформление ИД - плановая дата 10.06.2026"/>
        <s v="В МОГЭ с 20.04.2026, после получения положительного заключения, будут сдавать ИД. Дата выхода из МОГЭ 19.06.2026"/>
        <s v="Не завершено благоустройство, не закончен СМР (тепловая и антикоррозионная обработка трубопроводов в камерах)"/>
        <s v="Получено отрицательное заключение в связи отсутствием правоустанавливающих документов на земельный участок (земля принадлежит министерству обороны) Заход в МОГЭ после получения документов на участок.&#10;&#10;Необходимо выполнить до окончания монтажа: - Демонтаж "/>
        <s v="не полностью сдана ИД (план сдачи 08.07.2026), не устранены замечания УТНКР. Благоустройство выполнено, устраняются замечания&#10; по ИД (план сдачи до 22.07.2026)"/>
        <s v="Контракт не заключен"/>
        <s v="подали ПСД в МОГЭ 19.05. ,плановый выход из МОГЭ - 07.07.2026г. ,не закончены СМР: монтаж лотков, трубопроводов и благоустройство (план. до 15.08.) Замечания УТНКР(17): Проектно-изыскательские работы • Земляные работы • Демонтажные работы • Прокладка инже"/>
        <s v="СМР в процессе. &#10;Остались работы по монтажу насосной группы и автоматики.&#10;&#10;ИД частично сдана на выполненный объем работ."/>
        <s v="Завершение благо до 10.06.2026&#10;24.03.2026-Отказ в приеме и рассмотрении заявления &#10;Заявителем представлен неполный комплект документов, необходимых для предоставления услуги&#10;Плановая дата захода в МОГЭ -15.06.2026"/>
        <s v="не завершено благоустройство, ИД сдана частично, оплата произведена частично Аванс выплачен. Благоустройство будет завершено до 01.06.2026. Замечаиня УТНКР(12): Монтаж оборудования."/>
        <s v="не завершено благоустройство, не передавалась ИД, МОГЭ не получено по причине изменения тех решений при рассмотрениии НТС. НТС пройден с положительным решением от 22.04, зашли в МОГЭ повторно 15.05., план. выход- 29.06. На устранении замечаний(2): 1. Смет"/>
        <s v="Не завершено СМР,&#10;Подготовка к расторжению контракта&#10;Подготовка сопоставительной ведомости на сумму полученного аванса,&#10;Сопоставительная ведомость находится у подрядчика – исправление замечаний"/>
        <s v="Отсутствует заключение МОГЭ.&#10;&#10;26.03.2026 вышли из МОГЭ с результатами рассмотрения&#10;&#10;Повторный заход в МОГЭ выполнен 02.06.2026. Срок выхода 14.07.2026."/>
        <s v="Благоустройство в стадии завершения. Сдача полного комплекта ИД до 10.06.2026."/>
        <s v="Акт выполненных работ на проверке до 25.05.2026.Строительная готовность по данным УТНКР СГ-98% (на 18.05.2026).&#10;Подрядчик вышел из повторной экспертизы 29.12.2025. На дату 19.03.2026 ЛБО на 2026 восстановлены и увеличены (ранее направлено письмо в Минэнер"/>
        <s v="Завершают общестрой. устраняют замечания ИД. Всего 23 замечания. срок устранения замечаний до 15.07.2027"/>
        <s v="Не закончено финальное благоустройство, завершение до 20.07.2026&#10;ИД сдана частично"/>
        <s v="СМР не завершен.&#10;Перенос объекта утвержден рабочей группой, изменение в ГП не вносилось. контракт не продлен (МИНЖКХ). &#10;&#10;Комплекты ИД сданы, ведется устранение замечаний УТНКР по ИД и по физике. &#10;&#10;Общее количество Актов выявленных нарушений: 9&#10;Количество "/>
        <s v="Не полный комплект ИД."/>
        <s v="подача ПСД в МОГЭ 19.05. , возврат из МОГЭ с замечаниями ПСД, не закончены СМР (план. до 30.07.) Не выполнено присоединение к БМК. Замечания УТНКР(17): Проектно-изыскательские работы • Общестроительные работы"/>
        <s v="Не получено МОГЭ - плановая дата получения МОГЭ 23.06.2026, СМР не завершено (благоустройтсво), не сдана ИД - плановая дата 01.07.2026"/>
        <s v="СМР не завершен в части общестроительных работ"/>
        <s v="Расторжение контракта 26.05.2026"/>
        <s v="СМР не завершены в части общестроительных работ"/>
        <s v="Благоустройство в процессе завершения. Планируемый срок сдачи ИД в УТНКР до 30.05.2026."/>
        <s v="Обьект оплачен"/>
        <s v="Устранение замечаний по ИД. Количество не устраненных замечаний УТНКР (19) (план. до 20.06.2026)"/>
        <s v="Необходимо сдать ИД и КС . Срок 20.06.2026"/>
        <s v="Завершение благо до 10.06.2026&#10;Плановая дата захода в МОГЭ -15.06.2026&#10;плановая дата выхода - 14.07.26"/>
        <s v="Устраняют замечания ИД. 12 замечаний"/>
        <s v="СМР завершен, Планируется расторжение по фактически выполненым работам"/>
        <s v="Нет МОГЭ. &#10;Требуется прохождение НТС.&#10;Не завершено благоустройство"/>
        <s v="22.05. подача ПСД на согласовавние заказчику, план захода в МОГЭ - 15.06.2026г. Не закончены СМР в части финального благоустройства (план до 15.06.) Замечания УТНКР(32): Проектно-изыскательские работы • Прокладка инженерных сетей (линейные объекты) • Земл"/>
        <s v="Контракт расторгнут 04.12.2025. Экспертиза получена в 2021 г.&#10;Цена контракта 93,2 млн руб. Выплачено по договору 46,6 млн руб. Осталось проложить 358 п.м. ТС. Стоимость работ по сметам 101 млн руб.&#10;Новый подрядчик будет определен после доведения лимитов о"/>
        <s v="Сдача объёмов в УТНКР, разногласия в части земляных работ, тепловых камер и благоустройства. Дело движется к судебным разбирательствам. От округа содействия не ощущается. Сроки уходят вправо."/>
        <s v="СМР не завершены в части общестроительных работ&#10;&#10;Замечания УТНКР(19): Фасад • Демонтажные работы • Инженерные системы • Пуско-наладочные работы"/>
        <s v="Благоустройство завершат до 15.06.2026&#10;24.03.2026-Результаты рассмотрения документации&#10;Плановая дата захода в МОГЭ 15.06.2026, проходят НТС"/>
        <s v="направлена заявка на МБТ 18.05.2026, после этого будет направлена заявка на опла ту этапов пир и смр"/>
        <s v="По состоянию на текущую дату, подрядная организация ООО «Косма» выполнила строительно-монтажные работы на общую сумму 10 млн рублей. При этом из государственной экспертизы (ГАУ МО «Мособлгосэкспертиза») получено положительное заключение только на часть ра"/>
        <s v="Плановая дата сдачи ИД 15.06.2026"/>
        <s v="Устраняют замечания УТНКР по ИД, всего 6 замечаний. Срок до 15.06.2026"/>
        <s v="ИД в УТКР не полный комплект"/>
        <s v="04.05.2026-Результаты рассмотрения документации&#10;Нет МОГЭ, планируется НТС"/>
        <s v="МОГЭ не получено&#10;25.05.2026 - отказ в приёме документов. Повторная подача документов - 15.06.2026"/>
        <s v="Необходимо завершить финальное благоустройство,сдать ИД и КС .Срок 20.06.2026"/>
        <s v="ПСД передается 22.05 на согласование заказчику, план захода в МОГЭ - 15.06.2026г. СМР - монтаж бордюров, укладка АБС. Срок завершения - 31.05. Замечания УТНКР(35):Проектно-изыскательские работы • Земляные работы • Демонтажные работы • Прокладка инженерных"/>
        <s v="Планируется расторжение контракта 10.06.2026, под факт выполненных работ"/>
        <s v="СМР не завершен.&#10;Контракт расторгнут"/>
        <s v="Получено отрицательное заключение МОГЭ, повторный заход в МОГЭ до 10.06.2026.Выход из МОГЭ до 01.08.2026 Завершение благоустройства до 01.07.2026 Количество не устраненных замечаний УТНКР (14) (план. до 15.06.2026)"/>
        <s v="ПСД передана на согласование заказчику 22.05., план захода в МОГЭ - 15.06.2026г., не закончены СМР: монтаж бордюров, благоустройство. Срок - 31.05. Замечания УТНКР(23): Проектно-изыскательские работы • Земляные работы • Разработка траншеи (линейные объект"/>
        <s v="не полностью сдана ИД (план сдачи до 08.07.2026.&#10;не полностью завершены СМР - предъявление ПНР представителям УТНКР (план сдачи 22.07.2026).&#10;устраняются замечания по ИД"/>
        <s v="не разработан ПИР (план. до 10.06. отправить на согласование заказчику), план захода в МОГЭ - 20.06.2026г., не закончены СМР в части монтажа тепловой камеры, и финального благоустройства (план. до 25.07.) Замечания УТНКР(35): Проектно-изыскательские работ"/>
        <s v="Завершают общестрой. устраняют замечания ИД. Всего 37 замечаний. срок устранения замечаний до 15.07.2027"/>
        <s v="Устраняют замечания ИД. Всего 17 замечаний. Дата планируемой оплаты 15.06.2026"/>
        <s v="СМР не завершен в части благоустройства. Ожидают поступления средств от Минэнерго в связи с увеличением ЦК, в соответствии с заключением МОГЭ"/>
        <s v="Устраняют замечания ИД. 27 замечаний"/>
        <s v="направлена заявка на МБТ 18.05.2026 (на окончательную оплату авансса), после этого будет направлена заявка на опла ту этапов пир и смр"/>
        <s v="Ведётся подготовка исполнительной документации&#10;Объект в 65.1"/>
        <s v="Идет согласование ИД. Оплачено частично. Крайняя дата оплаты 30.08.2026"/>
        <s v="31.03.2026-Результаты рассмотрения документации&#10;Плановая дата захода в МОГЭ - 15.06.2026. НТС пройден 25.05.2026"/>
        <s v="03.06.2026 УТНКР от ПО принята на проверку ИД"/>
        <s v="Не получено положительное заключение МОГЭ&#10;28.04.2026-Результаты рассмотрения документации&#10;Плановая дата захода в МОГЭ - 15.06.2026&#10;Проходят НТС"/>
        <s v="Контракт с предыдущим подрядчиком расторгнут.&#10;&#10;контракт 18.05.2026 заключен с ООО Теплоэнерготех"/>
        <s v="Устраняют замечания ИД. Всего 13 замечаний. Дата планируемой оплаты 15.06.2026"/>
        <s v="ПНР проведён. СМР выполнен."/>
        <s v="не полностью сдана ИД (план сдачи до 17.06.2026.&#10;не полностью завершены СМР - предъявление ПНР представителям УТНКР (план сдачи 30.06.2026, сейчас объект в ПНР).&#10;устраняются замечания по ИД"/>
        <s v="Завершают общестрой. устраняют замечания ИД. Всего 36 замечаний. срок устранения замечаний до 15.07.2027"/>
        <s v="подали ПСД в МОГЭ 20.05., плановый выход из МОГЭ - 10.07.2026г., не закончены СМР в части финального благуостройства( план. до 25.07.) Замечания УТНКР(13): Проектно-изыскательские работы • Благоустройство"/>
        <s v="НТС не пройден, МОГЭ не получено, не завершено фин благо&#10; 09.06.2025-Результаты рассмотрения документации&#10;Подготовка сопоставительной ведомости на сумму полученного аванса,&#10;Сопоставительная ведомость находится у подрядчика – исправление замечаний&#10;Подготов"/>
      </sharedItems>
    </cacheField>
    <cacheField name="Действия проектной команды">
      <sharedItems containsBlank="1" containsMixedTypes="1" containsNumber="1" containsInteger="1">
        <n v="20.0"/>
        <m/>
        <s v="Провели совещание + ВКС с Мосолблазом по техпрису."/>
        <s v="Проведено совещание с проектной командой,определили сроки исправление замечаний ИД в УТНКР"/>
        <s v="Проведено ВКС"/>
        <s v="Проведены очные совещания"/>
        <s v="Проведено совещание с проектной командой,определили сроки исправление замечаний ИД в УТНКР."/>
        <s v="Проведено совещание. ПНР в процессе. ИД частично сдана в УТНКР."/>
        <s v="Проведено совещание с проектной командой,определили сроки окончания СМР и предоставления ИД в УТНКР"/>
        <s v="Проведен ВКС 20.05.2026"/>
        <s v="16.05.2026 принято решение РГ штаба о переносе объектов. &#10;После подписание дополненния к решению штаба планируется заключение допсоглашений и начинаться дальнейшая оплата.&#10;20.05 .2026 проведена ВКС с МинЖКХ по вопросу реализации объектов и завершению СМР."/>
        <s v="Проведен внутренний ВКС в рабочем порядке 13.05.2026"/>
        <s v="Проведено совещание с проектной командой , определили сроки устранения замечаний МОГЭ до 05.06.2026"/>
        <s v="Проведено совещание с проектной командой о необходимости скорейшего завершения работ до 15.07.2026"/>
        <s v="-"/>
        <s v="Назначение очного совещания с Тактаровым Р.Ф. (вопрос о расторжении, либо изменении контракта)&#10;Дата уточняется"/>
        <s v="Проведен вкс. Определен срок устранения замечания до 10.06.2026"/>
        <s v="Проведено совещание. Подрядчик обещал увеличить количество людей и темпы работ на объекте. Актуальный ГПР будет направлен до 23.06.2026.&#10;&#10;Совместно с МЭФ прорабатывается вариант продления сроков действия контракта"/>
        <s v="Проведен ВКС 13.05.2026"/>
        <s v="Проведено совещание. Заказчик взял на себя обязательство акутуализировать нагрузки и проверить представленную документацию.&#10;Подрядчик обещал усилиться в разработке разделов ПИР.&#10;необходимо разделение ПИР на несколько титулов (мероприятий) отдельно заходит"/>
        <s v="провели ВКС, определили срок окончания работ и сдачи ИД до 15.07. 2026"/>
        <s v="Проведен вкс"/>
        <s v="Проведено совещание с проектной командой , определили сроки устранения замечаний ИД в УТНКР"/>
        <s v="Проведен ВКС 15.05.2026"/>
        <s v="Внутренний ВКС с подрядчиком 15.05.2026"/>
        <s v="Совещания с ОМСУ, РСО - корректировка ГПР и сроков реализации"/>
        <s v="Назначен НТС 27.05.2026"/>
        <s v="ВКС с ОМСУ/РСО/ПО"/>
        <s v="Проведено совещание с проектной командой, зам. Министра по оплате округом объектов. Составлена дорожная карта оплаты."/>
        <s v="Уточнен ГПР со сроком реализации до 01.09.2026"/>
        <s v="Проведено выездное совещание на объете."/>
        <s v="срок устранения замечаний до 01.06.2026"/>
        <s v="Проведено совещание с проектной командой,на ускорение спроизводства ПИР"/>
        <s v="Проведено совещание с проектной командой , определили сроки предоставления ИД в УТНКР до 01.06.2026"/>
        <s v="Проведено совещание с проектной командой , пределили сроки предоставления ИД в УТНКР"/>
        <s v="Внутренний ВКС с ОМСУ 12.05.2026"/>
        <s v="Проведено очное совещание о необходимости скорейшего завершения работ"/>
        <s v="Проведено очное совещание 21.05.2026"/>
        <s v="Проведено выездное совещание"/>
        <s v="Проведено совещание с проектной командой , определили сроки предоставления ИД в УТНКР до 15.06.2026"/>
        <s v="Проведено совещание с проектной командой , определили сроки предоставления ИД в УТНКР после выхода из МОГЭ"/>
        <s v="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10;20.05 .2026 проведена ВКС с МинЖКХ по вопросу реализации объектов и завершению СМР."/>
        <s v="Проведены очные совещания и в формате ВКС"/>
        <s v="Проведено совещание с проектной командой,для ускорения окончания благоустройства"/>
        <s v="Очное совещание 21.05.2026"/>
        <s v="Проведенные ВКС с ОМСУ, к работам по благоустройству приступили 13.05.2026"/>
        <s v="Проведено 2 вкс, проведено 2 очных совещания"/>
        <s v="Проведено совещание с проектной командой , определили сроки предоставления ИД в УТНКР до 20.06.2026"/>
        <s v="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10;20.05.2026 проведена ВКС с МинЖКХ по вопросу реализации объектов и завершению СМР."/>
        <s v="Провели выездное совещание . уточнили ГПР со сроком окончания 10.07. 2026"/>
        <s v="Проведено ВКС - ОМСУ, ПО, УТНКР"/>
        <s v="Проведены ВКС и очные совещания"/>
        <s v="Проведен ВКС о необходимости скорейшего завершения благоустройства"/>
        <s v="Назначено очное совещание на 27.05.2026"/>
        <s v="Проведен внутренний ВКС в рабочем порядке с ОМСУ 14.05.2026"/>
        <s v="Проведено совещание с проектной командой,для ускорения окончания ПИР"/>
        <s v="20.05.2026 проведена ВКС с МинЖКХ по вопросу реализации объектов и устранению замечаний УТНКР"/>
        <s v="Определили срок устранения замечаний до 20.06.2026"/>
        <s v="проведено очное совещание с подрядчиком и УТНКР по устранению замечаний и сдаче ИД"/>
        <s v="Проведен ВКС о необходимости скорейшего получения заключения МОГЭ"/>
        <s v="Проведен ВКС о необходимости скорейшего закрытия работ"/>
        <s v="Внутренний ВКС с подрядчиком 12.05.2026"/>
        <s v="Проведено совещание с проектной командой , определили сроки предоставления ИД в УТНКР"/>
        <s v="Уточнен срок реализации техприса."/>
        <s v="Проведено совещание с проектной командой , пределили сроки предоставления ИД в УТНКР после выхода из МОГЭ"/>
        <s v="Оплата выполнена"/>
        <s v="расторгнут контракт с субподрядчиком. На совещании 01.06.2026 было уточнено, что работы продолжаются своими силами. Персонал прошел инструктаж, допущен к работам. Работы на объекте возобновлены.&#10;План завершения работ до 15.07.2026"/>
        <s v="расторгнут контракт с субподрядчиком. На совещании 01.06.2026 было уточнено, что работы продолжаются своими силами. Персонал прошел инструктаж, допущен к работам. Работы на объекте возобновлены.&#10;&#10;План завершения работ 15.07.2026"/>
        <s v="подрядчик повторно зашел в МОГЭ. Дата выхода и МОГЭ 14.07.2026. Фактически работы выполнены"/>
        <s v="20.05.2026 проведена ВКС с МинЖКХ по вопросу реализации объектов и завершению СМР."/>
        <s v="Проведено совещание с проектной командой , определили сроки предоставления ИД в УТНКР до 10.06.2026"/>
        <s v="Проведено совещание с проектной командой,для ускорения окончания СМР"/>
        <s v="Проведен ВКС о необходимости скорейшего завершения общестроительных работ"/>
        <s v="Проведено совещание с проектной командой , пределили сроки предоставления ИД в УТНКР 15.06.2026"/>
        <s v="Проводятся еженедельные совещания на регулярной основе с участием Тактарова Р.Ф."/>
        <s v="Планируют повторный заход в МОГЭ для подтверждения объемов"/>
        <s v="Проведено совещание и ВКС с подрядчиком, определили срок предоставления ИД до 10.06.2026"/>
        <s v="Проведен ВКС о необходимости скорейшего получения заключения МОГЭ и завршении работ по благоустройству"/>
        <s v="Проведено совещание с проектной командой , пределили сроки предоставления ИД в УТНКР до 10.06.2026"/>
        <s v="Проведено совещание с проектной командой , пределили сроки предоставления ИД в УТНКР после выхода до 15.06.2026"/>
        <s v="контракт 18.05.2026 заключен с ООО Теплоэнерготех"/>
        <s v="контракт не выпустили на торги всвязи с низкой НМЦК (большое снижение). Запланировано увеличесние финансирования и перенос реализации на 2027 год"/>
        <s v="контракт заключен с ООО &quot;Ремистр&quot; 29.05.2026"/>
      </sharedItems>
    </cacheField>
    <cacheField name="Предполагаемая &#10;Даты оплаты">
      <sharedItems containsDate="1" containsBlank="1" containsMixedTypes="1">
        <n v="21.0"/>
        <m/>
        <d v="2026-09-25T00:00:00Z"/>
        <d v="2026-08-15T00:00:00Z"/>
        <d v="2026-09-30T00:00:00Z"/>
        <d v="2026-07-15T00:00:00Z"/>
        <d v="2026-08-14T00:00:00Z"/>
        <s v="Оплата выполнена"/>
        <d v="2026-09-15T00:00:00Z"/>
        <d v="2026-07-01T00:00:00Z"/>
        <d v="2026-10-01T00:00:00Z"/>
        <d v="2026-07-20T00:00:00Z"/>
        <d v="2026-07-29T00:00:00Z"/>
        <d v="2026-11-15T00:00:00Z"/>
        <d v="2026-12-28T00:00:00Z"/>
        <d v="2026-11-25T00:00:00Z"/>
        <d v="2026-08-30T00:00:00Z"/>
        <d v="2026-09-01T00:00:00Z"/>
        <d v="2026-10-18T00:00:00Z"/>
        <s v="Оплата выполнена, Подрядчик должен вернуть часть аванса"/>
        <d v="2026-08-20T00:00:00Z"/>
        <d v="2026-10-10T00:00:00Z"/>
        <d v="2026-11-30T00:00:00Z"/>
        <d v="2026-07-10T00:00:00Z"/>
        <d v="2026-09-03T00:00:00Z"/>
        <d v="2026-10-15T00:00:00Z"/>
        <s v="до 30.08. 2026"/>
        <d v="2026-06-15T00:00:00Z"/>
        <d v="2026-08-31T00:00:00Z"/>
        <d v="2026-06-30T00:00:00Z"/>
        <d v="2026-12-25T00:00:00Z"/>
        <d v="2026-10-31T00:00:00Z"/>
        <d v="2026-06-19T00:00:00Z"/>
        <d v="2026-09-20T00:00:00Z"/>
        <d v="2026-07-30T00:00:00Z"/>
        <s v="не определено"/>
        <d v="2026-11-20T00:00:00Z"/>
        <d v="2026-08-10T00:00:00Z"/>
        <d v="2026-08-01T00:00:00Z"/>
        <d v="2026-06-20T00:00:00Z"/>
        <d v="2026-06-12T00:00:00Z"/>
        <d v="2026-08-17T00:00:00Z"/>
        <d v="2026-11-27T00:00:00Z"/>
        <d v="2026-07-31T00:00:00Z"/>
        <d v="2026-10-30T00:00:00Z"/>
        <d v="2026-07-24T00:00:00Z"/>
        <s v="отплата выполнена"/>
        <d v="2026-07-05T00:00:00Z"/>
        <d v="2026-06-28T00:00:00Z"/>
        <d v="2026-08-21T00:00:00Z"/>
        <d v="2026-09-16T00:00:00Z"/>
        <s v="не определена"/>
        <s v="оплачено"/>
        <d v="2026-08-19T00:00:00Z"/>
        <s v="нет контракта"/>
        <d v="2026-07-04T00:00:00Z"/>
        <d v="2026-09-10T00:00:00Z"/>
        <d v="2026-07-14T00:00:00Z"/>
        <d v="2026-09-04T00:00:00Z"/>
        <s v="контракт не заключен"/>
        <s v="31.11.2026"/>
      </sharedItems>
    </cacheField>
    <cacheField name="Даты оплаты (Тимошина Т.Б)">
      <sharedItems containsDate="1" containsBlank="1" containsMixedTypes="1">
        <m/>
        <s v="оплачен"/>
        <d v="2026-04-20T00:00:00Z"/>
        <s v="требуется выполнение ТП по газу"/>
        <s v="оплачено в 2025"/>
      </sharedItems>
    </cacheField>
    <cacheField name="Комментарий">
      <sharedItems containsDate="1" containsBlank="1" containsMixedTypes="1">
        <n v="18.0"/>
        <m/>
        <s v="Нет МОГЭ"/>
        <s v="МОГЭ получено&#10;ИД На проверке"/>
        <s v="МОГЭ не получено"/>
        <d v="2026-10-30T00:00:00Z"/>
        <s v="Оплачен"/>
        <s v="Осталось благоустройство"/>
        <s v="Расторгнут под факт"/>
        <s v="МОГЭ нет"/>
        <s v="оплачен только аванс, БГ не получена, требуется продление контракта"/>
        <s v="МОГЭ нет."/>
        <s v="Судебное разбирательство&#10;Частично оплата"/>
        <s v="Выполнена оплата по факту работ"/>
        <s v="Ведется СМР 25%"/>
        <s v="после получения БГ по замещающему источнику"/>
        <s v="ОМСУ готовит заявку на корректировку сроков реализации контракта"/>
        <s v="Частично оплачен (90%)&#10;ИД не сдавалась"/>
        <s v="Оплачен Аванс"/>
        <s v="Ид не сдана"/>
        <s v="Частично"/>
        <s v="трассу и благоустройство сдали, осталось демонтаж на бумаге"/>
        <s v="КС частично оформлены (76 млн)не доведен местный лимит для оплаты, не скорректирвана ГП с учетом увеличения стоимости мероприятия после НТС (волна 4)"/>
        <s v="СМР не завершен"/>
        <s v="МОГЭ получено"/>
        <s v="Контракт расторгнут"/>
        <s v="Контракт расторгнут, СГ 17%"/>
        <s v="МОГЭ нет&#10;Получены замечанич УТНКР по ИД"/>
        <s v="Оформление ИД"/>
        <s v="благоустройство"/>
        <s v="не перенесены лимиты с 2025 г. на 2026"/>
        <s v="отсутсвтие БГ"/>
        <s v="Контракт исполнен"/>
        <s v="СМР завершен"/>
        <s v="Оформление ИД, оплачено частично"/>
        <s v="оплачен только аванс, БГ не получена,"/>
        <s v="Нет дополнительного соглашения. Нет БГ"/>
        <s v="МОГЭ получено&#10;СМР выполнен&#10;ИД сдана"/>
        <s v="Местный бюджет не доведен"/>
        <s v="Оплата под факт выполненных работ"/>
        <s v="Необходимо выполнить благоустройство"/>
        <s v="подписание допника"/>
        <s v="Доп соглашения не получены Нет БГ"/>
        <s v="ИД на офомлении Поздний выход из МОГЭ"/>
        <s v="Частичная оплата"/>
        <s v="работы будут закрываться в полном объеме из за отсутствия БГ и не выплаты аванса"/>
        <s v="необходимо выполнить обратную засыпку и благоустройство"/>
        <s v="Лимиты не доведены &#10;Оплаты не было"/>
        <s v="Оформление ИД, КС, БГ"/>
        <s v="неоходимо выполнить обратную засыпку и благоустройство"/>
        <s v="замечания УТНКР, оплата произведена частично"/>
        <s v="Благоустройство, МОГЭ корректировка"/>
        <s v="Плановая дата формирования заявки на оплату до 01.04.2026"/>
        <s v="Контракт расторгнут под факт"/>
        <s v="БГ отсутвует"/>
        <s v="ИД на проверке, Произведена частичная оплата, осталось общестрой"/>
        <s v="Замечания УТНКР"/>
        <s v="Замечания ИД"/>
        <s v="Нет дополнительного соглашения нет БГ"/>
        <s v="Находятся в НТС"/>
        <s v="Проходит НТС"/>
        <s v="Замечания к ИД"/>
        <s v="Нет МОГЭ,"/>
        <s v="Замечания ИД и КС"/>
      </sharedItems>
    </cacheField>
    <cacheField name="Сумма контракта2">
      <sharedItems containsBlank="1" containsMixedTypes="1" containsNumber="1">
        <n v="18.0"/>
        <m/>
        <n v="521117.1801"/>
        <n v="142169.5"/>
        <n v="741548.47"/>
        <n v="167285.5"/>
        <n v="280465.25"/>
        <n v="52838.94"/>
        <n v="40767.16"/>
        <n v="48821.74"/>
        <n v="31187.59"/>
        <n v="146362.4523"/>
        <n v="297701.13"/>
        <n v="93078.51"/>
        <n v="274226.25"/>
        <n v="144552.58"/>
        <n v="28410.45"/>
        <n v="190110.0"/>
        <n v="3880.0"/>
        <n v="13809.23"/>
        <n v="4403.78"/>
        <n v="26505.63"/>
        <n v="11918.61"/>
        <n v="10964.26"/>
        <n v="39150.168"/>
        <n v="244223.028"/>
        <n v="581387.05"/>
        <n v="183125.91"/>
        <n v="15190.46"/>
        <n v="245768.8"/>
        <n v="243616.1"/>
        <n v="202130.67"/>
        <n v="238152.54"/>
        <n v="230870.6815"/>
        <n v="226238.88"/>
        <n v="211131.48"/>
        <n v="28106.11"/>
        <n v="255804.15"/>
        <n v="15307.9715"/>
        <n v="165313.85"/>
        <n v="210369.0"/>
        <n v="6160.31"/>
        <n v="3834.15"/>
        <n v="192122.07"/>
        <n v="134325.76"/>
        <n v="17263.87"/>
        <n v="188768.48"/>
        <s v="42 786,55"/>
        <n v="124900.0"/>
        <n v="25030.0"/>
        <n v="59259.13"/>
        <n v="297436.15"/>
        <n v="22462.79"/>
        <n v="22891.7"/>
        <n v="17523.63"/>
        <n v="21168.6"/>
        <n v="18902.54"/>
        <n v="31020.4"/>
        <n v="40234.08"/>
        <n v="240258.68"/>
        <n v="172860.09"/>
        <n v="52827.0"/>
        <n v="96849.5"/>
        <n v="121513.3"/>
        <n v="148023.62"/>
        <n v="150039.5"/>
        <n v="35211.42"/>
        <n v="204591.78"/>
        <n v="22553.664"/>
        <n v="54778.54"/>
        <n v="90546.4"/>
        <n v="201369.51"/>
        <s v="136 403,98"/>
        <n v="1665374.25"/>
        <n v="204097.99"/>
        <n v="135788.4"/>
        <n v="127937.789"/>
        <n v="122000.0"/>
        <n v="151024.29"/>
        <n v="129362.51"/>
        <n v="98953.48"/>
        <n v="140619.49"/>
        <n v="175874.24"/>
        <n v="257853.5168"/>
        <n v="29546.43"/>
        <n v="15917.18"/>
        <n v="115240.06"/>
        <n v="105114.12"/>
        <n v="1.62441289E8"/>
        <n v="149217.89"/>
        <n v="12629.93"/>
        <n v="150000.01"/>
        <n v="103744.37"/>
        <n v="149221.02"/>
        <n v="41960.32"/>
        <n v="124592.94"/>
        <n v="53941.16"/>
        <n v="218210.56"/>
        <n v="133859.58"/>
        <n v="74133.89"/>
        <n v="28444.35"/>
        <n v="95103.77"/>
        <n v="125959.38"/>
        <n v="39747.03"/>
        <n v="119047.04"/>
        <n v="7920.0"/>
        <n v="71161.3"/>
        <n v="125944.0"/>
        <n v="7761.12"/>
        <n v="90000.0"/>
        <n v="125600.0"/>
        <n v="115078.82"/>
        <n v="156167.3911"/>
        <n v="12815.12"/>
        <n v="101404.46"/>
        <n v="87446.03"/>
        <n v="79364.70168"/>
        <n v="2618.29"/>
        <n v="33200.0"/>
        <n v="49230.96"/>
        <n v="114234.79"/>
        <n v="64500.0"/>
        <n v="227145.18"/>
        <n v="114458.5"/>
        <n v="107414.9"/>
        <n v="75419.38"/>
        <n v="233283.57"/>
        <n v="233912.2"/>
        <n v="109518.12"/>
        <n v="177296.0"/>
        <n v="195435.66"/>
        <n v="111559.023"/>
        <n v="640326.85"/>
        <n v="24825.48"/>
        <n v="39300.0"/>
        <n v="70757.19"/>
        <n v="65688.66"/>
        <n v="102875.44"/>
        <n v="190200.36"/>
        <n v="71525.6"/>
        <n v="99518.65"/>
        <n v="95286.9312"/>
        <n v="19758.72"/>
        <n v="325662.41"/>
        <n v="66240.0"/>
        <n v="63257.17"/>
        <n v="94565.59"/>
        <n v="64066.75273"/>
        <n v="74908.6"/>
        <n v="62494.2"/>
        <n v="61135.0"/>
        <n v="99210.26"/>
        <n v="34675.76"/>
        <n v="34001.47"/>
        <n v="69753.6"/>
        <n v="433459.66"/>
        <n v="85993.36"/>
        <n v="154740.1178"/>
        <n v="59550.0"/>
        <n v="142969.66"/>
        <n v="66152.95"/>
        <n v="265959.3109"/>
        <n v="88644.4"/>
        <n v="57772.15"/>
        <n v="15600.0"/>
        <n v="303726.38"/>
        <n v="57067.16"/>
        <n v="60686.6983"/>
        <n v="36571.21"/>
        <n v="56856.46"/>
        <n v="58900.0"/>
        <s v="92 992,51"/>
        <n v="54550.15"/>
        <n v="73326.25"/>
        <n v="36859.18"/>
        <n v="36763.2"/>
        <n v="33797.06"/>
        <n v="53190.99"/>
        <n v="74037.0"/>
        <n v="53124.4"/>
        <n v="51800.76784"/>
        <n v="50900.65"/>
        <n v="201822.56"/>
        <n v="32644.36"/>
        <n v="65837.74"/>
        <n v="43510.1"/>
        <n v="71208.92"/>
        <n v="59940.63"/>
        <n v="38560.38"/>
        <n v="68216.16"/>
        <n v="72721.8"/>
        <n v="37817.45"/>
        <n v="47199.15"/>
        <n v="64139.1"/>
        <n v="57400.83"/>
        <n v="125661.6"/>
        <n v="60340.40928"/>
        <n v="45000.0"/>
        <n v="44723.81"/>
        <n v="42984.78"/>
        <n v="42950.0"/>
        <n v="46202.96"/>
        <n v="10258.15"/>
        <n v="72189.18"/>
        <n v="53679.03167"/>
        <n v="101364.18"/>
        <n v="54607.0"/>
        <n v="39064.28"/>
        <n v="95774.56"/>
        <n v="45917.0"/>
        <n v="52937.05"/>
        <n v="45368.51"/>
        <n v="162043.25"/>
        <n v="47492.61"/>
        <n v="34691.139"/>
        <n v="49043.15"/>
        <n v="78580.21"/>
        <n v="129825.49"/>
        <n v="177118.55"/>
        <n v="47069.15"/>
        <n v="40984.17"/>
        <n v="32858.71477"/>
        <n v="20083.6"/>
        <n v="28855.0"/>
        <n v="40204.0"/>
        <n v="4.108053E7"/>
        <n v="296813.77"/>
        <n v="67381.68"/>
        <n v="37641.44"/>
        <n v="149677.0"/>
        <n v="45707.2"/>
        <n v="47476.176"/>
        <n v="80803.974"/>
        <n v="40316.67"/>
        <n v="31001.6"/>
        <n v="23113.16"/>
        <n v="241958.13"/>
        <n v="72731.94"/>
        <n v="30204.26"/>
        <n v="40848.0"/>
        <n v="105586.0"/>
        <n v="33078.06"/>
        <n v="30368.8"/>
        <n v="98285.19"/>
        <n v="35554.96"/>
        <n v="35496.56"/>
        <n v="109011.62"/>
        <n v="2255.28"/>
        <n v="25083.39"/>
        <n v="17302.49"/>
        <n v="96320.55"/>
        <n v="50248.62"/>
        <n v="11145.17"/>
        <n v="24056.89"/>
        <n v="20615.98"/>
        <n v="6603.55"/>
        <n v="34967.68"/>
        <n v="20409.71"/>
        <n v="20219.13"/>
        <n v="43050.33"/>
        <s v="22 629,47"/>
        <s v="18 879,56"/>
        <n v="24518.28"/>
        <s v="82 009,65"/>
        <n v="17896.56"/>
        <n v="57627.46"/>
        <n v="77872.16539"/>
        <n v="65955.88"/>
        <n v="24800.0"/>
        <n v="27883.94"/>
        <n v="75775.84"/>
        <n v="29942.09"/>
        <n v="226576.44"/>
        <n v="56051.65"/>
        <n v="10056.4"/>
        <n v="22318.94"/>
        <n v="5281.3"/>
        <n v="10688.56"/>
        <n v="31357.65"/>
        <n v="24508.8"/>
        <n v="34607.44"/>
        <n v="16504.70756"/>
        <n v="24781.12"/>
        <n v="22028.299"/>
        <n v="30815.59"/>
        <n v="28948.63"/>
        <n v="21313.6"/>
        <n v="63800.71"/>
        <n v="29031.07"/>
        <n v="68028.45"/>
        <n v="20000.0"/>
        <s v="40 235,28"/>
        <n v="20832.4"/>
        <n v="20827.94"/>
        <n v="20964.47"/>
        <n v="175190.2"/>
        <n v="20000.79"/>
        <n v="68080.0"/>
        <s v="12 254,40"/>
        <n v="28729.76"/>
        <n v="25831.28"/>
        <n v="446059.17"/>
        <s v="110 861,47"/>
        <s v="115 760,95"/>
        <n v="4406.31"/>
        <n v="425708.37"/>
        <n v="211834.26"/>
        <n v="241174.8"/>
        <n v="20645.45"/>
        <n v="5951.04"/>
        <n v="25715.18"/>
        <n v="32322.88"/>
        <n v="41523.31"/>
        <n v="81596.03"/>
        <n v="12354.66"/>
        <n v="1845.77"/>
        <n v="560063.23"/>
        <n v="24207.89"/>
        <n v="25870.4"/>
        <n v="6113.34"/>
        <n v="24372.64"/>
        <n v="1642.58"/>
        <n v="24286.18"/>
        <n v="38920.22"/>
        <n v="6132.5"/>
        <n v="75993.67"/>
        <n v="19035.68"/>
        <n v="16970.0"/>
        <n v="19555.0"/>
        <n v="9728.4"/>
        <n v="16394.09"/>
        <n v="23927.6"/>
        <n v="5750.61"/>
        <n v="4114.47"/>
        <n v="112996.87"/>
        <n v="21520.561"/>
        <n v="116889.53"/>
        <n v="22477.5"/>
        <n v="32773.25"/>
        <n v="22484.99"/>
        <n v="55060.63"/>
        <n v="79660.54"/>
        <n v="39044.94"/>
        <n v="39028.04"/>
        <n v="13851.0"/>
        <n v="19841.02"/>
        <n v="19240.0"/>
        <n v="80471.18"/>
        <n v="60776.32"/>
        <n v="48072.57"/>
        <n v="65427.51"/>
        <n v="76539.2"/>
        <n v="25851.84"/>
        <n v="30636.0"/>
        <n v="40972.93"/>
        <n v="14977.6"/>
        <n v="159256.78"/>
        <n v="31989.55"/>
        <n v="58618.31"/>
        <n v="11343.92"/>
        <n v="30442.99"/>
        <n v="12640.0"/>
        <n v="12480.53"/>
        <n v="17438.4"/>
        <n v="16917.88"/>
        <n v="22004.06"/>
        <n v="23672.54"/>
        <n v="25495.96"/>
        <n v="99480.24"/>
        <n v="20014.96"/>
        <n v="12390.55"/>
        <n v="81052.16"/>
        <n v="11630.1"/>
        <n v="85176.81"/>
        <n v="35939.71"/>
        <n v="10994.92"/>
        <n v="93216.0"/>
        <n v="2065767.78"/>
        <n v="78133.6"/>
        <n v="71468.89"/>
        <n v="13881.78"/>
        <n v="14386.68"/>
        <n v="51858.5"/>
        <n v="11319.26"/>
        <n v="22610.0"/>
        <n v="26540.96"/>
        <n v="10379.17"/>
        <n v="99869.02"/>
        <n v="13609.19"/>
        <n v="20628.24"/>
        <n v="25392.87"/>
        <n v="29512.61"/>
        <n v="7067.13"/>
        <n v="7228.23"/>
        <n v="12178.31"/>
        <n v="44646.11"/>
        <n v="15391.65"/>
        <n v="12491.26"/>
        <n v="12954.06"/>
        <n v="9203.49"/>
        <n v="12393.0"/>
        <n v="218003.85"/>
        <n v="89092.68"/>
        <n v="17496.56"/>
        <n v="17768.88"/>
        <n v="11856.04"/>
        <n v="10709.76"/>
        <n v="9889.99155"/>
        <n v="9812.37"/>
        <n v="100791.43"/>
        <n v="10960.88"/>
        <n v="7011.24"/>
        <n v="1701.31"/>
        <n v="1391.0"/>
        <n v="838.5"/>
        <n v="1846.0"/>
        <n v="1651.0"/>
        <n v="1139.5"/>
        <n v="3740.0"/>
        <n v="13205.43"/>
        <n v="1283.2"/>
        <n v="90992.55"/>
        <n v="107321.77"/>
        <n v="16503.4"/>
        <n v="30006.5"/>
        <n v="96133.83"/>
        <n v="94204.58"/>
        <n v="21240.96"/>
        <n v="93799.65"/>
        <n v="69153.96"/>
        <n v="6466.51"/>
        <n v="8806.15"/>
        <n v="103325.16"/>
        <n v="63344.12"/>
        <n v="100201.73"/>
        <n v="32746.48"/>
        <n v="8234.8"/>
        <n v="39158.84"/>
        <n v="8097.4"/>
        <n v="5786.8"/>
        <n v="60067.36"/>
        <n v="130082.7"/>
        <n v="7193.34"/>
        <n v="7009.52"/>
        <n v="206621.1"/>
        <n v="6124.1"/>
        <n v="4635.24"/>
        <n v="38390.51"/>
        <n v="16677.53"/>
        <n v="5275.12"/>
        <n v="2702.79"/>
        <n v="4046.51"/>
        <n v="3513.98"/>
        <n v="4632.94"/>
        <n v="189190.43"/>
        <n v="59012.92"/>
        <n v="14960.72"/>
        <n v="10264.88"/>
        <n v="18075.38"/>
        <n v="8169.6"/>
        <n v="216000.01"/>
        <n v="29722.73"/>
        <n v="35741.0"/>
        <n v="24269.7"/>
        <n v="63914.72"/>
        <n v="20181.0"/>
        <n v="91160.62"/>
        <n v="79842.23"/>
        <n v="28107.24"/>
        <n v="36962.74"/>
        <n v="39216.06"/>
        <n v="3729.4"/>
        <n v="28221.2"/>
        <n v="21122.0"/>
        <n v="164276.09"/>
        <n v="57527.6"/>
        <n v="115472.0"/>
        <n v="37141.8"/>
        <n v="113055.0"/>
        <n v="95192.75"/>
        <n v="28862.11"/>
        <n v="4202.91"/>
        <n v="248576.9"/>
        <n v="2589.28"/>
        <n v="1429.68"/>
        <n v="95317.52"/>
        <n v="241027.03"/>
        <n v="286938.65"/>
        <n v="32907.74"/>
        <n v="52482.18"/>
      </sharedItems>
    </cacheField>
    <cacheField name="Выплачено2" numFmtId="0">
      <sharedItems containsString="0" containsBlank="1" containsNumber="1">
        <n v="19.0"/>
        <m/>
        <n v="155188.6962"/>
        <n v="71084.755"/>
        <n v="511668.4456"/>
        <n v="83642.75"/>
        <n v="140232.625"/>
        <n v="41284.11708"/>
        <n v="31486.58191"/>
        <n v="40711.38715"/>
        <n v="28397.84161"/>
        <n v="36526.32717"/>
        <n v="0.0"/>
        <n v="27783.93523"/>
        <n v="82267.875"/>
        <n v="121662.7413"/>
        <n v="18601.00354"/>
        <n v="57025.5"/>
        <n v="4044.06275"/>
        <n v="11735.4375"/>
        <n v="3864.69917"/>
        <n v="26268.5507"/>
        <n v="11205.22446"/>
        <n v="8851.37979"/>
        <n v="31042.19841"/>
        <n v="224697.719"/>
        <n v="401155.7155"/>
        <n v="166235.8954"/>
        <n v="239.484"/>
        <n v="73730.64"/>
        <n v="73084.82921"/>
        <n v="117512.5689"/>
        <n v="71445.762"/>
        <n v="67871.66661"/>
        <n v="63339.444"/>
        <n v="22427.72923"/>
        <n v="113653.7851"/>
        <n v="4175.0"/>
        <n v="59849.70667"/>
        <n v="59983.01198"/>
        <n v="55945.94678"/>
        <n v="5179.16"/>
        <n v="56630.544"/>
        <n v="16839.66"/>
        <n v="12490.0"/>
        <n v="7509.0"/>
        <n v="5319.0"/>
        <n v="184209.3385"/>
        <n v="22462.78958"/>
        <n v="20609.05941"/>
        <n v="15120.96682"/>
        <n v="16515.64541"/>
        <n v="16355.05098"/>
        <n v="29466.23859"/>
        <n v="37488.66654"/>
        <n v="85316.9"/>
        <n v="47841.59818"/>
        <n v="47506.51281"/>
        <n v="57873.59588"/>
        <n v="12151.329"/>
        <n v="42224.86602"/>
        <n v="45011.84852"/>
        <n v="27910.922"/>
        <n v="103991.7587"/>
        <n v="26108.0992"/>
        <n v="49141.81042"/>
        <n v="31691.24"/>
        <n v="156725.2569"/>
        <n v="40921.19"/>
        <n v="1561783.315"/>
        <n v="109890.8206"/>
        <n v="44013.98308"/>
        <n v="36462.26989"/>
        <n v="75397.38398"/>
        <n v="45307.2888"/>
        <n v="38133.9"/>
        <n v="37801.22722"/>
        <n v="107561.9709"/>
        <n v="87937.0"/>
        <n v="128926.76"/>
        <n v="28258.91256"/>
        <n v="4153.5"/>
        <n v="34399.15791"/>
        <n v="26278.53"/>
        <n v="1.37865246E8"/>
        <n v="74608.94478"/>
        <n v="3788.979"/>
        <n v="72442.33592"/>
        <n v="59950.0"/>
        <n v="11964.996"/>
        <n v="124329.7162"/>
        <n v="18848.15947"/>
        <n v="150565.2898"/>
        <n v="66929.79"/>
        <n v="21128.157"/>
        <n v="27723.56895"/>
        <n v="88945.64561"/>
        <n v="115063.8246"/>
        <n v="18244.53085"/>
        <n v="54752.38705"/>
        <n v="4425.49561"/>
        <n v="68710.21899"/>
        <n v="54752.38745"/>
        <n v="61719.46131"/>
        <n v="2328.33476"/>
        <n v="27000.0"/>
        <n v="62800.0"/>
        <n v="52927.31462"/>
        <n v="156167.3911"/>
        <n v="11636.72603"/>
        <n v="30421.33869"/>
        <n v="26233.80816"/>
        <n v="21900.95958"/>
        <n v="57217.26599"/>
        <n v="24330.03122"/>
        <n v="20219.46576"/>
        <n v="57117.395"/>
        <n v="33578.60029"/>
        <n v="117569.2097"/>
        <n v="163181.8525"/>
        <n v="53657.45"/>
        <n v="39719.07122"/>
        <n v="88044.01217"/>
        <n v="214183.1705"/>
        <n v="109513.6777"/>
        <n v="94251.48856"/>
        <n v="195435.6545"/>
        <n v="106478.7956"/>
        <n v="452023.6057"/>
        <n v="7447.641"/>
        <n v="11200.50089"/>
        <n v="24765.01585"/>
        <n v="20818.88094"/>
        <n v="51437.72"/>
        <n v="139007.0742"/>
        <n v="21457.68141"/>
        <n v="49759.325"/>
        <n v="47643.4656"/>
        <n v="9684.76606"/>
        <n v="279156.2548"/>
        <n v="39052.04666"/>
        <n v="18335.6238"/>
        <n v="92301.79089"/>
        <n v="37454.3"/>
        <n v="18748.26"/>
        <n v="17420.40895"/>
        <n v="29763.07824"/>
        <n v="22088.84271"/>
        <n v="34001.47483"/>
        <n v="47381.80963"/>
        <n v="433459.656"/>
        <n v="42996.68"/>
        <n v="82435.32444"/>
        <n v="17865.0"/>
        <n v="152437.4854"/>
        <n v="22526.26017"/>
        <n v="41525.18973"/>
        <n v="84047.80399"/>
        <n v="16970.69925"/>
        <n v="15433.47854"/>
        <n v="151863.0"/>
        <n v="17120.1492"/>
        <n v="47635.43801"/>
        <n v="28825.56983"/>
        <n v="17056.9389"/>
        <n v="20059.98027"/>
        <n v="3078.8"/>
        <n v="16365.045"/>
        <n v="35736.66844"/>
        <n v="29811.54448"/>
        <n v="28587.61579"/>
        <n v="29900.97149"/>
        <n v="37018.655"/>
        <n v="15777.9468"/>
        <n v="15270.1956"/>
        <n v="189802.3097"/>
        <n v="184166.9353"/>
        <n v="65837.73642"/>
        <n v="32354.49104"/>
        <n v="70166.45386"/>
        <n v="59940.63"/>
        <n v="38236.27751"/>
        <n v="34108.08"/>
        <n v="38907.00237"/>
        <n v="4140.27"/>
        <n v="14159.75"/>
        <n v="32064.545"/>
        <n v="25585.45571"/>
        <n v="78704.36028"/>
        <n v="28661.69441"/>
        <n v="13500.0"/>
        <n v="13417.143"/>
        <n v="12098.3004"/>
        <n v="12240.75"/>
        <n v="5978.07445"/>
        <n v="44357.90589"/>
        <n v="24355.21638"/>
        <n v="68706.94511"/>
        <n v="26351.855"/>
        <n v="11133.32"/>
        <n v="55552.34064"/>
        <n v="19031.79214"/>
        <n v="26468.52581"/>
        <n v="20079.06418"/>
        <n v="137043.1177"/>
        <n v="22560.385"/>
        <n v="9887.79654"/>
        <n v="24472.53185"/>
        <n v="54865.63098"/>
        <n v="85525.94804"/>
        <n v="26481.33545"/>
        <n v="23534.5752"/>
        <n v="24224.7675"/>
        <n v="9459.76111"/>
        <n v="10041.8"/>
        <n v="27055.0"/>
        <n v="14274.83628"/>
        <n v="4.0289583E7"/>
        <n v="274627.7518"/>
        <n v="45446.19192"/>
        <n v="36813.58413"/>
        <n v="105842.6047"/>
        <n v="22853.6"/>
        <n v="60487.57639"/>
        <n v="20158.335"/>
        <n v="10850.56"/>
        <n v="6933.948"/>
        <n v="120979.0649"/>
        <n v="70789.70163"/>
        <n v="80079.98587"/>
        <n v="22432.68"/>
        <n v="104380.8412"/>
        <n v="32475.3284"/>
        <n v="12206.88"/>
        <n v="81552.22962"/>
        <n v="17777.48"/>
        <n v="17748.28"/>
        <n v="91352.80186"/>
        <n v="1950.43528"/>
        <n v="8516.75117"/>
        <n v="15745.85595"/>
        <n v="80740.77893"/>
        <n v="15074.58546"/>
        <n v="8814.0144"/>
        <n v="20799.53762"/>
        <n v="6184.79568"/>
        <n v="6603.92959"/>
        <n v="17483.84"/>
        <n v="6092.29844"/>
        <n v="19463.58084"/>
        <n v="23549.35533"/>
        <n v="39071.04322"/>
        <n v="15475.22258"/>
        <n v="24953.00863"/>
        <n v="39986.84324"/>
        <n v="12347.32849"/>
        <n v="52998.95111"/>
        <n v="14025.84024"/>
        <n v="64241.6"/>
        <n v="7440.0"/>
        <n v="24117.42576"/>
        <n v="75115.85533"/>
        <n v="49250.45294"/>
        <n v="220853.6793"/>
        <n v="54405.25609"/>
        <n v="8974.67727"/>
        <n v="17182.01936"/>
        <n v="6081.44008"/>
        <n v="3047.85934"/>
        <n v="14173.95168"/>
        <n v="7279.1136"/>
        <n v="17303.71828"/>
        <n v="8673.39"/>
        <n v="6278.06"/>
        <n v="15102.70016"/>
        <n v="13759.28384"/>
        <n v="6394.08"/>
        <n v="49003.79068"/>
        <n v="14228.2095"/>
        <n v="53380.43487"/>
        <n v="5400.0"/>
        <n v="589.135"/>
        <n v="6249.72"/>
        <n v="6248.382"/>
        <n v="6915.45676"/>
        <n v="178158.7952"/>
        <n v="6000.237"/>
        <n v="48063.19966"/>
        <n v="179.43201"/>
        <n v="12269.85734"/>
        <n v="381442.4461"/>
        <n v="33258.44"/>
        <n v="34728.285"/>
        <n v="4317.61113"/>
        <n v="403502.374"/>
        <n v="172723.9081"/>
        <n v="241174.8041"/>
        <n v="7128.6159"/>
        <n v="5279.34427"/>
        <n v="12603.08032"/>
        <n v="19521.6346"/>
        <n v="28440.84157"/>
        <n v="21036.89436"/>
        <n v="15000.90456"/>
        <n v="1470.06925"/>
        <n v="431750.2978"/>
        <n v="11173.98509"/>
        <n v="12935.2"/>
        <n v="5310.28159"/>
        <n v="7311.792"/>
        <n v="1236.01494"/>
        <n v="4063.31082"/>
        <n v="21173.37922"/>
        <n v="2876.10964"/>
        <n v="64102.32828"/>
        <n v="7145.78589"/>
        <n v="5091.0"/>
        <n v="19193.2"/>
        <n v="9476.1"/>
        <n v="14295.45921"/>
        <n v="17655.5514"/>
        <n v="5505.18773"/>
        <n v="4085.58824"/>
        <n v="101430.3224"/>
        <n v="10228.72264"/>
        <n v="86177.1613"/>
        <n v="11238.75"/>
        <n v="22166.05482"/>
        <n v="15120.69323"/>
        <n v="31791.14289"/>
        <n v="69292.42482"/>
        <n v="28993.5499"/>
        <n v="3906.5623"/>
        <n v="9920.512"/>
        <n v="19240.0"/>
        <n v="63471.81644"/>
        <n v="51161.10141"/>
        <n v="14421.771"/>
        <n v="38307.77661"/>
        <n v="60632.03321"/>
        <n v="25270.02464"/>
        <n v="29645.09795"/>
        <n v="25749.39144"/>
        <n v="4493.28"/>
        <n v="151020.7958"/>
        <n v="31377.79691"/>
        <n v="49859.63579"/>
        <n v="25865.63585"/>
        <n v="30442.98657"/>
        <n v="3601.76608"/>
        <n v="8719.2"/>
        <n v="8291.50021"/>
        <n v="19834.10019"/>
        <n v="18908.94463"/>
        <n v="12747.98"/>
        <n v="99480.24082"/>
        <n v="11481.77611"/>
        <n v="5629.58832"/>
        <n v="72448.93431"/>
        <n v="3316.82931"/>
        <n v="64022.76607"/>
        <n v="8211.0"/>
        <n v="3133.55"/>
        <n v="46608.0"/>
        <n v="2065767.793"/>
        <n v="73154.48555"/>
        <n v="59108.49122"/>
        <n v="7438.18375"/>
        <n v="6761.7396"/>
        <n v="5242.16"/>
        <n v="62966.07428"/>
        <n v="6101920.87"/>
        <n v="18215.90698"/>
        <n v="26308.10785"/>
        <n v="3113.751"/>
        <n v="95185.99254"/>
        <n v="6396.32024"/>
        <n v="17677.96582"/>
        <n v="24431.36368"/>
        <n v="42814.99493"/>
        <n v="7067.13453"/>
        <n v="7119.06845"/>
        <n v="5562.00197"/>
        <n v="45279.58476"/>
        <n v="14792.10041"/>
        <n v="5870.89267"/>
        <n v="6477.03"/>
        <n v="6153.94659"/>
        <n v="169375.2171"/>
        <n v="66768.7154"/>
        <n v="12490.749"/>
        <n v="5330.664"/>
        <n v="5631.96921"/>
        <n v="5087.13512"/>
        <n v="4648.29602"/>
        <n v="4661.1642"/>
        <n v="95736.73184"/>
        <n v="5096.8092"/>
        <n v="1998.2"/>
        <n v="1173.11644"/>
        <n v="1144.72498"/>
        <n v="699.80334"/>
        <n v="1662.95806"/>
        <n v="1538.98616"/>
        <n v="990.47746"/>
        <n v="2150.28189"/>
        <n v="12242.97714"/>
        <n v="1238.80957"/>
        <n v="70216.535"/>
        <n v="102834.0708"/>
        <n v="10626.02692"/>
        <n v="25177.85411"/>
        <n v="76495.47339"/>
        <n v="89218.51474"/>
        <n v="10620.48"/>
        <n v="74426.22384"/>
        <n v="64417.23858"/>
        <n v="5971.52997"/>
        <n v="4138.88956"/>
        <n v="101870.6763"/>
        <n v="65336.75928"/>
        <n v="153830.198"/>
        <n v="16373.24"/>
        <n v="4117.4"/>
        <n v="34850.29187"/>
        <n v="3805.778"/>
        <n v="1736.04"/>
        <n v="17906.39856"/>
        <n v="126268.0573"/>
        <n v="3380.8698"/>
        <n v="3294.4729"/>
        <n v="206664.3432"/>
        <n v="2878.327"/>
        <n v="1390.572"/>
        <n v="35442.341"/>
        <n v="13637.41812"/>
        <n v="2479.30452"/>
        <n v="824.26298"/>
        <n v="1384.12892"/>
        <n v="1436.35169"/>
        <n v="1389.8792"/>
        <n v="57198.70246"/>
        <n v="44685.03081"/>
        <n v="13505.01693"/>
        <n v="8800.99461"/>
        <n v="15584.66867"/>
        <n v="4649.20759"/>
        <n v="63914.71806"/>
        <n v="19550.20168"/>
        <n v="78326.41379"/>
        <n v="69601.12907"/>
        <n v="31494.13286"/>
        <n v="25615.98365"/>
        <n v="49978.55704"/>
        <n v="1118.82"/>
        <n v="22694.31596"/>
        <n v="22896.67556"/>
        <n v="107186.1812"/>
        <n v="24785.0025"/>
        <n v="11533.39572"/>
        <n v="42591.36335"/>
        <n v="32493.88308"/>
        <n v="112043.348"/>
        <n v="90188.18946"/>
        <n v="27040.33528"/>
        <n v="3962.39031"/>
        <n v="253257.6853"/>
        <n v="727.68257"/>
        <n v="428.904"/>
        <n v="63597.70517"/>
        <n v="220769.3566"/>
        <n v="234532.1193"/>
        <n v="29302.11874"/>
        <n v="52485.18166"/>
      </sharedItems>
    </cacheField>
    <cacheField name="Остаток3" numFmtId="164">
      <sharedItems containsString="0" containsBlank="1" containsNumber="1">
        <n v="20.0"/>
        <m/>
        <n v="365928.4839"/>
        <n v="71084.745"/>
        <n v="229880.0244"/>
        <n v="83642.75"/>
        <n v="140232.625"/>
        <n v="11554.82292"/>
        <n v="9280.57809"/>
        <n v="8110.35285"/>
        <n v="2789.74839"/>
        <n v="109836.1252"/>
        <n v="297701.13"/>
        <n v="65294.57477"/>
        <n v="191958.375"/>
        <n v="22889.83875"/>
        <n v="9809.44646"/>
        <n v="133084.5"/>
        <n v="-164.06275"/>
        <n v="2073.7925"/>
        <n v="539.08083"/>
        <n v="237.0793"/>
        <n v="713.38554"/>
        <n v="2112.88021"/>
        <n v="8107.96959"/>
        <n v="19525.30899999998"/>
        <n v="180231.3345"/>
        <n v="16890.01457"/>
        <n v="14950.976"/>
        <n v="172038.16"/>
        <n v="170531.2708"/>
        <n v="84618.1011"/>
        <n v="166706.778"/>
        <n v="230870.6815"/>
        <n v="158367.2134"/>
        <n v="147792.036"/>
        <n v="5678.38077"/>
        <n v="142150.3649"/>
        <n v="11132.9715"/>
        <n v="105464.1433"/>
        <n v="150385.988"/>
        <n v="6160.31"/>
        <n v="3834.15"/>
        <n v="136176.1232"/>
        <n v="134325.76"/>
        <n v="12084.71"/>
        <n v="132137.936"/>
        <n v="25946.89"/>
        <n v="112410.0"/>
        <n v="17521.0"/>
        <n v="53940.13"/>
        <n v="113226.8115"/>
        <n v="4.2E-4"/>
        <n v="2282.64059"/>
        <n v="2402.66318"/>
        <n v="4652.95459"/>
        <n v="2547.48902"/>
        <n v="1554.16141"/>
        <n v="2745.41346"/>
        <n v="154941.78"/>
        <n v="125018.4918"/>
        <n v="5320.48719"/>
        <n v="38975.90412"/>
        <n v="109361.971"/>
        <n v="105798.754"/>
        <n v="105027.6515"/>
        <n v="7300.498"/>
        <n v="100600.0214"/>
        <n v="-3554.4352"/>
        <n v="5636.72958"/>
        <n v="58855.16"/>
        <n v="44644.25306"/>
        <n v="95482.79"/>
        <n v="103590.935"/>
        <n v="94207.16937"/>
        <n v="91774.41692"/>
        <n v="91475.51911"/>
        <n v="46602.61602"/>
        <n v="105717.0012"/>
        <n v="91228.61"/>
        <n v="61152.25278"/>
        <n v="33057.51913"/>
        <n v="87937.24"/>
        <n v="128926.7568"/>
        <n v="1287.51744"/>
        <n v="11763.68"/>
        <n v="80840.90209"/>
        <n v="78835.59"/>
        <n v="2.4576043E7"/>
        <n v="74608.94522"/>
        <n v="8840.951"/>
        <n v="150000.01"/>
        <n v="31302.03408"/>
        <n v="89271.02"/>
        <n v="29995.324"/>
        <n v="263.22385"/>
        <n v="35093.00053"/>
        <n v="67645.27016"/>
        <n v="66929.79"/>
        <n v="53005.733"/>
        <n v="720.78105"/>
        <n v="6158.12439"/>
        <n v="10895.55537"/>
        <n v="21502.49915"/>
        <n v="64294.65295"/>
        <n v="3494.50439"/>
        <n v="2451.08101"/>
        <n v="64294.65255"/>
        <n v="64224.53869"/>
        <n v="5432.78524"/>
        <n v="63000.0"/>
        <n v="62800.0"/>
        <n v="62151.50538"/>
        <n v="0.0"/>
        <n v="1178.39397"/>
        <n v="70983.12131"/>
        <n v="61212.22184"/>
        <n v="57463.7421"/>
        <n v="58022.79401"/>
        <n v="2618.29"/>
        <n v="8869.96878"/>
        <n v="29011.49424"/>
        <n v="57117.395"/>
        <n v="30921.39971"/>
        <n v="109575.9703"/>
        <n v="-48723.35252"/>
        <n v="53757.45"/>
        <n v="35700.30878"/>
        <n v="145239.5578"/>
        <n v="19729.02954"/>
        <n v="4.44228"/>
        <n v="83044.51144"/>
        <n v="0.00546"/>
        <n v="5080.22744"/>
        <n v="188303.2444"/>
        <n v="17377.839"/>
        <n v="28099.49911"/>
        <n v="45992.17415"/>
        <n v="44869.77906"/>
        <n v="51437.72"/>
        <n v="51193.28585"/>
        <n v="50067.91859"/>
        <n v="49759.325"/>
        <n v="47643.4656"/>
        <n v="10073.95394"/>
        <n v="46506.15522"/>
        <n v="27187.95334"/>
        <n v="44921.5462"/>
        <n v="2263.79911"/>
        <n v="64066.75273"/>
        <n v="37454.3"/>
        <n v="43745.94"/>
        <n v="43714.59105"/>
        <n v="69447.18176"/>
        <n v="12586.91729"/>
        <n v="-0.00483"/>
        <n v="22371.79037"/>
        <n v="0.004"/>
        <n v="42996.68"/>
        <n v="72304.79336"/>
        <n v="41685.0"/>
        <n v="-9467.82544"/>
        <n v="43626.68983"/>
        <n v="224434.1212"/>
        <n v="4596.59601"/>
        <n v="40801.45075"/>
        <n v="166.52146"/>
        <n v="151863.38"/>
        <n v="39947.0108"/>
        <n v="13051.26029"/>
        <n v="7745.64017"/>
        <n v="39799.5211"/>
        <n v="38840.01973"/>
        <n v="89913.71"/>
        <n v="38185.105"/>
        <n v="37589.58156"/>
        <n v="7047.63552"/>
        <n v="8175.58421"/>
        <n v="3896.08851"/>
        <n v="53190.99"/>
        <n v="37018.345"/>
        <n v="37346.4532"/>
        <n v="51800.76784"/>
        <n v="35630.4544"/>
        <n v="12020.25031"/>
        <n v="32644.36"/>
        <n v="-69708.43527"/>
        <n v="0.00358"/>
        <n v="11155.60896"/>
        <n v="1042.46614"/>
        <n v="324.10249"/>
        <n v="34108.08"/>
        <n v="33814.79763"/>
        <n v="33677.18"/>
        <n v="33039.4"/>
        <n v="32074.555"/>
        <n v="31815.37429"/>
        <n v="46957.23972"/>
        <n v="31678.71487"/>
        <n v="31500.0"/>
        <n v="31306.667"/>
        <n v="30886.4796"/>
        <n v="30709.25"/>
        <n v="46202.96"/>
        <n v="4280.07555"/>
        <n v="27831.27411"/>
        <n v="29323.81529"/>
        <n v="32657.23489"/>
        <n v="28255.145"/>
        <n v="27930.96"/>
        <n v="40222.21936"/>
        <n v="26885.20786"/>
        <n v="26468.52419"/>
        <n v="25289.44582"/>
        <n v="25000.13233"/>
        <n v="24932.225"/>
        <n v="24803.34246"/>
        <n v="24570.61815"/>
        <n v="23714.57902"/>
        <n v="44299.54196"/>
        <n v="150637.2146"/>
        <n v="23534.5748"/>
        <n v="16759.4025"/>
        <n v="23398.95366"/>
        <n v="10041.8"/>
        <n v="1800.0"/>
        <n v="25929.16372"/>
        <n v="790947.0"/>
        <n v="22186.01819"/>
        <n v="21935.48808"/>
        <n v="827.85587"/>
        <n v="43834.39529"/>
        <n v="22853.6"/>
        <n v="47476.176"/>
        <n v="20316.39761"/>
        <n v="20158.335"/>
        <n v="20151.04"/>
        <n v="16179.212"/>
        <n v="120979.0651"/>
        <n v="1942.23837"/>
        <n v="-49875.72587"/>
        <n v="18415.32"/>
        <n v="1205.15882"/>
        <n v="602.7316"/>
        <n v="18161.92"/>
        <n v="16732.96038"/>
        <n v="17777.48"/>
        <n v="17748.28"/>
        <n v="17658.81814"/>
        <n v="304.84472"/>
        <n v="16566.63883"/>
        <n v="1556.63405"/>
        <n v="15579.77107"/>
        <n v="35174.03454"/>
        <n v="2331.1556"/>
        <n v="3257.35238"/>
        <n v="14431.18432"/>
        <n v="-0.37959"/>
        <n v="17483.84"/>
        <n v="14317.41156"/>
        <n v="755.54916"/>
        <n v="19500.97467"/>
        <n v="-16441.57322"/>
        <n v="3404.33742"/>
        <n v="-434.72863"/>
        <n v="42022.80676"/>
        <n v="5549.23151"/>
        <n v="4628.50889"/>
        <n v="63846.32515"/>
        <n v="1714.280000000006"/>
        <n v="17360.0"/>
        <n v="3766.51424"/>
        <n v="659.98467"/>
        <n v="-19308.36294"/>
        <n v="5722.7607"/>
        <n v="1646.39391"/>
        <n v="1081.72273"/>
        <n v="5136.92064"/>
        <n v="-800.14008"/>
        <n v="7640.70066"/>
        <n v="17183.69832"/>
        <n v="17229.6864"/>
        <n v="17303.72172"/>
        <n v="16504.70756"/>
        <n v="16107.73"/>
        <n v="15750.239"/>
        <n v="15712.88984"/>
        <n v="15189.34616"/>
        <n v="14919.52"/>
        <n v="14796.91932"/>
        <n v="14802.8605"/>
        <n v="14648.01513"/>
        <n v="14600.0"/>
        <n v="39646.145"/>
        <n v="14582.68"/>
        <n v="14579.558"/>
        <n v="14049.01324"/>
        <n v="-2968.59517"/>
        <n v="14000.553"/>
        <n v="20016.80034"/>
        <n v="12074.96799"/>
        <n v="28729.76"/>
        <n v="13561.42266"/>
        <n v="64616.72394"/>
        <n v="77603.03"/>
        <n v="81032.665"/>
        <n v="88.69887"/>
        <n v="22205.99602"/>
        <n v="39110.35189"/>
        <n v="-0.00412"/>
        <n v="13516.8341"/>
        <n v="671.69573"/>
        <n v="13112.09968"/>
        <n v="12801.2454"/>
        <n v="13082.46843"/>
        <n v="60559.13564"/>
        <n v="-2646.24456"/>
        <n v="375.70075"/>
        <n v="128312.9322"/>
        <n v="13033.90491"/>
        <n v="12935.2"/>
        <n v="803.05841"/>
        <n v="17060.848"/>
        <n v="406.56506"/>
        <n v="20222.86918"/>
        <n v="17746.84078"/>
        <n v="3256.39036"/>
        <n v="11891.34172"/>
        <n v="11889.89411"/>
        <n v="11879.0"/>
        <n v="361.7999999999993"/>
        <n v="252.29999999999927"/>
        <n v="2098.63079"/>
        <n v="6272.0486"/>
        <n v="245.42227"/>
        <n v="28.88176"/>
        <n v="11566.54756"/>
        <n v="11291.83836"/>
        <n v="30712.3687"/>
        <n v="11238.75"/>
        <n v="10607.19518"/>
        <n v="7364.29677"/>
        <n v="23269.48711"/>
        <n v="10368.11518"/>
        <n v="39044.94"/>
        <n v="10034.4901"/>
        <n v="9944.4377"/>
        <n v="9920.508"/>
        <n v="16999.36356"/>
        <n v="9615.21859"/>
        <n v="33650.799"/>
        <n v="27119.73339"/>
        <n v="15907.16679"/>
        <n v="581.81536"/>
        <n v="990.90205"/>
        <n v="15223.53856"/>
        <n v="10484.32"/>
        <n v="8235.98418"/>
        <n v="611.75309"/>
        <n v="8758.67421"/>
        <n v="-14521.71585"/>
        <n v="0.00343"/>
        <n v="9038.23392"/>
        <n v="12480.53"/>
        <n v="8719.2"/>
        <n v="8626.37979"/>
        <n v="2169.95981"/>
        <n v="4763.59537"/>
        <n v="12747.98"/>
        <n v="-8.2E-4"/>
        <n v="8533.18389"/>
        <n v="6760.96168"/>
        <n v="8603.22569"/>
        <n v="8313.27069"/>
        <n v="21154.04393"/>
        <n v="27728.71"/>
        <n v="7861.37"/>
        <n v="46608.0"/>
        <n v="-0.01348"/>
        <n v="4979.11445"/>
        <n v="12360.39878"/>
        <n v="6443.59625"/>
        <n v="7624.9404"/>
        <n v="9735.44"/>
        <n v="-11107.57428"/>
        <n v="-6090601.61"/>
        <n v="4394.09302"/>
        <n v="232.85215"/>
        <n v="7265.419"/>
        <n v="4683.02746"/>
        <n v="7212.86976"/>
        <n v="2950.27418"/>
        <n v="961.50632"/>
        <n v="-13302.38493"/>
        <n v="-0.00453"/>
        <n v="109.16155"/>
        <n v="6616.30803"/>
        <n v="-633.47476"/>
        <n v="599.54959"/>
        <n v="6620.36733"/>
        <n v="6477.03"/>
        <n v="9203.49"/>
        <n v="6239.05341"/>
        <n v="48628.63291"/>
        <n v="22323.9646"/>
        <n v="5005.811"/>
        <n v="12438.216"/>
        <n v="6224.07079"/>
        <n v="5622.62488"/>
        <n v="5241.69553"/>
        <n v="5151.2058"/>
        <n v="5054.69816"/>
        <n v="5864.0708"/>
        <n v="5013.04"/>
        <n v="528.19356"/>
        <n v="246.27502"/>
        <n v="138.69666"/>
        <n v="183.04194"/>
        <n v="112.01384"/>
        <n v="149.02254"/>
        <n v="1589.71811"/>
        <n v="962.45286"/>
        <n v="44.39043"/>
        <n v="20776.015"/>
        <n v="4487.69916"/>
        <n v="5877.37308"/>
        <n v="4828.64589"/>
        <n v="19638.35661"/>
        <n v="4986.06526"/>
        <n v="10620.48"/>
        <n v="19373.42616"/>
        <n v="4736.72142"/>
        <n v="494.98003"/>
        <n v="4667.26044"/>
        <n v="1454.48371"/>
        <n v="-1992.63928"/>
        <n v="-53628.46799"/>
        <n v="16373.24"/>
        <n v="4117.4"/>
        <n v="4308.54813"/>
        <n v="4291.622"/>
        <n v="4050.76"/>
        <n v="42160.96144"/>
        <n v="3814.64266"/>
        <n v="3812.4702"/>
        <n v="3715.0471"/>
        <n v="-43.24322"/>
        <n v="3245.773"/>
        <n v="3244.668"/>
        <n v="2948.169"/>
        <n v="3040.11188"/>
        <n v="2795.81548"/>
        <n v="1878.52702"/>
        <n v="2662.38108"/>
        <n v="2077.62831"/>
        <n v="3243.0608"/>
        <n v="131991.7275"/>
        <n v="14327.88919"/>
        <n v="1455.70307"/>
        <n v="1463.88539"/>
        <n v="2490.71133"/>
        <n v="3520.39241"/>
        <n v="216000.01"/>
        <n v="29722.73"/>
        <n v="35741.0"/>
        <n v="24269.7"/>
        <n v="0.00194"/>
        <n v="630.79832"/>
        <n v="12834.20621"/>
        <n v="10241.10093"/>
        <n v="-3386.89286"/>
        <n v="11346.75635"/>
        <n v="-10762.49704"/>
        <n v="2610.58"/>
        <n v="5526.88404"/>
        <n v="-1774.67556"/>
        <n v="57089.90878"/>
        <n v="32742.5975"/>
        <n v="19102.60428"/>
        <n v="72880.63665"/>
        <n v="4647.91692"/>
        <n v="1011.65197"/>
        <n v="5004.56054"/>
        <n v="1821.77472"/>
        <n v="240.51969"/>
        <n v="-4680.78534"/>
        <n v="1861.59743"/>
        <n v="1000.776"/>
        <n v="31719.81483"/>
        <n v="20257.67342"/>
        <n v="52406.53069"/>
        <n v="3605.62126"/>
        <n v="-3.00166"/>
      </sharedItems>
    </cacheField>
    <cacheField name="выверено РП ПИК">
      <sharedItems containsBlank="1" containsMixedTypes="1" containsNumber="1">
        <n v="21.0"/>
        <m/>
        <s v="Оплачено, руб. (план): 155 188 696.20 &#10;Оплачено, руб. (факт): 155 188 696.20 &#10;Процент оплаты: 29.77 %"/>
        <s v="Оплачено, руб. (план): 71 084 755.00&#10;Оплачено, руб. (факт): 71 084 755.00&#10;Процент оплаты: 50.00 %"/>
        <s v="Оплачено, руб. (план): 511 668 445.60&#10;Оплачено, руб. (факт): 511 668 445.60&#10;Процент оплаты: 68.99 %"/>
        <s v="Оплачено, руб. (план): 83 642 750.00 &#10;Оплачено, руб. (факт): 83 642 750.00 &#10;Процент оплаты: 50.00 %"/>
        <s v="Оплачено, руб. (план): 70 116 310.00 &#10;Оплачено, руб. (факт): 70 116 310.00 &#10;Процент оплаты: 24.99 %"/>
        <s v="Оплачено, руб. (план): 143 367 489.50 &#10;Оплачено, руб. (факт): 143 367 489.50 &#10;Процент оплаты: 92.94 %"/>
        <s v="Оплачено, руб. (план): 60 000 000.00 &#10;Оплачено, руб. (факт): 30 000 000.00 &#10;Процент оплаты: 12.16 %"/>
        <s v="Оплачено, руб. (план): 27 783 935.23&#10;Оплачено, руб. (факт): 27 783 935.23&#10;Процент оплаты: 29.99 %"/>
        <s v="Оплачено, руб. (план): 82 267 875.00 &#10;Оплачено, руб. (факт): 82 267 875.00 &#10;Процент оплаты: 30.00 %"/>
        <s v="Оплачено, руб. (план): 109 901 514.21 &#10;Оплачено, руб. (факт): 109 901 514.21 &#10;Процент оплаты: 76.04 %"/>
        <s v="Оплачено, руб. (план): 16 592 233.29 &#10;Оплачено, руб. (факт): 16 592 233.29 &#10;Процент оплаты: 58.40 %"/>
        <s v="Оплачено, руб. (план): 57 025 500.00&#10;Оплачено, руб. (факт): 57 025 500.00&#10;Процент оплаты: 30.00 %"/>
        <s v="Оплачено, руб. (план): 2 399 700.00 &#10;Оплачено, руб. (факт): 2 399 700.00 &#10;Процент оплаты: 100.00 %"/>
        <s v="Оплачено, руб. (план): 15 085 437.50 &#10;Оплачено, руб. (факт): 11 735 437.50 &#10;Процент оплаты: 84.98 %"/>
        <s v="Оплачено, руб. (план): 1 838 400.00 &#10;Оплачено, руб. (факт): 1 838 400.00 &#10;Процент оплаты: 100.00 %"/>
        <s v="Оплачено, руб. (план): 26 160 709.77 &#10;Оплачено, руб. (факт): 26 160 709.77 &#10;Процент оплаты: 98.69 %"/>
        <s v="Оплачено, руб. (план): 8 079 644.90 &#10;Оплачено, руб. (факт): 8 079 644.90 &#10;Процент оплаты: 73.69 %"/>
        <s v="Оплачено, руб. (план): 31 042 198.42 &#10;Оплачено, руб. (факт): 31 042 198.42 &#10;Процент оплаты: 78.97 %"/>
        <s v="Оплачено, руб. (план): 235 437 784.61&#10;Оплачено, руб. (факт): 235 437 784.61&#10;Процент оплаты: 96.40 %"/>
        <s v="Оплачено, руб. (план): 401 155 715.50&#10;Оплачено, руб. (факт): 401 155 715.50&#10;Процент оплаты: 68.99 %"/>
        <s v="Оплачено, руб. (план): 166 235 895.43&#10;Оплачено, руб. (факт): 166 235 895.43&#10;Процент оплаты: 90.77 %"/>
        <s v="Оплачено, руб. (план): 12 333 851.97&#10;Оплачено, руб. (факт): 12 333 851.97&#10;Процент оплаты: 81.52 %"/>
        <s v="Оплачено, руб. (план): 73 730 640.00&#10;Оплачено, руб. (факт): 73 730 640.00&#10;Процент оплаты: 30.00 %"/>
        <s v="Оплачено, руб. (факт): 73 084 829.21 &#10;Процент оплаты: 30.00 %"/>
        <s v="Оплачено, руб. (план): 112 134 062.05&#10;Оплачено, руб. (факт): 112 134 062.05&#10;Возврат оплат, руб.: 94 661 390.75&#10;Процент оплаты: 55.47 %"/>
        <s v="Оплачено, руб. (план): 71 445 762.00 &#10;Оплачено, руб. (факт): 71 445 762.00 &#10;Процент оплаты: 30.00 %"/>
        <s v="Оплачено, руб. (план): 69 261 204.46&#10;Оплачено, руб. (факт): 69 261 204.46&#10;Процент оплаты: 29.99 %"/>
        <s v="Оплачено, руб. (план): 67 871 666.61&#10;Оплачено, руб. (факт): 67 871 666.61&#10;Процент оплаты: 30.00 %"/>
        <s v="Оплачено, руб. (план): 63 339 444.00&#10;Оплачено, руб. (факт): 63 339 444.00&#10;Процент оплаты: 30.00 %"/>
        <s v="Оплачено, руб. (план): 24 277 092.73&#10;Оплачено, руб. (факт): 21 472 733.23&#10;Процент оплаты: 76.39 %"/>
        <s v="Оплачено, руб. (факт): 113 653 785.12 &#10;Процент оплаты: 44.42 %"/>
        <s v="Оплачено, руб. (план): 45 011 848.52&#10;Оплачено, руб. (факт): 45 011 848.52&#10;Процент оплаты: 29.99 %"/>
        <s v="Оплачено, руб. (план): 59 849 706.67&#10;Оплачено, руб. (факт): 78 562 709.46&#10;Возврат оплат, руб.: 18 713 002.79&#10;Процент оплаты: 100.00 %"/>
        <s v="Оплачено, руб. (план): 53 383 453.26&#10;Оплачено, руб. (факт): 7 018 012.40&#10;Возврат оплат, руб.: 6 599 558.72&#10;Процент оплаты: 3.33 %"/>
        <s v="Исполнено, руб. (план): 6 160 313.88 &#10;Исполнено, руб. (факт): 0.00&#10;Процент исполнения: 0.00 %"/>
        <s v="Исполнено, руб. (план): 3 834 151.45 &#10;Исполнено, руб. (факт): 0.00&#10;Процент исполнения: 0.00 %"/>
        <s v="Оплачено, руб. (план): 55 945 946.78 &#10;Оплачено, руб. (факт): 55 945 946.78 &#10;Процент оплаты: 29.11 %"/>
        <s v="Оплачено, руб. (план): 12 273 414.60 &#10;Оплачено, руб. (факт): 12 273 414.60 &#10;Процент оплаты: 71.09 %"/>
        <s v="Оплачено, руб. (план): 15 044 635.62 &#10;Оплачено, руб. (факт): 15 044 635.62 &#10;Процент оплаты: 96.37 %"/>
        <s v="Оплачено, руб. (план): 56 630 544.00 &#10;Оплачено, руб. (факт): 56 630 544.00 &#10;Процент оплаты: 30.00 %"/>
        <s v="Контракт №1&#10;Оплачено, руб. (план): 13 586 618.90 &#10;Оплачено, руб. (факт): 13 586 618.90 &#10;Процент оплаты: 45.00 %&#10;&#10;Контрактк №2&#10;Оплачено, руб. (план): 3 253 044.41 &#10;Оплачено, руб. (факт): 3 253 044.41 &#10;Возврат оплат, руб.: 3 253 044.41 &#10;Процент оплаты: 30.0"/>
        <s v="Оплачено, руб. (план): 18 534 168.42&#10;Оплачено, руб. (факт): 18 534 168.42&#10;Процент оплаты: 74.04 %"/>
        <s v="Контракт №1 (поставка БМК)&#10;Оплачено, руб. (план): 41 319 324,73 Оплачено, руб. (факт): 41 319 324,73 Процент оплаты: 100%&#10;Контракт №2 (СМР)&#10;Оплачено, руб. (план): 5 319 000,00 Оплачено, руб. (факт): 5 319 000,00&#10;Возврат оплат, руб: 5 319 000,00&#10;Процент оп"/>
        <s v="Оплачено, руб. (план): 182 302 533.00&#10;Оплачено, руб. (факт): 182 302 533.00&#10;Процент оплаты: 61.29 %"/>
        <s v="Контракт расторгнут 10.12.2025 по факту выполненных работ&#10;Оплачено, руб. (факт): 22 462 790.06 &#10;Процент оплаты: 99.87 %&#10;Оплата выполнена"/>
        <s v="Контракт расторгнут 29.12.2025 по факту выполненных работ&#10;Оплачено, руб. (факт): 19 429 310.61 &#10;Процент оплаты: 84.71 %&#10;Оплата выполнена"/>
        <s v="Контракт расторгнут 20.01.2026 по факту выполненных работ&#10;Оплачено, руб. (факт): 15 120 966.82&#10;Процент оплаты: 86.28 %&#10;Оплата выполнена"/>
        <s v="Контракт на этапе расторжеия на этапе выполненых работ&#10;Оплачено, руб. (факт): 16 515 644.05&#10;Процент оплаты: 78.01 %&#10;Оплата выполнена"/>
        <s v="Контракт расторгнут 29.12.2025 по факту выполненных работ&#10;Оплачено, руб. (факт): 16 355 052.98&#10;Процент оплаты: 86.52 %&#10;Оплата выполнена"/>
        <s v="Контракт расторгнут 29.12.2025 по факту выполненных работ&#10;Оплачено, руб. (факт): 29 466 242.11&#10;Процент оплаты: 94.98 %&#10;Оплата выполнена"/>
        <s v="Контракт расторгнут 29.12.2025 по факту выполненных работ&#10;Оплачено, руб. (факт): 37 488 666.54 &#10;Процент оплаты: 93.17 %&#10;Оплата выполнена"/>
        <s v="Оплачено, руб. (план): 73 870 366.04&#10;Оплачено, руб. (факт): 73 870 366.04&#10;Процент оплаты: 30.74 %"/>
        <s v="Оплачено, руб. (план): 47 841 598.18&#10;Оплачено, руб. (факт): 47 841 598.18&#10;Процент оплаты: 30.00 %"/>
        <s v="Оплачено, руб. (факт): 47 271 234.81&#10;Процент оплаты: 95.90 %"/>
        <s v="Контракт расторгнут по факту выполненных работ&#10;Оплачено, руб. (факт): 56 879 672.26&#10;Возврат оплат, руб.: 993 919.68&#10;Процент оплаты: 92.62 %"/>
        <s v="Оплачено, руб. (план): 12 151 329.00&#10;Оплачено, руб. (факт): 12 151 329.00&#10;Процент оплаты: 10.00 %"/>
        <s v="Оплачено, руб. (план): 42 224 866.02 &#10;Оплачено, руб. (факт): 42 224 866.02 &#10;Процент оплаты: 28.52 %&#10;остаток 102985 по результатам МОГЭ остаток средств 2300"/>
        <s v="Оплачено, руб. (факт): 27 910 921.28 &#10;Процент оплаты: 79.26 %"/>
        <s v="Оплачено, руб. (план): 102 295 893.92&#10;Оплачено, руб. (факт): 102 295 893.92&#10;Процент оплаты: 50.00 %"/>
        <s v="Контракт расторгнут, произведена оплата &#10;по факту выполненных работ&#10;Оплачено, руб. (факт): 26 108 412.86 &#10;Процент оплаты: 87.14 %"/>
        <s v="Контракт расторгнут, произведена оплата по факту &#10;выполненных работ&#10;Оплачено, руб. (факт): 49 141 806.50 &#10;Процент оплаты: 89.70 %"/>
        <s v="Оплачено, руб. (факт): 31 691 240.00 &#10;Процент оплаты: 35.00 %"/>
        <s v="Оплачено, руб. (план): 40 921 194.00&#10;Оплачено, руб. (факт): 40 921 194.00&#10;Процент оплаты: 30.00 %"/>
        <s v="Оплачено, руб. (план): 1 570 081 728.71 &#10;Оплачено, руб. (факт): 1 570 081 728.71 &#10;Процент оплаты: 94.27 %"/>
        <s v="Оплачено, руб. (план): 109 890 820.63 &#10;Оплачено, руб. (факт): 109 890 820.63 &#10;Процент оплаты: 53.84 %"/>
        <s v="Оплачено, руб. (план): 44 013 986.77 &#10;Оплачено, руб. (факт): 38 699 694.00 &#10;Процент оплаты: 28.50 %"/>
        <s v="Оплачено, руб. (план): 36 462 269.89&#10;Оплачено, руб. (факт): 36 462 269.89&#10;Процент оплаты: 28.49 %"/>
        <s v="Оплачено, руб. (план): 69 104 838.07 &#10;Оплачено, руб. (факт): 69 104 838.07 &#10;Процент оплаты: 56.64 %"/>
        <s v="Оплачено, руб. (факт): 45 307 288.80 &#10;Процент оплаты: 30.00 %"/>
        <s v="Оплачено, руб. (факт): 38 133 900.00 &#10;Процент оплаты: 30.00 %"/>
        <s v="Оплачено, руб. (план): 10 215 534.25&#10;Оплачено, руб. (факт): 10 215 534.25&#10;Процент оплаты: 10.32 %"/>
        <n v="107561.9709"/>
        <s v="Оплачено, руб. (план): 87 937 000.00&#10;Оплачено, руб. (факт): 87 937 000.00&#10;Процент оплаты: 50.00 %"/>
        <s v="Оплачено, руб. (план): 128 926 758.39&#10;Оплачено, руб. (факт): 128 926 758.39&#10;Процент оплаты: 50.00 %"/>
        <s v="Контракт расторгнут 14.10.2025 по факту выполненных работ&#10;Оплачено, руб. (факт): 28 258 912.56&#10;Процент оплаты: 95.64 %&#10;Оплата выполнена"/>
        <s v="Контракт расторгнут 09.02.2026 по факту выполненных работ&#10;Оплачено, руб. (факт): 14 416 450.65&#10;Процент оплаты: 90.57 %&#10;Оплата выполнена"/>
        <s v="Оплачено, руб. (план): 34 399 157.91&#10;Оплачено, руб. (факт): 34 399 157.91&#10;Процент оплаты: 30.00"/>
        <s v="Оплачено, руб. (план): 26 278 530.00 &#10;Оплачено, руб. (факт): 26 278 530.00 &#10;Процент оплаты: 25.00 %"/>
        <s v="Оплачено, руб. (план): 137 865 246.32&#10;Оплачено, руб. (факт): 137 865 246.32&#10;Процент оплаты: 84.87 %"/>
        <s v="Оплачено, руб. (план): 74 608 944.78 &#10;Оплачено, руб. (факт): 74 608 944.78 &#10;Процент оплаты: 50.00 %"/>
        <s v="Контракт расторгнут 09.02.2026 по факту выполненных работ&#10;Оплачено, руб. (факт): 12 435 135.66 &#10;Процент оплаты: 98.59 %&#10;Оплата выполнена"/>
        <s v="Оплачено, руб. (план): 70 625 023.95&#10;Оплачено, руб. (факт): 70 625 023.95&#10;Процент оплаты: 49.31 %"/>
        <s v="Оплачено, руб. (план): 60 784 263.56 &#10;Оплачено, руб. (факт): 60 784 263.56 &#10;Процент оплаты: 46.67 %"/>
        <s v="Оплачено, руб. (план): 59 950 000.00&#10;Оплачено, руб. (факт): 59 950 000.00&#10;Процент оплаты: 46.37 %"/>
        <s v="Цена контракта, руб.: 41 960 320.00 &#10;Оплачено, руб. (факт): 11 965 000.00 &#10;Процент оплаты: 28.51 % (аванс)&#10;Остаток к оплате после НТС 68037250. Выплата после доведения лимитов"/>
        <s v="Оплачено, руб. (план): 124 329 716.15 &#10;Оплачено, руб. (факт): 124 329 716.15 &#10;Процент оплаты: 99.78 %"/>
        <s v="Оплачено, руб. (план): 18 848 155.79 &#10;Оплачено, руб. (факт): 16 182 349.47 &#10;Процент оплаты: 18.69 %"/>
        <s v="Оплачено, руб. (план): 150 565 289.84&#10;Оплачено, руб. (факт): 150 565 289.84&#10;Процент оплаты: 68.99 %"/>
        <s v="Оплачено, руб. (план): 66 929 790.00 &#10;Оплачено, руб. (факт): 66 929 790.00 &#10;Процент оплаты: 50.00 %"/>
        <s v="Цена контракта, руб.: 74 133 890.00 &#10;Оплачено, руб. (факт): 21 128 157.00 &#10;Процент оплаты: 28.49 % (аванс)&#10;Остаток к оплате после НТС 80 112 370. Выплата после доведения лимитов"/>
        <s v="Оплачено, руб. (план): 27 723 568.95&#10;Оплачено, руб. (факт): 27 723 568.95&#10;Процент оплаты: 97.46 %"/>
        <s v="Оплачено, руб. (план): 88 945 642.52&#10;Оплачено, руб. (факт): 88 945 642.52&#10;Процент оплаты: 93.52 %"/>
        <s v="Контракт расторгнут 14.10.2025 в одностороннем порядке&#10;Оплачено, руб. (факт): 114 953 824.63&#10;Процент оплаты: 91.34 %&#10;Оплата выполнена"/>
        <s v="Контракт расторгнут 14.10.2025 в одностороннем порядке&#10;Оплачено, руб. (факт): 18 244 530.85&#10;Процент оплаты: 32.67 %&#10;Оплата выполнена"/>
        <s v="Оплачено, руб. (план): 54 752 387.05&#10;Оплачено, руб. (факт): 54 752 387.05&#10;Процент оплаты: 45.99 %"/>
        <s v="Оплачено, руб. (факт): 4 489 928.93&#10;Процент оплаты: 71.48 %&#10;Оплата выполнена по факту выполненых работ."/>
        <s v="Закрыто по факту выполненных работ&#10;Оплачено, руб. (факт): 68 565 785.67&#10;Процент оплаты: 96.44 %&#10;Оплата выполнена"/>
        <s v="Оплачено, руб. (план): 54 752 387.45&#10;Оплачено, руб. (факт): 54 752 387.45&#10;Процент оплаты: 45.99 %"/>
        <s v="Оплачено, руб. (факт): 61 719 461.31 &#10;Процент оплаты: 49.00 %"/>
        <s v="Контракт расторгнут 02.09.2025 в одностороннем порядкеОплачено, руб. (факт): 2 328 336.00&#10;Процент оплаты: 33.90 %"/>
        <s v="Оплачено, руб. (план): 27 000 000.00&#10;Оплачено, руб. (факт): 27 000 000.00&#10;Процент оплаты: 30.00 %"/>
        <s v="Оплачено, руб. (план): 62 800 000.00 &#10;Оплачено, руб. (факт): 62 800 000.00 &#10;Процент оплаты: 50.00 %"/>
        <s v="Оплачено, руб. (план): 52 927 314.62&#10;Оплачено, руб. (факт): 52 927 314.62&#10;Процент оплаты: 45.99 %"/>
        <s v="Оплачено, руб. (план): 156 167 391.10 &#10;Оплачено, руб. (факт): 156 167 391.10 &#10;Возврат оплат, руб.: 0.01 &#10;Процент оплаты: 99.99 %"/>
        <s v="Оплачено, руб. (план): 11 636 726.03&#10;Оплачено, руб. (факт): 11 636 726.03&#10;Процент оплаты: 90.80 %&#10;работы завершены 100% , возврат 1178,39"/>
        <s v="Оплачено, руб. (план): 30 421 338.69 &#10;Оплачено, руб. (факт): 30 421 338.69 &#10;Процент оплаты: 29.99 %"/>
        <s v="Оплачено, руб. (план): 26 233 808.16&#10;Оплачено, руб. (факт): 26 233 808.16&#10;Процент оплаты: 30.00 %"/>
        <s v="Оплачено, руб. (план): 21 900 959.58&#10;Оплачено, руб. (факт): 21 900 959.58&#10;Процент оплаты: 27.59 %"/>
        <s v="Оплачено, руб. (план): 57 217 265.99&#10;Оплачено, руб. (факт): 57 217 265.99&#10;Процент оплаты: 49.89 %"/>
        <s v="мероприятие исключено"/>
        <s v="Оплачено, руб. (план): 24 330 031.22 &#10;Оплачено, руб. (факт): 24 330 031.22 &#10;Процент оплаты: 93.09 %&#10;выплачено верно остаток перенесли на 26"/>
        <s v="Оплачено, руб. (план): 29 195 818.50 &#10;Оплачено, руб. (факт): 29 195 818.50 &#10;Процент оплаты: 80.60 %&#10;выплачено верно остаток перенесли на 26"/>
        <s v="Оплачено, руб. (план): 57 117 395.00 &#10;Оплачено, руб. (факт): 57 117 395.00 &#10;Процент оплаты: 50.00 %"/>
        <s v="Оплачено, руб. (план): 33 578 600.29&#10;Оплачено, руб. (факт): 33 578 600.29&#10;Процент оплаты: 100.00 %"/>
        <s v="Оплачено, руб. (план): 172 219 209.73&#10;Оплачено, руб. (факт): 172 219 209.73&#10;Процент оплаты: 75.81 %"/>
        <s v="Цена договора, руб.: 224 118 930.00&#10;Оплачено, руб. (факт): 163 181 852.52 &#10;Процент оплаты: 72.81 %&#10;Работы окончены."/>
        <s v="Оплачено, руб. (план): 53 657 450.00 &#10;Оплачено, руб. (факт): 53 657 450.00 &#10;Процент оплаты: 50.00 %"/>
        <s v="Оплачено, руб. (план): 39 719 071.22 &#10;Оплачено, руб. (факт): 39 719 071.22 &#10;Процент оплаты: 42.65 %"/>
        <s v="Исполнено, руб. (план): 88 044 012.17 Исполнено, руб. (факт): 88 044 012.17 Процент исполнения: 100.00 %"/>
        <s v="Оплачено, руб. (план): 214 183 170.46&#10;Оплачено, руб. (факт): 214 183 170.46&#10;Процент оплаты: 99.88 %"/>
        <s v="Оплачено, руб. (план): 109 513 677.72&#10;Оплачено, руб. (факт): 109 513 677.72&#10;Процент оплаты: 99.99 %"/>
        <s v="Оплачено, руб. (план): 94 251 488.56&#10;Оплачено, руб. (факт): 94 251 488.56&#10;Процент оплаты: 99.99 %"/>
        <s v="Оплачено, руб. (план): 195 435 661.85&#10;Оплачено, руб. (факт): 195 435 661.85&#10;Процент оплаты: 100.00 %"/>
        <s v="Оплачено, руб. (план): 106 478 795.57&#10;Оплачено, руб. (факт): 106 478 795.57&#10;Процент оплаты: 95.44 %"/>
        <s v="Оплачено, руб. (план): 577 626 629.37&#10;Оплачено, руб. (факт): 452 023 605.65&#10;Процент оплаты: 76.88 %"/>
        <s v="Оплачено, руб. (план): 7 447 641.00&#10;Оплачено, руб. (факт): 7 447 641.00&#10;Процент оплаты: 30.00 %"/>
        <s v="Оплачено, руб. (план): 11 200 500.89 &#10;Оплачено, руб. (факт): 11 200 500.89 &#10;Процент оплаты: 28.50 %"/>
        <s v="Оплачено, руб. (план): 24 765 015.85&#10;Оплачено, руб. (факт): 24 765 015.85&#10;Процент оплаты: 34.99 %"/>
        <s v="Оплачено, руб. (план): 20 775 525.74&#10;Оплачено, руб. (факт): 20 775 525.74&#10;Процент оплаты: 31.64 %"/>
        <s v="Оплачено, руб. (план): 51 437 720.00 &#10;Оплачено, руб. (факт): 51 437 720.00 &#10;Процент оплаты: 50.00 %"/>
        <s v="Оплачено, руб. (план): 139 007 074.15&#10;Оплачено, руб. (факт): 139 007 074.15&#10;Процент оплаты: 73.08 %"/>
        <s v="Оплачено, руб. (план): 21 457 681.41&#10;Оплачено, руб. (факт): 21 457 681.41&#10;Процент оплаты: 30.00 %"/>
        <s v="Оплачено, руб. (план): 49 759 325.00 &#10;Оплачено, руб. (факт): 49 759 325.00 &#10;Процент оплаты: 50.00 %"/>
        <s v="Оплачено, руб. (план): 47 643 465.60&#10;Оплачено, руб. (факт): 47 643 465.60&#10;Процент оплаты: 48.33 %"/>
        <s v="Оплачено, руб. (план): 278 395 708.98 &#10;Оплачено, руб. (факт): 278 395 708.98 &#10;Процент оплаты: 85.68 %"/>
        <s v="Оплачено, руб. (план): 39 052 046.66 &#10;Оплачено, руб. (факт): 39 052 046.66 &#10;Процент оплаты: 58.95 %"/>
        <s v="Оплачено, руб. (план): 18 335 623.80&#10;Оплачено, руб. (факт): 18 335 623.80&#10;Процент оплаты: 28.98 %"/>
        <s v="Оплачено, руб. (план): 92 301 790.89&#10;Оплачено, руб. (факт): 92 301 790.89&#10;Процент оплаты: 97.60 %"/>
        <s v="Оплачено, руб. (план): 19 220 025.82&#10;Оплачено, руб. (факт): 19 220 025.82&#10;Процент оплаты: 30.00 %"/>
        <s v="Оплачено, руб. (план): 37 454 300.00&#10;Оплачено, руб. (факт): 37 454 300.00&#10;Процент оплаты: 50.00 %"/>
        <s v="Оплачено, руб. (план): 18 748 260.00 &#10;Оплачено, руб. (факт): 18 748 260.00 &#10;Процент оплаты: 30.00 %"/>
        <s v="Оплачено, руб. (план): 17 420 408.95&#10;Оплачено, руб. (факт): 17 420 408.95&#10;Процент оплаты: 28.49 %"/>
        <s v="Оплачено, руб. (план): 109 780 355.01&#10;Оплачено, руб. (факт): 29 763 078.24&#10;Процент оплаты: 24.10 %"/>
        <s v="Оплачено, руб. (план): 14 257 049.60 &#10;Оплачено, руб. (факт): 14 257 049.60 &#10;Процент оплаты: 81.78 %"/>
        <s v="плачено, руб. (план): 34 001 474.83 &#10;Оплачено, руб. (факт): 34 001 474.83 &#10;Процент оплаты: 91.90 %"/>
        <s v="Оплачено, руб. (план): 47 381 809.63 &#10;Оплачено, руб. (факт): 47 381 809.63 &#10;Процент оплаты: 89.43 %"/>
        <s v="Оплачено, руб. (план): 433 459 656.00 &#10;Оплачено, руб. (факт): 433 459 656.00 &#10;Процент оплаты: 100.00 %"/>
        <s v="Оплачено, руб. (план): 42 996 680.00 &#10;Оплачено, руб. (факт): 42 996 680.00 &#10;Процент оплаты: 50.00 %"/>
        <s v="Оплачено, руб. (план): 82 435 324.44 &#10;Оплачено, руб. (факт): 82 435 324.44 &#10;Процент оплаты: 53.27 %"/>
        <s v="Оплачено, руб. (план): 17 865 000.00&#10;Оплачено, руб. (факт): 17 865 000.00&#10;Процент оплаты: 30.00 %"/>
        <s v="Цена контракта, руб.: 173 403 806.91&#10;Оплачено, руб. (факт): 152 437 485.44&#10;Процент оплаты: 87.90 %&#10;Остаток к оплате после НТС 20966321 . Выплата после доведения лимитов"/>
        <s v="Оплачено, руб. (план): 24 563 762.05 &#10;Оплачено, руб. (факт): 21 203 558.57 &#10;Процент оплаты: 32.05 %"/>
        <s v="Оплачено, руб. (план): 255 707 056.68&#10;Оплачено, руб. (факт): 255 707 056.68&#10;Процент оплаты: 96.14 %"/>
        <s v="Оплачено, руб. (план): 84 047 803.99&#10;Оплачено, руб. (факт): 84 047 803.99&#10;Процент оплаты: 96.51 %"/>
        <s v="Исполнено, руб. (факт): 44 052 461.38 &#10;Процент исполнения: 76.25 %"/>
        <s v="Оплачено, руб. (план): 15 433 478.54&#10;Оплачено, руб. (факт): 15 433 478.54&#10;Процент оплаты: 100.00 %"/>
        <s v="Оплачено, руб. (план): 151 863 000.01 &#10;Оплачено, руб. (факт): 151 863 000.01 &#10;Возврат оплат, руб.: 30 273 741.57 &#10;Процент оплаты: 78.95 %"/>
        <s v="Оплачено, руб. (факт): 17 120 149.20 &#10;Процент оплаты: 30.00 %"/>
        <s v="Исполнено, руб. (план): 60 686 698.30 &#10;Исполнено, руб. (факт): 47 635 438.01&#10;Процент исполнения: 78.49 %"/>
        <s v="Исполнено, руб. (план): 36 571 207.22 &#10;Исполнено, руб. (факт): 28 825 766.82&#10;Процент исполнения: 78.82 %"/>
        <s v="Оплачено, руб. (план): 17 056 938.90 &#10;Оплачено, руб. (факт): 17 056 938.90 &#10;Процент оплаты: 30.00 %"/>
        <s v="Оплачено, руб. (план): 20 059 980.27 &#10;Оплачено, руб. (факт): 20 059 980.27 &#10;Возврат оплат, руб.: 0.01 &#10;Процент оплаты: 34.05 %"/>
        <s v="Оплачено, руб. (план): 52 473 053.99 &#10;Оплачено, руб. (факт): 52 473 053.99 &#10;Процент оплаты: 57.61 %"/>
        <s v="Оплачено, руб. (план): 16 365 045.00&#10;Оплачено, руб. (факт): 16 365 045.00&#10;Процент оплаты: 30.00 %"/>
        <s v="Оплачено, руб. (план): 35 736 668.44 &#10;Оплачено, руб. (факт): 35 736 668.44 &#10;Процент оплаты: 48.73 %"/>
        <s v="Сумма произведённых авансовых платежей, руб.: 11 177 925.00&#10;Оплачено, руб. (план): 28 825 766.82&#10;Оплачено, руб. (факт): 28 825 766.82&#10;Процент оплаты: 78.82 %"/>
        <s v="Оплачено, руб. (план): 15 957 296.28&#10;Оплачено, руб. (факт): 15 957 296.28&#10;Процент оплаты: 30.00 %"/>
        <s v="Оплачено, руб. (план): 37 018 655.00 &#10;Оплачено, руб. (факт): 37 018 655.00 &#10;Процент оплаты: 50.00 %"/>
        <s v="Оплачено, руб. (факт): 15 777 946.80 &#10;Процент оплаты: 30.00 %"/>
        <s v="Оплачено, руб. (план): 15 540 230.35&#10;Оплачено, руб. (факт): 15 540 230.35&#10;Процент оплаты: 29.99 %"/>
        <s v="Оплачено, руб. (план): 15 270 195.60 Оплачено, руб. (факт): 15 270 195.60 Процент оплаты: 30.00 %&#10;выверено, информация соотвествует"/>
        <s v="Оплачено, руб. (план): 189 802 309.69&#10;Оплачено, руб. (факт): 189 802 309.69&#10;Процент оплаты: 94.04 %"/>
        <s v="Оплачено 0"/>
        <s v="Оплачено, руб. (план): 184 166 935.27 &#10;Оплачено, руб. (факт): 184 166 935.27 &#10;Процент оплаты: 99.75 %"/>
        <s v="Оплачено, руб. (план): 65 837 736.42 &#10;Оплачено, руб. (факт): 65 837 736.42 &#10;Процент оплаты: 100.00 %"/>
        <s v="Оплачено, руб. (план): 32 354 491.04 &#10;Оплачено, руб. (факт): 32 354 491.04 &#10;Процент оплаты: 74.36 %"/>
        <s v="Оплачено, руб. (план): 70 166 453.86 &#10;Оплачено, руб. (факт): 70 166 453.86 &#10;Процент оплаты: 98.53 %"/>
        <s v="Оплачено, руб. (план): 59 940 630.00 &#10;Оплачено, руб. (факт): 59 940 630.00 &#10;Процент оплаты: 100.00 %"/>
        <s v="Оплачено, руб. (план): 38 236 277.51 &#10;Оплачено, руб. (факт): 38 236 277.51 &#10;Процент оплаты: 99.15 %"/>
        <s v="Оплачено, руб. (план): 38 907 002.37&#10;Оплачено, руб. (факт): 38 907 002.37&#10;Процент оплаты: 53.50 %"/>
        <s v="Оплачено, руб. (план): 4 140 270.00 &#10;Оплачено, руб. (факт): 4 140 270.00 &#10;Процент оплаты: 10.94 %"/>
        <s v="Оплата- 0"/>
        <s v="Оплачено, руб. (план): 32 064 545.00 &#10;Оплачено, руб. (факт): 32 064 545.00 &#10;Процент оплаты: 50.00 %"/>
        <s v="Сумма произведённых авансовых платежей, руб.: 22 282 400.00&#10;Оплачено, руб. (план): 25 585 455.71&#10;Оплачено, руб. (факт): 25 585 455.71&#10;Процент оплаты: 44.57 %"/>
        <s v="Исполнено, руб. (план): 93 051 433.21 &#10;Исполнено, руб. (факт): 93 051 433.21 &#10;Процент исполнения: 74.04 %"/>
        <s v="Оплачено, руб. (план): 28 661 694.41 &#10;Оплачено, руб. (факт): 28 661 694.41 &#10;Процент оплаты: 47.50 %"/>
        <s v="Оплачено, руб. (факт): 13 500 000.00 &#10;Процент оплаты: 30.00 %"/>
        <s v="Оплачено, руб. (факт): 13 417 143.00&#10;Процент оплаты: 30.00 %"/>
        <s v="Оплачено, руб. (план): 12 098 300.40&#10;Оплачено, руб. (факт): 12 098 300.40&#10;Процент оплаты: 28.14 %"/>
        <s v="Оплачено, руб. (план): 12 240 750.00 &#10;Оплачено, руб. (факт): 12 240 750.00 &#10;Процент оплаты: 28.50 %"/>
        <s v="Оплачено, руб. (план): 14 899 751.73&#10;Оплачено, руб. (факт): 14 899 751.73&#10;Процент оплаты: 33.08 %"/>
        <s v="Оплачено, руб. (план): 5 978 074.45&#10;Оплачено, руб. (факт): 5 978 074.45&#10;Процент оплаты: 48.64 %"/>
        <s v="Оплачено, руб. (план): 57 376 781.34&#10;Оплачено, руб. (факт): 57 376 781.34&#10;Процент оплаты: 79.48 %"/>
        <s v="Оплачено, руб. (план): 24 355 216.38 &#10;Оплачено, руб. (факт): 24 355 216.38 &#10;Процент оплаты: 45.35 %"/>
        <s v="Сумма произведённых авансовых платежей, руб.: 50 682 089.41&#10;Оплачено, руб. (план): 68 706 945.11&#10;Оплачено, руб. (факт): 68 706 945.11&#10;Процент оплаты: 70.39 %"/>
        <s v="Оплачено, руб. (план): 26 351 855.00 &#10;Оплачено, руб. (факт): 26 351 855.00 &#10;Процент оплаты: 50.00 %"/>
        <s v="Оплачено, руб. (план): 11 133 320.00&#10;Оплачено, руб. (факт): 11 133 320.00&#10;Процент оплаты: 28.49 %"/>
        <s v="Сумма произведённых авансовых платежей, руб.: 47 887 282.15&#10;Оплачено, руб. (план): 55 552 340.64&#10;Оплачено, руб. (факт): 55 552 340.64&#10;Процент оплаты: 66.80 %"/>
        <s v="Оплачено, руб. (факт): 19 031 792.14 &#10;Процент оплаты: 41.39 %"/>
        <s v="Оплачено, руб. (план): 26 468 525.81&#10;Оплачено, руб. (факт): 26 468 525.81&#10;Процент оплаты: 50.00 %"/>
        <s v="Оплачено, руб. (факт): 20 079 064.18 &#10;Процент оплаты: 44.25 %"/>
        <s v="Оплачено, руб. (план): 137 043 117.67&#10;Оплачено, руб. (факт): 137 043 117.67&#10;Процент оплаты: 84.57 %"/>
        <s v="Оплачено, руб. (план): 9 887 796.54&#10;Оплачено, руб. (факт): 9 887 796.54&#10;Процент оплаты: 28.50 %"/>
        <s v="Оплачено, руб. (план): 24 472 531.85&#10;Оплачено, руб. (факт): 24 472 531.85&#10;Процент оплаты: 49.90 %"/>
        <s v="Оплачено, руб. (план): 54 431 812.94 &#10;Оплачено, руб. (факт): 54 431 812.94 &#10;Процент оплаты: 69.65 %"/>
        <s v="Сумма произведённых авансовых платежей, руб.: 64 912 745.23&#10;Оплачено, руб. (план): 85 525 948.04&#10;Оплачено, руб. (факт): 85 525 948.04&#10;Процент оплаты: 78.33 %"/>
        <s v="Цена контракта, руб.: 177 118 548.78&#10;Оплачено, руб. (план): 153 581 019.55 &#10;Оплачено, руб. (факт): 153 581 019.55 &#10;Процент оплаты: 86.71 %"/>
        <s v="Оплачено, руб. (план): 23 534 575.20 &#10;Оплачено, руб. (факт): 23 534 575.20 &#10;Процент оплаты: 50.00 %"/>
        <s v="Оплачено, руб. (план): 23 141 102.21 &#10;Оплачено, руб. (факт): 23 141 102.21 &#10;Процент оплаты: 50.00 %"/>
        <s v="Оплачено, руб. (план): 9 459 761.11&#10;Оплачено, руб. (факт): 9 459 761.11&#10;Процент оплаты: 29.07 %"/>
        <s v="Оплачено, руб. (план): 10 041 800.00 &#10;Оплачено, руб. (факт): 10 041 800.00 &#10;Процент оплаты: 93.53 %"/>
        <s v="Оплачено, руб. (план): 27 054 527.88 &#10;Оплачено, руб. (факт): 27 054 527.88 &#10;Процент оплаты: 93.76 %"/>
        <s v="Оплачено, руб. (факт): 14 030 557.64 &#10;Процент оплаты: 38.61 %"/>
        <s v="Оплачено, руб. (план): 40 289 583.34&#10;Оплачено, руб. (факт): 40 289 583.34&#10;Процент оплаты: 98.07 %"/>
        <s v="Оплачено, руб. (план): 274 627 755.18&#10;Оплачено, руб. (факт): 274 627 755.18&#10;Процент оплаты: 92.52 %"/>
        <s v="Оплачено, руб. (факт): 45 436 191.92 &#10;Процент оплаты: 67.44 %"/>
        <s v="Оплачено, руб. (план): 26 306 426.57 &#10;Оплачено, руб. (факт): 26 306 426.57 &#10;Процент оплаты: 55.39 %"/>
        <s v="Оплачено, руб. (план): 105 842 604.71 &#10;Оплачено, руб. (факт): 105 842 604.71 &#10;Процент оплаты: 80.60 %"/>
        <s v="Оплачено, руб. (план): 24 636 082.17 &#10;Оплачено, руб. (факт): 22 853 600.00 &#10;Процент оплаты: 50.00 %"/>
        <s v="Оплачено, руб. (план): 14 991 279.48&#10;Оплачено, руб. (факт): 14 991 279.48&#10;Процент оплаты: 42.35 %"/>
        <s v="Оплачено, руб. (план): 60 487 577.60 &#10;Оплачено, руб. (факт): 60 487 577.60 &#10;Процент оплаты: 74.85 %"/>
        <s v="Оплачено, руб. (план): 20 158 335.00&#10;Оплачено, руб. (факт): 20 158 335.00&#10;Процент оплаты: 50.00 %"/>
        <s v="Оплачено, руб. (план): 10 850 560.00 &#10;Оплачено, руб. (факт): 10 850 560.00 &#10;Процент оплаты: 35.00 %"/>
        <s v="Оплачено, руб. (факт): 6 933 948.00 &#10;Процент оплаты: 25.62 %"/>
        <s v="Цена контракта, руб.: 190 174 083.29&#10;Оплачено, руб. (план): 169 336 872.73 &#10;Оплачено, руб. (факт): 169 336 872.73 &#10;Процент оплаты: 89.04 %"/>
        <s v="Оплачено, руб. (план): 70 789 701.63&#10;Оплачено, руб. (факт): 70 789 701.63&#10;Процент оплаты: 97.32 %"/>
        <s v="Оплачено, руб. (план): 22 432 679.98 &#10;Оплачено, руб. (факт): 20 424 000.00 &#10;Процент оплаты: 50.00 %"/>
        <s v="Оплачено, руб. (план): 104 380 841.18&#10;Оплачено, руб. (факт): 104 380 841.18&#10;Процент оплаты: 98.85 %"/>
        <s v="Оплачено, руб. (план): 5 526 348.40&#10;Оплачено, руб. (факт): 5 526 348.40&#10;Процент оплаты: 29.99 %"/>
        <s v="Оплачено, руб. (план): 12 206 880.00 &#10;Оплачено, руб. (факт): 12 206 880.00 &#10;Процент оплаты: 40.19 %"/>
        <s v="Оплачено, руб. (план): 80 435 934.58 &#10;Оплачено, руб. (факт): 80 435 934.58 &#10;Процент оплаты: 82.81 %"/>
        <s v="Сумма произведённых авансовых платежей, руб.: 17 777 480.00&#10;Оплачено, руб. (план): 17 777 480.00&#10;Оплачено, руб. (факт): 17 777 480.00&#10;Процент оплаты: 50.00 %"/>
        <s v="Оплачено, руб. (план): 17 748 280.00&#10;Оплачено, руб. (факт): 17 748 280.00&#10;Процент оплаты: 50.00 %"/>
        <s v="Оплачено, руб. (план): 91 352 801.86&#10;Оплачено, руб. (факт): 91 352 801.86&#10;Процент оплаты: 83.80 %"/>
        <s v="Оплачено, руб. (план): 1 950 440.28&#10;Оплачено, руб. (факт): 1 950 440.28&#10;Процент оплаты: 86.86 %"/>
        <s v="Оплачено, руб. (план): 7 525 015.61 &#10;Оплачено, руб. (факт): 7 525 015.61 &#10;Процент оплаты: 29.99 %"/>
        <s v="Оплачено, руб. (план): 15 745 855.95&#10;Оплачено, руб. (факт): 15 745 855.95&#10;Процент оплаты: 91.00 %"/>
        <s v="Оплачено, руб. (план): 80 740 778.93&#10;Оплачено, руб. (факт): 80 740 778.93&#10;Возврат оплат, руб.: 644 866.22&#10;Процент оплаты: 83.82 %"/>
        <s v="Оплачено, руб. (план): 36 168 147.28&#10;Оплачено, руб. (факт): 36 168 147.28&#10;Процент оплаты: 72.70 %"/>
        <s v="Оплачено, руб. (план): 8 814 014.40&#10;Оплачено, руб. (факт): 8 814 014.40&#10;Процент оплаты: 83.54 %"/>
        <s v="Оплачено, руб. (план): 6 184 795.68&#10;Оплачено, руб. (факт): 6 184 795.68&#10;Процент оплаты: 30.00 %"/>
        <s v="Оплачено, руб. (план): 6 603 929.59&#10;Оплачено, руб. (факт): 6 603 929.59&#10;Процент оплаты: 90.64 %"/>
        <s v="Оплачено, руб. (план): 17 483 840.00 &#10;Оплачено, руб. (факт): 17 483 840.00 &#10;Процент оплаты: 50.00 %"/>
        <s v="Оплачено, руб. (план): 6 092 298.44&#10;Оплачено, руб. (факт): 6 092 298.44&#10;Процент оплаты: 30.00 %"/>
        <s v="Оплачено, руб. (план): 19 463 580.84&#10;Оплачено, руб. (факт): 19 463 580.84&#10;Процент оплаты: 96.26 %"/>
        <s v="Оплачено, руб. (план): 21 124 113.16&#10;Оплачено, руб. (факт): 21 124 113.16&#10;Процент оплаты: 49.06 %"/>
        <s v="Оплачено, руб. (план): 38 448 615.22&#10;Оплачено, руб. (факт): 38 448 615.22&#10;Процент оплаты: 55.43 %"/>
        <s v="Оплачено, руб. (план): 15 261 958.58&#10;Оплачено, руб. (факт): 15 261 958.58&#10;Процент оплаты: 65.19 %"/>
        <s v="Оплачено, руб. (план): 23 297 744.85&#10;Оплачено, руб. (факт): 23 297 744.85&#10;Процент оплаты: 59.05 %"/>
        <s v="Оплачено, руб. (план): 37 839 851.24&#10;Оплачено, руб. (факт): 37 839 851.24&#10;Процент оплаты: 99.18 %"/>
        <s v="Оплачено, руб. (план): 12 347 328.49&#10;Оплачено, руб. (факт): 12 347 328.49&#10;Процент оплаты: 95.81 %"/>
        <s v="Оплачено, руб. (план): 52 998 946.11&#10;Оплачено, руб. (факт): 52 998 946.11&#10;Процент оплаты: 91.96 %"/>
        <s v="Оплачено, руб. (план): 39 525 840.24&#10;Оплачено, руб. (факт): 39 525 840.24&#10;Процент оплаты: 50.75 %"/>
        <s v="Оплачено, руб. (план): 64 241 646.54&#10;Оплачено, руб. (факт): 64 241 646.54&#10;Процент оплаты: 97.40 %"/>
        <s v="Оплачено, руб. (план): 7 440 000.00 &#10;Оплачено, руб. (факт): 7 440 000.00 &#10;Процент оплаты: 30.00 %"/>
        <s v="Оплачено, руб. (план): 24 117 425.76&#10;Оплачено, руб. (факт): 24 117 425.76&#10;Процент оплаты: 99.98 %"/>
        <s v="Оплачено, руб. (план): 75 115 855.33&#10;Оплачено, руб. (факт): 75 115 855.33&#10;Процент оплаты: 99.12 %"/>
        <s v="Оплачено, руб. (план): 49 250 452.94&#10;Оплачено, руб. (факт): 49 250 452.94&#10;Процент оплаты: 96.46 %"/>
        <s v="Оплачено, руб. (план): 220 853 679.30&#10;Оплачено, руб. (факт): 220 853 679.30&#10;Процент оплаты: 97.47 %"/>
        <s v="Оплачено, руб. (план): 52 116 547.26&#10;Оплачено, руб. (факт): 52 116 547.26&#10;Процент оплаты: 96.93 %"/>
        <s v="Оплачено, руб. (план): 8 640 441.27&#10;Оплачено, руб. (факт): 8 640 441.27&#10;Процент оплаты: 85.91 %"/>
        <s v="Оплачено, руб. (план): 16 687 391.36&#10;Оплачено, руб. (факт): 16 687 391.36&#10;Процент оплаты: 74.76 %"/>
        <s v="Оплачено, руб. (план): 5 802 872.08&#10;Оплачено, руб. (факт): 5 802 872.08&#10;Процент оплаты: 39.23 %"/>
        <s v="Цена контракта, руб.: 10 688 560.00&#10;Оплачено, руб. (факт): 3 047 859.34&#10;Процент оплаты: 28.51 %&#10;Остаток к оплате после НТС 17291750. Выплата после доведения лимитов"/>
        <s v="Оплачено, руб. (факт): 14 173 951.68 &#10;Процент оплаты: 45.20 %"/>
        <s v="Оплачено, руб. (план): 7 279 113.60&#10;Оплачено, руб. (факт): 7 279 113.60&#10;Процент оплаты: 30.00 %"/>
        <s v="Оплачено, руб. (план): 17 303 718.28&#10;Оплачено, руб. (факт): 17 303 718.28&#10;Процент оплаты: 49.99 %"/>
        <s v="Цена контракта, руб.: 50 900 652.00&#10;Оплачено, руб. (план): 15 270 195.60 &#10;Оплачено, руб. (факт): 15 270 195.60 &#10;Процент оплаты: 30.00 %&#10;пересли финансирование на 2026 год, смумма верно."/>
        <s v="Оплачено, руб. (план): 8 673 390.00 &#10;Оплачено, руб. (факт): 8 673 390.00 &#10;Процент оплаты: 34.99 %"/>
        <s v="Оплачено, руб. (план): 6 278 060.00&#10;Оплачено, руб. (факт): 6 278 060.00&#10;Процент оплаты: 28.49 %"/>
        <s v="Оплачено, руб. (факт): 15 102 700.16 &#10;Процент оплаты: 49.00 %"/>
        <s v="Оплачено, руб. (план): 13 759 283.84&#10;Оплачено, руб. (факт): 13 759 283.84&#10;Процент оплаты: 47.53 %"/>
        <s v="Оплачено, руб. (факт): 6 394 080.00 &#10;Процент оплаты: 30.00 %"/>
        <s v="Оплачено, руб. (план): 55 843 438.42&#10;Оплачено, руб. (факт): 55 843 438.42&#10;Процент оплаты: 87.44 %"/>
        <s v="Оплачено, руб. (факт): 14 228 209.50 &#10;Процент оплаты: 49.01 %"/>
        <s v="Оплачено, руб. (план): 5 400 000.00&#10;Оплачено, руб. (факт): 5 400 000.00&#10;Процент оплаты: 27.00 %&#10;перенесли верно останок. Не вышли из могэ."/>
        <s v="Оплачено, руб. (план): 37 695 317.94&#10;Оплачено, руб. (факт): 37 695 317.94&#10;Процент оплаты: 100.00 %"/>
        <s v="Оплачено, руб. (план): 10 416 200.00 &#10;Оплачено, руб. (факт): 6 249 720.00 &#10;Процент оплаты: 30.00 %"/>
        <s v="Оплачено, руб. (план): 6 248 382.00&#10;Оплачено, руб. (факт): 6 248 382.00&#10;Процент оплаты: 30.00 %"/>
        <s v="Оплачено, руб. (план): 6 799 470.87 &#10;Оплачено, руб. (факт): 6 799 470.87 &#10;Процент оплаты: 32.61 %"/>
        <s v="Оплачено, руб. (план): 176 671 779.34 &#10;Оплачено, руб. (факт): 176 671 779.34 &#10;Процент оплаты: 93.35 %"/>
        <s v="Оплачено, руб. (план): 6 000 237.00 &#10;Оплачено, руб. (факт): 6 000 237.00 &#10;Процент оплаты: 30.00 %"/>
        <s v="Оплачено, руб. (план): 48 063 199.66&#10;Оплачено, руб. (факт): 48 063 199.66&#10;Процент оплаты: 77.58 %"/>
        <s v="Оплачено, руб. (план): 6 613 098.29&#10;Оплачено, руб. (факт): 6 613 098.29&#10;Процент оплаты: 84.94 %"/>
        <s v="контракт не заключен"/>
        <s v="Оплачено, руб. (план): 12 269 857.34&#10;Оплачено, руб. (факт): 12 269 857.34&#10;Процент оплаты: 47.49 %"/>
        <s v="Исполнено, руб. (план): 446 059 169.00 &#10;Исполнено, руб. (факт): 376 550 212.01&#10;Процент исполнения: 84.41 %"/>
        <s v="Оплачено, руб. (план): 59 962 053.56&#10;Оплачено, руб. (факт): 59 962 053.56&#10;Возврат оплат, руб.: 1 623 261.52&#10;Процент оплаты: 100.00 %"/>
        <s v="Оплачено, руб. (план): 101 060 701.61&#10;Оплачено, руб. (факт): 101 060 701.61&#10;Возврат оплат, руб.: 1 695 115.38&#10;Процент оплаты: 100.00 %"/>
        <s v="Оплачено, руб. (план): 4 317 611.13 &#10;Оплачено, руб. (факт): 4 317 611.13 &#10;Процент оплаты: 97.98 %"/>
        <s v="Оплачено, руб. (план): 402 146 712.08 &#10;Оплачено, руб. (факт): 402 146 712.08 &#10;Возврат оплат, руб.: 1 667 046.90 &#10;Процент оплаты: 94.46 %"/>
        <s v="Оплачено, руб. (план): 172 723 908.11 &#10;Оплачено, руб. (факт): 172 723 908.11 &#10;Процент оплаты: 81.53 %"/>
        <s v="Оплачено, руб. (план): 246 977 609.45&#10;Оплачено, руб. (факт): 246 977 609.45&#10;Процент оплаты: 100.00 %"/>
        <s v="Оплачено, руб. (план): 7 128 617.45&#10;ООплачено, руб. (факт): 7 128 617.45 &#10;Процент оплаты: 34.52 %"/>
        <s v="Оплачено, руб. (план): 5 936 832.29&#10;Оплачено, руб. (факт): 5 936 832.29&#10;Процент оплаты: 99.76 %"/>
        <s v="Оплачено, руб. (факт): 12 603 080.32 &#10;Процент оплаты: 49.01 %"/>
        <s v="Оплачено, руб. (план): 11 033 664.60&#10;Оплачено, руб. (факт): 11 033 664.60&#10;Процент оплаты: 100.00 %"/>
        <s v="Сумма произведённых авансовых платежей, руб.: 16 033 640.00&#10;Оплачено, руб. (план): 28 440 841.57&#10;Оплачено, руб. (факт): 28 440 841.57&#10;Процент оплаты: 68.49 %"/>
        <s v="Оплачено, руб. (план): 21 036 894.36&#10;Оплачено, руб. (факт): 21 036 894.36&#10;Процент оплаты: 100.00 %"/>
        <s v="Оплачено, руб. (план): 11 341 491.97&#10;Оплачено, руб. (факт): 11 341 491.97&#10;Процент оплаты: 91.79 %"/>
        <s v="Оплачено, руб. (план): 1 538 417.58&#10;Оплачено, руб. (факт): 1 538 417.58&#10;Процент оплаты: 83.34 %"/>
        <s v="Оплачено, руб. (план): 431 750 275.77&#10;Оплачено, руб. (факт): 431 750 275.77&#10;Процент оплаты: 77.08 %"/>
        <s v="Оплачено, руб. (факт): 11 173 985.09 &#10;Процент оплаты: 46.15 %"/>
        <s v="Сумма произведённых авансовых платежей, руб.: 12 935 200.00&#10;Оплачено, руб. (план): 12 935 200.00&#10;Оплачено, руб. (факт): 12 935 200.00&#10;Процент оплаты: 50.00 %"/>
        <s v="Оплачено, руб. (план): 5 310 281.59&#10;Оплачено, руб. (факт): 5 310 281.59&#10;Процент оплаты: 86.86 %"/>
        <s v="Оплачено, руб. (факт): 7 311 792.00 &#10;Процент оплаты: 30.00 %"/>
        <s v="Оплачено, руб. (план): 1 548 426.85&#10;Оплачено, руб. (факт): 1 236 014.94&#10;Процент оплаты: 75.24 %"/>
        <s v="Оплачено, руб. (план): 4 063 310.82&#10;Оплачено, руб. (факт): 4 063 310.82&#10;Процент оплаты: 100.00 %"/>
        <s v="Оплачено, руб. (план): 13 389 339.22&#10;Оплачено, руб. (факт): 13 389 339.22&#10;Процент оплаты: 100.00 %"/>
        <s v="Оплачено, руб. (план): 2 876 109.64&#10;Оплачено, руб. (факт): 2 876 109.64&#10;Процент оплаты: 100.00 %"/>
        <s v="Оплачено, руб. (план): 64 102 328.28&#10;Оплачено, руб. (факт): 64 102 328.28&#10;Процент оплаты: 84.35 %"/>
        <s v="Оплачено, руб. (план): 7 145 789.44&#10;Оплачено, руб. (факт): 7 145 789.44 &#10;Процент оплаты: 37.53 %"/>
        <s v="Оплачено, руб. (план): 5 091 000.00&#10;Оплачено, руб. (факт): 5 091 000.00&#10;Процент оплаты: 30.00 %"/>
        <s v="Оплачено, руб. (план): 19 193 224.32&#10;Оплачено, руб. (факт): 19 193 224.32&#10;Процент оплаты: 98.14 %"/>
        <s v="Оплачено, руб. (план): 9 476 141.19&#10;Оплачено, руб. (факт): 9 476 141.19&#10;Процент оплаты: 97.40 %"/>
        <s v="Оплачено, руб. (план): 16 004 728.85&#10;Оплачено, руб. (факт): 16 004 728.85&#10;Процент оплаты: 97.62 %"/>
        <s v="Оплачено, руб. (план): 19 863 788.36&#10;Оплачено, руб. (факт): 19 863 788.36&#10;Процент оплаты: 83.01 %"/>
        <s v="Оплачено, руб. (план): 5 505 187.73&#10;Оплачено, руб. (факт): 5 505 187.73&#10;Процент оплаты: 95.73 %"/>
        <s v="Оплачено, руб. (план): 4 085 583.64&#10;Оплачено, руб. (факт): 4 085 583.64&#10;Процент оплаты: 99.29 %"/>
        <s v="Оплачено, руб. (план): 101 430 313.75&#10;Оплачено, руб. (факт): 101 430 313.75&#10;Процент оплаты: 89.76 %"/>
        <s v="Оплачено, руб. (план): 10 228 722.64&#10;Оплачено, руб. (факт): 10 228 722.64&#10;Процент оплаты: 47.52 %"/>
        <s v="Оплачено, руб. (план): 81 856.00 &#10;Оплачено, руб. (факт): 81 856.00 &#10;Процент оплаты: 100.00 %"/>
        <s v="Оплачено, руб. (план): 11 238 750.00&#10;Оплачено, руб. (факт): 11 238 750.00&#10;Процент оплаты: 50.00 %"/>
        <s v="Оплачено, руб. (план): 22 001 420.02&#10;Оплачено, руб. (факт): 22 001 420.02&#10;Процент оплаты: 67.47 %"/>
        <s v="Оплачено, руб. (план): 15 120 693.23 &#10;Оплачено, руб. (факт): 15 120 693.23 &#10;Процент оплаты: 100.00 %"/>
        <s v="Оплачено, руб. (план): 31 791 142.89&#10;Оплачено, руб. (факт): 31 791 142.89&#10;Процент оплаты: 75.02 %"/>
        <s v="Оплачено, руб. (факт): 69 292 424.82 &#10;Процент оплаты: 86.98 %"/>
        <s v="Оплачено, руб. (план): 12 612 648.00&#10;Оплачено, руб. (факт): 12 612 648.00&#10;Процент оплаты: 55.44 %"/>
        <s v="Оплачено, руб. (план): 19 938 109.90 &#10;Оплачено, руб. (факт): 19 938 109.90 &#10;Процент оплаты: 51.08 %"/>
        <s v="Оплачено, руб. (план): 3 906 562.30&#10;Оплачено, руб. (факт): 3 906 562.30&#10;Процент оплаты: 28.20 %"/>
        <s v="Оплачено, руб. (план): 9 920 512.00 &#10;Оплачено, руб. (факт): 9 920 512.00 &#10;Процент оплаты: 50.00 %"/>
        <s v="Оплачено, руб. (план): 19 169 344.84 &#10;Оплачено, руб. (факт): 19 169 344.84 &#10;Процент оплаты: 100.00 %"/>
        <s v="Сумма произведённых авансовых платежей, руб.: 40 235 588.71&#10;Оплачено, руб. (план): 70 471 167.42&#10;Оплачено, руб. (факт): 70 471 167.42&#10;Процент оплаты: 87.88 %"/>
        <s v="Оплачено, руб. (план): 51 161 101.41 &#10;Оплачено, руб. (факт): 51 161 101.41 &#10;Процент оплаты: 84.17 %"/>
        <s v="Оплачено, руб. (план): 14 421 771.00 &#10;Оплачено, руб. (факт): 14 421 771.00 &#10;Процент оплаты: 30.00 %"/>
        <s v="Оплачено, руб. (план): 38 307 776.61&#10;Оплачено, руб. (факт): 38 307 776.61&#10;Процент оплаты: 79.96 %"/>
        <s v="Сумма произведённых авансовых платежей, руб.: 38 269 598.31&#10;Оплачено, руб. (план): 66 539 188.85&#10;Оплачено, руб. (факт): 66 539 188.85&#10;Процент оплаты: 87.65 %"/>
        <s v="Оплачено, руб. (план): 25 214 362.14 &#10;Оплачено, руб. (факт): 25 214 362.14 &#10;Процент оплаты: 97.74 %"/>
        <s v="Оплачено, руб. (план): 29 533 907.58 &#10;Оплачено, руб. (факт): 29 533 907.58 &#10;Процент оплаты: 83.88 %"/>
        <s v="Оплачено, руб. (план): 25 749 391.44&#10;Оплачено, руб. (факт): 25 749 391.44&#10;Процент оплаты: 73.64 %"/>
        <s v="Оплачено, руб. (факт): 4 493 280.00 &#10;Процент оплаты: 30.00 %"/>
        <s v="Оплачено, руб. (план): 151 020 803.50&#10;Оплачено, руб. (факт): 151 020 803.50&#10;Процент оплаты: 94.82 %"/>
        <s v="Оплачено, руб. (план): 31 377 796.91 &#10;Оплачено, руб. (факт): 31 377 796.91 &#10;Возврат оплат, руб.: 825 137.07 &#10;Процент оплаты: 98.08 %"/>
        <s v="Оплачено, руб. (план): 49 859 635.79 &#10;Оплачено, руб. (факт): 49 859 635.79 &#10;Возврат оплат, руб.: 7 661 697.88 &#10;Процент оплаты: 85.05 %"/>
        <s v="Оплачено, руб. (план): 25 865 635.85&#10;Оплачено, руб. (факт): 25 865 635.85&#10;Процент оплаты: 100.00 %"/>
        <s v="Оплачено, руб. (план): 30 442 986.57&#10;Оплачено, руб. (факт): 30 442 986.57&#10;Процент оплаты: 100.00 %"/>
        <s v="Оплачено, руб. (план): 3 601 766.08&#10;Оплачено, руб. (факт): 3 601 766.08&#10;Процент оплаты: 28.49 %"/>
        <s v="Оплачено, руб. (план): 12 718 815.17&#10;Оплачено, руб. (факт): 3 744 158.69&#10;Процент оплаты: 29.43 %"/>
        <s v="Оплачено, руб. (план): 8 719 200.00 &#10;Оплачено, руб. (факт): 8 719 200.00 &#10;Процент оплаты: 50.00 %"/>
        <s v="Оплачено, руб. (факт): 8 291 500.21 &#10;Процент оплаты: 49.01 %"/>
        <s v="Оплачено, руб. (план): 19 682 643.54 &#10;Оплачено, руб. (факт): 19 682 643.54 &#10;Процент оплаты: 90.06 %"/>
        <s v="Оплачено, руб. (план): 20 638 955.19 &#10;Оплачено, руб. (факт): 18 824 909.17 &#10;Процент оплаты: 79.80 %"/>
        <s v="Оплачено, руб. (план): 12 747 980.00 &#10;Оплачено, руб. (факт): 12 747 980.00 &#10;Процент оплаты: 50.00 %"/>
        <s v="Оплачено, руб. (план): 96 482 586.45 &#10;Оплачено, руб. (факт): 96 482 586.45 &#10;Процент оплаты: 100.00 %"/>
        <s v="Оплачено, руб. (план): 11 309 895.87 &#10;Оплачено, руб. (факт): 11 309 895.87 &#10;Процент оплаты: 56.99 %"/>
        <s v="Оплачено, руб. (план): 5 587 696.84 &#10;Оплачено, руб. (факт): 5 587 696.84 &#10;Процент оплаты: 55.34 %"/>
        <s v="Оплачено, руб. (план): 72 448 934.31&#10;Оплачено, руб. (факт): 72 448 934.31&#10;Процент оплаты: 89.38 %"/>
        <s v="Оплачено, руб. (план): 3 316 829.31 &#10;Оплачено, руб. (факт): 3 316 829.31 &#10;Процент оплаты: 28.51 %"/>
        <s v="Оплачено, руб. (план): 68 812 940.14 &#10;Оплачено, руб. (факт): 63 686 848.31 &#10;Процент оплаты: 75.06 %"/>
        <s v="Оплачено, руб. (план): 35 939 705.34 &#10;Оплачено, руб. (факт): 35 939 705.34 &#10;Процент оплаты: 100.00 %"/>
        <s v="Оплачено, руб. (план): 3 133 550.00&#10;Оплачено, руб. (факт): 3 133 550.00&#10;Процент оплаты: 28.49 %"/>
        <s v="Оплачено, руб. (план): 46 608 000.00&#10;Оплачено, руб. (факт): 46 608 000.00&#10;Процент оплаты: 50.00 %"/>
        <s v="Оплачено, руб. (план): 2 065 767 788.58&#10;Оплачено, руб. (факт): 2 065 767 788.58&#10;Процент оплаты: 100.00 %"/>
        <s v="Оплачено, руб. (план): 73 154 485.55&#10;Оплачено, руб. (факт): 73 154 485.55&#10;Процент оплаты: 93.62 %"/>
        <s v="Сумма произведённых авансовых платежей, руб.: 36 394 500.00&#10;Оплачено, руб. (план): 61 468 880.04&#10;Оплачено, руб. (факт): 61 468 880.04&#10;Процент оплаты: 88.66 %"/>
        <s v="Оплачено, руб. (план): 7 346 320.51 &#10;Оплачено, руб. (факт): 7 346 320.51 &#10;Процент оплаты: 48.83 %"/>
        <s v="Оплачено, руб. (факт): 6 761 739.60 &#10;Процент оплаты: 47.00 %"/>
        <s v="Оплачено, руб. (план): 5 242 160.00 &#10;Оплачено, руб. (факт): 5 022 458.01 &#10;Процент оплаты: 33.53 %"/>
        <s v="Оплачено, руб. (план): 62 966 074.28 &#10;Оплачено, руб. (факт): 62 966 074.28 &#10;Процент оплаты: 100.00 %"/>
        <s v="Исполнено, руб. (факт): 6 101 920.87 &#10;Процент исполнения: 53.90 %"/>
        <s v="Оплачено, руб. (план): 26 308 107.85 &#10;Оплачено, руб. (факт): 26 308 107.85 &#10;Процент оплаты: 99.12 %"/>
        <s v="Оплачено, руб. (план): 3 113 751.00 &#10;Оплачено, руб. (факт): 3 113 751.00 &#10;Процент оплаты: 30.00 %&#10;верно"/>
        <s v="Оплачено, руб. (план): 95 185 992.54 &#10;Оплачено, руб. (факт): 95 185 992.54 &#10;Процент оплаты: 95.31 %"/>
        <s v="Оплачено, руб. (факт): 6 396 320.24 &#10;Процент оплаты: 47.00 %"/>
        <s v="Оплачено, руб. (план): 17 677 965.82&#10;Оплачено, руб. (факт): 17 677 965.82&#10;Процент оплаты: 72.02 %"/>
        <s v="Оплачено, руб. (план): 24 431 363.68 &#10;Оплачено, руб. (факт): 24 431 363.68 &#10;Процент оплаты: 96.21 %"/>
        <s v="Оплачено, руб. (план): 30 368 414.93&#10;Оплачено, руб. (факт): 30 368 414.93&#10;Процент оплаты: 81.59 %"/>
        <s v="Оплачено, руб. (план): 7 067 134.53 &#10;Оплачено, руб. (факт): 7 067 134.53 &#10;Процент оплаты: 100.00 %"/>
        <s v="Оплачено, руб. (план): 7 119 068.45 &#10;Оплачено, руб. (факт): 7 119 068.45 &#10;Процент оплаты: 98.48 %"/>
        <s v="Оплачено, руб. (план): 5 439 701.61 &#10;Оплачено, руб. (факт): 5 439 701.61 &#10;Процент оплаты: 45.12 %"/>
        <s v="Оплачено, руб. (план): 45 279 584.76 &#10;Оплачено, руб. (факт): 45 279 584.76 &#10;Процент оплаты: 98.52 %"/>
        <s v="Исполнено, руб. (план): 15 385 000.00 &#10;Исполнено, руб. (факт): 14 792 100.41 &#10;Процент исполнения: 96.14 %"/>
        <s v="Оплачено, руб. (факт): 5 870 892.67 &#10;Процент оплаты: 47.00 %"/>
        <s v="Оплачено, руб. (план): 6 477 030.00 &#10;Оплачено, руб. (факт): 6 477 030.00 &#10;Процент оплаты: 50.00 %"/>
        <s v="Оплачено, руб. (план): 5 534 296.59&#10;Оплачено, руб. (факт): 5 534 296.59&#10;Процент оплаты: 47.00 %"/>
        <s v="Контракт расторгнут 19.02.2026 по факту выполненных работ&#10;Оплачено, руб. (факт): 145 250 899.73&#10;Процент оплаты: 66.62 %&#10;Оплата выполнена"/>
        <s v="&quot;Закрыто по факту выполненных работ&#10;Оплачено, руб. (факт): 68 311 865.72&#10;Процент оплаты: 76.67 %&#10;Оплата выполнена"/>
        <s v="Оплачено, руб. (план): 12 490 749.00&#10;Оплачено, руб. (факт): 12 490 749.00&#10;Процент оплаты: 66.70 %"/>
        <s v="Оплачено, руб. (факт): 5 330 664.00 &#10;Процент оплаты: 30.00 %"/>
        <s v="Оплачено, руб. (план): 5 631 969.21&#10;Оплачено, руб. (факт): 5 631 969.21&#10;Процент оплаты: 47.50 %"/>
        <s v="Оплачено, руб. (план): 5 087 135.12&#10;Оплачено, руб. (факт): 5 087 135.12&#10;Процент оплаты: 47.50 %"/>
        <s v="Оплачено, руб. (факт): 4 648 296.02 &#10;Процент оплаты: 46.99 %"/>
        <s v="Оплачено, руб. (план): 4 661 164.20&#10;Оплачено, руб. (факт): 4 661 164.20&#10;Процент оплаты: 47.50 %"/>
        <s v="Оплачено, руб. (план): 95 736 731.84&#10;Оплачено, руб. (факт): 95 736 731.84&#10;Процент оплаты: 94.98 %"/>
        <s v="Оплачено, руб. (план): 5 096 809.20 &#10;Оплачено, руб. (факт): 5 096 809.20 &#10;Процент оплаты: 50.00 %"/>
        <s v="Оплачено, руб. (план): 1 998 200.00&#10;Оплачено, руб. (факт): 1 998 200.00&#10;Процент оплаты: 28.49 %"/>
        <s v="Оплачено, руб. (план): 1 173 116.44 &#10;Оплачено, руб. (факт): 1 173 116.44 &#10;Процент оплаты: 68.96 %"/>
        <s v="Оплачено, руб. (план): 1 144 724.98 &#10;Оплачено, руб. (факт): 1 144 724.98 &#10;Процент оплаты: 82.29 %"/>
        <s v="Оплачено, руб. (план): 632 651.89 &#10;Оплачено, руб. (факт): 632 651.89 &#10;Процент оплаты: 82.01 %"/>
        <s v="Оплачено, руб. (план): 1 662 958.06 &#10;Оплачено, руб. (факт): 1 662 958.06 &#10;Процент оплаты: 90.08 %"/>
        <s v="Оплачено, руб. (план): 1 387 745.16 &#10;Оплачено, руб. (факт): 1 387 745.16 &#10;Процент оплаты: 92.53 %"/>
        <s v="Оплачено, руб. (план): 990 477.46 &#10;Оплачено, руб. (факт): 990 477.46 &#10;Процент оплаты: 86.92 %"/>
        <s v="Оплачено, руб. (план): 2 116 493.79 &#10;Оплачено, руб. (факт): 2 116 493.79 &#10;Процент оплаты: 57.10 %"/>
        <s v="Оплачено, руб. (план): 12 232 977.14 &#10;Оплачено, руб. (факт): 12 232 977.14 &#10;Процент оплаты: 92.70 %"/>
        <s v="Оплачено, руб. (план): 1 238 809.57 &#10;Оплачено, руб. (факт): 1 238 809.57 &#10;Процент оплаты: 96.54 %"/>
        <s v="Оплачено, руб. (план): 66 402 865.74 &#10;Оплачено, руб. (факт): 66 402 865.74 &#10;Процент оплаты: 76.16 %"/>
        <s v="Оплачено, руб. (план): 100 319 598.20 &#10;Оплачено, руб. (факт): 100 319 598.20 &#10;Процент оплаты: 95.71 %"/>
        <s v="Оплачено, руб. (план): 7 112 989.17 &#10;Оплачено, руб. (факт): 7 112 989.17 &#10;Возврат оплат, руб.: 774 894.76 &#10;Процент оплаты: 54.62 %"/>
        <s v="Оплачено, руб. (план): 25 012 175.28&#10;Оплачено, руб. (факт): 25 012 175.28&#10;Процент оплаты: 83.81 %"/>
        <s v="Оплачено, руб. (план): 73 393 908.95 &#10;Оплачено, руб. (факт): 73 393 908.95 &#10;Процент оплаты: 78.89 %"/>
        <s v="Оплачено, руб. (план): 89 218 514.74&#10;Оплачено, руб. (факт): 89 218 514.74&#10;Процент оплаты: 94.70 %"/>
        <s v="Оплачено, руб. (план): 10 620 480.00 &#10;Оплачено, руб. (факт): 10 620 480.00 &#10;Процент оплаты: 50.00 %"/>
        <s v="Оплачено, руб. (план): 68 930 056.21&#10;Оплачено, руб. (факт): 68 930 056.21&#10;Процент оплаты: 78.29"/>
        <s v="Оплачено, руб. (план): 64 417 238.58 &#10;Оплачено, руб. (факт): 64 417 238.58 &#10;Процент оплаты: 93.15 %"/>
        <s v="Оплачено, руб. (план): 5 607 342.29 &#10;Оплачено, руб. (факт): 5 607 342.29 &#10;Процент оплаты: 91.88 %"/>
        <s v="Оплачено, руб. (факт): 4 138 889.56 &#10;Процент оплаты: 47.00 %"/>
        <s v="Оплачено, руб. (план): 102 334 268.54 &#10;Оплачено, руб. (факт): 102 334 268.54 &#10;Возврат оплат, руб.: 463 592.25 &#10;Процент оплаты: 99.04 %"/>
        <s v="Оплачено, руб. (план): 65 265 188.06 &#10;Оплачено, руб. (факт): 65 265 188.06 &#10;Процент оплаты: 100.00 %"/>
        <s v="Оплачено, руб. (план): 100 201 734.13 &#10;Оплачено, руб. (факт): 100 201 734.13 &#10;Процент оплаты: 100.00 %"/>
        <s v="Оплачено, руб. (план): 16 373 240.00 &#10;Оплачено, руб. (факт): 16 373 240.00 &#10;Процент оплаты: 50.00 %"/>
        <s v="Оплачено, руб. (план): 4 117 400.00 &#10;Оплачено, руб. (факт): 4 117 400.00 &#10;Процент оплаты: 47.35 %"/>
        <s v="Оплачено, руб. (факт): 34 850 291.87 &#10;Процент оплаты: 88.99 %"/>
        <s v="Оплачено, руб. (факт): 3 805 778.00 &#10;Процент оплаты: 47.00 %"/>
        <s v="Оплачено, руб. (факт): 1 736 040.00 &#10;Процент оплаты: 30.00 %"/>
        <s v="Оплачено, руб. (факт): 18 020 100.00&#10;Возврат оплат, руб.: 113 701.39&#10;Процент оплаты: 82.18 %"/>
        <s v="Оплачено, руб. (план): 131 658 585.34&#10;Оплачено, руб. (факт): 131 658 585.34&#10;Процент оплаты: 100.00 %"/>
        <s v="Оплачено, руб. (факт): 3 380 869.80 &#10;Процент оплаты: 47.00 %"/>
        <s v="Оплачено, руб. (факт): 3 294 472.90 &#10;Процент оплаты: 47.00 %"/>
        <s v="Оплачено, руб. (план): 201 146 292.94&#10;Оплачено, руб. (факт): 201 146 292.94&#10;Процент оплаты: 97.61 %"/>
        <s v="Оплачено, руб. (факт): 2 878 327.00 &#10;Процент оплаты: 47.00 %"/>
        <s v="Оплачено, руб. (факт): 1 390 572.00 &#10;Процент оплаты: 30.00 %"/>
        <s v="Оплачено, руб. (факт): 35 442 341.00 &#10;Процент оплаты: 92.32 %"/>
        <s v="Оплачено, руб. (план): 13 783 430.60&#10;Оплачено, руб. (факт): 13 678 471.86&#10;Возврат оплат, руб.: 41 053.74&#10;Процент оплаты: 82.01 %"/>
        <s v="Оплачено, руб. (факт): 2 479 304.52 &#10;Процент оплаты: 47.00 %"/>
        <s v="Оплачено, руб. (план): 825 815.60&#10;Оплачено, руб. (факт): 824 262.98&#10;Процент оплаты: 30.75 %"/>
        <s v="Оплачено, руб. (план): 1 384 128.92&#10;Оплачено, руб. (факт): 1 384 128.92&#10;Процент оплаты: 34.20 %"/>
        <s v="Оплачено, руб. (план): 1 602 834.78&#10;Оплачено, руб. (факт): 1 436 351.69&#10;Процент оплаты: 41.21 %"/>
        <s v="Оплачено, руб. (план): 1 389 879.20&#10;Оплачено, руб. (факт): 1 389 879.20&#10;Возврат оплат, руб.: 1 389 879.20&#10;Процент оплаты: 30.00 %"/>
        <s v="Оплачено, руб. (план): 56 516 274.72&#10;Оплачено, руб. (факт): 56 516 274.72&#10;Возврат оплат, руб.: 56 516 274.72&#10;Процент оплаты: 29.99 %"/>
        <s v="Оплачено, руб. (план): 56 314 158.14&#10;Оплачено, руб. (факт): 56 314 158.14&#10;Процент оплаты: 95.42 %"/>
        <s v="Оплачено, руб. (план): 13 505 016.93&#10;Оплачено, руб. (факт): 13 505 016.93&#10;Процент оплаты: 90.26 %"/>
        <s v="Оплачено, руб. (план): 8 800 994.61&#10;Оплачено, руб. (факт): 8 800 994.61&#10;Процент оплаты: 85.73 %"/>
        <s v="Оплачено, руб. (план): 15 411 811.17 &#10;Оплачено, руб. (факт): 15 411 811.17 &#10;Процент оплаты: 86.08 %"/>
        <s v="Оплачено, руб. (план): 4 679 747.59&#10;Оплачено, руб. (факт): 4 649 209.59&#10;Процент оплаты: 97.84 %"/>
        <s v="Оплачено, руб. (план): 204 192 884.49&#10;Оплачено, руб. (факт): 204 192 884.49&#10;Процент оплаты: 100.00 %"/>
        <s v="Оплачено, руб. (план): 29 097 659.83&#10;Оплачено, руб. (факт): 29 097 659.83&#10;Процент оплаты: 97.89 %"/>
        <s v="Оплачено, руб. (план): 34 985 609.74&#10;Оплачено, руб. (факт): 34 985 609.74&#10;Процент оплаты: 97.88 %"/>
        <s v="Оплачено, руб. (план): 23 738 079.72&#10;Оплачено, руб. (факт): 23 738 079.72&#10;Процент оплаты: 97.80 %"/>
        <s v="Субсидия"/>
        <s v="Оплачено, руб. (план): 19 253 068.28&#10;Оплачено, руб. (факт): 19 253 068.28&#10;Процент оплаты: 82.60 %"/>
        <s v="Оплачено, руб. (план): 79 267 971.10&#10;Оплачено, руб. (факт): 76 275 042.89&#10;Возврат оплат, руб.: 87 042.01&#10;Процент оплаты: 85.53 %"/>
        <s v="Оплачено, руб. (план): 68 169 901.74&#10;Оплачено, руб. (факт): 68 169 901.74&#10;Процент оплаты: 96.06 %"/>
        <s v="Оплачено, руб. (план): 24 333 419.22&#10;Оплачено, руб. (факт): 24 333 419.22&#10;Возврат оплат, руб.: 60 574.82&#10;Процент оплаты: 68.26 %"/>
        <s v="Оплачено, руб. (план): 36 375 671.77 &#10;Оплачено, руб. (факт): 36 375 671.77 &#10;Процент оплаты: 92.75 %"/>
        <s v="Оплачено, руб. (факт): 1 118 820.00 &#10;Процент оплаты: 30.00 %"/>
        <s v="Оплачено, руб. (план): 22 694 315.96 &#10;Оплачено, руб. (факт): 22 694 315.96 &#10;Процент оплаты: 95.34 %"/>
        <s v="Оплачено, руб. (план): 19 653 044.88 &#10;Оплачено, руб. (факт): 19 653 044.88 &#10;Процент оплаты: 93.06 %"/>
        <s v="Оплачено, руб. (план): 107 351 882.94 &#10;Оплачено, руб. (факт): 107 351 882.94 &#10;Процент оплаты: 65.34 %"/>
        <s v="Оплачено, руб. (план): 24 785 002.50 &#10;Оплачено, руб. (факт): 24 785 002.50 &#10;Возврат оплат, руб.: 10 899 421.96 &#10;Процент оплаты: 88.57 %"/>
        <s v="Оплачено, руб. (план): 16 280 698.79 &#10;Оплачено, руб. (факт): 16 280 698.79 &#10;Возврат оплат, руб.: 4 747 303.07 &#10;Процент оплаты: 98.25 %"/>
        <s v="Оплачено, руб. (план): 42 591 366.48 &#10;Оплачено, руб. (факт): 42 591 366.48 &#10;Возврат оплат, руб.: 16 186 966.87 &#10;Процент оплаты: 79.33 %"/>
        <s v="Оплачено, руб. (план): 32 493 883.08 &#10;Оплачено, руб. (факт): 32 493 883.08 &#10;Процент оплаты: 87.48 %"/>
        <s v="Оплачено, руб. (план): 110 812 299.27 &#10;Оплачено, руб. (факт): 110 812 299.27 &#10;Процент оплаты: 98.01 %"/>
        <s v="Оплачено, руб. (план): 90 188 189.46&#10;Оплачено, руб. (факт): 90 188 189.46&#10;Процент оплаты: 94.74 %"/>
        <s v="Оплачено, руб. (план): 26 844 253.62&#10;Оплачено, руб. (факт): 26 844 253.62&#10;Процент оплаты: 93.64 %"/>
        <s v="Оплачено, руб. (план): 3 962 394.15 &#10;Оплачено, руб. (факт): 3 962 394.15 &#10;Процент оплаты: 94.27 %"/>
        <s v="Оплачено, руб. (план): 241 690 461.70 &#10;Оплачено, руб. (факт): 241 690 461.70 &#10;Процент оплаты: 99.95 %"/>
        <s v="Оплачено, руб. (план): 727 682.57&#10;Оплачено, руб. (факт): 727 682.57&#10;Процент оплаты: 28.10 %"/>
        <s v="Оплачено, руб. (факт): 428 904.00 &#10;Процент оплаты: 30.00 %"/>
        <s v="Оплачено, руб. (план): 63 597 705.17 &#10;Оплачено, руб. (факт): 63 597 705.17 &#10;Процент оплаты: 71.51 %"/>
        <s v="Оплачено, руб. (план): 220 769 356.59 &#10;Оплачено, руб. (факт): 220 769 356.59 &#10;Процент оплаты: 91.59 %"/>
        <s v="Оплачено, руб. (план): 234 532 119.31 &#10;Оплачено, руб. (факт): 234 532 119.31 &#10;Процент оплаты: 81.73 %"/>
        <s v="Оплачено, руб. (план): 30 035 422.89 &#10;Оплачено, руб. (факт): 30 035 422.89 &#10;Возврат оплат, руб.: 733 304.15 &#10;Процент оплаты: 91.27 %"/>
        <s v="Оплачено, руб. (план): 52 485 181.66 &#10;Оплачено, руб. (факт): 52 485 181.66 &#10;Процент оплаты: 100.00 %"/>
      </sharedItems>
    </cacheField>
    <cacheField name="Комментарий2">
      <sharedItems containsBlank="1" containsMixedTypes="1" containsNumber="1" containsInteger="1">
        <n v="22.0"/>
        <m/>
        <s v="Не вышли из МОГЭ"/>
        <s v="Не подписано КС в УТНКР"/>
        <s v="Не сдана ИД в УТНКР.&#10;Не подписан КС-2&#10;выплачен аванс"/>
        <s v="СМР не завершен.&#10;МОГЭ - не получено"/>
        <s v="Контракт закртыт и оплачен. Закрытие не на полную сумму договора"/>
        <s v="Объект оплачен по факту выполненных работ. Расторжение договора в процессе. Завершение работ Хозспособ либо заключение с новым ПО"/>
        <s v="СМР не завершен. перенесенный объект из 2026. Было перезаключение контракта."/>
        <s v="СМР не завершен"/>
        <s v="МОГЭ прошли&#10;Лимиты доведены на увеличение стоимости по заключению МОГЭ. Софинансирование местного бюджета доведено. Закрытие после сдачи всех работ (ориентировочно 30.06.2026)"/>
        <s v="Полностью оплачен"/>
        <s v="Полностью оплачен (ранее была кредиторка)"/>
        <s v="не сданы работы по ПНР под нагрузкой, благоустройству. Процент выплат 96,4%"/>
        <s v="Нет МОГЭ"/>
        <s v="закрыто под факт исполнение в 2025году 90.77 %"/>
        <s v="Контракт расторгнут под факт"/>
        <s v="Нет МОГЭ&#10;Ведется СМР"/>
        <s v="контракт расторгнут под факт. Процент оплаты 55.47 %"/>
        <s v="выплачен аванс, проект не прошел экспертизу МОГЭ. Отсутствует возможность закрытия контракта. сумма выплат 29.99 %"/>
        <s v="Оплачен"/>
        <s v="Контракт расторгнут, объект перенесен на 2026г."/>
        <s v="Объект оплачен. Цена контракта была снижена"/>
        <s v="СМР завершен. КС подписана УТНКР. В связи с окончанием БГ в 2024г. Оплата работ возможна при обращении подрядчика в суд."/>
        <s v="Цастичная оплата. Цена контракта была снижена"/>
        <s v="Контракт рсторгнут"/>
        <s v="Контракт расторгнут"/>
        <s v="Кредиторская задолженность&#10;Оплата до 15.04.2026"/>
        <s v="Ведется СМР. СГ 25%"/>
        <s v="работы выполнены на 100%.. Заказчик готов оплачивать&#10;Замечания по ИД у УТНКР.&#10;Ориентировочное устранение замечаний до 10.06.2026 , оплата 10.07.2026"/>
        <s v="новый контракт по КЧС, выплачен аванс 50%"/>
        <s v="Ведется СМР&#10;Не сдан ИД/Не подписано КС в УТНКР"/>
        <s v="Осталось благоустройство. Остатки КС-2 по СМР приняты УТНКР и подгружены в ПИК"/>
        <s v="Контракт только ПИР. Выплачен аванс 30%"/>
        <s v="ИД не сдано. Осталось благоустройство."/>
        <s v="Не сданы ИД/КС"/>
        <s v="Требуется доп согл об увелич лимитов."/>
        <s v="Ведется СМР"/>
        <s v="Не сданы ИД/КС 03.04 подача на частичное закрытие"/>
        <s v="Оплачено частично, СМР не завершены"/>
        <s v="Не подписано частично КС в УТНКР"/>
        <s v="КС на оформлении на сумму 76 млн руб."/>
        <s v="Не вышли из МОГЭ. СМР не выполнен"/>
        <s v="ИД сдано частично. СМР выполнен"/>
        <s v="по результатам НТС увеличена сумма контракта."/>
        <s v="Работы закрыты под факт выполнения"/>
        <s v="ИД сдано частично. Осталось отделочные работы"/>
        <s v="Будет перезаход в МОГЭ"/>
        <s v="Нет МОГЭ&#10;Осталось выполнить общестроительные работы."/>
        <s v="Нет МОГЭ&#10;Выплачен аванс"/>
        <s v="СМР не завершены"/>
        <s v="СМР завершен. Работы оплачено"/>
        <s v="СМР завершен. Работы оплачены."/>
        <s v="Оформление ИД, КС"/>
        <s v="Нет МОГЭ&#10;Остались общестроительные работы"/>
        <s v="мероприятие исключено"/>
        <s v="Работы выполнены на 100%. Расторглись по факту выполнения."/>
        <s v="СМР не завершен&#10;МОГЭ не получено"/>
        <s v="Оплачено"/>
        <s v="Расторгнут по факту выполнения работ&#10;по результатам НТС увеличена сумма контракта."/>
        <s v="Отсутствует заключение МОГЭ"/>
        <s v="Объект закрыт и оплачен"/>
        <s v="Контракт исполнен"/>
        <s v="СМР закончен. Объект выполнен. КС-2 не подгружено в ПИК. ИД не сдана."/>
        <s v="ИД сдано частично. Остались общестроительные работы"/>
        <s v="не оформлена ИД, не подписаны КС, общестроительные работы"/>
        <s v="СМР не завершен&#10;Окончание СМР 20.05.2026&#10;ПНР 30.05.2026&#10;Повторно зашли в МОГЭ 03.05.2026"/>
        <s v="Прошли НТС с увеличением суммы. Пир не принят. Будет доп на новую цену и потом сдача УТНКР"/>
        <s v="Оплата частично, оформление ИД, КС"/>
        <s v="Требуется доп согл об увелич лимитов"/>
        <s v="Нет МОГЭ. Ожидание устранений замечаний&#10;СМР и благоустройство выполнено"/>
        <s v="МОГЭ получено"/>
        <s v="Частично оплачено"/>
        <s v="Нет МОГЭ. Заявление в Могэ от 25.03.2026&#10;СМР и благоустройство выполнено"/>
        <s v="ИД сдана. КС-2 подписаны. Частичная оплата"/>
        <s v="выплачено в полном объеме"/>
        <s v="МОГЭ прошли&#10;Лимиты областные доведены 25.03.2026 на увеличение стоимости по заключению МОГЭ. Софинансирование местного бюджета доведено."/>
        <s v="Не сданы ИД/КС (50% ИД сдано в 2025 в УТНКР"/>
        <s v=" ИД/ подписано КС в УТНКР"/>
        <s v="Работы выполнены. ИД сдано частично"/>
        <s v="Оплаты не будет, на расторжении. (высвобожденные лимиты будут использованы при балансировке)"/>
        <s v="27-10-2025 Контракт расторгнут по обоюдному согласию обеих сторон&#10;Письмо ГБУ-04-15164/2025 &#10;от 30.10.2025"/>
        <s v="выплата аванса, оформление ИД"/>
        <s v="Не представлена ИД /КС"/>
        <s v="СМР не завершён"/>
        <s v="ИД сдано частично. Осталось благоустройство"/>
        <s v="Не вышли из МОГЭ (превышение, нужно пройти НТС. устраняют замечания)&#10;СМР не завершен&#10;СМР: будет выполнено до 16.06.2026"/>
        <s v="СМР выполнен. Расторгнут по факту выполнения"/>
        <s v="Отсутсвие банковской гарантии, отсутствие КС/ИД"/>
        <s v="СМР завершен. Объект оплачен"/>
        <s v="СМР завершен"/>
        <s v="Повторный заход в могэ для корректировки проекта. Затем сдача в УТНКР"/>
        <s v="СМР не начат. Выплачен аванс на ПИР."/>
        <s v="Осталось благоустройство"/>
        <s v="Ведется СМР&#10;Выплачен аванс"/>
        <s v="Позднее получение МОГЭ&#10;Перенос лимитов на 2026 год&#10;Оплата до 20.03.2026&#10;&quot;Кредиторская задолженность&#10;Оплата до 15.07.2026&quot;"/>
        <s v="частичная оплата"/>
        <s v="Поздний выход из МОГЭ, подготовка подписания КС-2, исполнительной документации и акта закрытия. Оплату произведут до 03.04.2026"/>
        <s v="получено положительное заключение"/>
        <s v="остались работы по строительной части котельной, объемы благоустройство оплачено 84.57 %"/>
        <s v="Частичная оплата, оформление КС"/>
        <s v="Бывший Лэендстрой.&#10;Новый контракт заключен&#10;СМР не завершен"/>
        <s v="Не сдан ИД/Не подписано КС в УТНКР"/>
        <s v="ИД сдано частично. Осталось финальное благоустройство"/>
        <s v="Позднее доведение средств 29.12.2025&#10;Перенос лимитов на 2026 год&#10;Идет процедура смены заказчика&#10;Оплата до 25.07.2026&#10;Выплачен аванс"/>
        <s v="Кредиторская задолженность"/>
        <s v="Не подписано КС в ПИК"/>
        <s v="Не сдана ИД/КС"/>
        <s v="Положительное заключение № 50-1-1-3-005480-2026 от 16.02.2026&#10;Отсутствует техприс по газу. Для работы котельной необходимо давление газа 5 Мпа. Договор на техприс заключен. Срок реализации техприса август 2026 года. БМК готова к работе. Старая ( угольная "/>
        <s v="Не зашли в МОГЭ.&#10;В МОГЭ могут зайти после изменения ТЗ (по требованиям МОГЭ)&#10;Перевести из PDF в XML, скорректировать мощность с 0,7 МВт на 0,2 МВт&#10;Дата захода в МОГЭ: 20.05.2026"/>
        <s v="объект закрыт полностью под фактическое исполнение"/>
        <s v="остались объемы по благоустройству, не полностью сдана ИД в части благоустройства процент оплаты 77.58 %"/>
        <s v="закрыто под факт выполнение в 2025 году. Процент выплат 84%"/>
        <s v="контракт не заключен"/>
        <s v="закрыто под факт выполнение в 2025 году. Процент выплат 100%"/>
        <s v="Не завершены СМР по установке насосного оборудования, автоматики. ИД подписана частьично. Процент выплат 25.72 %"/>
        <s v="Не завершены СМР по установке насосного оборудования, автоматики. ИД подписана частьично. Процент выплат 27.89 %"/>
        <s v="Отсутствует заключение МОГЭ. Отсутствует ИД. СМР выполнен. Процент выплаты 30%"/>
        <s v="остались объемы по благоустройству, не полностью сдана ИД в части благоустройства процент оплаты 75.02 %"/>
        <s v="Не сдан ИД/Не подписано КС в УТНКР&#10;Не завершено финальное благоустройство"/>
        <s v="остались объемы по благоустройству и по СМР тепловых камер, не полностью сдана ИД в части благоустройства процент оплаты 79.96 %"/>
        <s v="Работа выполнена, закрыто под факт"/>
        <s v="Не сдана ИД"/>
        <s v="оплачено полностью"/>
        <s v="Работы приняты и оплачены полностью"/>
        <s v="Сданы ИД/КС"/>
        <s v="Не зашел в МОГЭ"/>
        <s v="Выполнен и оплачен 100%"/>
        <s v="сдан ИД подписано КС в УТНКР"/>
        <s v="ИД сдана. Частичная оплата"/>
        <s v="Расторгнут под факт"/>
        <s v="Не вышли из МОГЭ. &#10;работы завершены"/>
        <s v="Выплачен аванс"/>
        <s v="остались объемы по благоустройству, не полностью сдана ИД в части благоустройства процент оплаты 72.02 %"/>
        <s v="Контракт исполнен на 100%"/>
        <s v="Не сдано ИД. СМР выполнен"/>
        <s v="МОГЭ не получено"/>
        <s v="Работа выполнена,закрыто под факт"/>
        <s v="остались объемы по благоустройству, не полностью сдана ИД в части благоустройства процент оплаты 66.70 %"/>
        <s v="Нет МОГЭ,СМР не завершен"/>
        <s v="остались объемы по благоустройству и по СМР тепловых камер, не полностью сдана ИД в части благоустройства процент оплаты 94.98 %"/>
        <s v="Работы выполнены, контракт закрыт. Остатки будут возвращены в Минэнерго"/>
        <s v="Выполнены частично, процедура одностороннего расторжения. Остаток работ Заказчик выполнит своими силами, остаток будет возвращен"/>
        <s v="остались объемы по благоустройству и по ПНР под нагрузкой, не полностью сдана ИД в части благоустройства процент оплаты 94.74 %"/>
        <s v="СМР завершен. Контракт исполнен"/>
        <s v="Оплачен частично"/>
        <s v="закрыто под факт выполнения. Процент оплаты 97.61 %"/>
        <s v="МОГЭ получено 29.01.2026&#10;Не сдан ИД/Не подписано КС в УТНКР"/>
        <s v="Контракт расторгнут под факт исполнение. Процент выплат 30.75 %"/>
        <s v="Контракт расторгнут под факт исполнение. Процент выплат 34.20 %"/>
        <s v="Контракт расторгнут под факт исполнение. Процент выплат 41.21 %"/>
        <s v="Контракт расторгнут под факт исполнение. Процент выплат 30.00 %"/>
        <s v="Контракт расторгнут под факт исполнение. Процент выплат 30 %"/>
        <s v="Контракт закрыт под факт выполнение 2025. Процент выплат 90%"/>
        <s v="Контракт закрыт под факт выполнение. Процент выплат 85.73 %"/>
        <s v="ИД сдано частично. 1000004223.1000005139"/>
        <s v="Контракт закрыт под факт выполнение. Процент выплат 97.84 %"/>
        <s v="контракт выполнен, оплачен в 2025 году под факт выполнения. Процент выплат 100%"/>
        <s v="контракт выполнен, оплачен в 2025 году под факт выполнения. Процент выплат 97.89 %"/>
        <s v="контракт выполнен, оплачен в 2025 году под факт выполнения. Процент выплат 97,88"/>
        <s v="контракт выполнен, оплачен в 2025 году под факт выполнения. Процент выплат 97,8%"/>
        <s v="Работы выполнены, контракт закрыт."/>
        <s v="Увеличение стоимости (НТС)&#10;Не сдан ИД/Не подписано КС в УТНКР"/>
        <s v="СМР выполнен. Объект оплачен"/>
      </sharedItems>
    </cacheField>
    <cacheField name="Комментарии 10.04.2026" numFmtId="0">
      <sharedItems containsBlank="1">
        <m/>
        <e v="#REF!"/>
        <s v="Работы закрыты под факт выполнения"/>
        <s v="оплачен"/>
        <s v="оплачен без благоустройства"/>
        <s v="мероприятие исключено"/>
        <s v="Оплачено"/>
        <s v="выплачено в полном объеме"/>
        <s v="Отсутствует БГ, закрытие работ будет под факт"/>
        <s v=""/>
        <s v="Работа выполнена, закрыто под факт"/>
        <s v="Работа выполнена,закрыто под факт"/>
      </sharedItems>
    </cacheField>
    <cacheField name="Комментраии 27.04.2026" numFmtId="0">
      <sharedItems containsBlank="1">
        <m/>
        <e v="#REF!"/>
        <s v="СМР не завершен. перенесенный объект из 2026. Было перезаключение контракта в МОГЭ с 13.04.2026 26.05.2026. КС-2 и ИТД не представлялись.Плановая дата предачи ИД в УТНКР 15.06.2026"/>
        <s v="Ведется СМР (предварительная дата окончания 30.09.2026).&#10;До настоящего времени Подрядчиком не предоставлены ИД,КС на выполненные виды работ."/>
        <s v="Работы закрыты под факт выполнения"/>
        <s v="оплачен"/>
        <s v="оплачен без благоустройства"/>
        <s v="мероприятие исключено"/>
        <s v="Оплачено"/>
        <s v="выплачено в полном объеме"/>
        <s v="Отсутствует БГ, закрытие работ будет под факт"/>
        <s v="Работа выполнена, закрыто под факт"/>
        <s v="Работа выполнена,закрыто под факт"/>
      </sharedItems>
    </cacheField>
    <cacheField name="Комментарий РП на 19.06.2026" numFmtId="0">
      <sharedItems containsBlank="1">
        <m/>
        <s v="Выход из МОГЭ до 20.06.2026 с тех часть, дальше перезаход с полным комплектом документов.  Положительное заключение не получить на данный момент, в связи с отсутствием ТУ на газоснабжение. У ОМСУ отсутсвуют лимиты финансирования, изыскивают средства.  Пла"/>
        <s v="Монтажные работы завершены. Теплоноситель подается по новому трубопроводу. СМР не завершен в части восстановления благоустройства. "/>
        <s v="СМР ведутся.&#10;ПНР: выполнен для котлов №2  №4, №3&#10;Необходимо выполнить до окончания строительства:&#10;- пусконаладочные работы котла №1 (план 22.06.2026)&#10;                             получить тех. прис (договор заключен, аванс оплачен 30.06.26).  ПНР - июль. "/>
        <s v="Согласование по 65.1 получено 12.05.2026&#10;Положительное заключение МОГЭ получено 15.06.2026 (повторное прохождение по конструктиву тепловых камер)&#10;&#10;СМР выполнен. В период ОЗП 2025-2026 тепло было запущено по новой схеме.&#10;&#10;ИД в процессе передачи на проверку"/>
        <s v="Положительное заключение МОГЭ получено 13.05.2026&#10;Тепломеханическое оборудование смонтировано, работает (ОЗП 2025-2026 тепло было запущено по новой схеме)&#10;СМР не завершен в части общестроительных работ. Плановая дата завершения работ 30.07.2026"/>
        <s v="Оплата выполнена"/>
        <s v="Получено положительное заключение МОГЭ 26.05.2026&#10;&#10;СМР не закончен&#10;Договор заключен по КЧС&#10;&#10;Режим ЧС закончился, планируются новые торги на оставшийся объём. Плановая дата объявления торгов 30.06.2026"/>
        <s v="Получено положительное заключение МОГЭ 30.12.2025&#10;СМР завершен. ИД передана в УТНКР . Ожидаем подписание КС"/>
        <s v="МОГЭ не получено, необходимо внесение изменений в ТЗ к конракту, плановая дата захода в МОГЭ 25.06.2026&#10;&#10;В контракте 16 мероприятий &#10;(10 сетей, 3 ЦТП, 3 Котельные)&#10;&#10;Исключение 1 сети из этого контракта до 05.06.2026 (Написано письмо 155-01 исх-6695 с пред"/>
        <s v="ИД сдана в УТНКР, находится на проверке. Устраняют замечания.Ожидаемая сдача закрытия ИД, КС к 15.07.2026 г. Оплата 20 июля. Ждут БГ."/>
        <s v="СМР закончен. Документы подписаны, Оплата произведена. Контракт закрыт."/>
        <s v="СМР завершен&#10;сдана ИД &#10;не устранены замечания УТНКР. устраняются замечания по ИД (план сдачи до 15.07.2026)"/>
        <s v="Идет согласование ИД. Крайняя дата оплаты 15.11.2026&#10;Для завершения работ необходимо принять в муниципальную собственность 4км ТС, идет процедура передачи прав собственности, срок завершения 18.06.2026 &#10;Плановая дата захода в МОГЭ 10.07.2026."/>
        <s v="оплачен"/>
        <s v="&#10;Находится в МОГЭ на проверке комплектности с 05.06.2026 г. &#10;СМР ведутся  СГ-50%&#10;Подрядчиком было предоставлено 29.08.2025 экспертное о невозможности замены только трубопроводов отопления без замены трубопроводов ГВС.&#10;В МОГЭ зашли с четырехтрубной системо"/>
        <s v="новый подрядчик Строй Групп к работам не приступил.&#10;&#10;Заключен догвор на сборку и поставку БМК с заводом (срок до 25.06.2026)&#10;&#10;срок сдачи декабрь 2026 года"/>
        <s v="Положительное заключение МОГЭ получено 05.03.2026 &#10;&#10;Тепломеханическое оборудование смонтировано, работает (ОЗП 2025-2026 тепло было запущено по новой схеме) &#10;СМР не завершен в части общестроительных работ. &#10;&#10;Плановая дата завершения работ 15.07.2026. Идет"/>
        <s v="необходимо продление договора после внесения изменений в ГП. Срок актуалисзации ГП после 15.07.2026. &#10;После - заключение допсоглашения на продление сроков контракта. &#10;Необходим заход в экспертизу для получения положительного заключения МОГЭ (срок до 22.07"/>
        <s v="Документы в МОГЭ поданы. &#10;Плановая дата выхода из МОГЭ - 30.06.2026 &#10;СМР не завершен, плановая дата врезки и завершения благоустройства 30.06.2026 г. &#10;Плановая дата оплаты - конец августа начало сентября."/>
        <s v="Выход из могэ до 28.06. Готовы оплатить ПИР и СМР после предоставления документов. Осталось выполнить наружные теплосети, опоры. Электрика и автоматизация - конец июня. ПНР - 15.07(окончание). Оплата - начало сентября. Сложность сдачи ИД в УТНКР"/>
        <s v="СМР завершен. КС подписана УТНКР. В связи с окончанием БГ в 2024г. Оплата работ возможна при обращении подрядчика в суд."/>
        <s v="БМК собрана на площадке. Тех. Прис отсутствует. Отсутствуют финансы на тех. Прис (газ и электрика). У Заказчика. Попытки снизить стоимость на тех.прис. Стоимость выходит по цене самой БМК. Очное совещание. Пригласить МОГ"/>
        <s v="Заключили договор МОГЭ 27.04.2026 &#10;Плановая дата выхода 24.06.2026 &#10;&#10;СМР выполнен в полном объеме. &#10;Благоустройство выполнено. &#10;&#10;Замечания устраняются в рабочем порядке. &#10;ИД подготовлена. &#10;Замечания от УТНКР устраняются. &#10;ПИР оплата - июль. Оплата - авгус"/>
        <s v="Работы приостановлены по требованию Заказчика. Причина - отсутствие разрешения ГУКН. Получением разрешения занимается ОМСУ. У подрядной организации весь материал на месте.После получения разрешения на продолжение работ, смр будет закончен в течении 45 сут"/>
        <s v="&#10; Получено положительное заключение. от 03.04.2026&#10;&#10;Работы начато 18.04.2025. СГ - 13 %. &#10;Залита плита под котельную, ведутся работы по плите под дизельное топливохранилище. &#10;БМК монтируется на заводе г. Балашов, Саратовской области, куплены 3 котла и гор"/>
        <s v="СМР не завершен. План завершения - 18.11.2026.&#10;&#10;Необходимо продление срока действия контракта.&#10;&#10;ИД сдана не  вполном объеме по работам нового подрядчика, не устранены замечания УТНКР.&#10;Прорабатывается механизм закрытия работ начатых предыдущим подрядчиком,"/>
        <s v="Благоустройство в стадии завершения. Замечания к выполненным работам по укладке плитки. Срок устранения до 15.07. Оплата до 30.07"/>
        <s v="Только проектирование!!!&#10;СМР будет отдельным контрактом!&#10;&#10;Нет заключения МОГЭ. (план захода 15.07.2026). &#10;&#10;Задержка связана с длительным представлением исходных данных для проектирования со стороны Заказчика."/>
        <s v="Работы приостановлены до повторного выхода согласованной документации из МОГЭ. Повторный заход в могэ до 30.06.2026 из за увеличения обьемов работ (большая стоимость грузоподьемных кранов - порядка 30 миллионов). Теплоснабжение осуществляется по старой сх"/>
        <s v="ПИР оплачены. . ИД передана 10.06. на проверку УТНКР. Оплату произвести планируют до  01.07.2026"/>
        <s v="Подрядчик подгружает документы о закрытии. Акт о закрытии предполагается до 26.06.2026"/>
        <s v="СМР - ведется. До 15.07.2026 будет проведен ПНР. Сдача объекта до 01.08.26 С 09.06.2026 идет сдача ИД в УТНКР до 10.07.26 Оплата от 20.07.26 до 01.08.26"/>
        <s v="СМР завершен. Благоустройство выполнено. Закрывающие документы подписаны. Поданы документы на оплату контракта."/>
        <s v="СМР выполнен на 60%. Работы приостановлены до прохождения НТС и получения положительного заключения МОГЭ. Часть теплоносителя идет по новому трубопроводу, часть по старому. Угрозы прохождения ОЗП нет."/>
        <s v="01.07.2026 документация загружена в ПИК. Ожидают оплату до 15.07.2026"/>
        <s v="Нужно доп соглашение на закрытие ПИР и увеличение стоимости (менее 30%). Есть тех. Вопросы с ПИК. (15.06). &#10;СМР окончание - сентябрь. Оплата - октябрь"/>
        <s v="СМР - 30.06 договорной срок. На объекте 20 персонала. МОГЭ - получено. ИД - должны сдать без проблем. Идет частичное закрытие. Оплата - проблема с субсидией. Двойное финансирование Минэнерго и МинЖКХ. &#10;&quot;Перечислено в 2025 году подрядчику ООО «ГраффитСтрой"/>
        <s v="ОПЛАЧЕНО"/>
        <s v="Работы завершены. Подготовка ИД. Подготовка к сдаче объекта. В МОГЭ (корректировка КАЦ). Оплата сентябрь 2026"/>
        <s v="Положительное заключение МОГЭ - получено. &#10;СМР не завершён, ПНР не проведен &#10;(для проведения ПНР - необходимо выйти на нагрузку) &#10;&#10;Плановая дата заключения дополнительного соглашения - 25.06.2026 &#10;Плановая дата оплаты - 30.07.2026"/>
        <s v="Получено отрицательное заключение МОГЭ, повторный заход в МОГЭ до 20.06.2026, необходимо завершить общестроительные работы. Количество не устраненных замечаний УТНКР (10). Плановая дата завршения работ 15.08.2026"/>
        <s v="Объект перешел в собственность московской области, идет процедура возврата в ОМСУ. До 12.06.2026 планиреутся возврат в ОМСУ.&#10;Низкий темп выполнения СМР&#10;У подрядной организации выявлены системные финансовые проблемы&#10;&#10;Не получено положительное заключение МО"/>
        <s v="Низкий темп разработки ПИР подрядной организацией. Планируемый срок захода в МОГЭ 20.06.26г.&#10;Нет тех приса по газу и электрике (планируемый срок до 31.07.2026)&#10;ПНР запланирован на 30.08.2026г."/>
        <s v="ИД оформлена, на проверке УТНКР плановый срок 14.07.2026"/>
        <s v="Подрядчик находится в МОГЭ, выход из МОГЭ до 20.06.2026. Необходимо завершить общестроительные работы и финальное благоустройстово. Количество не устраненных замечаний УТНКР (17) Плановая дата завершения работ 01.07.2026"/>
        <s v="Не выполнено благоустройство по причине низкого темпа подрядной организациии. &#10;Плановая дата завершения благоустройства - 30.07.2026"/>
        <s v="Документы в МОГЭ поданы. &#10;Плановая дата выхода из МОГЭ - 30.06.2026&#10;Плановая дата завершения благоустройства 30.06.2026&#10;Плановая дата оплаты - конец июля начало августа."/>
        <s v="Подрядчик находится в МОГЭ, выход из МОГЭ до 25.06.2026, необходимо завершить общестроительные работы. Количество не устраненных замечаний УТНКР (8). Плановая дата завршения работ 15.08.2026"/>
        <s v="Положительное заключение экспертизы получено.Неоходимо завершить общестроительные работы и благоустройство. Количество не устраненных замечаний УТНКР (6). Планируемая дата завершения 15.07.2026"/>
        <s v="Подрядчик заходил на корретировку ПИР: &#10;&#10;Заключен договор с МОГЭ 17.03.2026&#10;Получено положительное заключение МОГЭ от 08.06.2026&#10;&#10;СМР не завершен по причине отсутсвия технологического присоединения по газоснабжению. Администрация направила заявку в Мособл"/>
        <s v="СМР завершен, идет устранение замечаний УТНКР. ПНР до 20.07.2026г."/>
        <s v="Не получено положительное заключениез МОГЭ - плановая дата получения заключения 13.07.2026. СМР не завершен необходимо переключение на новую теплосеть, вырезать перспективные краны, благоустройство. Отсутствие финансирования для производства работ, ожидае"/>
        <s v="ИД КС на проверке в УТНКР. Подгрузка в ПИК как и оплата до 25.06"/>
        <s v="Благоустройство в стадии завершения, идет сбор полного комплекта ИД для сдачи в УТНКР. Срок до 30.06.2026г."/>
        <s v="Положительное заключение МОГЭ - получено 12.02.2026&#10;НТС пройден 12.12.2025&#10;&#10;СМР выполнен в полном объёме.&#10;ПНР - проведён&#10;Благоустройство - выполнено&#10;&#10;Ожидается доведение лимитов до заказчика. Оплата 15.07.2026"/>
        <s v="Положительное заключение получено. СМР не завершен, СГ-1%&#10;Плановая дата завершения СМР 03.10.2026."/>
        <s v="устраняют замечания ИД. Завершают общестрой. Всего 21 замечание"/>
        <s v="Не заключено дополнительное соглашение с подрядной организацией по причине отсутствия местного бюджета - высвобождение бюджета от МинЖКХ. Планируемая дата закрытия контракта 14.07.2026"/>
        <s v="СМР ведутся,&#10;Осталось выполнить: ремонт фасада здания, замена кровли, установка окон и дверей, внутренняя отделка котельного зала и бытовых помещений, монтаж ГСВ с установкой ГРУ и автоматикой, Подключение ВРУ, установка баков дизельного топлива, Монтаж п"/>
        <s v="Нет тех присов по газу и электрике. Строительная готовность90%. Оталось провести ПНР на БМК и закончить благоустройство на тепловых сетях. ПНР на БМК будет проведен после выполнения тех. присоединения по газу.&#10;Требуется прохождение НТС"/>
        <s v="МОГЭ - не получено положительное заключение, нужен НТС. Проведен НТС 09.06.2026 - выставлены ряд замечаний от МЭФ.&#10;&#10;Необходима корретировка штабного решения в части мощности котельной.&#10;Плановая дата захода в МОГЭ по тех.части - 10.07.2026 "/>
        <s v="Зашли повторно в МОГЭ 10.05.2026 в связи с необходимостью разработки дополнительных разделов ПИР связанных с мероприятием реконструкция. Выход из МОГЭ до 15.07.2026.Не завершен ПНР. ПНР запланирован на 25.06.2026."/>
        <s v="Долгое подписание ДС после МОГЭ. Оплачены ПИР. Оплата выполнена "/>
        <s v="СМР не начат. Идет переоформление ГПЗУ на участок"/>
        <s v="Положительное заключение получено. &#10;СМР завершено(есть замечания).Устранения замечаний  30.06.2026(благоустройство  и камеры)Устранение замечаний по ИД. Количество не устраненных замечаний УТНКР (20) (Срок до 30.06.2026)&#10;Оплата - 30.07.2026"/>
        <s v="СМР не завершен.&#10;Перенос объекта утвержден рабочей группой, изменение в ГП не внесено, не утверждено в АП ГП (срок до 15.07.2026)&#10;&#10; контракт не продлен (МИНЖКХ). &#10;&#10;Документация в выпущена из МОГЭ с результатами рассмотрения&#10;&#10;Планируется увеличение стоимос"/>
        <s v="УТНКР: по разделам сети теплоснабжения и благоустройство, приняты, проверены и подписаны ИД, реестры и КС-2 N2 от 19.05.2026 на сумму 34 993 470,56 руб с НДС, КС-2 N3 от 19.05.2026 на сумму 6 969 496,78 руб с НДС&#10;&#10;Плановая дата оплаты: 30.06.2026"/>
        <s v="после получения подрядчиком БГ будет подписано доп соглашение на продление срока действия контракта. &#10;&#10;Подрядчику необходимо обратиться в банк с проектом дополнительного соглашения в банк для получения БГ. &#10;Проект дополнительного соглашения направлен подр"/>
        <s v="Положительное заключение получено. СМР завершено(есть замечания).Устранения замечаний  30.06.2026(благо и камеры). Устранение замечаний по ИД. Количество не устраненных замечаний УТНКР (13) (план. до 30.06.2026)&#10;Оплата - 30.07.2026"/>
        <s v="СМР не завершен. &#10;Ведется обратная засыпка и благоустройство территории.&#10;Плановая дата завершения работ 30.06.2026&#10;Подача документов на оплату до 15.07.2026&#10;Оплата до 30.07.2026"/>
        <s v="СМР выполнен. Теплоноситель подается по новой схеме.  Благоустройство выполнено. Поданы документы на оплату."/>
        <s v="Положительное заключение МОГЭ - получено в 2023 году.&#10;&#10;Ранее расторгнут контракт с подрядной организацией ООО &quot;МКСМ&quot; СМР не завершён. Заключен новый контракт с ООО &quot;Теплоучёт&quot;. Подрядчик приступил к СМР.&#10;&#10;Плановая дата завершения работ 01.09.2026"/>
        <s v="ООО &quot;КДС&quot; заключил контракт после расторжения с ООО&quot;Лэндстрой&quot; Разработка ПСД выполняется при наличии изменений объемов и ТЗ. В МОГЭ зашли 18.05.2026 г. СМР выполняются с учетом устранений дефектов, допущенных предыдущей подрядной организацией."/>
        <s v="Благоустройство не завершено&#10;Заказчик вскрыл БГ"/>
        <s v="Оплата завершена"/>
        <s v="ИД КС на проверке в УТНКР. Подгрузка в ПИК как и оплата до 26.06"/>
        <s v="Объект перешел в собственность московской области, идет процедура возврата в ОМСУ. До 22.06.2026 планиреутся возврат в ОМСУ.&#10;Документация на корректировку ТЗ не предоставлена(до 19.06.26).Плановая дата сдачи ИД 10.07.2026 - замечания со стороны заказчика "/>
        <s v="Не завершено благоустройство, плановая дата завершения - 07.07.2026. Оплата по факту выполненных работ - ориентировочно 30.09.2026"/>
        <s v="Был отдельный контракт на ПИР, получил положительное заключение МОГЭ. &#10;Не завершен СМР (тепловые камеры), неподвижные опоры. Для дальнейшего производства работ подрядчик ожидает понижения грунтовых вод"/>
        <s v="Положительное заключение МОГЭ - получено в 2023 году&#10;&#10;СМР не завешен по причине не проведенного ПНР. &#10;&#10;Плановая дата запуска котлов в работу до 25.06.2026"/>
        <s v="СМР ЦТП не завершен &#10;Осталось выполнить: &#10;- наружные сети: ТС (20 п.м.)&#10;- благоустройство&#10;&#10;Завершение работ до 30.06.2026"/>
        <s v="Благоустройство до 15.06.2026. Замечания ИД всего 11 замечаний. до 20.06.2026"/>
        <s v="СМР не завершен.&#10;&#10;Перенос объекта утвержден рабочей группой, изменение в ГП не внесено, не утверждено в АП ГП (срок до 15.07.2026)&#10;&#10; контракт не продлен (МИНЖКХ). &#10;&#10;Документация в выпущена из МОГЭ с результатами рассмотрения&#10;&#10;Планируется увеличение стоимо"/>
        <s v="Отсутствует положительное заключение МОГЭ. Плановая дата выхода - 30.07.2026&#10;СМР не завершен по причине отсутствия тех приса по электроснабжению.СМР не выполнено завязан с тех присоедниением электрика - монтаж нового ВРУ, плановый срок выполнения тех прис"/>
        <s v="Объект перешел в собственность московской области, идет процедура возврата в ОМСУ. До 22.06.2026 планиреутся возврат в ОМСУ.&#10;Плановая дата сдачи ИД 10.07.2026 - замечания со стороны заказчика в части металлолома&#10;Плановая дата оплаты до 17.08.2026"/>
        <s v="В МОГЭ не заходили в связи с необходимостью прохождения НТС. Причина не верно сформирована стоимость НМЦК. ( Статус НТС на устранение замечаний)&#10;Ростехнадзор сдача и окончание СМР - начало июля. Зашли в МОГЭ - 09.06. Конец августа сдача документов в УТНКР"/>
        <s v="СМР завершен. &#10; Не сдана ИД - не предъявляли УТНКР - плановая дата 10.07.2026"/>
        <s v="СМР не завершен в части благоустройства. На подписи ДС по изменению цены контракта по результатам МОГЭ. Оплата ПИР до 20.07.2026. Оплата СМР - начало сентября."/>
        <s v="МОГЭ получено&#10;Осталось выполнить в части СМР: ремонт кровли и установка мембранного бака&#10;Благоустройство выполнено в полном объеме. Плановый срок завершения сдачи объекта 30.06.2026"/>
        <s v="В МОГЭ - не заходили, в связи со сменой суб подрядной организации&#10;Плановая дата заключения договора с МОГЭ - 26.06.2026&#10;&#10;СМР возобновлен с 17.05.2026&#10;Плановая дата ПНР - 01.11.2026"/>
        <s v="ПИР подгружены на оплату. СМР - на подписании УТНКР. Сдача в УТНКР - июль. СМР окончание 11 июля. Допник на продление сроков подписан. Оплата - до 31.07."/>
        <s v="Не получено положительное заключениез МОГЭ - плановая дата захода 10.07.2026 - финансовые трудности ПО. СМР не завершен - смонтировать 185 м, вырезать перспективные краны, благоустройство - - финансовые трудности ПО, планвоая дата завершения СМР 30.10.202"/>
        <s v="Оплата конец июля, если с УТНКР не возникнет вопросов и решится вопрос с БГ. Благоустройство в течение июня. Заключить доп. соглашение. Требуется новая БГ. ИД готовится к сдаче.                                          Замечания УТНКР(39): Прокладка инжен"/>
        <s v="СМР не завершен в части благоустройства. Планируется завершить до 30.07.2026. Оплата объекта до 20.08.26"/>
        <s v="СМР не завершен (не получено разрешение РТН, переврезка на новое ГРУ, ПНР котла №1) - плановая дата 30.06.2026 - низкая динамика выполнения работ.&#10;Отсутствие МОГЭ - получено отрицательное заключение по причине низкой динамике устранения замечаний Плановая"/>
        <s v="СМР не завершен,&#10;Работы не ведутся по причине довендения средств после изменения в ГП и прохождения НТС.&#10;Плановая дата оплаты до 05.06.2026&#10; Продолжен СМР 11.06.2026"/>
        <s v="Ждут подтвержения о муниципальной собственности до 26.06.2026. Физически работы сделаны, дата оплаты 01.08.2026"/>
        <s v="Низкий темп разработки проектной документации (план. до 10.06. отправить на согл. заказчику), план захода в МОГЭ - 20.06.2026г., Не закончены СМР в части врезки в магистральный трубовод участка. (план. до 20.07.) Замечания УТНКР(47): Проектно-изыскательск"/>
        <s v="Не завершено благоустройство - план завершения до 30.06.2026, не сдана ИД.Плановая дата  сдачи ИД - 15.07.2026. Плановая дата оплаты - 24.07.2026"/>
        <s v="Перенос объекта утвержден рабочей группой, изменение в ГП не внесено, не утверждено в АП ГП (срок до 15.07.2026)&#10;&#10;ОПЛАТА ТОЛЬКО ПОСЛЕ ПРОДЛЕНИЯ КОНТРАКТА (30.07.2026)&#10;&#10; контракт не продлен (МИНЖКХ).  &#10;&#10;Имеется положительное заключение МОГЭ&#10;&#10;Стройготовност"/>
        <s v="Благоустройство до 25.06.2026. Замечания ИД. 18 замечание. до 10.07.2026"/>
        <s v="Благоустройство завершено. ИД сдается, защищают объемы.&#10;Замечания УТНКР (34): Монтаж оборудования • Благоустройство"/>
        <s v="СМР выполнен. ИД не сдана в полном обьеме"/>
        <s v="ООО &quot;КДС&quot; заключил контракт после расторжения с ООО&quot;Лэндстрой&quot; Разработка ПСД выполняется при наличии изменений объемов и ТЗ. ПИР находится на согласовании у Заказчика. Плановая дата захода в МОГЭ до 15.06.2026 г&#10;СМР выполняются с учетом устранений дефект"/>
        <s v="Не завершено благоустройство, срок завершения работ до 20.06.2026. ИД сдается, защищают объемы.&#10;Замечания УТНКР(46): Устройство ж/б колодцев, камер (линейные объекты) • Общестроительные работы • Благоустройство"/>
        <s v="не завершено благоустройство, срок завершения 01.07.2025, лимиты доведены 22.05.2026, после выхода из МОГЭ цена изменилась, будут готовить ДС к контракту. Оплата ПИР ожидается до 30.06.2026. СМР и благоустройство до 01.07.2026&#10;ИД предоставлена в УТНКР .Вы"/>
        <s v="Документация на корректировку ТЗ не предоставлена(до 19.06.26).Плановая дата сдачи ИД 15.07.2026 - замечания со стороны заказчика в части металлолома&#10;Плановая дата оплаты до 01.08.2026"/>
        <s v="Положительное заключение МОГЭ получено.&#10;&#10;Требуется повторный заход в МОГЭ с корректировкой проектной документации. (Срок до 22.07.2026)&#10;&#10;Установленное по факту оборудование не соответствует проектной документации, получившей положительное заключение МОГЭ."/>
        <s v="Получено отрицательное заключение МОГЭ, повторный заход в МОГЭ  30.06.2026.Выход из МОГЭ до 01.08.2026. Срок завершения  объекта -сентябрь. Работы начаты.. Необходимо менять штабные решения,в связи с изменением сметной стоимости ( увеличение протяженности"/>
        <s v="Получено положительное заключение экспертизы.Необходимо заврешить благоустройство. Сдать ИД/КС Плановая дата завершения работ 01.07.2026 Количество не устраненных замечаний УТНКР (15) (план. до 30.06.2026) Устранение замечаний до 30.06.2026 (благоустройст"/>
        <s v="Положительное заключение экспертизы получено.&#10;СМР завершено.Устраняют замечания УТНКР по ИД, всего 13 замечаний. Срок до 30.06.2026.&#10;Оплата за ПИР не выполнена. Документы (ССР) не предоставлены. &#10;Оплата СМР после утранения замечаний УТНКР"/>
        <s v="Не завершено благоустройство, план выполнения до 30.07.2026, не сдано ИД"/>
        <s v="Необходимо выполнить финальное благоустройство, завершение работ до 20.06.2026. ИД сдается, защищают объемы.&#10;Замечания УТНКР (25): Общестроительные работы • Монтаж оборудования • засыпка грунта (линейные объекты) • Благоустройство"/>
        <s v="Благоустройство до 25.06.2026. Замечания ИД 15 замечаний."/>
        <s v="Отсутствует МОГЭ - плановая дата захода 30.07.2026, завершение работ по благоустройству - плановая дата 10.07.2026. Ожидается закрытие объемов по объекту Капитальный ремонт участка тепловой сети по адресу: Московская область, г.о. Пушкинский, п. Софрино-1"/>
        <s v="Положительное заключение МОГЭ - получено. &#10;&#10;Ранее расторгнут контракт с ООО &quot;Лэндстрой&quot;. По КЧС заклили контракт с ООО &quot;Главстрой&quot;&#10;&#10;СМР не завершен по причине устранения ошибок предыдущей подрядной организацией&#10;Плановая дата завершения работ - 20.07.2026"/>
        <s v="ИД предоставлена. Устраняют замечания. Плановый срок оплаты -20.07.2026 "/>
        <s v="СМР завершен. Документация не подписана Заказчиком, по причине - не решен вопрос с утилизацией труб (до 30.06.26). Плановая дата подписания 26.06.26. Оплата конец июня"/>
        <s v="ИД предоставлена. Устраняют замечания УТНКР. Оплата - к 20 июля. "/>
        <s v="У подрядчика есть разногласия с УТНКР по объему выполненных работ."/>
        <s v="СМР завершены. Увеличение стоимости контракта по ст.65.1.&#10;Лимиты доведены в полном объеме.Оплата планируется до 30.06.2026"/>
        <s v="СМР не завершён. Заказчик требует выполнения финального благоустройства. (Завоз плодородного грунта и посев газона) до 30.06.2026&#10;ДС на продление срока контракта и изменение цены подписан."/>
        <s v="В связи со сменой заказчика проводится переоформление КС-2 и КС-3. Одновременно возвращают в бюджет сумму, полученную от реализации металла."/>
        <s v="СМР не завершён. Заказчик требует выполнения финального благоустройства. (Завоз плодородного грунта и посев газона) до 30.06.2026"/>
        <s v="Не завершено благоустройство.&#10;Плановая дата завершения - 15.07.2026"/>
        <s v="КС в УТНКР подписаны. Оставшуюся ИД планируют подписать у Заказчика до 15.07.2026"/>
        <s v="СМР завершены. Увеличение стоимости контракта по ст.65.1.&#10;Лимиты доведены в полном объеме.Оплата планируется до 30.06.2026&#10;&#10;УТНКР: 20.05.2026 и 25.05.2026 по объекту Реконструкция участка тепловой сети по адресу М.О г.о.Власиха от УТ4 до ЦПТ Солнечный (в "/>
        <s v="СМР завершены. ИД представлена в полном объеме, вынесен акт замечаний в части окраски и изоляции труб. Идет устранение замечаний. ПИР и оборудование оплачены, СМР оплата конец июля 2026."/>
        <s v="Не получено положительное заключениез МОГЭ - плановая дата захода 10.07.2026 - финансовые трудности ПО. СМР не завершено благоустройство - финансовые трудности ПО, планвоая дата завершения СМР 30.07.2026. Ожидается закрытие объемов по объекту Капитальный "/>
        <s v="Не зашли в МОГЭ. (подрядчик внесен в РНП, на контак не идет). Заказчик предполагает срок оплаты не ранее конца сентября"/>
        <s v="СМР все завершены и оплачены, осталось благоустройство, нет КС подписанных УТНКР"/>
        <s v="Было увеличение стоимости контракта 39 %, подрядчик оптимизировал до 30%.&#10;Не получено МОГЭ, плановая дата захода до 30.06.2026&#10;Плановая дата оплаты до 14.08.2026"/>
        <s v="СМР не завершен. &#10;Ведется обратная засыпка и благоустройство территории.&#10;Плановая дата завершения работ 30.06.2026"/>
        <s v="Положительное заключение получено.Не завершено благоустройство, лимиты доведены, оплата ПИР произведена 21.05.2026. Оплата СМР и благоустройство до 01.07.2026.ИД предоставлена в УТНКР .Выданы замечания. После  предоставления ИД готовы оплатить"/>
        <s v="Нет техприс по газу. Работы по реализации техприс ведутся. Плановый Срок окончания работ техприс 10.07. 2026"/>
        <s v="СМР не завершён. АКТЫ КС подписаны, ИД сдана.&#10;Заказчик требует выполнения финального благоустройства. &#10;&#10;(Завоз плодородного грунта и посев газона) до 30.06.2026"/>
        <s v="ООО &quot;КДС&quot; заключил контракт после расторжения с ООО&quot;Лэндстрой&quot; Разработка ПСД выполняется при наличии изменений объемов и ТЗ. Находятся на НТС. Плановая дата захода в МОГЭ до 10.07.2026 г&#10;СМР выполняются с учетом устранений дефектов, допущенных предыдущей"/>
        <s v="Плановая дата завершения благоустройства 30.06.2026, готовится документация к НТС.&#10;Не получено МОГЭ, плановая дата захода до 01.07.2026&#10;Плановая дата оплаты до 17.08.2026"/>
        <s v="Получено отрицательное заключение МОГЭ, повторный заход в МОГЭ  30.06.2026. Выход из МОГЭ до 01.08.2026."/>
        <s v="Плановая дата завершения благоустройства 30.06.26.Не получено МОГЭ, договор заключен 21.05.2026, дата выхода 02.07.2026&#10;Плановая дата оплаты до 31.08.2026"/>
        <s v="СМР не завершен в части благоустройства. Планируется завершить до 10.07.2026. Оплата объекта до 20.07.26"/>
        <s v="Ранее получили заключение МОГЭ . Готовят повторный заход в МОГЭ с уточненными обьемами. Планируют зайти в МОГЭ до 05.06.2026"/>
        <s v="СМР не завершен - Благоустройство, оформление ИД - низкий темп выполнения - плановая дата 10.07.2026"/>
        <s v="МОГЭ получено отрицательное заключение. Выданы замечания по  ГПЗУ, снос строения. (нет собственника). Подрядчиком направлено письмо в ОМСУ для определения собственника строения.  Планируется заход в МОГЭ до 15.07.2026&#10;СМР - выполнен. "/>
        <s v="СМР выполнен. Благоустройство завершено. Идет предъявление работ УТНКР и предоставление ИД."/>
        <s v="Подписание соглашения между ОМСУ и Минэнерго, дата планируемой оплаты 24.06.2026 Планируемая дата закрытия контракта 10.07.2026"/>
        <s v="Получено отрицательное заключение в связи отсутствием правоустанавливающих документов на земельный участок (земля принадлежит министерству обороны) Заход в МОГЭ после получения документов на участок.&#10;&#10;Необходимо выполнить до окончания монтажа: - Демонтаж "/>
        <s v="Положительное заключение МОГЭ получено.&#10;СГ 90%&#10;Не завершен СМР в части устранения замечаний УТНКР (план завершения 15.07.2026).&#10;Не полностью сдана ИД на остаток работ (план 22.07.2026)."/>
        <s v="Контракт не разыгран"/>
        <s v="В связи с корректировкой выполненных объемов, подрядной организацией принято решение о повторном заходе в МОГЭ для подтверждения изменений в ПСД&#10;&#10;В МОГЭ зашли 19.05. 2026г. Плановый выход -07.07.2026г.&#10;&#10;Плановое окончание СМР - 10.07.2026г."/>
        <s v="Положительное заключение МОГЭ получено.&#10;&#10;СГ 71%&#10;Необходимо завершение СМР в части установки насосного оборудования и автоматики (план завершения 22.07.2026&#10;&#10;Частично сдана ИД (подписана на выполненные объемы работ). Оставшаяся часть ИД план сдачи до 29.07"/>
        <s v="Плановая дата завершения благоустройства 30.06.26.Не получено МОГЭ, плановая дата захода до 01.07.2026&#10;Плановая дата оплаты до 31.08.2026"/>
        <s v="ИД согласована. Без благоустройства. Оплата - август"/>
        <s v="СМР - выполнен. Благоустройство - 95% выполнен. Выход из МОГЭ - 29.06., ИД подготовлена. Оплата - сентябрь"/>
        <s v="СМР завершены. Идет сдача в УТНКР. Сдано: ИД, КС-2 N2 на общ. сумму 80,47 млн руб. (демонтаж трубопроводов, тепловые камеры, зем.работы, прокладка ТС)"/>
        <s v="Положительное заключение МОГЭ получено.&#10;&#10;СГ 70%&#10;Необходимо завершение СМР в части установки насосного оборудования и автоматики (план завершения 22.07.2026&#10;&#10;Частично сдана ИД (подписана на выполненные объемы работ). Оставшаяся часть ИД план сдачи до 29.07"/>
        <s v="Отсутствует заключение МОГЭ.&#10;&#10;26.03.2026 вышли из МОГЭ с результатами рассмотрения&#10;&#10;Повторный заход в МОГЭ выполнен 02.06.2026. Срок выхода 14.07.2026.&#10;&#10;СГ 100%&#10;&#10;Исполнительная документация не передавалась всвязи с отсутствием положительного заключения МО"/>
        <s v="СМР завершен. &#10;Ведется  благоустройство территории.&#10;Плановая дата завершения работ 30.06.2026&#10;Подача документов на оплату до 15.07.2026&#10;Оплата до 30.07.2026"/>
        <s v="Получено отрицательное заключение МОГЭ, повторный заход в МОГЭ  30.06.2026. Выход из МОГЭ до 01.08.2026. Сдача объекта  сентябрь.Необходимо менять штабные решения,в связи с изменением  протяженности (увеличение на 100п.м).Готовятся обоснования для заключе"/>
        <s v="Проводится выверка выполненных работ, оформляется исполнительная документация, проводятся мероприятия по сдаче-приемке выполненных объемов работ.&#10;В связи со сменой инспектора, увеличился срок проверки документации.                                         "/>
        <s v="Завершают общестрой. устраняют замечания ИД. Всего 18 замечания. срок устранения замечаний до 15.07.2027"/>
        <s v="Положительное заключение МОГЭ получено.&#10;СГ 90%&#10;&#10;Не завершен СМР в части устранения замечаний УТНКР (план завершения 22.07.2026).&#10;&#10;Не полностью сдана ИД на остаток работ (план 29.07.2026)."/>
        <s v="&#10;Подрядчик предоставил не полный пакет ИД в УТНКР. Срок предоставления документов до 30.06.2026"/>
        <s v="ООО &quot;КДС&quot; заключил контракт после расторжения с ООО&quot;Лэндстрой&quot; Разработка ПСД выполняется при наличии изменений объемов и ТЗ. Возврат ПСД из МОГЭ связан с отсутствием письма от ГРБС. Плановый заход в МОГЭ - 12.06.2026г.&#10;СМР выполняются с учетом устранений"/>
        <s v="Не получено положительное заключение МОГЭ( корректировка объемов).Плановая дата выхода из МОГЭ - 23.06.2026.&#10;Не завершено благоустройство. Плановая дата - 01.07.2026"/>
        <s v="СМР не завершен в части ПНР(выполняется). Срок завершения ПНР до 20.06.2026.&#10;&#10;Замечания УТНКР(9): Фасад • Демонтажные работы • Инженерные системы"/>
        <s v="25.05.2026 Контракт расторгнут на основании решения об одностороннем отказе от исполнения контракта&#10;Публикация закупки не позднее 05.06.2026&#10;Заключение контракта с новым подрядчиком до 15.07.2026"/>
        <s v="СМР не завершен в части ПНР(выполняется). Срок завершения ПНР до 20.06.2026.&#10;&#10;Замечания УТНКР(4): Монтаж оборудования • Демонтажные работы • Общестроительные работы • Инженерные системы • Пуско-наладочные работы"/>
        <s v="Благоустройство в процессе завершения. &#10;Планируемый срок сдачи ИД в УТНКР до 30.06.2026.&#10;Оплата после сдачи ИД&#10;&#10;Доп. работы связаны с прокладкой трубопроводов ХВС. &#10;Подрядная организация направила претензии в сторону Заказчика."/>
        <s v="Обьект оплачен"/>
        <s v="Положительное заключение получено.СМР выполнен - есть замечания. Устранение замечаний до 30.06.2026 (благоустройство  и камеры). Оплата - 30.07.2026 .Устранение замечаний по ИД. Количество не устраненных замечаний УТНКР (19) (план. до 30.06.2026)"/>
        <s v="Положительное заключение получено. СМР завершено. УТНКР ИД и КС принята&#10;По оплата - проблема с субсидией. Двойное финансирование Минэнерго и МинЖКХ. &#10;&quot;Перечислено в 2025 году подрядчику ООО «ГРАДОСТРОЙ» от АО «МОСОБЛТЕПЛО по объекту 11 051 965,64 руб.  (М"/>
        <s v="Формируется ДС на увеличение сроков и изменение цены контракта после МОГЭ до 26.06.2026 Полная оплата контракта планируется до 4 июля 2026"/>
        <s v="Плановая дата завершения благоустройства 30.06.26.Не получено МОГЭ, плановая дата захода до 01.07.2026&#10;Планируется НТС до 01.07.2026&#10;Плановая дата оплаты до 15.09.2026"/>
        <s v="Оплаты по СМР заершены, осталось оплатить ТП, после корректировки смет и принятия их в УТНКР"/>
        <s v="Нет МОГЭ. &#10;Требуется прохождение НТС. НТС назначен на 16.06.2026г.&#10;Благоустройство в стадии завершения."/>
        <s v="ООО &quot;КДС&quot; заключил контракт после расторжения с ООО&quot;Лэндстрой&quot; Разработка ПСД выполняется при наличии изменений объемов и ТЗ. ПСД находится на просчете сметы. После согласования заказчиком будет передана в МОГЭ. Плановая дата - 20.06.2026г.&#10;СМР выполняютс"/>
        <s v="Подрядчик: не определен&#10;Контракт расторгнут 16.12.2025, в связи с не выходом подрядчика на объект и остановкой строительства. Планируется выход на новые торги.&#10;По предварительным расчетам сметной стоимости для завершения работ по объекту, необходимо 101 м"/>
        <s v="Оплата по контракту проведена полностью, работы приняты частично без учета вычета авансового платежа.&#10;В настоящее время ведутся работы по сдаче объекта в УТНКР (до конца июня 2026):- Тепловые камеры технологические решение - Разногласия при подтверждении "/>
        <s v="СМР не завершен в части ПНР(выполняется). Срок завершения ПНР до 20.06.2026.&#10;&#10;Замечания УТНКР(19): Фасад • Демонтажные работы • Инженерные системы • Пуско-наладочные работы"/>
        <s v="НТС пройден 28.05.2026&#10;На 04.06.2026 протокол на согласовании по МСЭД&#10;Документация на корректировку ТЗ не предоставлена, не сформировано обращение к зазчику(до 19.06.26)Плановая дата захода в МОГЭ 22.06.2026&#10;Планируемая дата оплаты 10.09.2026"/>
        <s v="Расторжение под факт выполненных работ"/>
        <s v="По состоянию на текущую дату, подрядная организация ООО «Косма» выполнила строительно-монтажные работы на общую сумму 10 млн рублей. При этом из государственной экспертизы (ГАУ МО «Мособлгосэкспертиза») получено положительное заключение только на часть ра"/>
        <s v="Плановая дата сдачи ИД 25.06.2026 - замечания со стороны заказчика в части металлолома&#10;Документация на корректировку ТЗ не предоставлена(до 19.06.26).Плановая дата оплаты до 15.07.2026"/>
        <s v="Положительное заключение экспертизы получено. Планируется повторный заход в МОГЭ до 30.06.2026 в связи с корректировкой технических решений. После выхода из МОГЭ подписание в УТНКР ИД и КС Срок до 01.09.2026 &#10;СМР завершен."/>
        <s v="Не получено МОГЭ, плановая дата захода до 01.07.2026&#10;Планируется НТС до 01.07.2026&#10;Плановая дата оплаты до 15.09.2026"/>
        <s v="МОГЭ не получено&#10;25.05.2026 - отказ в приёме документов. &#10;10.06.2026 - заключен договор с МОГЭ&#10;Плановая дата выхода из экспертизы - 22.07.2026&#10;&#10;СМР выполнен в полном объёме. Благоустройство выполнено"/>
        <s v="Положительное заключение экспертизы получено.&#10;СМР не завершено.Необходимо завершить финальное благоустройство,сдать ИД и КС .Срок 15.07.2026&#10;Будет выполнена переврезка - в период остановки 04.07 (10 - 14 дней). Оплата - проблема с субсидией. Двойное финан"/>
        <s v="ООО &quot;КДС&quot; заключил контракт после расторжения с ООО&quot;Лэндстрой&quot; Разработка ПСД выполняется при наличии изменений объемов и ТЗ. ПСД находится на согласовании у заказчика. Плановая дата захода в МОГЭ - 15.06.2026г.&#10;СМР выполняются с учетом устранений дефекто"/>
        <s v="Получено отрицательное заключение МОГЭ, повторный заход в МОГЭ 30.06.2026.Выход из МОГЭ до 01.08.2026 Завершение благоустройства до 01.07.2026. Работы начаты. Количество не устраненных замечаний УТНКР (14) (план. до 30.06.2026)&#10;Необходимо менять штабные р"/>
        <s v="Плановая дата сдачи ИД 25.06.2026 - замечания со стороны заказчика в части металлолома&#10;Документация на корректировку ТЗ не предоставлена(до 19.06.26).Плановая дата оплаты до 17.08.2026"/>
        <s v="Получено отрицательное заключение МОГЭ, повторный заход в МОГЭ  30.06.2026. Выход из МОГЭ до 01.08.2026. Сдача объекта  сентябрь.Необходимо менять штабные решения,в связи с изменением  протяженности (увеличение на 130п.м).Готовятся обоснования для заключе"/>
        <s v="Положительное заключение МОГЭ получено.&#10;СГ 91%&#10;Не завершен СМР в части устранения замечаний УТНКР и ПНР (план завершения 15.07.2026).&#10;Не полностью сдана ИД на остаток работ (план 15.08.2026)."/>
        <s v="Завершают общестрой. устраняют замечания ИД. Всего 23 замечаний. срок устранения замечаний до 15.07.2027"/>
        <s v="Положительное заключение МОГЭ получено.&#10;СГ 96%&#10;&#10;Не завершен СМР в части устранения замечаний УТНКР (план завершения 22.07.2026).&#10;&#10;Не полностью сдана ИД на остаток работ (план 29.07.2026)."/>
        <s v="02.07.2026 направлена заявка на оплату. После оплаты контракт будет закрыт"/>
        <s v="СМР не завершен в части благоустройства. Ожидают поступления средств от Минэнерго в связи с увеличением ЦК, в соответствии с заключением МОГЭ"/>
        <s v="Плановая дата сдачи ИД 25.06.2026 - замечания со стороны заказчика в части металлолома&#10;Документация на корректировку ТЗ не предоставлена(до 19.06.26).Плановая дата оплаты до 15.09.2026"/>
        <s v="СМР завершены. Осталось представить и подписать УТНКР: ИД: теплосеть, канализация, благоустройство. Плановая даьта сдачи в УТНКР 03.07.2026"/>
        <s v="Плановая дата сдачи ИД 25.06.2026 - замечания со стороны заказчика в части металлолома&#10;Документация на корректировку ТЗ не предоставлена(до 19.06.26).Плановая дата оплаты до 01.08.2026"/>
        <s v="НТС пройден 25.05.2026&#10;На 04.06.2026 протокол на согласовании по МСЭД&#10;Документация на корректировку ТЗ не предоставлена, не сформировано обращение к зазчику(до 19.06.26).Плановая дата захода в МОГЭ 30.06.2026&#10;Планируемая дата оплаты 10.09.2026"/>
        <s v="Объект перешел в собственность московской области, идет процедура возврата в ОМСУ. До 25.06.2026 планиреутся возврат в ОМСУ.&#10;Выданы замечания со стороны заказчика в части смет, на исправлении&#10;Плановая дата оплаты до 25.07.2026"/>
        <s v="Объект перешел в собственность московской области, идет процедура возврата в ОМСУ. До 22.06.2026 планиреутся возврат в ОМСУ.&#10;Не получено МОГЭ, плановая дата захода до 01.07.2026&#10;Планируется НТС до 01.07.2026&#10;Плановая дата оплаты до 04.09.2026"/>
        <s v="Положительное заключение МОГЭ получено в рамках предыдущего контракта.&#10;&#10;18.05.2026 заключен новый контракт с подрядчиком Теплоэнерготех.&#10;&#10;к СМР в рамках нового контракта не приступили - проводится обследование смонтированных фундаментных плит в рамках пре"/>
        <s v="Контракт не разыгран в 2026 всвязи с низкой НМЦК . Планируется перенос на 2027 год"/>
        <s v="контракт заключен 29.05.2026 с ООО &quot;Ремистр&quot;&#10;&#10;Имеется положительное заключение МОГЭ (полученное предыдущим подрядчиком.&#10;Новой подрядной организацией ланируется заходить в МОГЭ с корректировкой оборудования (план 30.06.2026)&#10;&#10;01.06.2026 начаты СМР на объек"/>
        <s v="В связи с корректировкой выполненных объемов, подрядной организацией принято решение о повторном заходе в МОГЭ для подтверждения изменений в ПСД"/>
        <s v="Подрядчик не согласен со стоимостью ПИР. После получения заключения с увеличением ПИР будет произведена оплата (до 01.09.2026)"/>
        <s v="Положительное заключение МОГЭ - получено 12.02.2026&#10;&#10;СМР выполнен в полном объёме.&#10;ПНР - не проведён&#10;Благоустройство - выполнено&#10;&#10;Плановая дата ПНР 20.07.2026&#10;&#10;Ожидается доведение лимитов до заказчика. Оплата 30.07.2026"/>
        <s v="Положительное заключение МОГЭ получено.&#10;СГ 89%&#10;Не завершен СМР в части устранения замечаний УТНКР и ПНР (план завершения 15.07.2026).&#10;Не полностью сдана ИД на остаток работ (план 15.08.2026)."/>
        <s v="Завершают общестрой. устраняют замечания ИД. Всего 26 замечаний. срок устранения замечаний до 15.07.2027"/>
        <s v="ООО &quot;КДС&quot; заключил контракт после расторжения с ООО&quot;Лэндстрой&quot; Разработка ПСД выполняется при наличии изменений объемов и ТЗ. Подача ПСД в МОГЭ -20.05.2026г. Плановый выход -10.07.2026г.&#10;СМР выполняются с учетом устранений дефектов, допущенных предыдущей "/>
      </sharedItems>
    </cacheField>
    <cacheField name="Комментарий после ВКС от ПО и ОМСУ" numFmtId="0">
      <sharedItems containsBlank="1">
        <m/>
        <s v="БМК собрана. Вопрос по тех. Прис Газ. Отсутствует договор на транспортировку газа. (срыв сроков передачи документации Подрядчику). Договор на транспортировку газа - в работе (на подписании договора). 1.Положительное заключение МОГЭ Ждем информацию от РП. "/>
        <s v="ПНР - тех. Прис не выполнен (договор заключен, аванс оплачен). Тех прис до 30.06. ПНР - июль. Переоформление ликвидатора.ИД, КС - частично согласованы и приняты. "/>
        <s v="СМР - выполнить общестрой. Вопросы по хим водоподготовке. (выявлена неисправность). До 30.06 окончание СМР. Идет частичная сдача ИД в УТНКР - до 30.06. ГПР на оставшиеся работы Заказчику не предоставлен. (09.06) Заказчику и РП. На 10.06 ГПР РП не предоста"/>
        <s v="МОГЭ - заход ? (письмо об исключении мероприятия из аварийного контракта. 1 из 16. Мероприятие выполнено подрядчиком) СМР - низкая динамика. Вернуться с обратной связью по одному мероприятию к РП до конца недели. Очное совещание"/>
        <s v="Готовятся документы для дальнейшней сдачи в УТНКР. Оплата начало июля."/>
        <s v="Остаток оплаты до  15.07.2026 &#10;После устранения оставшихся замечаний по ИД. Оплата - конец июля. "/>
        <s v="После прохождения МОГЭ, Администрация планирует расторгнуть контракт с ООО ВЫМПЕЛСТРОЙ и заключить контракт с новым Подрядчиком на завершение работ. Планируется очное совещание. "/>
        <s v="СМР общестрой и ИД - до 30.06. Далее подгрузка в ПИК. Предоставить ГПР по оставшимся работам РП и Заказчику. На 10.06 ГПР РП не предоставлен"/>
        <s v="В МОГЭ - 30.06 выход. НТС пройден (6 месяцев проходили). СМР - врезки и благоустройство 30.06. Финансирование есть. Плановая дата оплаты - конец августа начало сентября."/>
        <s v="Выход из могэ до 28.06. Готовы оплатить ПИР и СМР после предоставления документов. Осталось выполнить наружные теплосети, опоры. Электрика и автоматизация - конец июня. ПНР - 15.07(окончание). Оплата - начало сентября. Сложность сдачи ИД в УТНКР"/>
        <s v="БМК собрана на площадке. Тех. Прис отсутствует. Отсутствуют финансы на тех. Прис (газ и электрика). У Заказчика. Попытки снизить стоимость на тех.прис. Стоимость выходит по цене самой БМК. Очное совещание. Пригласить МОГ"/>
        <s v="МОГЭ выход - 08.06 - 11.06 Продление МОГЭ до 17.06. Увелничение до 30%.  Замечания устраняются в рабочем порядке. ИД подготовлена. Замечания от УТНКР устраняются. Подписание доп соглашения проработать. Оплата - август. ПИР оплата - июль. "/>
        <s v="Благоустройство в стадии завершения. Проблема с выкладкой плитки. Жителей не устраивает рисунок плитки. Пытаются найти компромисс с решением данного вопроса. Контракт до 20.07. ИД сданы без благоустройства."/>
        <s v="ПИР оплачены. . ИД - 1 участок. Подписание 08.06. 10.06. на проверку УТНКР. Оплата 01.07"/>
        <s v="СМР - ведется, дымовая труба, оборудование внутри БМК. В конце месяца будет проведен ПНР. Сдача объекта до 01.08. Частичная сдача ИД в УТНКР. До 10.07. Оплата от 20.07 до 01.08"/>
        <s v="Трассу и благоустройство сдали в УТНКР, осталось демонтаж на бумаге"/>
        <s v="Вышли из МОГЭ. Вопрос с Трангаз Москва решен. Работы на объекте ведутся. Нужно доп соглашение на закрытие ПИР и увеличение стоимости (менее 30%). Есть тех. Вопросы с ПИК. (понедельник-вторник). &#10;СМР - сентябрь. Оплата - октябрь"/>
        <s v="СМР - 30.06 договорной срок. На объекте 20 персонала. МОГЭ - получено. ИД - должны сдать без проблем. Идет частичное закрытие. Оплата - проблема с субсидией. Двойное финансирование Минэнерго и МинЖКХ.  Доведены лимиты.  Возврат субсидий"/>
        <s v="СМР завершен. Документы загружены. После проверки оплата. Проверка сегодня-завтра. Оплата конец след.недели"/>
        <s v="МОГЭ зашли - 01.06. ИД КС - в работе. Оплата - сентябрь"/>
        <s v="ПНР - не выполнен (в связи с потерями БМК уходила в аварию). Частичное закрытие. Документы грузятся в ПИК сегодня. Основная часть будет оплачена. ПНР - оплата сентябрь? Провести ПНР летом! "/>
        <s v="МОГЭ - исходная документация. Обратная связь до среды"/>
        <s v="МОГЭ - устраняются замечания. Работы ведутся. Осталось благоустройство. Котельная в работе. Плановая дата завершения СМР - 30.06.-10.07. &#10;Частичная оплата - июль-август. "/>
        <s v="Объект выполнен. Находится в МОГЭ. Выход конец июня. Благоустройство остается выполнить. До 30.06. Оплата - конец июля - начало августа"/>
        <s v="Работы ведутся. МОГЭ - выход 25.06. СМР завершение - 15.08. Благоустройство - 01.09. &#10;Оплата - октябрь"/>
        <s v="Тех. Прис по газу и электрике - заключение МОГЭ без него. Перезаключение договоров - на ОМСУ вместо РСО (неделя ждем ответ по ГАЗУ)  Закрытие оплат основная масса - июль-август (65.1). Проработать обоснования. "/>
        <s v="ИД КС на проверке в УТНКР. Подгрузка в ПИК на след неделе как и оплата."/>
        <s v="Оплата выполнена"/>
        <s v="Оплаты 08.06-11.06"/>
        <s v="СМР - фасад здания и благоустройство, баки, монтаж пожарки. Будет ли замена 3 котла? Профицит мощности.  Подрядчик направил обоснования что требуется замена, ОМСУ не отвечает. Требуется 40 куб. Поступает 15 куб.(перенос на 2027?). Требуется проработка с М"/>
        <s v="Необходимо провести НТС - направили документы на проверку 04.06. Если замечания устранены, заходить в МОГЭ."/>
        <s v="Оплачены ПИР. Да этой неделе загрузка СМР. После проверки, оплата. До конца следующей недели оплата"/>
        <s v="МОГЭ - получено. СМР выполнен - есть замечания. Устранения 30.06 (благо и камеры). Оплата - конец июля"/>
        <s v="В связи с неполной сдачей в УТНКР перенос оплатв на 31.07.2026"/>
        <s v="МОГЭ - получено. СМР выполнен - есть замечания. Устранения 30.06 (благо и камеры).  Оплата - конец июля"/>
        <s v="Благоустройство - срок 30.06. Подача документов до 15.07. Оплата - 30.07"/>
        <s v="СМР выполнены и сданы по КС. Заказчик в одностороннем порядке удержал неустойку 2,33 млн руб. при финальной оплате. Подрядчик не согласен с расчетом и готовит иск о взыскании недоплаты."/>
        <s v="Документация подгружается в ПИК после проверки УТНКР. Осталося один раздел АР. На этой неделе устранение замечаний. След неделя оплата"/>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s v="Направлено Заказчику пересогласование материалов. ИД будет готова в течение 2 недель. Отсутствует БГ. 2 доп.соглашения. Остались работы по благоустройству - конец июня. Перезаход в МОГЭ - до конца июня. СМР - после финансирования. Ориентировочная оплата -"/>
        <s v="Переврезка завершена. Благоустройство завершаются - на этой неделе. ПНР - после заключение ХВС. Закрыть ПИР и БМК по оплате. Все работы будут завершены до 30.06. ПИР закрыты, БМК только по полному завершению. "/>
        <s v="Требуется НТС. Превышение в связи увеличением сети и видом прокладки. Документация к НТС не предоставлена. (Заказчик не подписывает - не соответсвует ТЗ, внести корректировки в ТЗ). "/>
        <s v="Не выполнено благоустройтсво и общестрой. ПНР не выполнен. Сдача Ростехнадзору. Котельная функционирует с 16 января. НТС назначается в ближайшее время. Ростехнадзор и СМР - начало июля. Заход в МОГЭ - 05.06. Конец августа сдача документов в УТНКР."/>
        <s v="Зашли в МОГЭ - выход 11 июня. После выхода из МОГЭ доп. Соглашение и оплата. Оплата - конец июля - начало августа."/>
        <s v="Конец 2026 года. Низкая СГ"/>
        <s v="ПИР подгружены на оплату. СМР - на подписании УТНКР. Идет сдача в УТНКР.. СМР окончание 11 июля. Ожидали подпиание доп. Оплата - середина июня."/>
        <s v="Оплата конец июля если с УТНКР не возникнет вопросов и решится вопрос с БГ. Благоустройство в течение июня. Заклчить доп. соглашение. Требуется новая БГ."/>
        <s v="Благоустройство - июнь. Оплата объекта - июль."/>
        <s v="Благоустройство - в конце июня (финансы). Сдача объекта в июне. Проблемы с финансами. Оплата - 25.07.2026"/>
        <s v="ИД - предоставлена получены замечания от УТНКР. Устранение замечаний до 30.06.2026. После предоставления ИД готовы оплатить"/>
        <s v="Повторный заход в МОГЭ - конец июня. Лимиты есть. Сдача - сентябрь.Поменялась протяженность. Надо менять штабные решения Допник 65.1? ИД вести параллельно проекту"/>
        <s v="Оплата за ПИР в течение недели. СМР после утранения замечаний УТНКР"/>
        <s v="Сборка 5 ТК. Засыпка 80 м. СМР - 30.06 окончание. ИД - замечания есть. Предоставить график. Без наблюдения динамики - очное совещание. Оплата - неизвестно. График до понедельника 18:00. ГПР на 10.06.2025 - не предоставлен"/>
        <s v="Сдан в полном объеме. Акты подписаны. Ожидается оплату СМР. ПИР оплачен. Документы подгруженны 05.06"/>
        <s v="ИД предоставлена. Подписан итоговый акт. Оплата в администрации."/>
        <s v="СМР завершен. ИД сдана на проверку УТНКР 08.06. Оплата в конце июня"/>
        <s v="ИД предоставлена. АКТ итоговый подписан. На прошлой неделе доп. Согл. Оплата - конец июня."/>
        <s v="СМР - 30.06 окончание. ИД - замечания есть. Предоставить график. Без наблюдения динамики - очное совещание. Оплата - неизвестно. График до понедельника 18:00. ГПР на 10.06.2025 - не предоставлен"/>
        <s v="Благоустройство в контракте остутствует. СМР окончен. Доп.соглашение заключили. Оплата - конец июня"/>
        <s v="Завершение СМР - в течение 10 дней. ПИР оплачены. Поставка оборудования - оплачено. СМР после сдачи ИД в УТНКР - готовы к оплате сразу. Сдают ИД параллельно. Проблематика с УТНКР"/>
        <s v="До 10.06 завершение благоустройства. Выставлено замечание по ГУКН (необходимо разработать раздел) - есть вероятность НТС. 2-3 недели на подготовку раздела. Заход в МОГЭ - июнь. Сдача ИД середина августа"/>
        <s v="благоустройство до 10.06. Сдача ИД к середине августа. МОГЭ - заход июнь"/>
        <s v="СМР - выполнен. МОГЭ замечания - ГПЗУ, снос строения. (нет собственника). Направлено письмо в ОМСУ для определения собственника строения. Очная встреча"/>
        <s v="ИД согласована. Без благоустройства. Оплата конец июня - начало июля. (август)"/>
        <s v="СМР - выполнен. Благоустройство - 95% выполнен. Выход из МОГЭ - 29.06. Оплата - конец июля начало августа (сентябрь)"/>
        <s v="Замечания от УТНКР - тех. Решения. В течение неделе согласовать с Заказчиком. ИД - отработано. Формирование КС и оплата - конец июля"/>
        <s v="Оплачено 70%. Проблематика с УТНКР. Не примимают задвижки. Готовы оплатить после сдачи ИД сразу"/>
        <s v="Сдача в УТНКР ИД 30.06. Готовы оплачивать после сдачи ИД. Нет доп работ в контракте. Очное совещание?"/>
        <s v="Оплата - проблема с субсидией. Двойное финансирование Минэнерго и МинЖКХ..Доведены лимиты 2024-2025. Решается вопрос по продлению и закрытию субсидий, готвится дорожная карта до 25.06.2025"/>
        <s v="СМР сданы по КС. Заказчик при оплате удержал неустойку в размере 493 158,56 руб. Контракт в ПИК не закрыт. Подрядчик не согласен с удержанием и готовит иск"/>
        <s v="Будет выполнена переврезка - в период остановки 04.07 (10 - 14 дней). Оплата - проблема с субсидией. Двойное финансирование Минэнерго и МинЖКХ. Не доведены лимиты. Решается вопрос по продлению и закрытию субсидий, готвится дорожная карта до 25.06.2025"/>
      </sharedItems>
    </cacheField>
    <cacheField name="Заметки" numFmtId="0">
      <sharedItems containsBlank="1">
        <m/>
        <s v="Плановая дата выхода из МОГЭ - до 29.07.2026 "/>
        <s v="Оплачено под факт выполненных работ. Идет процесс возврата средств"/>
        <s v="Плановая дата выхода из МОГЭ - до 29.07.2026"/>
      </sharedItems>
    </cacheField>
    <cacheField name="Ситуация по оплате">
      <sharedItems containsBlank="1" containsMixedTypes="1" containsNumber="1" containsInteger="1">
        <m/>
        <s v="ПНР - тех. Прис не выполнен (договор заключен, аванс оплачен). Тех прис до 30.06. ПНР - июль. Переоформление ликвидатора.ИД, КС - частично согласованы и приняты. (меняется подписант)"/>
        <s v="Оплата выполнена"/>
        <n v="137043.0"/>
        <s v="Благоустройство выполнено?"/>
        <n v="0.0"/>
        <s v="плановый срок окончания проверки документации?"/>
        <s v="что решили с доп работами?"/>
        <s v="Тимошина (инфа от 22.05.2026 15:25)&#10;&quot;Контракт исполнен&quot;&#10;&#10;Тиховский&#10;&quot;В ПИК информация не обновилась, ожидаем&quot;"/>
        <n v="67938.0"/>
      </sharedItems>
    </cacheField>
    <cacheField name="Подрядчик" numFmtId="0">
      <sharedItems containsBlank="1">
        <s v="АО ГК ЕКС"/>
        <s v="ООО РСПК"/>
        <s v="АО МОСОБЛТЕПЛО"/>
        <s v="АО МОСОБЛГАЗ"/>
        <s v="ООО ГЛАВСТРОЙ"/>
        <s v="ООО ИНЖГОРСТРОЙ"/>
        <s v="ООО ТЕПЛОПОРТ"/>
        <s v="ООО РКС"/>
        <s v="ООО СК ИМПЕРИЯ"/>
        <s v="ООО ВЫМПЕЛСТРОЙ"/>
        <s v="ООО СТРОЙ ГРУПП"/>
        <s v="ООО СК ВЕКТОР"/>
        <s v="ООО ТК СТРОЙ"/>
        <s v="ООО КДС"/>
        <s v="ООО ЛЕГИОНСТРОЙГРУПП"/>
        <s v="ЗАО ПК КОТЛОСТРОЙ"/>
        <s v="ООО РУССТРОЙТЕХНОЛОГИИ"/>
        <s v="ООО ИНВЕСТСТРОЙ"/>
        <s v="АО АВТОБЫТДОР"/>
        <s v="ООО СТАЙЛГРУПП"/>
        <s v="ООО КЭС ГРУПП"/>
        <s v="ООО ВМО-ПРОЕКТ"/>
        <s v="ООО ПСК-71"/>
        <s v="ООО СЗ ФОРМУЛА РЕМОНТА"/>
        <s v="ООО РОУД ГРУПП"/>
        <s v="ООО ЭКОМОНТАЖ"/>
        <s v="ООО РБК СТРОЙИНВЕСТ"/>
        <s v="ООО ТПП КОНТУР"/>
        <s v="ООО М1 ГАЗЭКСПЛУАТАЦИЯ"/>
        <s v="ООО УНИСТРОЙ"/>
        <s v="ООО СЗСМЭУ"/>
        <s v="ООО ТЭСКИП"/>
        <s v="ООО ПРОФИСТРОЙ"/>
        <s v="АО МИСК"/>
        <s v="ООО ПСМ"/>
        <s v="АО АГУНА"/>
        <s v="ООО СМУ-ЭС"/>
        <s v="ООО МОНТАЖ"/>
        <s v="ООО ЛИДЕР"/>
        <s v="ООО МЕГАПОЛИС"/>
        <s v="ООО ГАЗЭНЕРГО ПРОМСЕРВИС"/>
        <s v="ООО СПМК МАГИСТРАЛЬ"/>
        <s v="ООО МОИК"/>
        <s v="ООО ГЕОМАР"/>
        <s v="АО ТЕПЛОУЧЕТ"/>
        <s v="ООО ТВЭЛ"/>
        <s v="ООО ОПТИМГРУПП"/>
        <s v="ООО А-ГРУПП"/>
        <s v="ООО ПКФ ЭНЕРГОСТРОЙ"/>
        <s v="ООО АЛСТРОЙ"/>
        <s v="ООО КАСКАД-ЭНЕРГО"/>
        <s v="ООО ЭРГАНА"/>
        <s v="ООО ЭТС"/>
        <s v="ООО СК МАГИРУС"/>
        <s v="ООО ИЭС"/>
        <s v="ООО ДАКОРП"/>
        <s v="ООО СТРОЙСЕРВИС"/>
        <s v="ООО ТРОЯ"/>
        <s v="ООО ПРОМИНЖИНИРИНГ"/>
        <s v="ООО ИНДЖЕТ"/>
        <s v="ООО ТУЛАОБОРОНСТРОЙ"/>
        <s v="ООО ТАРИУС ЭНЕРГО"/>
        <s v="ООО ВКС ПРОЕКТ"/>
        <s v="ООО КОСМА"/>
        <s v="ООО ТРАССТРОЙ"/>
        <s v="ООО СТРОЙСНАБ"/>
        <s v="ООО РНП"/>
        <s v="ООО РУСВОДА ИНЖИНИРИНГ"/>
        <s v="ООО РЕМИСТР"/>
        <s v="ООО СМУ-102"/>
        <s v="ООО ОПУСГРУПП"/>
        <s v="ООО ГИПРОН"/>
        <s v="ООО КАЛЬДЕРА"/>
        <s v="ООО ПГК МСК"/>
        <s v="ООО ЭНЕРГОИНДУСТРИЯ"/>
        <s v="ООО ЕВРОГАЗ"/>
        <m/>
      </sharedItems>
    </cacheField>
    <cacheField name="Остаток4" numFmtId="165">
      <sharedItems containsString="0" containsBlank="1" containsNumber="1">
        <n v="8.108686584699999E8"/>
        <n v="7.859427606399999E8"/>
        <n v="5.3095692046000004E8"/>
        <n v="4.8232814053E8"/>
        <n v="3.9631011815999997E8"/>
        <n v="3.6655006714E8"/>
        <n v="3.0110171539E8"/>
        <n v="2.9929528615000004E8"/>
        <n v="2.855064873E8"/>
        <n v="2.7706580654999995E8"/>
        <n v="2.5760319715E8"/>
        <n v="2.4934169123E8"/>
        <n v="2.4623441624999997E8"/>
        <n v="2.3686699498999998E8"/>
        <n v="2.3019461E8"/>
        <n v="2.2608452098E8"/>
        <n v="2.06616321E8"/>
        <n v="1.9216158882000002E8"/>
        <n v="1.9140219930000004E8"/>
        <n v="1.8358158735999998E8"/>
        <n v="1.7053126813E8"/>
        <n v="1.62200141E8"/>
        <n v="1.6160947707999998E8"/>
        <n v="1.4215036775E8"/>
        <n v="1.3520131757E8"/>
        <n v="1.3346452250999998E8"/>
        <n v="1.3213793E8"/>
        <n v="1.1834095571000001E8"/>
        <n v="1.1359711749000001E8"/>
        <n v="1.0771134789000002E8"/>
        <n v="1.0454222068E8"/>
        <n v="1.0342961721E8"/>
        <n v="1.0229589392E8"/>
        <n v="9.529252727999997E7"/>
        <n v="9.327607514999999E7"/>
        <n v="9.061656288E7"/>
        <n v="8.951387458000001E7"/>
        <n v="8.7937E7"/>
        <n v="7.883559E7"/>
        <n v="6.932103371E7"/>
        <n v="6.3E7"/>
        <n v="6.28E7"/>
        <n v="6.235183402E7"/>
        <n v="5.6276237730000004E7"/>
        <n v="5.32894756E7"/>
        <n v="5.143772E7"/>
        <n v="4.92834656E7"/>
        <n v="4.681176256000001E7"/>
        <n v="4.374594E7"/>
        <n v="4.128676303999999E7"/>
        <n v="3.8185105E7"/>
        <n v="3.786990928E7"/>
        <n v="3.7018655E7"/>
        <n v="3.389718975999999E7"/>
        <n v="3.381479423E7"/>
        <n v="3.2311751810000002E7"/>
        <n v="3.167871487E7"/>
        <n v="3.15E7"/>
        <n v="2.99316064E7"/>
        <n v="2.892471946E7"/>
        <n v="2.540672511E7"/>
        <n v="2.5103984510000005E7"/>
        <n v="2.194548486E7"/>
        <n v="2.1865419E7"/>
        <n v="2.0129702E7"/>
        <n v="1.8957366259999998E7"/>
        <n v="1.736E7"/>
        <n v="1.69845984E7"/>
        <n v="1.650470756E7"/>
        <n v="1.458268E7"/>
        <n v="1.1879E7"/>
        <n v="9920512.0"/>
        <n v="7167881.199999988"/>
        <n v="6477030.0"/>
        <n v="4050760.0"/>
        <n v="2242797.78000000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График оплат" cacheId="0" dataCaption="" compact="0" compactData="0">
  <location ref="A1:B63" firstHeaderRow="0" firstDataRow="1" firstDataCol="0"/>
  <pivotFields>
    <pivotField name="УИН"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t="default"/>
      </items>
    </pivotField>
    <pivotField name="ОМСУ"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Мероприятие"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Подрядчик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Тип" compact="0" outline="0" multipleItemSelectionAllowed="1" showAll="0">
      <items>
        <item x="0"/>
        <item x="1"/>
        <item x="2"/>
        <item x="3"/>
        <item x="4"/>
        <item x="5"/>
        <item x="6"/>
        <item x="7"/>
        <item t="default"/>
      </items>
    </pivotField>
    <pivotField name="МОГЭ положительное заключение получено" compact="0" outline="0" multipleItemSelectionAllowed="1" showAll="0">
      <items>
        <item x="0"/>
        <item x="1"/>
        <item x="2"/>
        <item x="3"/>
        <item t="default"/>
      </items>
    </pivotField>
    <pivotField name="В МОГЭ заходили?" compact="0" outline="0" multipleItemSelectionAllowed="1" showAll="0">
      <items>
        <item x="0"/>
        <item x="1"/>
        <item x="2"/>
        <item x="3"/>
        <item t="default"/>
      </items>
    </pivotField>
    <pivotField name="Типовая причина" compact="0" outline="0" multipleItemSelectionAllowed="1" showAll="0">
      <items>
        <item x="0"/>
        <item x="1"/>
        <item x="2"/>
        <item x="3"/>
        <item x="4"/>
        <item x="5"/>
        <item x="6"/>
        <item x="7"/>
        <item x="8"/>
        <item x="9"/>
        <item x="10"/>
        <item x="11"/>
        <item x="12"/>
        <item x="13"/>
        <item x="14"/>
        <item t="default"/>
      </items>
    </pivotField>
    <pivotField name="СМР завершен" compact="0" outline="0" multipleItemSelectionAllowed="1" showAll="0">
      <items>
        <item x="0"/>
        <item x="1"/>
        <item x="2"/>
        <item x="3"/>
        <item x="4"/>
        <item t="default"/>
      </items>
    </pivotField>
    <pivotField name="Остаток СМР" compact="0" outline="0" multipleItemSelectionAllowed="1" showAll="0">
      <items>
        <item x="0"/>
        <item x="1"/>
        <item x="2"/>
        <item x="3"/>
        <item x="4"/>
        <item x="5"/>
        <item x="6"/>
        <item t="default"/>
      </items>
    </pivotField>
    <pivotField name="Типовая причина2" compact="0" outline="0" multipleItemSelectionAllowed="1" showAll="0">
      <items>
        <item x="0"/>
        <item x="1"/>
        <item x="2"/>
        <item x="3"/>
        <item x="4"/>
        <item x="5"/>
        <item x="6"/>
        <item x="7"/>
        <item x="8"/>
        <item t="default"/>
      </items>
    </pivotField>
    <pivotField name="СГ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Оплачено" compact="0" outline="0" multipleItemSelectionAllowed="1" showAll="0">
      <items>
        <item x="0"/>
        <item x="1"/>
        <item x="2"/>
        <item x="3"/>
        <item x="4"/>
        <item x="5"/>
        <item t="default"/>
      </items>
    </pivotField>
    <pivotField name="Сумма контракт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t="default"/>
      </items>
    </pivotField>
    <pivotField name="Выплачено"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t="default"/>
      </items>
    </pivotField>
    <pivotField name="Остаток"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Остаток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t="default"/>
      </items>
    </pivotField>
    <pivotField name="Типовая причина3" compact="0" outline="0" multipleItemSelectionAllowed="1" showAll="0">
      <items>
        <item x="0"/>
        <item x="1"/>
        <item x="2"/>
        <item x="3"/>
        <item x="4"/>
        <item x="5"/>
        <item x="6"/>
        <item x="7"/>
        <item x="8"/>
        <item x="9"/>
        <item t="default"/>
      </items>
    </pivotField>
    <pivotField name="Сданы ИП/КС" compact="0" outline="0" multipleItemSelectionAllowed="1" showAll="0">
      <items>
        <item x="0"/>
        <item x="1"/>
        <item x="2"/>
        <item x="3"/>
        <item x="4"/>
        <item t="default"/>
      </items>
    </pivotField>
    <pivotField name="Сумма СМР"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t="default"/>
      </items>
    </pivotField>
    <pivotField name="Сумма подписанных КС"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Остаток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Типовые причины" compact="0" outline="0" multipleItemSelectionAllowed="1" showAll="0">
      <items>
        <item x="0"/>
        <item x="1"/>
        <item x="2"/>
        <item x="3"/>
        <item x="4"/>
        <item x="5"/>
        <item x="6"/>
        <item x="7"/>
        <item x="8"/>
        <item x="9"/>
        <item x="10"/>
        <item t="default"/>
      </items>
    </pivotField>
    <pivotField name="Завершающая документация (принята/подписана частично/на проверке/возвращена с замечаниями)"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Причина не оплаты"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t="default"/>
      </items>
    </pivotField>
    <pivotField name="Действия проектной команды"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Предполагаемая &#10;Даты оплаты" axis="axisRow" compact="0" outline="0" multipleItemSelectionAllowed="1" showAll="0" sortType="ascending">
      <items>
        <item x="1"/>
        <item x="0"/>
        <item x="40"/>
        <item x="27"/>
        <item x="32"/>
        <item x="39"/>
        <item x="48"/>
        <item x="29"/>
        <item x="9"/>
        <item x="55"/>
        <item x="47"/>
        <item x="23"/>
        <item x="57"/>
        <item x="5"/>
        <item x="11"/>
        <item x="45"/>
        <item x="12"/>
        <item x="34"/>
        <item x="43"/>
        <item x="38"/>
        <item x="37"/>
        <item x="6"/>
        <item x="3"/>
        <item x="41"/>
        <item x="53"/>
        <item x="20"/>
        <item x="49"/>
        <item x="16"/>
        <item x="28"/>
        <item x="17"/>
        <item x="24"/>
        <item x="58"/>
        <item x="56"/>
        <item x="8"/>
        <item x="50"/>
        <item x="33"/>
        <item x="2"/>
        <item x="4"/>
        <item x="10"/>
        <item x="21"/>
        <item x="25"/>
        <item x="18"/>
        <item x="44"/>
        <item x="31"/>
        <item x="13"/>
        <item x="36"/>
        <item x="15"/>
        <item x="42"/>
        <item x="22"/>
        <item x="30"/>
        <item x="14"/>
        <item x="60"/>
        <item x="26"/>
        <item x="59"/>
        <item x="51"/>
        <item x="35"/>
        <item x="54"/>
        <item x="7"/>
        <item x="19"/>
        <item x="52"/>
        <item x="46"/>
        <item t="default"/>
      </items>
    </pivotField>
    <pivotField name="Даты оплаты (Тимошина Т.Б)" compact="0" outline="0" multipleItemSelectionAllowed="1" showAll="0">
      <items>
        <item x="0"/>
        <item x="1"/>
        <item x="2"/>
        <item x="3"/>
        <item x="4"/>
        <item t="default"/>
      </items>
    </pivotField>
    <pivotField name="Комментарий"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Сумма контракта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ame="Выплачено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t="default"/>
      </items>
    </pivotField>
    <pivotField name="Остаток3"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name="выверено РП ПИ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t="default"/>
      </items>
    </pivotField>
    <pivotField name="Комментарий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Комментарии 10.04.2026" compact="0" outline="0" multipleItemSelectionAllowed="1" showAll="0">
      <items>
        <item x="0"/>
        <item x="1"/>
        <item x="2"/>
        <item x="3"/>
        <item x="4"/>
        <item x="5"/>
        <item x="6"/>
        <item x="7"/>
        <item x="8"/>
        <item x="9"/>
        <item x="10"/>
        <item x="11"/>
        <item t="default"/>
      </items>
    </pivotField>
    <pivotField name="Комментраии 27.04.2026" compact="0" outline="0" multipleItemSelectionAllowed="1" showAll="0">
      <items>
        <item x="0"/>
        <item x="1"/>
        <item x="2"/>
        <item x="3"/>
        <item x="4"/>
        <item x="5"/>
        <item x="6"/>
        <item x="7"/>
        <item x="8"/>
        <item x="9"/>
        <item x="10"/>
        <item x="11"/>
        <item x="12"/>
        <item t="default"/>
      </items>
    </pivotField>
    <pivotField name="Комментарий РП на 19.06.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Комментарий после ВКС от ПО и ОМСУ"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Заметки" compact="0" outline="0" multipleItemSelectionAllowed="1" showAll="0">
      <items>
        <item x="0"/>
        <item x="1"/>
        <item x="2"/>
        <item x="3"/>
        <item t="default"/>
      </items>
    </pivotField>
    <pivotField name="Ситуация по оплате" compact="0" outline="0" multipleItemSelectionAllowed="1" showAll="0">
      <items>
        <item x="0"/>
        <item x="1"/>
        <item x="2"/>
        <item x="3"/>
        <item x="4"/>
        <item x="5"/>
        <item x="6"/>
        <item x="7"/>
        <item x="8"/>
        <item x="9"/>
        <item t="default"/>
      </items>
    </pivotField>
    <pivotField name="Подрядчи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Остаток4"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s>
  <rowFields>
    <field x="26"/>
  </rowFields>
  <dataFields>
    <dataField name="SUM of Остаток" fld="1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75"/>
    <col customWidth="1" min="2" max="2" width="12.38"/>
    <col customWidth="1" min="3" max="3" width="30.88"/>
    <col customWidth="1" min="4" max="4" width="18.63"/>
    <col customWidth="1" min="5" max="5" width="12.88"/>
    <col customWidth="1" min="6" max="6" width="14.25"/>
    <col customWidth="1" min="7" max="7" width="15.13"/>
    <col customWidth="1" min="8" max="8" width="17.25"/>
    <col customWidth="1" min="9" max="9" width="11.5"/>
    <col customWidth="1" min="10" max="10" width="40.63"/>
    <col customWidth="1" min="11" max="11" width="30.25"/>
    <col customWidth="1" min="12" max="13" width="10.38"/>
    <col customWidth="1" min="14" max="14" width="20.75"/>
    <col customWidth="1" min="15" max="15" width="21.88"/>
    <col customWidth="1" min="16" max="16" width="18.5"/>
    <col customWidth="1" min="17" max="17" width="17.63"/>
    <col customWidth="1" min="18" max="18" width="13.38"/>
    <col customWidth="1" min="19" max="19" width="10.38"/>
    <col customWidth="1" min="20" max="20" width="20.75"/>
    <col customWidth="1" min="21" max="21" width="24.38"/>
    <col customWidth="1" min="22" max="22" width="19.75"/>
    <col customWidth="1" min="23" max="23" width="12.88"/>
    <col customWidth="1" hidden="1" min="24" max="24" width="41.63"/>
    <col customWidth="1" hidden="1" min="25" max="25" width="41.13"/>
    <col customWidth="1" hidden="1" min="26" max="26" width="22.88"/>
    <col customWidth="1" min="27" max="27" width="24.13"/>
    <col customWidth="1" min="28" max="29" width="21.88"/>
    <col customWidth="1" min="30" max="30" width="16.0"/>
    <col customWidth="1" min="31" max="31" width="12.13"/>
    <col customWidth="1" min="32" max="32" width="16.63"/>
    <col customWidth="1" min="33" max="33" width="37.88"/>
    <col customWidth="1" min="34" max="34" width="45.25"/>
    <col customWidth="1" min="35" max="35" width="27.75"/>
    <col customWidth="1" min="36" max="36" width="33.5"/>
    <col customWidth="1" min="37" max="37" width="65.13"/>
    <col customWidth="1" min="38" max="52" width="40.38"/>
  </cols>
  <sheetData>
    <row r="1">
      <c r="A1" s="1" t="s">
        <v>0</v>
      </c>
      <c r="B1" s="1" t="s">
        <v>1</v>
      </c>
      <c r="C1" s="1" t="s">
        <v>2</v>
      </c>
      <c r="D1" s="1" t="s">
        <v>3</v>
      </c>
      <c r="E1" s="1" t="s">
        <v>4</v>
      </c>
      <c r="F1" s="2" t="s">
        <v>5</v>
      </c>
      <c r="G1" s="2" t="s">
        <v>6</v>
      </c>
      <c r="H1" s="2" t="s">
        <v>7</v>
      </c>
      <c r="I1" s="3" t="s">
        <v>8</v>
      </c>
      <c r="J1" s="3" t="s">
        <v>9</v>
      </c>
      <c r="K1" s="3" t="s">
        <v>7</v>
      </c>
      <c r="L1" s="3" t="s">
        <v>10</v>
      </c>
      <c r="M1" s="4" t="s">
        <v>11</v>
      </c>
      <c r="N1" s="5" t="s">
        <v>12</v>
      </c>
      <c r="O1" s="5" t="s">
        <v>13</v>
      </c>
      <c r="P1" s="5" t="s">
        <v>14</v>
      </c>
      <c r="Q1" s="4" t="s">
        <v>15</v>
      </c>
      <c r="R1" s="4" t="s">
        <v>7</v>
      </c>
      <c r="S1" s="6" t="s">
        <v>16</v>
      </c>
      <c r="T1" s="6" t="s">
        <v>17</v>
      </c>
      <c r="U1" s="6" t="s">
        <v>18</v>
      </c>
      <c r="V1" s="6" t="s">
        <v>14</v>
      </c>
      <c r="W1" s="6" t="s">
        <v>19</v>
      </c>
      <c r="X1" s="7" t="s">
        <v>20</v>
      </c>
      <c r="Y1" s="8" t="s">
        <v>21</v>
      </c>
      <c r="Z1" s="7" t="s">
        <v>22</v>
      </c>
      <c r="AA1" s="7" t="s">
        <v>23</v>
      </c>
      <c r="AB1" s="7" t="s">
        <v>24</v>
      </c>
      <c r="AC1" s="7" t="s">
        <v>25</v>
      </c>
      <c r="AD1" s="1" t="s">
        <v>12</v>
      </c>
      <c r="AE1" s="1" t="s">
        <v>13</v>
      </c>
      <c r="AF1" s="9" t="s">
        <v>14</v>
      </c>
      <c r="AG1" s="10" t="s">
        <v>26</v>
      </c>
      <c r="AH1" s="11" t="s">
        <v>25</v>
      </c>
      <c r="AI1" s="11" t="s">
        <v>27</v>
      </c>
      <c r="AJ1" s="11" t="s">
        <v>28</v>
      </c>
      <c r="AK1" s="12" t="s">
        <v>29</v>
      </c>
      <c r="AL1" s="12" t="s">
        <v>30</v>
      </c>
      <c r="AM1" s="13" t="s">
        <v>31</v>
      </c>
      <c r="AN1" s="14" t="s">
        <v>32</v>
      </c>
      <c r="AO1" s="14" t="str">
        <f>IFERROR(__xludf.DUMMYFUNCTION("QUERY(D4:P504, ""SELECT D, SUM(P) WHERE (M='Нет' OR M='Частично') AND D IS NOT NULL GROUP BY D ORDER BY SUM(P) DESC LABEL D 'Подрядчик', SUM(P) 'Остаток'"", 0)"),"Подрядчик")</f>
        <v>Подрядчик</v>
      </c>
      <c r="AP1" s="14" t="str">
        <f>IFERROR(__xludf.DUMMYFUNCTION("""COMPUTED_VALUE"""),"Остаток")</f>
        <v>Остаток</v>
      </c>
      <c r="AQ1" s="14"/>
      <c r="AR1" s="14" t="s">
        <v>33</v>
      </c>
      <c r="AS1" s="14" t="s">
        <v>33</v>
      </c>
      <c r="AT1" s="14"/>
      <c r="AU1" s="14"/>
      <c r="AV1" s="14"/>
      <c r="AW1" s="14"/>
      <c r="AX1" s="14"/>
      <c r="AY1" s="14"/>
      <c r="AZ1" s="14"/>
    </row>
    <row r="2">
      <c r="A2" s="15">
        <v>1.0</v>
      </c>
      <c r="B2" s="16">
        <v>2.0</v>
      </c>
      <c r="C2" s="17">
        <v>3.0</v>
      </c>
      <c r="D2" s="17">
        <v>4.0</v>
      </c>
      <c r="E2" s="17">
        <v>5.0</v>
      </c>
      <c r="F2" s="18">
        <v>6.0</v>
      </c>
      <c r="G2" s="19"/>
      <c r="H2" s="17"/>
      <c r="I2" s="17">
        <v>7.0</v>
      </c>
      <c r="J2" s="17">
        <v>8.0</v>
      </c>
      <c r="K2" s="19"/>
      <c r="L2" s="19"/>
      <c r="M2" s="18">
        <v>9.0</v>
      </c>
      <c r="N2" s="17">
        <v>10.0</v>
      </c>
      <c r="O2" s="17">
        <v>11.0</v>
      </c>
      <c r="P2" s="18">
        <v>12.0</v>
      </c>
      <c r="Q2" s="17">
        <v>13.0</v>
      </c>
      <c r="R2" s="17"/>
      <c r="S2" s="17">
        <v>14.0</v>
      </c>
      <c r="T2" s="18">
        <v>15.0</v>
      </c>
      <c r="U2" s="17">
        <v>16.0</v>
      </c>
      <c r="V2" s="17">
        <v>17.0</v>
      </c>
      <c r="W2" s="17"/>
      <c r="X2" s="17">
        <v>18.0</v>
      </c>
      <c r="Y2" s="17">
        <v>19.0</v>
      </c>
      <c r="Z2" s="18">
        <v>20.0</v>
      </c>
      <c r="AA2" s="17">
        <v>21.0</v>
      </c>
      <c r="AB2" s="20"/>
      <c r="AC2" s="21">
        <v>18.0</v>
      </c>
      <c r="AD2" s="22">
        <v>18.0</v>
      </c>
      <c r="AE2" s="22">
        <v>19.0</v>
      </c>
      <c r="AF2" s="23">
        <v>20.0</v>
      </c>
      <c r="AG2" s="24">
        <v>21.0</v>
      </c>
      <c r="AH2" s="25">
        <v>22.0</v>
      </c>
      <c r="AI2" s="25"/>
      <c r="AJ2" s="25"/>
      <c r="AK2" s="26"/>
      <c r="AL2" s="26"/>
      <c r="AM2" s="26"/>
      <c r="AN2" s="26"/>
      <c r="AO2" s="26" t="str">
        <f>IFERROR(__xludf.DUMMYFUNCTION("""COMPUTED_VALUE"""),"АО ГК ЕКС")</f>
        <v>АО ГК ЕКС</v>
      </c>
      <c r="AP2" s="27">
        <f>IFERROR(__xludf.DUMMYFUNCTION("""COMPUTED_VALUE"""),8.108686584699999E8)</f>
        <v>810868658.5</v>
      </c>
      <c r="AQ2" s="26"/>
      <c r="AR2" s="26"/>
      <c r="AS2" s="26"/>
      <c r="AT2" s="26"/>
      <c r="AU2" s="26"/>
      <c r="AV2" s="26"/>
      <c r="AW2" s="26"/>
      <c r="AX2" s="26"/>
      <c r="AY2" s="26"/>
      <c r="AZ2" s="26"/>
    </row>
    <row r="3">
      <c r="A3" s="28" t="s">
        <v>34</v>
      </c>
      <c r="B3" s="29"/>
      <c r="C3" s="30"/>
      <c r="D3" s="30"/>
      <c r="E3" s="30"/>
      <c r="F3" s="31"/>
      <c r="G3" s="31"/>
      <c r="H3" s="31"/>
      <c r="I3" s="31"/>
      <c r="J3" s="31"/>
      <c r="K3" s="31"/>
      <c r="L3" s="32"/>
      <c r="M3" s="31"/>
      <c r="N3" s="33">
        <f t="shared" ref="N3:P3" si="1">SUM(N4:N504)</f>
        <v>41455135446</v>
      </c>
      <c r="O3" s="33">
        <f t="shared" si="1"/>
        <v>29166656836</v>
      </c>
      <c r="P3" s="33">
        <f t="shared" si="1"/>
        <v>10824957116</v>
      </c>
      <c r="Q3" s="34">
        <f t="shared" ref="Q3:Q21" si="3">(N3-O3)/N3</f>
        <v>0.2964283792</v>
      </c>
      <c r="R3" s="31"/>
      <c r="S3" s="31"/>
      <c r="T3" s="33">
        <f t="shared" ref="T3:V3" si="2">SUM(T4:T504)</f>
        <v>12669342457</v>
      </c>
      <c r="U3" s="33">
        <f t="shared" si="2"/>
        <v>7403002884</v>
      </c>
      <c r="V3" s="33">
        <f t="shared" si="2"/>
        <v>5766314592</v>
      </c>
      <c r="W3" s="35"/>
      <c r="X3" s="35"/>
      <c r="Y3" s="36"/>
      <c r="Z3" s="36"/>
      <c r="AA3" s="36"/>
      <c r="AB3" s="37"/>
      <c r="AC3" s="38"/>
      <c r="AD3" s="39"/>
      <c r="AE3" s="39"/>
      <c r="AF3" s="40"/>
      <c r="AG3" s="41"/>
      <c r="AH3" s="42"/>
      <c r="AI3" s="42"/>
      <c r="AJ3" s="42"/>
      <c r="AK3" s="43"/>
      <c r="AL3" s="43"/>
      <c r="AM3" s="43"/>
      <c r="AN3" s="43"/>
      <c r="AO3" s="43" t="str">
        <f>IFERROR(__xludf.DUMMYFUNCTION("""COMPUTED_VALUE"""),"ООО РСПК")</f>
        <v>ООО РСПК</v>
      </c>
      <c r="AP3" s="44">
        <f>IFERROR(__xludf.DUMMYFUNCTION("""COMPUTED_VALUE"""),7.859427606399999E8)</f>
        <v>785942760.6</v>
      </c>
      <c r="AQ3" s="43"/>
      <c r="AR3" s="43"/>
      <c r="AS3" s="43"/>
      <c r="AT3" s="43"/>
      <c r="AU3" s="43"/>
      <c r="AV3" s="43"/>
      <c r="AW3" s="43"/>
      <c r="AX3" s="43"/>
      <c r="AY3" s="43"/>
      <c r="AZ3" s="43"/>
    </row>
    <row r="4">
      <c r="A4" s="45" t="s">
        <v>35</v>
      </c>
      <c r="B4" s="46" t="s">
        <v>36</v>
      </c>
      <c r="C4" s="30" t="s">
        <v>37</v>
      </c>
      <c r="D4" s="47" t="s">
        <v>38</v>
      </c>
      <c r="E4" s="48" t="s">
        <v>39</v>
      </c>
      <c r="F4" s="31" t="s">
        <v>40</v>
      </c>
      <c r="G4" s="31" t="s">
        <v>41</v>
      </c>
      <c r="H4" s="31" t="s">
        <v>42</v>
      </c>
      <c r="I4" s="31" t="s">
        <v>40</v>
      </c>
      <c r="J4" s="31" t="s">
        <v>43</v>
      </c>
      <c r="K4" s="31" t="s">
        <v>44</v>
      </c>
      <c r="L4" s="32">
        <f>IFERROR(__xludf.DUMMYFUNCTION("VLOOKUP($A4,IMPORTRANGE(""1PQtfbQLqBUP-rjYRznmgNFBLOjvAnhGzpIx7BJWq8rk"",""'Worksheet'!$B$2:$H""),7,FALSE)"),0.9)</f>
        <v>0.9</v>
      </c>
      <c r="M4" s="31" t="s">
        <v>40</v>
      </c>
      <c r="N4" s="49">
        <v>5.2111718E8</v>
      </c>
      <c r="O4" s="49">
        <v>1.551886962E8</v>
      </c>
      <c r="P4" s="49">
        <f t="shared" ref="P4:P8" si="4">N4-O4</f>
        <v>365928483.8</v>
      </c>
      <c r="Q4" s="34">
        <f t="shared" si="3"/>
        <v>0.7022</v>
      </c>
      <c r="R4" s="31"/>
      <c r="S4" s="31" t="s">
        <v>45</v>
      </c>
      <c r="T4" s="50"/>
      <c r="U4" s="51"/>
      <c r="V4" s="51"/>
      <c r="W4" s="31"/>
      <c r="X4" s="52" t="s">
        <v>46</v>
      </c>
      <c r="Y4" s="53" t="s">
        <v>47</v>
      </c>
      <c r="Z4" s="54" t="s">
        <v>48</v>
      </c>
      <c r="AA4" s="55">
        <v>46290.0</v>
      </c>
      <c r="AB4" s="56"/>
      <c r="AC4" s="38" t="s">
        <v>49</v>
      </c>
      <c r="AD4" s="39">
        <v>521117.1801</v>
      </c>
      <c r="AE4" s="39">
        <v>155188.6962</v>
      </c>
      <c r="AF4" s="40">
        <v>365928.4839</v>
      </c>
      <c r="AG4" s="57" t="s">
        <v>50</v>
      </c>
      <c r="AH4" s="42" t="s">
        <v>51</v>
      </c>
      <c r="AI4" s="42" t="str">
        <f>IFERROR(__xludf.DUMMYFUNCTION("vLOOKUP(A4,IMPORTRANGE(""https://docs.google.com/spreadsheets/d/1Rawwwdh8wntXGy8isdYNHxsNQS4n_rC8JSdPfj6vEq4"",""'500 объектов перенос на 2026'!A3:AB502""),13,0)"),"#REF!")</f>
        <v>#REF!</v>
      </c>
      <c r="AJ4" s="42" t="str">
        <f>IFERROR(__xludf.DUMMYFUNCTION("vLOOKUP(A4,IMPORTRANGE(""https://docs.google.com/spreadsheets/d/1Rawwwdh8wntXGy8isdYNHxsNQS4n_rC8JSdPfj6vEq4"",""'500 объектов перенос на 2026'!A3:AB502""),14,0)"),"#REF!")</f>
        <v>#REF!</v>
      </c>
      <c r="AK4" s="58" t="s">
        <v>52</v>
      </c>
      <c r="AL4" s="59" t="s">
        <v>53</v>
      </c>
      <c r="AM4" s="59"/>
      <c r="AN4" s="43"/>
      <c r="AO4" s="60" t="str">
        <f>IFERROR(__xludf.DUMMYFUNCTION("""COMPUTED_VALUE"""),"АО МОСОБЛТЕПЛО")</f>
        <v>АО МОСОБЛТЕПЛО</v>
      </c>
      <c r="AP4" s="44">
        <f>IFERROR(__xludf.DUMMYFUNCTION("""COMPUTED_VALUE"""),5.3095692046000004E8)</f>
        <v>530956920.5</v>
      </c>
      <c r="AQ4" s="44"/>
      <c r="AR4" s="61" t="str">
        <f t="array" ref="AR4:AS10">{"Этап (Причина)", "Количество объектов";
 "1. МОГЭ (F=Нет)", COUNTIF(F2:F504, "Нет");
 "2. СМР (I=Нет)", COUNTIF(I2:I504, "Нет");
 "3. УТНКР (S=Нет)", COUNTIF(S2:S504, "Нет");
 "4. Оплачено (M=Нет)", COUNTIF(M2:M504, "Нет");
 "5. УТНКР (S=Частично)", COUNTIF(S2:S504, "Частично");
 "6. Оплачено (M=Частично)", COUNTIF(M2:M504, "Частично")}</f>
        <v>Этап (Причина)</v>
      </c>
      <c r="AS4" s="61" t="s">
        <v>54</v>
      </c>
      <c r="AT4" s="44"/>
      <c r="AU4" s="44"/>
      <c r="AV4" s="44"/>
      <c r="AW4" s="44"/>
      <c r="AX4" s="44"/>
      <c r="AY4" s="44"/>
      <c r="AZ4" s="44"/>
    </row>
    <row r="5">
      <c r="A5" s="62" t="s">
        <v>55</v>
      </c>
      <c r="B5" s="63" t="s">
        <v>56</v>
      </c>
      <c r="C5" s="64" t="s">
        <v>57</v>
      </c>
      <c r="D5" s="47" t="s">
        <v>58</v>
      </c>
      <c r="E5" s="64" t="s">
        <v>59</v>
      </c>
      <c r="F5" s="31" t="s">
        <v>60</v>
      </c>
      <c r="G5" s="31"/>
      <c r="H5" s="31"/>
      <c r="I5" s="31" t="s">
        <v>40</v>
      </c>
      <c r="J5" s="31" t="s">
        <v>61</v>
      </c>
      <c r="K5" s="31" t="s">
        <v>62</v>
      </c>
      <c r="L5" s="32">
        <f>IFERROR(__xludf.DUMMYFUNCTION("VLOOKUP($A5,IMPORTRANGE(""1PQtfbQLqBUP-rjYRznmgNFBLOjvAnhGzpIx7BJWq8rk"",""'Worksheet'!$B$2:$H""),7,FALSE)"),0.85)</f>
        <v>0.85</v>
      </c>
      <c r="M5" s="31" t="s">
        <v>40</v>
      </c>
      <c r="N5" s="49">
        <v>3.01279365E8</v>
      </c>
      <c r="O5" s="49">
        <v>7.1084755E7</v>
      </c>
      <c r="P5" s="49">
        <f t="shared" si="4"/>
        <v>230194610</v>
      </c>
      <c r="Q5" s="34">
        <f t="shared" si="3"/>
        <v>0.7640570074</v>
      </c>
      <c r="R5" s="31"/>
      <c r="S5" s="31" t="s">
        <v>45</v>
      </c>
      <c r="T5" s="65">
        <v>1.4216951E8</v>
      </c>
      <c r="U5" s="66">
        <f>T5-V5</f>
        <v>11390026.45</v>
      </c>
      <c r="V5" s="67">
        <v>1.3077948355E8</v>
      </c>
      <c r="W5" s="31"/>
      <c r="X5" s="52" t="s">
        <v>63</v>
      </c>
      <c r="Y5" s="54" t="s">
        <v>64</v>
      </c>
      <c r="Z5" s="68"/>
      <c r="AA5" s="68">
        <v>46249.0</v>
      </c>
      <c r="AB5" s="56"/>
      <c r="AC5" s="38"/>
      <c r="AD5" s="39">
        <v>142169.5</v>
      </c>
      <c r="AE5" s="39">
        <v>71084.755</v>
      </c>
      <c r="AF5" s="40">
        <v>71084.745</v>
      </c>
      <c r="AG5" s="57" t="s">
        <v>65</v>
      </c>
      <c r="AH5" s="69" t="s">
        <v>66</v>
      </c>
      <c r="AI5" s="42" t="str">
        <f>IFERROR(__xludf.DUMMYFUNCTION("vLOOKUP(A5,IMPORTRANGE(""https://docs.google.com/spreadsheets/d/1Rawwwdh8wntXGy8isdYNHxsNQS4n_rC8JSdPfj6vEq4"",""'500 объектов перенос на 2026'!A3:AB502""),13,0)"),"#REF!")</f>
        <v>#REF!</v>
      </c>
      <c r="AJ5" s="42" t="str">
        <f>IFERROR(__xludf.DUMMYFUNCTION("vLOOKUP(A5,IMPORTRANGE(""https://docs.google.com/spreadsheets/d/1Rawwwdh8wntXGy8isdYNHxsNQS4n_rC8JSdPfj6vEq4"",""'500 объектов перенос на 2026'!A3:AB502""),14,0)"),"#REF!")</f>
        <v>#REF!</v>
      </c>
      <c r="AK5" s="70" t="s">
        <v>67</v>
      </c>
      <c r="AL5" s="70"/>
      <c r="AM5" s="70"/>
      <c r="AN5" s="43"/>
      <c r="AO5" s="60" t="str">
        <f>IFERROR(__xludf.DUMMYFUNCTION("""COMPUTED_VALUE"""),"АО МОСОБЛГАЗ")</f>
        <v>АО МОСОБЛГАЗ</v>
      </c>
      <c r="AP5" s="44">
        <f>IFERROR(__xludf.DUMMYFUNCTION("""COMPUTED_VALUE"""),4.8232814053E8)</f>
        <v>482328140.5</v>
      </c>
      <c r="AQ5" s="44"/>
      <c r="AR5" s="61" t="s">
        <v>68</v>
      </c>
      <c r="AS5" s="71">
        <v>88.0</v>
      </c>
      <c r="AT5" s="44"/>
      <c r="AU5" s="44"/>
      <c r="AV5" s="44"/>
      <c r="AW5" s="44"/>
      <c r="AX5" s="44"/>
      <c r="AY5" s="44"/>
      <c r="AZ5" s="44"/>
    </row>
    <row r="6">
      <c r="A6" s="62" t="s">
        <v>69</v>
      </c>
      <c r="B6" s="63" t="s">
        <v>70</v>
      </c>
      <c r="C6" s="64" t="s">
        <v>71</v>
      </c>
      <c r="D6" s="47" t="s">
        <v>38</v>
      </c>
      <c r="E6" s="64" t="s">
        <v>59</v>
      </c>
      <c r="F6" s="31" t="s">
        <v>60</v>
      </c>
      <c r="G6" s="31"/>
      <c r="H6" s="31"/>
      <c r="I6" s="31" t="s">
        <v>40</v>
      </c>
      <c r="J6" s="31" t="s">
        <v>43</v>
      </c>
      <c r="K6" s="31" t="s">
        <v>72</v>
      </c>
      <c r="L6" s="32">
        <f>IFERROR(__xludf.DUMMYFUNCTION("VLOOKUP($A6,IMPORTRANGE(""1PQtfbQLqBUP-rjYRznmgNFBLOjvAnhGzpIx7BJWq8rk"",""'Worksheet'!$B$2:$H""),7,FALSE)"),0.88)</f>
        <v>0.88</v>
      </c>
      <c r="M6" s="31" t="s">
        <v>40</v>
      </c>
      <c r="N6" s="49">
        <v>7.4154847189E8</v>
      </c>
      <c r="O6" s="49">
        <v>5.116684456E8</v>
      </c>
      <c r="P6" s="49">
        <f t="shared" si="4"/>
        <v>229880026.3</v>
      </c>
      <c r="Q6" s="34">
        <f t="shared" si="3"/>
        <v>0.31</v>
      </c>
      <c r="R6" s="31"/>
      <c r="S6" s="31" t="s">
        <v>45</v>
      </c>
      <c r="T6" s="72">
        <v>7.128934143E8</v>
      </c>
      <c r="U6" s="67">
        <v>1.6006099768E8</v>
      </c>
      <c r="V6" s="67">
        <v>5.5283241662E8</v>
      </c>
      <c r="W6" s="31"/>
      <c r="X6" s="52" t="s">
        <v>73</v>
      </c>
      <c r="Y6" s="73" t="s">
        <v>74</v>
      </c>
      <c r="Z6" s="54" t="s">
        <v>75</v>
      </c>
      <c r="AA6" s="74">
        <v>46295.0</v>
      </c>
      <c r="AB6" s="56"/>
      <c r="AC6" s="38"/>
      <c r="AD6" s="39">
        <v>741548.47</v>
      </c>
      <c r="AE6" s="39">
        <v>511668.4456</v>
      </c>
      <c r="AF6" s="40">
        <v>229880.0244</v>
      </c>
      <c r="AG6" s="57" t="s">
        <v>76</v>
      </c>
      <c r="AH6" s="42" t="s">
        <v>66</v>
      </c>
      <c r="AI6" s="42" t="str">
        <f>IFERROR(__xludf.DUMMYFUNCTION("vLOOKUP(A6,IMPORTRANGE(""https://docs.google.com/spreadsheets/d/1Rawwwdh8wntXGy8isdYNHxsNQS4n_rC8JSdPfj6vEq4"",""'500 объектов перенос на 2026'!A3:AB502""),13,0)"),"#REF!")</f>
        <v>#REF!</v>
      </c>
      <c r="AJ6" s="42" t="str">
        <f>IFERROR(__xludf.DUMMYFUNCTION("vLOOKUP(A6,IMPORTRANGE(""https://docs.google.com/spreadsheets/d/1Rawwwdh8wntXGy8isdYNHxsNQS4n_rC8JSdPfj6vEq4"",""'500 объектов перенос на 2026'!A3:AB502""),14,0)"),"#REF!")</f>
        <v>#REF!</v>
      </c>
      <c r="AK6" s="75" t="s">
        <v>77</v>
      </c>
      <c r="AL6" s="70" t="s">
        <v>78</v>
      </c>
      <c r="AM6" s="70"/>
      <c r="AN6" s="70" t="s">
        <v>79</v>
      </c>
      <c r="AO6" s="60" t="str">
        <f>IFERROR(__xludf.DUMMYFUNCTION("""COMPUTED_VALUE"""),"ООО ГЛАВСТРОЙ")</f>
        <v>ООО ГЛАВСТРОЙ</v>
      </c>
      <c r="AP6" s="44">
        <f>IFERROR(__xludf.DUMMYFUNCTION("""COMPUTED_VALUE"""),3.9631011815999997E8)</f>
        <v>396310118.2</v>
      </c>
      <c r="AQ6" s="44"/>
      <c r="AR6" s="61" t="s">
        <v>80</v>
      </c>
      <c r="AS6" s="71">
        <v>170.0</v>
      </c>
      <c r="AT6" s="44"/>
      <c r="AU6" s="44"/>
      <c r="AV6" s="44"/>
      <c r="AW6" s="44"/>
      <c r="AX6" s="44"/>
      <c r="AY6" s="44"/>
      <c r="AZ6" s="44"/>
    </row>
    <row r="7">
      <c r="A7" s="62" t="s">
        <v>81</v>
      </c>
      <c r="B7" s="63" t="s">
        <v>82</v>
      </c>
      <c r="C7" s="64" t="s">
        <v>83</v>
      </c>
      <c r="D7" s="47" t="s">
        <v>84</v>
      </c>
      <c r="E7" s="64" t="s">
        <v>85</v>
      </c>
      <c r="F7" s="31" t="s">
        <v>60</v>
      </c>
      <c r="G7" s="31"/>
      <c r="H7" s="31"/>
      <c r="I7" s="31" t="s">
        <v>60</v>
      </c>
      <c r="J7" s="31"/>
      <c r="K7" s="31"/>
      <c r="L7" s="32">
        <f>IFERROR(__xludf.DUMMYFUNCTION("VLOOKUP($A7,IMPORTRANGE(""1PQtfbQLqBUP-rjYRznmgNFBLOjvAnhGzpIx7BJWq8rk"",""'Worksheet'!$B$2:$H""),7,FALSE)"),0.99)</f>
        <v>0.99</v>
      </c>
      <c r="M7" s="31" t="s">
        <v>45</v>
      </c>
      <c r="N7" s="49">
        <v>3.0949620393E8</v>
      </c>
      <c r="O7" s="49">
        <v>1.7429488636E8</v>
      </c>
      <c r="P7" s="49">
        <f t="shared" si="4"/>
        <v>135201317.6</v>
      </c>
      <c r="Q7" s="34">
        <f t="shared" si="3"/>
        <v>0.4368432176</v>
      </c>
      <c r="R7" s="31"/>
      <c r="S7" s="31" t="s">
        <v>45</v>
      </c>
      <c r="T7" s="50" t="s">
        <v>86</v>
      </c>
      <c r="U7" s="51" t="s">
        <v>87</v>
      </c>
      <c r="V7" s="50" t="s">
        <v>88</v>
      </c>
      <c r="W7" s="31" t="s">
        <v>89</v>
      </c>
      <c r="X7" s="52" t="s">
        <v>90</v>
      </c>
      <c r="Y7" s="54" t="s">
        <v>91</v>
      </c>
      <c r="Z7" s="54" t="s">
        <v>92</v>
      </c>
      <c r="AA7" s="74">
        <v>46218.0</v>
      </c>
      <c r="AB7" s="56"/>
      <c r="AC7" s="38" t="s">
        <v>93</v>
      </c>
      <c r="AD7" s="39">
        <v>167285.5</v>
      </c>
      <c r="AE7" s="39">
        <v>83642.75</v>
      </c>
      <c r="AF7" s="40">
        <v>83642.75</v>
      </c>
      <c r="AG7" s="57" t="s">
        <v>94</v>
      </c>
      <c r="AH7" s="42" t="s">
        <v>95</v>
      </c>
      <c r="AI7" s="42" t="str">
        <f>IFERROR(__xludf.DUMMYFUNCTION("vLOOKUP(A7,IMPORTRANGE(""https://docs.google.com/spreadsheets/d/1Rawwwdh8wntXGy8isdYNHxsNQS4n_rC8JSdPfj6vEq4"",""'500 объектов перенос на 2026'!A3:AB502""),13,0)"),"#REF!")</f>
        <v>#REF!</v>
      </c>
      <c r="AJ7" s="42" t="str">
        <f>IFERROR(__xludf.DUMMYFUNCTION("vLOOKUP(A7,IMPORTRANGE(""https://docs.google.com/spreadsheets/d/1Rawwwdh8wntXGy8isdYNHxsNQS4n_rC8JSdPfj6vEq4"",""'500 объектов перенос на 2026'!A3:AB502""),14,0)"),"#REF!")</f>
        <v>#REF!</v>
      </c>
      <c r="AK7" s="76" t="s">
        <v>96</v>
      </c>
      <c r="AL7" s="76"/>
      <c r="AM7" s="70"/>
      <c r="AN7" s="43"/>
      <c r="AO7" s="60" t="str">
        <f>IFERROR(__xludf.DUMMYFUNCTION("""COMPUTED_VALUE"""),"ООО ИНЖГОРСТРОЙ")</f>
        <v>ООО ИНЖГОРСТРОЙ</v>
      </c>
      <c r="AP7" s="44">
        <f>IFERROR(__xludf.DUMMYFUNCTION("""COMPUTED_VALUE"""),3.6655006714E8)</f>
        <v>366550067.1</v>
      </c>
      <c r="AQ7" s="44"/>
      <c r="AR7" s="61" t="s">
        <v>97</v>
      </c>
      <c r="AS7" s="71">
        <v>118.0</v>
      </c>
      <c r="AT7" s="44"/>
      <c r="AU7" s="44"/>
      <c r="AV7" s="44"/>
      <c r="AW7" s="44"/>
      <c r="AX7" s="44"/>
      <c r="AY7" s="44"/>
      <c r="AZ7" s="44"/>
    </row>
    <row r="8">
      <c r="A8" s="62" t="s">
        <v>98</v>
      </c>
      <c r="B8" s="63" t="s">
        <v>99</v>
      </c>
      <c r="C8" s="64" t="s">
        <v>100</v>
      </c>
      <c r="D8" s="47" t="s">
        <v>101</v>
      </c>
      <c r="E8" s="64" t="s">
        <v>59</v>
      </c>
      <c r="F8" s="31" t="s">
        <v>60</v>
      </c>
      <c r="G8" s="31"/>
      <c r="H8" s="31"/>
      <c r="I8" s="31" t="s">
        <v>40</v>
      </c>
      <c r="J8" s="31" t="s">
        <v>102</v>
      </c>
      <c r="K8" s="31" t="s">
        <v>72</v>
      </c>
      <c r="L8" s="32">
        <f>IFERROR(__xludf.DUMMYFUNCTION("VLOOKUP($A8,IMPORTRANGE(""1PQtfbQLqBUP-rjYRznmgNFBLOjvAnhGzpIx7BJWq8rk"",""'Worksheet'!$B$2:$H""),7,FALSE)"),0.81)</f>
        <v>0.81</v>
      </c>
      <c r="M8" s="31" t="s">
        <v>40</v>
      </c>
      <c r="N8" s="49">
        <v>2.8046525E8</v>
      </c>
      <c r="O8" s="49">
        <v>7.011631E7</v>
      </c>
      <c r="P8" s="49">
        <f t="shared" si="4"/>
        <v>210348940</v>
      </c>
      <c r="Q8" s="34">
        <f t="shared" si="3"/>
        <v>0.7500000089</v>
      </c>
      <c r="R8" s="31"/>
      <c r="S8" s="31" t="s">
        <v>40</v>
      </c>
      <c r="T8" s="50">
        <v>2.720512925E8</v>
      </c>
      <c r="U8" s="51">
        <v>0.0</v>
      </c>
      <c r="V8" s="51">
        <v>2.720512925E8</v>
      </c>
      <c r="W8" s="31"/>
      <c r="X8" s="52" t="s">
        <v>46</v>
      </c>
      <c r="Y8" s="54" t="s">
        <v>46</v>
      </c>
      <c r="Z8" s="74"/>
      <c r="AA8" s="74">
        <v>46248.0</v>
      </c>
      <c r="AB8" s="56"/>
      <c r="AC8" s="38" t="s">
        <v>103</v>
      </c>
      <c r="AD8" s="39">
        <v>280465.25</v>
      </c>
      <c r="AE8" s="39">
        <v>140232.625</v>
      </c>
      <c r="AF8" s="40">
        <v>140232.625</v>
      </c>
      <c r="AG8" s="57" t="s">
        <v>104</v>
      </c>
      <c r="AH8" s="42" t="s">
        <v>105</v>
      </c>
      <c r="AI8" s="42" t="str">
        <f>IFERROR(__xludf.DUMMYFUNCTION("vLOOKUP(A8,IMPORTRANGE(""https://docs.google.com/spreadsheets/d/1Rawwwdh8wntXGy8isdYNHxsNQS4n_rC8JSdPfj6vEq4"",""'500 объектов перенос на 2026'!A3:AB502""),13,0)"),"#REF!")</f>
        <v>#REF!</v>
      </c>
      <c r="AJ8" s="42" t="str">
        <f>IFERROR(__xludf.DUMMYFUNCTION("vLOOKUP(A8,IMPORTRANGE(""https://docs.google.com/spreadsheets/d/1Rawwwdh8wntXGy8isdYNHxsNQS4n_rC8JSdPfj6vEq4"",""'500 объектов перенос на 2026'!A3:AB502""),14,0)"),"#REF!")</f>
        <v>#REF!</v>
      </c>
      <c r="AK8" s="77" t="s">
        <v>106</v>
      </c>
      <c r="AL8" s="70" t="s">
        <v>107</v>
      </c>
      <c r="AM8" s="70"/>
      <c r="AN8" s="43"/>
      <c r="AO8" s="60" t="str">
        <f>IFERROR(__xludf.DUMMYFUNCTION("""COMPUTED_VALUE"""),"ООО ТЕПЛОПОРТ")</f>
        <v>ООО ТЕПЛОПОРТ</v>
      </c>
      <c r="AP8" s="44">
        <f>IFERROR(__xludf.DUMMYFUNCTION("""COMPUTED_VALUE"""),3.0110171539E8)</f>
        <v>301101715.4</v>
      </c>
      <c r="AQ8" s="44"/>
      <c r="AR8" s="61" t="s">
        <v>108</v>
      </c>
      <c r="AS8" s="71">
        <v>138.0</v>
      </c>
      <c r="AT8" s="44"/>
      <c r="AU8" s="44"/>
      <c r="AV8" s="44"/>
      <c r="AW8" s="44"/>
      <c r="AX8" s="44"/>
      <c r="AY8" s="44"/>
      <c r="AZ8" s="44"/>
    </row>
    <row r="9">
      <c r="A9" s="78" t="s">
        <v>109</v>
      </c>
      <c r="B9" s="63" t="s">
        <v>110</v>
      </c>
      <c r="C9" s="64" t="s">
        <v>111</v>
      </c>
      <c r="D9" s="47" t="s">
        <v>112</v>
      </c>
      <c r="E9" s="64" t="s">
        <v>85</v>
      </c>
      <c r="F9" s="31" t="s">
        <v>60</v>
      </c>
      <c r="G9" s="31"/>
      <c r="H9" s="31"/>
      <c r="I9" s="31" t="s">
        <v>60</v>
      </c>
      <c r="J9" s="31"/>
      <c r="K9" s="31"/>
      <c r="L9" s="32" t="str">
        <f>IFERROR(__xludf.DUMMYFUNCTION("VLOOKUP($A9,IMPORTRANGE(""1PQtfbQLqBUP-rjYRznmgNFBLOjvAnhGzpIx7BJWq8rk"",""'Worksheet'!$B$2:$H""),7,FALSE)"),"#N/A")</f>
        <v>#N/A</v>
      </c>
      <c r="M9" s="31" t="s">
        <v>60</v>
      </c>
      <c r="N9" s="49">
        <v>5.283894264E7</v>
      </c>
      <c r="O9" s="49">
        <v>4.126411708E7</v>
      </c>
      <c r="P9" s="49">
        <v>0.0</v>
      </c>
      <c r="Q9" s="34">
        <f t="shared" si="3"/>
        <v>0.2190586144</v>
      </c>
      <c r="R9" s="31"/>
      <c r="S9" s="31" t="s">
        <v>60</v>
      </c>
      <c r="T9" s="50">
        <v>3.820070508E7</v>
      </c>
      <c r="U9" s="50">
        <v>3.820070508E7</v>
      </c>
      <c r="V9" s="51">
        <v>0.0</v>
      </c>
      <c r="W9" s="31"/>
      <c r="X9" s="52" t="s">
        <v>113</v>
      </c>
      <c r="Y9" s="54"/>
      <c r="Z9" s="54"/>
      <c r="AA9" s="54" t="s">
        <v>114</v>
      </c>
      <c r="AB9" s="38" t="s">
        <v>115</v>
      </c>
      <c r="AC9" s="38"/>
      <c r="AD9" s="39">
        <v>52838.94</v>
      </c>
      <c r="AE9" s="39">
        <v>41284.11708</v>
      </c>
      <c r="AF9" s="39">
        <v>11554.82292</v>
      </c>
      <c r="AG9" s="57"/>
      <c r="AH9" s="42" t="s">
        <v>116</v>
      </c>
      <c r="AI9" s="42" t="str">
        <f>IFERROR(__xludf.DUMMYFUNCTION("vLOOKUP(A9,IMPORTRANGE(""https://docs.google.com/spreadsheets/d/1Rawwwdh8wntXGy8isdYNHxsNQS4n_rC8JSdPfj6vEq4"",""'500 объектов перенос на 2026'!A3:AB502""),13,0)"),"#REF!")</f>
        <v>#REF!</v>
      </c>
      <c r="AJ9" s="42" t="str">
        <f>IFERROR(__xludf.DUMMYFUNCTION("vLOOKUP(A9,IMPORTRANGE(""https://docs.google.com/spreadsheets/d/1Rawwwdh8wntXGy8isdYNHxsNQS4n_rC8JSdPfj6vEq4"",""'500 объектов перенос на 2026'!A3:AB502""),14,0)"),"#REF!")</f>
        <v>#REF!</v>
      </c>
      <c r="AK9" s="76" t="s">
        <v>114</v>
      </c>
      <c r="AL9" s="76"/>
      <c r="AM9" s="70"/>
      <c r="AN9" s="43"/>
      <c r="AO9" s="79" t="str">
        <f>IFERROR(__xludf.DUMMYFUNCTION("""COMPUTED_VALUE"""),"ООО РКС")</f>
        <v>ООО РКС</v>
      </c>
      <c r="AP9" s="44">
        <f>IFERROR(__xludf.DUMMYFUNCTION("""COMPUTED_VALUE"""),2.9929528615000004E8)</f>
        <v>299295286.2</v>
      </c>
      <c r="AQ9" s="44"/>
      <c r="AR9" s="61" t="s">
        <v>117</v>
      </c>
      <c r="AS9" s="71">
        <v>136.0</v>
      </c>
      <c r="AT9" s="44"/>
      <c r="AU9" s="44"/>
      <c r="AV9" s="44"/>
      <c r="AW9" s="44"/>
      <c r="AX9" s="44"/>
      <c r="AY9" s="44"/>
      <c r="AZ9" s="44"/>
    </row>
    <row r="10">
      <c r="A10" s="78" t="s">
        <v>118</v>
      </c>
      <c r="B10" s="63" t="s">
        <v>110</v>
      </c>
      <c r="C10" s="64" t="s">
        <v>119</v>
      </c>
      <c r="D10" s="47" t="s">
        <v>112</v>
      </c>
      <c r="E10" s="64" t="s">
        <v>85</v>
      </c>
      <c r="F10" s="31" t="s">
        <v>60</v>
      </c>
      <c r="G10" s="31"/>
      <c r="H10" s="31"/>
      <c r="I10" s="31" t="s">
        <v>60</v>
      </c>
      <c r="J10" s="31"/>
      <c r="K10" s="31"/>
      <c r="L10" s="32" t="str">
        <f>IFERROR(__xludf.DUMMYFUNCTION("VLOOKUP($A10,IMPORTRANGE(""1PQtfbQLqBUP-rjYRznmgNFBLOjvAnhGzpIx7BJWq8rk"",""'Worksheet'!$B$2:$H""),7,FALSE)"),"#N/A")</f>
        <v>#N/A</v>
      </c>
      <c r="M10" s="31" t="s">
        <v>60</v>
      </c>
      <c r="N10" s="49">
        <v>8520544.26</v>
      </c>
      <c r="O10" s="49">
        <v>6353861.49</v>
      </c>
      <c r="P10" s="49">
        <v>0.0</v>
      </c>
      <c r="Q10" s="34">
        <f t="shared" si="3"/>
        <v>0.2542892454</v>
      </c>
      <c r="R10" s="31"/>
      <c r="S10" s="31" t="s">
        <v>60</v>
      </c>
      <c r="T10" s="50">
        <v>2.973575791E7</v>
      </c>
      <c r="U10" s="50">
        <v>2.973575791E7</v>
      </c>
      <c r="V10" s="51">
        <v>0.0</v>
      </c>
      <c r="W10" s="31"/>
      <c r="X10" s="52" t="s">
        <v>113</v>
      </c>
      <c r="Y10" s="54"/>
      <c r="Z10" s="54"/>
      <c r="AA10" s="54" t="s">
        <v>114</v>
      </c>
      <c r="AB10" s="38" t="s">
        <v>115</v>
      </c>
      <c r="AC10" s="38"/>
      <c r="AD10" s="39">
        <v>40767.16</v>
      </c>
      <c r="AE10" s="39">
        <v>31486.58191</v>
      </c>
      <c r="AF10" s="39">
        <v>9280.57809</v>
      </c>
      <c r="AG10" s="57"/>
      <c r="AH10" s="42" t="s">
        <v>116</v>
      </c>
      <c r="AI10" s="42" t="str">
        <f>IFERROR(__xludf.DUMMYFUNCTION("vLOOKUP(A10,IMPORTRANGE(""https://docs.google.com/spreadsheets/d/1Rawwwdh8wntXGy8isdYNHxsNQS4n_rC8JSdPfj6vEq4"",""'500 объектов перенос на 2026'!A3:AB502""),13,0)"),"#REF!")</f>
        <v>#REF!</v>
      </c>
      <c r="AJ10" s="42" t="str">
        <f>IFERROR(__xludf.DUMMYFUNCTION("vLOOKUP(A10,IMPORTRANGE(""https://docs.google.com/spreadsheets/d/1Rawwwdh8wntXGy8isdYNHxsNQS4n_rC8JSdPfj6vEq4"",""'500 объектов перенос на 2026'!A3:AB502""),14,0)"),"#REF!")</f>
        <v>#REF!</v>
      </c>
      <c r="AK10" s="76" t="s">
        <v>114</v>
      </c>
      <c r="AL10" s="76"/>
      <c r="AM10" s="70"/>
      <c r="AN10" s="43"/>
      <c r="AO10" s="60" t="str">
        <f>IFERROR(__xludf.DUMMYFUNCTION("""COMPUTED_VALUE"""),"ООО СК ИМПЕРИЯ")</f>
        <v>ООО СК ИМПЕРИЯ</v>
      </c>
      <c r="AP10" s="44">
        <f>IFERROR(__xludf.DUMMYFUNCTION("""COMPUTED_VALUE"""),2.855064873E8)</f>
        <v>285506487.3</v>
      </c>
      <c r="AQ10" s="44"/>
      <c r="AR10" s="61" t="s">
        <v>120</v>
      </c>
      <c r="AS10" s="71">
        <v>113.0</v>
      </c>
      <c r="AT10" s="44"/>
      <c r="AU10" s="44"/>
      <c r="AV10" s="44"/>
      <c r="AW10" s="44"/>
      <c r="AX10" s="44"/>
      <c r="AY10" s="44"/>
      <c r="AZ10" s="44"/>
    </row>
    <row r="11">
      <c r="A11" s="78" t="s">
        <v>121</v>
      </c>
      <c r="B11" s="63" t="s">
        <v>110</v>
      </c>
      <c r="C11" s="80" t="s">
        <v>122</v>
      </c>
      <c r="D11" s="47" t="s">
        <v>112</v>
      </c>
      <c r="E11" s="64" t="s">
        <v>85</v>
      </c>
      <c r="F11" s="31" t="s">
        <v>60</v>
      </c>
      <c r="G11" s="31"/>
      <c r="H11" s="31"/>
      <c r="I11" s="31" t="s">
        <v>60</v>
      </c>
      <c r="J11" s="31"/>
      <c r="K11" s="31"/>
      <c r="L11" s="32" t="str">
        <f>IFERROR(__xludf.DUMMYFUNCTION("VLOOKUP($A11,IMPORTRANGE(""1PQtfbQLqBUP-rjYRznmgNFBLOjvAnhGzpIx7BJWq8rk"",""'Worksheet'!$B$2:$H""),7,FALSE)"),"#N/A")</f>
        <v>#N/A</v>
      </c>
      <c r="M11" s="31" t="s">
        <v>60</v>
      </c>
      <c r="N11" s="49">
        <v>4.882174354E7</v>
      </c>
      <c r="O11" s="49">
        <v>4.022355101E7</v>
      </c>
      <c r="P11" s="49">
        <v>0.0</v>
      </c>
      <c r="Q11" s="34">
        <f t="shared" si="3"/>
        <v>0.1761139998</v>
      </c>
      <c r="R11" s="31"/>
      <c r="S11" s="31" t="s">
        <v>60</v>
      </c>
      <c r="T11" s="50">
        <v>3.942990715E7</v>
      </c>
      <c r="U11" s="51">
        <v>3.942990715E7</v>
      </c>
      <c r="V11" s="51">
        <v>0.0</v>
      </c>
      <c r="W11" s="31"/>
      <c r="X11" s="52" t="s">
        <v>113</v>
      </c>
      <c r="Y11" s="54"/>
      <c r="Z11" s="54"/>
      <c r="AA11" s="54" t="s">
        <v>114</v>
      </c>
      <c r="AB11" s="38" t="s">
        <v>115</v>
      </c>
      <c r="AC11" s="38"/>
      <c r="AD11" s="39">
        <v>48821.74</v>
      </c>
      <c r="AE11" s="39">
        <v>40711.38715</v>
      </c>
      <c r="AF11" s="39">
        <v>8110.35285</v>
      </c>
      <c r="AG11" s="57"/>
      <c r="AH11" s="42" t="s">
        <v>116</v>
      </c>
      <c r="AI11" s="42" t="str">
        <f>IFERROR(__xludf.DUMMYFUNCTION("vLOOKUP(A11,IMPORTRANGE(""https://docs.google.com/spreadsheets/d/1Rawwwdh8wntXGy8isdYNHxsNQS4n_rC8JSdPfj6vEq4"",""'500 объектов перенос на 2026'!A3:AB502""),13,0)"),"#REF!")</f>
        <v>#REF!</v>
      </c>
      <c r="AJ11" s="42" t="str">
        <f>IFERROR(__xludf.DUMMYFUNCTION("vLOOKUP(A11,IMPORTRANGE(""https://docs.google.com/spreadsheets/d/1Rawwwdh8wntXGy8isdYNHxsNQS4n_rC8JSdPfj6vEq4"",""'500 объектов перенос на 2026'!A3:AB502""),14,0)"),"#REF!")</f>
        <v>#REF!</v>
      </c>
      <c r="AK11" s="76" t="s">
        <v>114</v>
      </c>
      <c r="AL11" s="76"/>
      <c r="AM11" s="70"/>
      <c r="AN11" s="43"/>
      <c r="AO11" s="60" t="str">
        <f>IFERROR(__xludf.DUMMYFUNCTION("""COMPUTED_VALUE"""),"ООО ВЫМПЕЛСТРОЙ")</f>
        <v>ООО ВЫМПЕЛСТРОЙ</v>
      </c>
      <c r="AP11" s="44">
        <f>IFERROR(__xludf.DUMMYFUNCTION("""COMPUTED_VALUE"""),2.7706580654999995E8)</f>
        <v>277065806.6</v>
      </c>
      <c r="AQ11" s="44"/>
      <c r="AR11" s="44"/>
      <c r="AS11" s="44"/>
      <c r="AT11" s="44"/>
      <c r="AU11" s="44"/>
      <c r="AV11" s="44"/>
      <c r="AW11" s="44"/>
      <c r="AX11" s="44"/>
      <c r="AY11" s="44"/>
      <c r="AZ11" s="44"/>
    </row>
    <row r="12">
      <c r="A12" s="78" t="s">
        <v>123</v>
      </c>
      <c r="B12" s="63" t="s">
        <v>110</v>
      </c>
      <c r="C12" s="64" t="s">
        <v>124</v>
      </c>
      <c r="D12" s="47" t="s">
        <v>112</v>
      </c>
      <c r="E12" s="64" t="s">
        <v>85</v>
      </c>
      <c r="F12" s="31" t="s">
        <v>60</v>
      </c>
      <c r="G12" s="31"/>
      <c r="H12" s="31"/>
      <c r="I12" s="31" t="s">
        <v>60</v>
      </c>
      <c r="J12" s="31"/>
      <c r="K12" s="31"/>
      <c r="L12" s="32" t="str">
        <f>IFERROR(__xludf.DUMMYFUNCTION("VLOOKUP($A12,IMPORTRANGE(""1PQtfbQLqBUP-rjYRznmgNFBLOjvAnhGzpIx7BJWq8rk"",""'Worksheet'!$B$2:$H""),7,FALSE)"),"#N/A")</f>
        <v>#N/A</v>
      </c>
      <c r="M12" s="31" t="s">
        <v>60</v>
      </c>
      <c r="N12" s="49">
        <v>3.118758596E7</v>
      </c>
      <c r="O12" s="49">
        <v>2.669598369E7</v>
      </c>
      <c r="P12" s="49">
        <v>0.0</v>
      </c>
      <c r="Q12" s="34">
        <f t="shared" si="3"/>
        <v>0.1440189143</v>
      </c>
      <c r="R12" s="31"/>
      <c r="S12" s="31" t="s">
        <v>60</v>
      </c>
      <c r="T12" s="50">
        <v>2.685569273E7</v>
      </c>
      <c r="U12" s="51">
        <v>2.685569273E7</v>
      </c>
      <c r="V12" s="51">
        <v>0.0</v>
      </c>
      <c r="W12" s="31"/>
      <c r="X12" s="52" t="s">
        <v>113</v>
      </c>
      <c r="Y12" s="54"/>
      <c r="Z12" s="54"/>
      <c r="AA12" s="54" t="s">
        <v>114</v>
      </c>
      <c r="AB12" s="38" t="s">
        <v>115</v>
      </c>
      <c r="AC12" s="38"/>
      <c r="AD12" s="39">
        <v>31187.59</v>
      </c>
      <c r="AE12" s="39">
        <v>28397.84161</v>
      </c>
      <c r="AF12" s="39">
        <v>2789.74839</v>
      </c>
      <c r="AG12" s="57"/>
      <c r="AH12" s="42" t="s">
        <v>116</v>
      </c>
      <c r="AI12" s="42" t="str">
        <f>IFERROR(__xludf.DUMMYFUNCTION("vLOOKUP(A12,IMPORTRANGE(""https://docs.google.com/spreadsheets/d/1Rawwwdh8wntXGy8isdYNHxsNQS4n_rC8JSdPfj6vEq4"",""'500 объектов перенос на 2026'!A3:AB502""),13,0)"),"#REF!")</f>
        <v>#REF!</v>
      </c>
      <c r="AJ12" s="42" t="str">
        <f>IFERROR(__xludf.DUMMYFUNCTION("vLOOKUP(A12,IMPORTRANGE(""https://docs.google.com/spreadsheets/d/1Rawwwdh8wntXGy8isdYNHxsNQS4n_rC8JSdPfj6vEq4"",""'500 объектов перенос на 2026'!A3:AB502""),14,0)"),"#REF!")</f>
        <v>#REF!</v>
      </c>
      <c r="AK12" s="76" t="s">
        <v>114</v>
      </c>
      <c r="AL12" s="70"/>
      <c r="AM12" s="70"/>
      <c r="AN12" s="43"/>
      <c r="AO12" s="44" t="str">
        <f>IFERROR(__xludf.DUMMYFUNCTION("""COMPUTED_VALUE"""),"ООО СТРОЙ ГРУПП")</f>
        <v>ООО СТРОЙ ГРУПП</v>
      </c>
      <c r="AP12" s="44">
        <f>IFERROR(__xludf.DUMMYFUNCTION("""COMPUTED_VALUE"""),2.5760319715E8)</f>
        <v>257603197.2</v>
      </c>
      <c r="AQ12" s="44"/>
      <c r="AR12" s="44"/>
      <c r="AS12" s="44"/>
      <c r="AT12" s="44"/>
      <c r="AU12" s="44"/>
      <c r="AV12" s="44"/>
      <c r="AW12" s="44"/>
      <c r="AX12" s="44"/>
      <c r="AY12" s="44"/>
      <c r="AZ12" s="44"/>
    </row>
    <row r="13">
      <c r="A13" s="81" t="s">
        <v>125</v>
      </c>
      <c r="B13" s="63" t="s">
        <v>126</v>
      </c>
      <c r="C13" s="64" t="s">
        <v>127</v>
      </c>
      <c r="D13" s="47" t="s">
        <v>128</v>
      </c>
      <c r="E13" s="64" t="s">
        <v>85</v>
      </c>
      <c r="F13" s="31" t="s">
        <v>60</v>
      </c>
      <c r="G13" s="31"/>
      <c r="H13" s="31"/>
      <c r="I13" s="31" t="s">
        <v>60</v>
      </c>
      <c r="J13" s="31"/>
      <c r="K13" s="31"/>
      <c r="L13" s="32">
        <f>IFERROR(__xludf.DUMMYFUNCTION("VLOOKUP($A13,IMPORTRANGE(""1PQtfbQLqBUP-rjYRznmgNFBLOjvAnhGzpIx7BJWq8rk"",""'Worksheet'!$B$2:$H""),7,FALSE)"),1.0)</f>
        <v>1</v>
      </c>
      <c r="M13" s="31" t="s">
        <v>60</v>
      </c>
      <c r="N13" s="49">
        <v>1.5425222364E8</v>
      </c>
      <c r="O13" s="49">
        <v>1.433674895E8</v>
      </c>
      <c r="P13" s="49">
        <v>0.0</v>
      </c>
      <c r="Q13" s="34">
        <f t="shared" si="3"/>
        <v>0.07056452013</v>
      </c>
      <c r="R13" s="31"/>
      <c r="S13" s="31" t="s">
        <v>60</v>
      </c>
      <c r="T13" s="50" t="s">
        <v>129</v>
      </c>
      <c r="U13" s="50" t="s">
        <v>129</v>
      </c>
      <c r="V13" s="51">
        <v>0.0</v>
      </c>
      <c r="W13" s="31"/>
      <c r="X13" s="52" t="s">
        <v>8</v>
      </c>
      <c r="Y13" s="68"/>
      <c r="Z13" s="68"/>
      <c r="AA13" s="54" t="s">
        <v>114</v>
      </c>
      <c r="AB13" s="82"/>
      <c r="AC13" s="83">
        <v>46325.0</v>
      </c>
      <c r="AD13" s="39">
        <v>146362.4523</v>
      </c>
      <c r="AE13" s="39">
        <v>36526.32717</v>
      </c>
      <c r="AF13" s="40">
        <v>109836.1252</v>
      </c>
      <c r="AG13" s="57" t="s">
        <v>130</v>
      </c>
      <c r="AH13" s="42" t="s">
        <v>131</v>
      </c>
      <c r="AI13" s="42" t="str">
        <f>IFERROR(__xludf.DUMMYFUNCTION("vLOOKUP(A13,IMPORTRANGE(""https://docs.google.com/spreadsheets/d/1Rawwwdh8wntXGy8isdYNHxsNQS4n_rC8JSdPfj6vEq4"",""'500 объектов перенос на 2026'!A3:AB502""),13,0)"),"#REF!")</f>
        <v>#REF!</v>
      </c>
      <c r="AJ13" s="42" t="str">
        <f>IFERROR(__xludf.DUMMYFUNCTION("vLOOKUP(A13,IMPORTRANGE(""https://docs.google.com/spreadsheets/d/1Rawwwdh8wntXGy8isdYNHxsNQS4n_rC8JSdPfj6vEq4"",""'500 объектов перенос на 2026'!A3:AB502""),14,0)"),"#REF!")</f>
        <v>#REF!</v>
      </c>
      <c r="AK13" s="76" t="s">
        <v>114</v>
      </c>
      <c r="AL13" s="70"/>
      <c r="AM13" s="70"/>
      <c r="AN13" s="43"/>
      <c r="AO13" s="44" t="str">
        <f>IFERROR(__xludf.DUMMYFUNCTION("""COMPUTED_VALUE"""),"ООО СК ВЕКТОР")</f>
        <v>ООО СК ВЕКТОР</v>
      </c>
      <c r="AP13" s="44">
        <f>IFERROR(__xludf.DUMMYFUNCTION("""COMPUTED_VALUE"""),2.4934169123E8)</f>
        <v>249341691.2</v>
      </c>
      <c r="AQ13" s="44"/>
      <c r="AR13" s="44"/>
      <c r="AS13" s="44"/>
      <c r="AT13" s="44"/>
      <c r="AU13" s="44"/>
      <c r="AV13" s="44"/>
      <c r="AW13" s="44"/>
      <c r="AX13" s="44"/>
      <c r="AY13" s="44"/>
      <c r="AZ13" s="44"/>
    </row>
    <row r="14">
      <c r="A14" s="62" t="s">
        <v>132</v>
      </c>
      <c r="B14" s="63" t="s">
        <v>133</v>
      </c>
      <c r="C14" s="64" t="s">
        <v>134</v>
      </c>
      <c r="D14" s="47" t="s">
        <v>135</v>
      </c>
      <c r="E14" s="64" t="s">
        <v>85</v>
      </c>
      <c r="F14" s="31" t="s">
        <v>60</v>
      </c>
      <c r="G14" s="31"/>
      <c r="H14" s="31"/>
      <c r="I14" s="31" t="s">
        <v>40</v>
      </c>
      <c r="J14" s="31" t="s">
        <v>102</v>
      </c>
      <c r="K14" s="31" t="s">
        <v>72</v>
      </c>
      <c r="L14" s="32">
        <f>IFERROR(__xludf.DUMMYFUNCTION("VLOOKUP($A14,IMPORTRANGE(""1PQtfbQLqBUP-rjYRznmgNFBLOjvAnhGzpIx7BJWq8rk"",""'Worksheet'!$B$2:$H""),7,FALSE)"),0.22)</f>
        <v>0.22</v>
      </c>
      <c r="M14" s="31" t="s">
        <v>45</v>
      </c>
      <c r="N14" s="49">
        <v>2.46616321E8</v>
      </c>
      <c r="O14" s="49">
        <v>4.0E7</v>
      </c>
      <c r="P14" s="49">
        <f t="shared" ref="P14:P16" si="5">N14-O14</f>
        <v>206616321</v>
      </c>
      <c r="Q14" s="34">
        <f t="shared" si="3"/>
        <v>0.8378047331</v>
      </c>
      <c r="R14" s="31"/>
      <c r="S14" s="31" t="s">
        <v>40</v>
      </c>
      <c r="T14" s="84">
        <f>N14*0.95</f>
        <v>234285505</v>
      </c>
      <c r="U14" s="84">
        <v>0.0</v>
      </c>
      <c r="V14" s="84">
        <v>2.3428550495E8</v>
      </c>
      <c r="W14" s="31"/>
      <c r="X14" s="52" t="s">
        <v>46</v>
      </c>
      <c r="Y14" s="54" t="s">
        <v>136</v>
      </c>
      <c r="Z14" s="74"/>
      <c r="AA14" s="74">
        <v>46280.0</v>
      </c>
      <c r="AB14" s="56"/>
      <c r="AC14" s="38"/>
      <c r="AD14" s="39">
        <v>297701.13</v>
      </c>
      <c r="AE14" s="39">
        <v>0.0</v>
      </c>
      <c r="AF14" s="40">
        <v>297701.13</v>
      </c>
      <c r="AG14" s="57" t="s">
        <v>137</v>
      </c>
      <c r="AH14" s="42" t="s">
        <v>138</v>
      </c>
      <c r="AI14" s="42" t="str">
        <f>IFERROR(__xludf.DUMMYFUNCTION("vLOOKUP(A14,IMPORTRANGE(""https://docs.google.com/spreadsheets/d/1Rawwwdh8wntXGy8isdYNHxsNQS4n_rC8JSdPfj6vEq4"",""'500 объектов перенос на 2026'!A3:AB502""),13,0)"),"#REF!")</f>
        <v>#REF!</v>
      </c>
      <c r="AJ14" s="85" t="s">
        <v>139</v>
      </c>
      <c r="AK14" s="86" t="s">
        <v>140</v>
      </c>
      <c r="AL14" s="87"/>
      <c r="AM14" s="87"/>
      <c r="AN14" s="43"/>
      <c r="AO14" s="44" t="str">
        <f>IFERROR(__xludf.DUMMYFUNCTION("""COMPUTED_VALUE"""),"ООО ТК СТРОЙ")</f>
        <v>ООО ТК СТРОЙ</v>
      </c>
      <c r="AP14" s="44">
        <f>IFERROR(__xludf.DUMMYFUNCTION("""COMPUTED_VALUE"""),2.4623441624999997E8)</f>
        <v>246234416.3</v>
      </c>
      <c r="AQ14" s="44"/>
      <c r="AR14" s="44"/>
      <c r="AS14" s="44"/>
      <c r="AT14" s="44"/>
      <c r="AU14" s="44"/>
      <c r="AV14" s="44"/>
      <c r="AW14" s="44"/>
      <c r="AX14" s="44"/>
      <c r="AY14" s="44"/>
      <c r="AZ14" s="44"/>
    </row>
    <row r="15">
      <c r="A15" s="62" t="s">
        <v>141</v>
      </c>
      <c r="B15" s="63" t="s">
        <v>142</v>
      </c>
      <c r="C15" s="64" t="s">
        <v>143</v>
      </c>
      <c r="D15" s="47" t="s">
        <v>144</v>
      </c>
      <c r="E15" s="64" t="s">
        <v>59</v>
      </c>
      <c r="F15" s="31" t="s">
        <v>60</v>
      </c>
      <c r="G15" s="31"/>
      <c r="H15" s="31"/>
      <c r="I15" s="31" t="s">
        <v>60</v>
      </c>
      <c r="J15" s="31"/>
      <c r="K15" s="31"/>
      <c r="L15" s="32">
        <f>IFERROR(__xludf.DUMMYFUNCTION("VLOOKUP($A15,IMPORTRANGE(""1PQtfbQLqBUP-rjYRznmgNFBLOjvAnhGzpIx7BJWq8rk"",""'Worksheet'!$B$2:$H""),7,FALSE)"),0.94)</f>
        <v>0.94</v>
      </c>
      <c r="M15" s="31" t="s">
        <v>45</v>
      </c>
      <c r="N15" s="49">
        <v>2.1989956081E8</v>
      </c>
      <c r="O15" s="49">
        <v>1.8600237105E8</v>
      </c>
      <c r="P15" s="49">
        <f t="shared" si="5"/>
        <v>33897189.76</v>
      </c>
      <c r="Q15" s="34">
        <f t="shared" si="3"/>
        <v>0.1541485105</v>
      </c>
      <c r="R15" s="31"/>
      <c r="S15" s="31" t="s">
        <v>45</v>
      </c>
      <c r="T15" s="88" t="s">
        <v>145</v>
      </c>
      <c r="U15" s="88" t="s">
        <v>146</v>
      </c>
      <c r="V15" s="88" t="s">
        <v>147</v>
      </c>
      <c r="W15" s="31" t="s">
        <v>148</v>
      </c>
      <c r="X15" s="52" t="s">
        <v>149</v>
      </c>
      <c r="Y15" s="89" t="s">
        <v>150</v>
      </c>
      <c r="Z15" s="55"/>
      <c r="AA15" s="55">
        <v>46204.0</v>
      </c>
      <c r="AB15" s="56"/>
      <c r="AC15" s="38"/>
      <c r="AD15" s="39">
        <v>93078.51</v>
      </c>
      <c r="AE15" s="39">
        <v>27783.93523</v>
      </c>
      <c r="AF15" s="40">
        <v>65294.57477</v>
      </c>
      <c r="AG15" s="57" t="s">
        <v>151</v>
      </c>
      <c r="AH15" s="85" t="s">
        <v>46</v>
      </c>
      <c r="AI15" s="42" t="str">
        <f>IFERROR(__xludf.DUMMYFUNCTION("vLOOKUP(A15,IMPORTRANGE(""https://docs.google.com/spreadsheets/d/1Rawwwdh8wntXGy8isdYNHxsNQS4n_rC8JSdPfj6vEq4"",""'500 объектов перенос на 2026'!A3:AB502""),13,0)"),"#REF!")</f>
        <v>#REF!</v>
      </c>
      <c r="AJ15" s="42" t="str">
        <f>IFERROR(__xludf.DUMMYFUNCTION("vLOOKUP(A15,IMPORTRANGE(""https://docs.google.com/spreadsheets/d/1Rawwwdh8wntXGy8isdYNHxsNQS4n_rC8JSdPfj6vEq4"",""'500 объектов перенос на 2026'!A3:AB502""),14,0)"),"#REF!")</f>
        <v>#REF!</v>
      </c>
      <c r="AK15" s="76" t="s">
        <v>152</v>
      </c>
      <c r="AL15" s="70"/>
      <c r="AM15" s="70"/>
      <c r="AN15" s="43"/>
      <c r="AO15" s="44" t="str">
        <f>IFERROR(__xludf.DUMMYFUNCTION("""COMPUTED_VALUE"""),"ООО КДС")</f>
        <v>ООО КДС</v>
      </c>
      <c r="AP15" s="44">
        <f>IFERROR(__xludf.DUMMYFUNCTION("""COMPUTED_VALUE"""),2.3686699498999998E8)</f>
        <v>236866995</v>
      </c>
      <c r="AQ15" s="44"/>
      <c r="AR15" s="44"/>
      <c r="AS15" s="44"/>
      <c r="AT15" s="44"/>
      <c r="AU15" s="44"/>
      <c r="AV15" s="44"/>
      <c r="AW15" s="44"/>
      <c r="AX15" s="44"/>
      <c r="AY15" s="44"/>
      <c r="AZ15" s="44"/>
    </row>
    <row r="16">
      <c r="A16" s="62" t="s">
        <v>153</v>
      </c>
      <c r="B16" s="63" t="s">
        <v>99</v>
      </c>
      <c r="C16" s="90" t="s">
        <v>154</v>
      </c>
      <c r="D16" s="47" t="s">
        <v>101</v>
      </c>
      <c r="E16" s="90" t="s">
        <v>155</v>
      </c>
      <c r="F16" s="31" t="s">
        <v>40</v>
      </c>
      <c r="G16" s="31" t="s">
        <v>156</v>
      </c>
      <c r="H16" s="31" t="s">
        <v>157</v>
      </c>
      <c r="I16" s="31" t="s">
        <v>40</v>
      </c>
      <c r="J16" s="31" t="s">
        <v>102</v>
      </c>
      <c r="K16" s="31"/>
      <c r="L16" s="32">
        <f>IFERROR(__xludf.DUMMYFUNCTION("VLOOKUP($A16,IMPORTRANGE(""1PQtfbQLqBUP-rjYRznmgNFBLOjvAnhGzpIx7BJWq8rk"",""'Worksheet'!$B$2:$H""),7,FALSE)"),0.45)</f>
        <v>0.45</v>
      </c>
      <c r="M16" s="31" t="s">
        <v>40</v>
      </c>
      <c r="N16" s="49">
        <v>2.7422625E8</v>
      </c>
      <c r="O16" s="49">
        <v>8.2267875E7</v>
      </c>
      <c r="P16" s="49">
        <f t="shared" si="5"/>
        <v>191958375</v>
      </c>
      <c r="Q16" s="34">
        <f t="shared" si="3"/>
        <v>0.7</v>
      </c>
      <c r="R16" s="31"/>
      <c r="S16" s="31" t="s">
        <v>40</v>
      </c>
      <c r="T16" s="84" t="s">
        <v>158</v>
      </c>
      <c r="U16" s="84">
        <v>0.0</v>
      </c>
      <c r="V16" s="84" t="s">
        <v>158</v>
      </c>
      <c r="W16" s="31"/>
      <c r="X16" s="52" t="s">
        <v>46</v>
      </c>
      <c r="Y16" s="54" t="s">
        <v>159</v>
      </c>
      <c r="Z16" s="54" t="s">
        <v>160</v>
      </c>
      <c r="AA16" s="74">
        <v>46296.0</v>
      </c>
      <c r="AB16" s="56"/>
      <c r="AC16" s="38"/>
      <c r="AD16" s="39">
        <v>274226.25</v>
      </c>
      <c r="AE16" s="39">
        <v>82267.875</v>
      </c>
      <c r="AF16" s="40">
        <v>191958.375</v>
      </c>
      <c r="AG16" s="57" t="s">
        <v>161</v>
      </c>
      <c r="AH16" s="42" t="s">
        <v>105</v>
      </c>
      <c r="AI16" s="42" t="str">
        <f>IFERROR(__xludf.DUMMYFUNCTION("vLOOKUP(A16,IMPORTRANGE(""https://docs.google.com/spreadsheets/d/1Rawwwdh8wntXGy8isdYNHxsNQS4n_rC8JSdPfj6vEq4"",""'500 объектов перенос на 2026'!A3:AB502""),13,0)"),"#REF!")</f>
        <v>#REF!</v>
      </c>
      <c r="AJ16" s="42" t="str">
        <f>IFERROR(__xludf.DUMMYFUNCTION("vLOOKUP(A16,IMPORTRANGE(""https://docs.google.com/spreadsheets/d/1Rawwwdh8wntXGy8isdYNHxsNQS4n_rC8JSdPfj6vEq4"",""'500 объектов перенос на 2026'!A3:AB502""),14,0)"),"#REF!")</f>
        <v>#REF!</v>
      </c>
      <c r="AK16" s="58" t="s">
        <v>162</v>
      </c>
      <c r="AL16" s="59" t="s">
        <v>163</v>
      </c>
      <c r="AM16" s="59"/>
      <c r="AN16" s="43"/>
      <c r="AO16" s="44" t="str">
        <f>IFERROR(__xludf.DUMMYFUNCTION("""COMPUTED_VALUE"""),"ООО ЛЕГИОНСТРОЙГРУПП")</f>
        <v>ООО ЛЕГИОНСТРОЙГРУПП</v>
      </c>
      <c r="AP16" s="44">
        <f>IFERROR(__xludf.DUMMYFUNCTION("""COMPUTED_VALUE"""),2.3019461E8)</f>
        <v>230194610</v>
      </c>
      <c r="AQ16" s="44"/>
      <c r="AR16" s="44"/>
      <c r="AS16" s="44"/>
      <c r="AT16" s="44"/>
      <c r="AU16" s="44"/>
      <c r="AV16" s="44"/>
      <c r="AW16" s="44"/>
      <c r="AX16" s="44"/>
      <c r="AY16" s="44"/>
      <c r="AZ16" s="44"/>
    </row>
    <row r="17">
      <c r="A17" s="78" t="s">
        <v>164</v>
      </c>
      <c r="B17" s="63" t="s">
        <v>126</v>
      </c>
      <c r="C17" s="90" t="s">
        <v>165</v>
      </c>
      <c r="D17" s="47" t="s">
        <v>166</v>
      </c>
      <c r="E17" s="64" t="s">
        <v>85</v>
      </c>
      <c r="F17" s="31" t="s">
        <v>60</v>
      </c>
      <c r="G17" s="31"/>
      <c r="H17" s="31"/>
      <c r="I17" s="31" t="s">
        <v>60</v>
      </c>
      <c r="J17" s="31"/>
      <c r="K17" s="31"/>
      <c r="L17" s="32" t="str">
        <f>IFERROR(__xludf.DUMMYFUNCTION("VLOOKUP($A17,IMPORTRANGE(""1PQtfbQLqBUP-rjYRznmgNFBLOjvAnhGzpIx7BJWq8rk"",""'Worksheet'!$B$2:$H""),7,FALSE)"),"#N/A")</f>
        <v>#N/A</v>
      </c>
      <c r="M17" s="31" t="s">
        <v>60</v>
      </c>
      <c r="N17" s="49">
        <v>1.4452258402E8</v>
      </c>
      <c r="O17" s="49">
        <v>1.0990151421E8</v>
      </c>
      <c r="P17" s="49">
        <v>0.0</v>
      </c>
      <c r="Q17" s="34">
        <f t="shared" si="3"/>
        <v>0.2395547384</v>
      </c>
      <c r="R17" s="31"/>
      <c r="S17" s="31" t="s">
        <v>60</v>
      </c>
      <c r="T17" s="91">
        <v>1.37296455E8</v>
      </c>
      <c r="U17" s="91">
        <v>1.37296455E8</v>
      </c>
      <c r="V17" s="51">
        <v>0.0</v>
      </c>
      <c r="W17" s="31"/>
      <c r="X17" s="92" t="s">
        <v>113</v>
      </c>
      <c r="Y17" s="74"/>
      <c r="Z17" s="74"/>
      <c r="AA17" s="54" t="s">
        <v>114</v>
      </c>
      <c r="AB17" s="38" t="s">
        <v>115</v>
      </c>
      <c r="AC17" s="38"/>
      <c r="AD17" s="39">
        <v>144552.58</v>
      </c>
      <c r="AE17" s="39">
        <v>121662.7413</v>
      </c>
      <c r="AF17" s="39">
        <v>22889.83875</v>
      </c>
      <c r="AG17" s="57" t="s">
        <v>167</v>
      </c>
      <c r="AH17" s="42" t="s">
        <v>168</v>
      </c>
      <c r="AI17" s="42" t="str">
        <f>IFERROR(__xludf.DUMMYFUNCTION("vLOOKUP(A17,IMPORTRANGE(""https://docs.google.com/spreadsheets/d/1Rawwwdh8wntXGy8isdYNHxsNQS4n_rC8JSdPfj6vEq4"",""'500 объектов перенос на 2026'!A3:AB502""),13,0)"),"#REF!")</f>
        <v>#REF!</v>
      </c>
      <c r="AJ17" s="42" t="str">
        <f>IFERROR(__xludf.DUMMYFUNCTION("vLOOKUP(A17,IMPORTRANGE(""https://docs.google.com/spreadsheets/d/1Rawwwdh8wntXGy8isdYNHxsNQS4n_rC8JSdPfj6vEq4"",""'500 объектов перенос на 2026'!A3:AB502""),14,0)"),"#REF!")</f>
        <v>#REF!</v>
      </c>
      <c r="AK17" s="76" t="s">
        <v>114</v>
      </c>
      <c r="AL17" s="70"/>
      <c r="AM17" s="70"/>
      <c r="AN17" s="43"/>
      <c r="AO17" s="44" t="str">
        <f>IFERROR(__xludf.DUMMYFUNCTION("""COMPUTED_VALUE"""),"ЗАО ПК КОТЛОСТРОЙ")</f>
        <v>ЗАО ПК КОТЛОСТРОЙ</v>
      </c>
      <c r="AP17" s="44">
        <f>IFERROR(__xludf.DUMMYFUNCTION("""COMPUTED_VALUE"""),2.2608452098E8)</f>
        <v>226084521</v>
      </c>
      <c r="AQ17" s="44"/>
      <c r="AR17" s="44"/>
      <c r="AS17" s="44"/>
      <c r="AT17" s="44"/>
      <c r="AU17" s="44"/>
      <c r="AV17" s="44"/>
      <c r="AW17" s="44"/>
      <c r="AX17" s="44"/>
      <c r="AY17" s="44"/>
      <c r="AZ17" s="44"/>
    </row>
    <row r="18">
      <c r="A18" s="78" t="s">
        <v>169</v>
      </c>
      <c r="B18" s="63" t="s">
        <v>126</v>
      </c>
      <c r="C18" s="64" t="s">
        <v>170</v>
      </c>
      <c r="D18" s="47" t="s">
        <v>171</v>
      </c>
      <c r="E18" s="64" t="s">
        <v>85</v>
      </c>
      <c r="F18" s="31" t="s">
        <v>60</v>
      </c>
      <c r="G18" s="31"/>
      <c r="H18" s="31"/>
      <c r="I18" s="31" t="s">
        <v>60</v>
      </c>
      <c r="J18" s="31"/>
      <c r="K18" s="31"/>
      <c r="L18" s="32" t="str">
        <f>IFERROR(__xludf.DUMMYFUNCTION("VLOOKUP($A18,IMPORTRANGE(""1PQtfbQLqBUP-rjYRznmgNFBLOjvAnhGzpIx7BJWq8rk"",""'Worksheet'!$B$2:$H""),7,FALSE)"),"#N/A")</f>
        <v>#N/A</v>
      </c>
      <c r="M18" s="31" t="s">
        <v>60</v>
      </c>
      <c r="N18" s="49">
        <v>2.841045E7</v>
      </c>
      <c r="O18" s="49">
        <v>1.659223329E7</v>
      </c>
      <c r="P18" s="49">
        <v>0.0</v>
      </c>
      <c r="Q18" s="34">
        <f t="shared" si="3"/>
        <v>0.4159813276</v>
      </c>
      <c r="R18" s="31"/>
      <c r="S18" s="31" t="s">
        <v>60</v>
      </c>
      <c r="T18" s="50" t="s">
        <v>172</v>
      </c>
      <c r="U18" s="50" t="s">
        <v>172</v>
      </c>
      <c r="V18" s="51">
        <v>0.0</v>
      </c>
      <c r="W18" s="31"/>
      <c r="X18" s="92" t="s">
        <v>113</v>
      </c>
      <c r="Y18" s="54"/>
      <c r="Z18" s="54"/>
      <c r="AA18" s="54" t="s">
        <v>114</v>
      </c>
      <c r="AB18" s="38" t="s">
        <v>115</v>
      </c>
      <c r="AC18" s="38" t="s">
        <v>173</v>
      </c>
      <c r="AD18" s="39">
        <v>28410.45</v>
      </c>
      <c r="AE18" s="39">
        <v>18601.00354</v>
      </c>
      <c r="AF18" s="39">
        <v>9809.44646</v>
      </c>
      <c r="AG18" s="57" t="s">
        <v>174</v>
      </c>
      <c r="AH18" s="42" t="s">
        <v>175</v>
      </c>
      <c r="AI18" s="42" t="str">
        <f>IFERROR(__xludf.DUMMYFUNCTION("vLOOKUP(A18,IMPORTRANGE(""https://docs.google.com/spreadsheets/d/1Rawwwdh8wntXGy8isdYNHxsNQS4n_rC8JSdPfj6vEq4"",""'500 объектов перенос на 2026'!A3:AB502""),13,0)"),"#REF!")</f>
        <v>#REF!</v>
      </c>
      <c r="AJ18" s="42" t="str">
        <f>IFERROR(__xludf.DUMMYFUNCTION("vLOOKUP(A18,IMPORTRANGE(""https://docs.google.com/spreadsheets/d/1Rawwwdh8wntXGy8isdYNHxsNQS4n_rC8JSdPfj6vEq4"",""'500 объектов перенос на 2026'!A3:AB502""),14,0)"),"#REF!")</f>
        <v>#REF!</v>
      </c>
      <c r="AK18" s="76" t="s">
        <v>114</v>
      </c>
      <c r="AL18" s="70"/>
      <c r="AM18" s="70"/>
      <c r="AN18" s="43"/>
      <c r="AO18" s="44" t="str">
        <f>IFERROR(__xludf.DUMMYFUNCTION("""COMPUTED_VALUE"""),"ООО РУССТРОЙТЕХНОЛОГИИ")</f>
        <v>ООО РУССТРОЙТЕХНОЛОГИИ</v>
      </c>
      <c r="AP18" s="44">
        <f>IFERROR(__xludf.DUMMYFUNCTION("""COMPUTED_VALUE"""),2.06616321E8)</f>
        <v>206616321</v>
      </c>
      <c r="AQ18" s="44"/>
      <c r="AR18" s="44"/>
      <c r="AS18" s="44"/>
      <c r="AT18" s="44"/>
      <c r="AU18" s="44"/>
      <c r="AV18" s="44"/>
      <c r="AW18" s="44"/>
      <c r="AX18" s="44"/>
      <c r="AY18" s="44"/>
      <c r="AZ18" s="44"/>
    </row>
    <row r="19">
      <c r="A19" s="62" t="s">
        <v>176</v>
      </c>
      <c r="B19" s="63" t="s">
        <v>177</v>
      </c>
      <c r="C19" s="90" t="s">
        <v>178</v>
      </c>
      <c r="D19" s="47" t="s">
        <v>179</v>
      </c>
      <c r="E19" s="64" t="s">
        <v>85</v>
      </c>
      <c r="F19" s="31" t="s">
        <v>60</v>
      </c>
      <c r="G19" s="31"/>
      <c r="H19" s="31"/>
      <c r="I19" s="31" t="s">
        <v>60</v>
      </c>
      <c r="J19" s="31"/>
      <c r="K19" s="31"/>
      <c r="L19" s="32">
        <f>IFERROR(__xludf.DUMMYFUNCTION("VLOOKUP($A19,IMPORTRANGE(""1PQtfbQLqBUP-rjYRznmgNFBLOjvAnhGzpIx7BJWq8rk"",""'Worksheet'!$B$2:$H""),7,FALSE)"),0.98)</f>
        <v>0.98</v>
      </c>
      <c r="M19" s="31" t="s">
        <v>40</v>
      </c>
      <c r="N19" s="49">
        <v>1.90085E8</v>
      </c>
      <c r="O19" s="49">
        <v>5.70255E7</v>
      </c>
      <c r="P19" s="49">
        <f t="shared" ref="P19:P20" si="6">N19-O19</f>
        <v>133059500</v>
      </c>
      <c r="Q19" s="34">
        <f t="shared" si="3"/>
        <v>0.7</v>
      </c>
      <c r="R19" s="31"/>
      <c r="S19" s="31" t="s">
        <v>60</v>
      </c>
      <c r="T19" s="88" t="s">
        <v>180</v>
      </c>
      <c r="U19" s="88" t="s">
        <v>181</v>
      </c>
      <c r="V19" s="88" t="s">
        <v>182</v>
      </c>
      <c r="W19" s="31" t="s">
        <v>183</v>
      </c>
      <c r="X19" s="52" t="s">
        <v>184</v>
      </c>
      <c r="Y19" s="54" t="s">
        <v>185</v>
      </c>
      <c r="Z19" s="54" t="s">
        <v>186</v>
      </c>
      <c r="AA19" s="74">
        <v>46223.0</v>
      </c>
      <c r="AB19" s="56"/>
      <c r="AC19" s="38" t="s">
        <v>187</v>
      </c>
      <c r="AD19" s="39">
        <v>190110.0</v>
      </c>
      <c r="AE19" s="39">
        <v>57025.5</v>
      </c>
      <c r="AF19" s="40">
        <v>133084.5</v>
      </c>
      <c r="AG19" s="93" t="s">
        <v>188</v>
      </c>
      <c r="AH19" s="85"/>
      <c r="AI19" s="42" t="str">
        <f>IFERROR(__xludf.DUMMYFUNCTION("vLOOKUP(A19,IMPORTRANGE(""https://docs.google.com/spreadsheets/d/1Rawwwdh8wntXGy8isdYNHxsNQS4n_rC8JSdPfj6vEq4"",""'500 объектов перенос на 2026'!A3:AB502""),13,0)"),"#REF!")</f>
        <v>#REF!</v>
      </c>
      <c r="AJ19" s="42" t="str">
        <f>IFERROR(__xludf.DUMMYFUNCTION("vLOOKUP(A19,IMPORTRANGE(""https://docs.google.com/spreadsheets/d/1Rawwwdh8wntXGy8isdYNHxsNQS4n_rC8JSdPfj6vEq4"",""'500 объектов перенос на 2026'!A3:AB502""),14,0)"),"#REF!")</f>
        <v>#REF!</v>
      </c>
      <c r="AK19" s="75" t="s">
        <v>189</v>
      </c>
      <c r="AL19" s="94" t="s">
        <v>190</v>
      </c>
      <c r="AM19" s="94"/>
      <c r="AO19" s="44" t="str">
        <f>IFERROR(__xludf.DUMMYFUNCTION("""COMPUTED_VALUE"""),"ООО ИНВЕСТСТРОЙ")</f>
        <v>ООО ИНВЕСТСТРОЙ</v>
      </c>
      <c r="AP19" s="44">
        <f>IFERROR(__xludf.DUMMYFUNCTION("""COMPUTED_VALUE"""),1.9216158882000002E8)</f>
        <v>192161588.8</v>
      </c>
      <c r="AQ19" s="44"/>
      <c r="AR19" s="44"/>
      <c r="AS19" s="44"/>
      <c r="AT19" s="44"/>
      <c r="AU19" s="44"/>
      <c r="AV19" s="44"/>
      <c r="AW19" s="44"/>
      <c r="AX19" s="44"/>
      <c r="AY19" s="44"/>
      <c r="AZ19" s="44"/>
    </row>
    <row r="20">
      <c r="A20" s="78" t="s">
        <v>191</v>
      </c>
      <c r="B20" s="63" t="s">
        <v>126</v>
      </c>
      <c r="C20" s="64" t="s">
        <v>192</v>
      </c>
      <c r="D20" s="47" t="s">
        <v>193</v>
      </c>
      <c r="E20" s="64" t="s">
        <v>59</v>
      </c>
      <c r="F20" s="31" t="s">
        <v>60</v>
      </c>
      <c r="G20" s="31"/>
      <c r="H20" s="31"/>
      <c r="I20" s="31" t="s">
        <v>60</v>
      </c>
      <c r="J20" s="31"/>
      <c r="K20" s="31"/>
      <c r="L20" s="32" t="str">
        <f>IFERROR(__xludf.DUMMYFUNCTION("VLOOKUP($A20,IMPORTRANGE(""1PQtfbQLqBUP-rjYRznmgNFBLOjvAnhGzpIx7BJWq8rk"",""'Worksheet'!$B$2:$H""),7,FALSE)"),"#N/A")</f>
        <v>#N/A</v>
      </c>
      <c r="M20" s="31" t="s">
        <v>60</v>
      </c>
      <c r="N20" s="49">
        <v>2399700.0</v>
      </c>
      <c r="O20" s="49">
        <v>2399700.0</v>
      </c>
      <c r="P20" s="49">
        <f t="shared" si="6"/>
        <v>0</v>
      </c>
      <c r="Q20" s="34">
        <f t="shared" si="3"/>
        <v>0</v>
      </c>
      <c r="R20" s="31"/>
      <c r="S20" s="31" t="s">
        <v>60</v>
      </c>
      <c r="T20" s="50" t="s">
        <v>194</v>
      </c>
      <c r="U20" s="50" t="s">
        <v>194</v>
      </c>
      <c r="V20" s="51">
        <v>0.0</v>
      </c>
      <c r="W20" s="31"/>
      <c r="X20" s="92" t="s">
        <v>113</v>
      </c>
      <c r="Y20" s="54"/>
      <c r="Z20" s="54"/>
      <c r="AA20" s="54" t="s">
        <v>114</v>
      </c>
      <c r="AB20" s="38" t="s">
        <v>115</v>
      </c>
      <c r="AC20" s="38" t="s">
        <v>173</v>
      </c>
      <c r="AD20" s="39">
        <v>3880.0</v>
      </c>
      <c r="AE20" s="39">
        <v>4044.06275</v>
      </c>
      <c r="AF20" s="39">
        <v>-164.06275</v>
      </c>
      <c r="AG20" s="57" t="s">
        <v>195</v>
      </c>
      <c r="AH20" s="42" t="s">
        <v>175</v>
      </c>
      <c r="AI20" s="42" t="str">
        <f>IFERROR(__xludf.DUMMYFUNCTION("vLOOKUP(A20,IMPORTRANGE(""https://docs.google.com/spreadsheets/d/1Rawwwdh8wntXGy8isdYNHxsNQS4n_rC8JSdPfj6vEq4"",""'500 объектов перенос на 2026'!A3:AB502""),13,0)"),"#REF!")</f>
        <v>#REF!</v>
      </c>
      <c r="AJ20" s="42" t="str">
        <f>IFERROR(__xludf.DUMMYFUNCTION("vLOOKUP(A20,IMPORTRANGE(""https://docs.google.com/spreadsheets/d/1Rawwwdh8wntXGy8isdYNHxsNQS4n_rC8JSdPfj6vEq4"",""'500 объектов перенос на 2026'!A3:AB502""),14,0)"),"#REF!")</f>
        <v>#REF!</v>
      </c>
      <c r="AK20" s="43"/>
      <c r="AL20" s="70"/>
      <c r="AM20" s="70"/>
      <c r="AO20" s="44" t="str">
        <f>IFERROR(__xludf.DUMMYFUNCTION("""COMPUTED_VALUE"""),"АО АВТОБЫТДОР")</f>
        <v>АО АВТОБЫТДОР</v>
      </c>
      <c r="AP20" s="44">
        <f>IFERROR(__xludf.DUMMYFUNCTION("""COMPUTED_VALUE"""),1.9140219930000004E8)</f>
        <v>191402199.3</v>
      </c>
      <c r="AQ20" s="44"/>
      <c r="AR20" s="44"/>
      <c r="AS20" s="44"/>
      <c r="AT20" s="44"/>
      <c r="AU20" s="44"/>
      <c r="AV20" s="44"/>
      <c r="AW20" s="44"/>
      <c r="AX20" s="44"/>
      <c r="AY20" s="44"/>
      <c r="AZ20" s="44"/>
    </row>
    <row r="21">
      <c r="A21" s="78" t="s">
        <v>196</v>
      </c>
      <c r="B21" s="63" t="s">
        <v>126</v>
      </c>
      <c r="C21" s="64" t="s">
        <v>197</v>
      </c>
      <c r="D21" s="47" t="s">
        <v>198</v>
      </c>
      <c r="E21" s="64" t="s">
        <v>59</v>
      </c>
      <c r="F21" s="31" t="s">
        <v>60</v>
      </c>
      <c r="G21" s="31"/>
      <c r="H21" s="31"/>
      <c r="I21" s="31" t="s">
        <v>60</v>
      </c>
      <c r="J21" s="31"/>
      <c r="K21" s="31"/>
      <c r="L21" s="32" t="str">
        <f>IFERROR(__xludf.DUMMYFUNCTION("VLOOKUP($A21,IMPORTRANGE(""1PQtfbQLqBUP-rjYRznmgNFBLOjvAnhGzpIx7BJWq8rk"",""'Worksheet'!$B$2:$H""),7,FALSE)"),"#N/A")</f>
        <v>#N/A</v>
      </c>
      <c r="M21" s="31" t="s">
        <v>60</v>
      </c>
      <c r="N21" s="49">
        <v>1.380923E7</v>
      </c>
      <c r="O21" s="49">
        <v>1.17354375E7</v>
      </c>
      <c r="P21" s="49">
        <v>0.0</v>
      </c>
      <c r="Q21" s="34">
        <f t="shared" si="3"/>
        <v>0.1501743761</v>
      </c>
      <c r="R21" s="31"/>
      <c r="S21" s="31" t="s">
        <v>60</v>
      </c>
      <c r="T21" s="50" t="s">
        <v>199</v>
      </c>
      <c r="U21" s="50" t="s">
        <v>199</v>
      </c>
      <c r="V21" s="51">
        <v>0.0</v>
      </c>
      <c r="W21" s="31"/>
      <c r="X21" s="92" t="s">
        <v>113</v>
      </c>
      <c r="Y21" s="54"/>
      <c r="Z21" s="54"/>
      <c r="AA21" s="54" t="s">
        <v>114</v>
      </c>
      <c r="AB21" s="38" t="s">
        <v>115</v>
      </c>
      <c r="AC21" s="38" t="s">
        <v>173</v>
      </c>
      <c r="AD21" s="39">
        <v>13809.23</v>
      </c>
      <c r="AE21" s="39">
        <v>11735.4375</v>
      </c>
      <c r="AF21" s="39">
        <v>2073.7925</v>
      </c>
      <c r="AG21" s="57" t="s">
        <v>200</v>
      </c>
      <c r="AH21" s="42" t="s">
        <v>175</v>
      </c>
      <c r="AI21" s="42" t="str">
        <f>IFERROR(__xludf.DUMMYFUNCTION("vLOOKUP(A21,IMPORTRANGE(""https://docs.google.com/spreadsheets/d/1Rawwwdh8wntXGy8isdYNHxsNQS4n_rC8JSdPfj6vEq4"",""'500 объектов перенос на 2026'!A3:AB502""),13,0)"),"#REF!")</f>
        <v>#REF!</v>
      </c>
      <c r="AJ21" s="42" t="str">
        <f>IFERROR(__xludf.DUMMYFUNCTION("vLOOKUP(A21,IMPORTRANGE(""https://docs.google.com/spreadsheets/d/1Rawwwdh8wntXGy8isdYNHxsNQS4n_rC8JSdPfj6vEq4"",""'500 объектов перенос на 2026'!A3:AB502""),14,0)"),"#REF!")</f>
        <v>#REF!</v>
      </c>
      <c r="AK21" s="43"/>
      <c r="AL21" s="70"/>
      <c r="AM21" s="70"/>
      <c r="AO21" s="44" t="str">
        <f>IFERROR(__xludf.DUMMYFUNCTION("""COMPUTED_VALUE"""),"ООО СТАЙЛГРУПП")</f>
        <v>ООО СТАЙЛГРУПП</v>
      </c>
      <c r="AP21" s="44">
        <f>IFERROR(__xludf.DUMMYFUNCTION("""COMPUTED_VALUE"""),1.8358158735999998E8)</f>
        <v>183581587.4</v>
      </c>
      <c r="AQ21" s="44"/>
      <c r="AR21" s="44"/>
      <c r="AS21" s="44"/>
      <c r="AT21" s="44"/>
      <c r="AU21" s="44"/>
      <c r="AV21" s="44"/>
      <c r="AW21" s="44"/>
      <c r="AX21" s="44"/>
      <c r="AY21" s="44"/>
      <c r="AZ21" s="44"/>
    </row>
    <row r="22">
      <c r="A22" s="95"/>
      <c r="B22" s="95"/>
      <c r="C22" s="95"/>
      <c r="D22" s="47"/>
      <c r="E22" s="64"/>
      <c r="F22" s="31"/>
      <c r="G22" s="31"/>
      <c r="H22" s="31"/>
      <c r="I22" s="31"/>
      <c r="J22" s="31"/>
      <c r="K22" s="31"/>
      <c r="L22" s="32"/>
      <c r="M22" s="31"/>
      <c r="N22" s="49"/>
      <c r="O22" s="49"/>
      <c r="P22" s="49"/>
      <c r="Q22" s="34"/>
      <c r="R22" s="31"/>
      <c r="S22" s="31"/>
      <c r="T22" s="50"/>
      <c r="U22" s="50"/>
      <c r="V22" s="51"/>
      <c r="W22" s="31"/>
      <c r="X22" s="92"/>
      <c r="Y22" s="54"/>
      <c r="Z22" s="54"/>
      <c r="AA22" s="54"/>
      <c r="AB22" s="38"/>
      <c r="AC22" s="38"/>
      <c r="AD22" s="39"/>
      <c r="AE22" s="39"/>
      <c r="AF22" s="39"/>
      <c r="AG22" s="57"/>
      <c r="AH22" s="42"/>
      <c r="AI22" s="42"/>
      <c r="AJ22" s="42"/>
      <c r="AK22" s="43"/>
      <c r="AL22" s="70"/>
      <c r="AM22" s="70"/>
      <c r="AO22" s="44" t="str">
        <f>IFERROR(__xludf.DUMMYFUNCTION("""COMPUTED_VALUE"""),"ООО КЭС ГРУПП")</f>
        <v>ООО КЭС ГРУПП</v>
      </c>
      <c r="AP22" s="44">
        <f>IFERROR(__xludf.DUMMYFUNCTION("""COMPUTED_VALUE"""),1.7053126813E8)</f>
        <v>170531268.1</v>
      </c>
      <c r="AQ22" s="44"/>
      <c r="AR22" s="44"/>
      <c r="AS22" s="44"/>
      <c r="AT22" s="44"/>
      <c r="AU22" s="44"/>
      <c r="AV22" s="44"/>
      <c r="AW22" s="44"/>
      <c r="AX22" s="44"/>
      <c r="AY22" s="44"/>
      <c r="AZ22" s="44"/>
    </row>
    <row r="23">
      <c r="A23" s="95" t="s">
        <v>201</v>
      </c>
      <c r="B23" s="95" t="s">
        <v>126</v>
      </c>
      <c r="C23" s="95" t="s">
        <v>202</v>
      </c>
      <c r="D23" s="47" t="s">
        <v>193</v>
      </c>
      <c r="E23" s="64" t="s">
        <v>59</v>
      </c>
      <c r="F23" s="31" t="s">
        <v>60</v>
      </c>
      <c r="G23" s="31"/>
      <c r="H23" s="31"/>
      <c r="I23" s="31" t="s">
        <v>60</v>
      </c>
      <c r="J23" s="31"/>
      <c r="K23" s="31"/>
      <c r="L23" s="32" t="str">
        <f>IFERROR(__xludf.DUMMYFUNCTION("VLOOKUP($A23,IMPORTRANGE(""1PQtfbQLqBUP-rjYRznmgNFBLOjvAnhGzpIx7BJWq8rk"",""'Worksheet'!$B$2:$H""),7,FALSE)"),"#N/A")</f>
        <v>#N/A</v>
      </c>
      <c r="M23" s="31" t="s">
        <v>60</v>
      </c>
      <c r="N23" s="49">
        <v>2206080.0</v>
      </c>
      <c r="O23" s="49">
        <v>2206080.0</v>
      </c>
      <c r="P23" s="49">
        <f>N23-O23</f>
        <v>0</v>
      </c>
      <c r="Q23" s="34">
        <f t="shared" ref="Q23:Q504" si="7">(N23-O23)/N23</f>
        <v>0</v>
      </c>
      <c r="R23" s="31"/>
      <c r="S23" s="31" t="s">
        <v>60</v>
      </c>
      <c r="T23" s="50" t="s">
        <v>203</v>
      </c>
      <c r="U23" s="50" t="s">
        <v>203</v>
      </c>
      <c r="V23" s="51">
        <v>0.0</v>
      </c>
      <c r="W23" s="31"/>
      <c r="X23" s="92" t="s">
        <v>113</v>
      </c>
      <c r="Y23" s="54"/>
      <c r="Z23" s="54"/>
      <c r="AA23" s="54" t="s">
        <v>114</v>
      </c>
      <c r="AB23" s="38" t="s">
        <v>115</v>
      </c>
      <c r="AC23" s="38" t="s">
        <v>173</v>
      </c>
      <c r="AD23" s="39">
        <v>4403.78</v>
      </c>
      <c r="AE23" s="39">
        <v>3864.69917</v>
      </c>
      <c r="AF23" s="39">
        <v>539.08083</v>
      </c>
      <c r="AG23" s="57" t="s">
        <v>204</v>
      </c>
      <c r="AH23" s="42" t="s">
        <v>175</v>
      </c>
      <c r="AI23" s="42" t="str">
        <f>IFERROR(__xludf.DUMMYFUNCTION("vLOOKUP(A23,IMPORTRANGE(""https://docs.google.com/spreadsheets/d/1Rawwwdh8wntXGy8isdYNHxsNQS4n_rC8JSdPfj6vEq4"",""'500 объектов перенос на 2026'!A3:AB502""),13,0)"),"#REF!")</f>
        <v>#REF!</v>
      </c>
      <c r="AJ23" s="42" t="str">
        <f>IFERROR(__xludf.DUMMYFUNCTION("vLOOKUP(A23,IMPORTRANGE(""https://docs.google.com/spreadsheets/d/1Rawwwdh8wntXGy8isdYNHxsNQS4n_rC8JSdPfj6vEq4"",""'500 объектов перенос на 2026'!A3:AB502""),14,0)"),"#REF!")</f>
        <v>#REF!</v>
      </c>
      <c r="AK23" s="43"/>
      <c r="AL23" s="70"/>
      <c r="AM23" s="70"/>
      <c r="AO23" s="44" t="str">
        <f>IFERROR(__xludf.DUMMYFUNCTION("""COMPUTED_VALUE"""),"ООО ВМО-ПРОЕКТ")</f>
        <v>ООО ВМО-ПРОЕКТ</v>
      </c>
      <c r="AP23" s="44">
        <f>IFERROR(__xludf.DUMMYFUNCTION("""COMPUTED_VALUE"""),1.62200141E8)</f>
        <v>162200141</v>
      </c>
      <c r="AQ23" s="44"/>
      <c r="AR23" s="44"/>
      <c r="AS23" s="44"/>
      <c r="AT23" s="44"/>
      <c r="AU23" s="44"/>
      <c r="AV23" s="44"/>
      <c r="AW23" s="44"/>
      <c r="AX23" s="44"/>
      <c r="AY23" s="44"/>
      <c r="AZ23" s="44"/>
    </row>
    <row r="24">
      <c r="A24" s="78" t="s">
        <v>205</v>
      </c>
      <c r="B24" s="63" t="s">
        <v>126</v>
      </c>
      <c r="C24" s="64" t="s">
        <v>206</v>
      </c>
      <c r="D24" s="47" t="s">
        <v>207</v>
      </c>
      <c r="E24" s="64" t="s">
        <v>59</v>
      </c>
      <c r="F24" s="31" t="s">
        <v>60</v>
      </c>
      <c r="G24" s="31"/>
      <c r="H24" s="31"/>
      <c r="I24" s="31" t="s">
        <v>60</v>
      </c>
      <c r="J24" s="31"/>
      <c r="K24" s="31"/>
      <c r="L24" s="32">
        <f>IFERROR(__xludf.DUMMYFUNCTION("VLOOKUP($A24,IMPORTRANGE(""1PQtfbQLqBUP-rjYRznmgNFBLOjvAnhGzpIx7BJWq8rk"",""'Worksheet'!$B$2:$H""),7,FALSE)"),1.0)</f>
        <v>1</v>
      </c>
      <c r="M24" s="31" t="s">
        <v>60</v>
      </c>
      <c r="N24" s="49">
        <v>2.650563114E7</v>
      </c>
      <c r="O24" s="49">
        <v>2.610693793E7</v>
      </c>
      <c r="P24" s="49">
        <v>0.0</v>
      </c>
      <c r="Q24" s="34">
        <f t="shared" si="7"/>
        <v>0.01504183047</v>
      </c>
      <c r="R24" s="31"/>
      <c r="S24" s="31" t="s">
        <v>60</v>
      </c>
      <c r="T24" s="50" t="s">
        <v>208</v>
      </c>
      <c r="U24" s="50" t="s">
        <v>208</v>
      </c>
      <c r="V24" s="51">
        <v>0.0</v>
      </c>
      <c r="W24" s="31"/>
      <c r="X24" s="92" t="s">
        <v>209</v>
      </c>
      <c r="Y24" s="54"/>
      <c r="Z24" s="54"/>
      <c r="AA24" s="54" t="s">
        <v>114</v>
      </c>
      <c r="AB24" s="38" t="s">
        <v>115</v>
      </c>
      <c r="AC24" s="38" t="s">
        <v>173</v>
      </c>
      <c r="AD24" s="39">
        <v>26505.63</v>
      </c>
      <c r="AE24" s="39">
        <v>26268.5507</v>
      </c>
      <c r="AF24" s="39">
        <v>237.0793</v>
      </c>
      <c r="AG24" s="57" t="s">
        <v>210</v>
      </c>
      <c r="AH24" s="42" t="s">
        <v>211</v>
      </c>
      <c r="AI24" s="42" t="str">
        <f>IFERROR(__xludf.DUMMYFUNCTION("vLOOKUP(A24,IMPORTRANGE(""https://docs.google.com/spreadsheets/d/1Rawwwdh8wntXGy8isdYNHxsNQS4n_rC8JSdPfj6vEq4"",""'500 объектов перенос на 2026'!A3:AB502""),13,0)"),"#REF!")</f>
        <v>#REF!</v>
      </c>
      <c r="AJ24" s="42" t="str">
        <f>IFERROR(__xludf.DUMMYFUNCTION("vLOOKUP(A24,IMPORTRANGE(""https://docs.google.com/spreadsheets/d/1Rawwwdh8wntXGy8isdYNHxsNQS4n_rC8JSdPfj6vEq4"",""'500 объектов перенос на 2026'!A3:AB502""),14,0)"),"#REF!")</f>
        <v>#REF!</v>
      </c>
      <c r="AK24" s="96" t="s">
        <v>212</v>
      </c>
      <c r="AL24" s="70"/>
      <c r="AM24" s="70"/>
      <c r="AO24" s="44" t="str">
        <f>IFERROR(__xludf.DUMMYFUNCTION("""COMPUTED_VALUE"""),"ООО ПСК-71")</f>
        <v>ООО ПСК-71</v>
      </c>
      <c r="AP24" s="44">
        <f>IFERROR(__xludf.DUMMYFUNCTION("""COMPUTED_VALUE"""),1.6160947707999998E8)</f>
        <v>161609477.1</v>
      </c>
      <c r="AQ24" s="44"/>
      <c r="AR24" s="44"/>
      <c r="AS24" s="44"/>
      <c r="AT24" s="44"/>
      <c r="AU24" s="44"/>
      <c r="AV24" s="44"/>
      <c r="AW24" s="44"/>
      <c r="AX24" s="44"/>
      <c r="AY24" s="44"/>
      <c r="AZ24" s="44"/>
    </row>
    <row r="25">
      <c r="A25" s="78" t="s">
        <v>213</v>
      </c>
      <c r="B25" s="63" t="s">
        <v>126</v>
      </c>
      <c r="C25" s="64" t="s">
        <v>214</v>
      </c>
      <c r="D25" s="47" t="s">
        <v>193</v>
      </c>
      <c r="E25" s="64" t="s">
        <v>59</v>
      </c>
      <c r="F25" s="31" t="s">
        <v>60</v>
      </c>
      <c r="G25" s="31"/>
      <c r="H25" s="31"/>
      <c r="I25" s="31" t="s">
        <v>60</v>
      </c>
      <c r="J25" s="31"/>
      <c r="K25" s="31"/>
      <c r="L25" s="32" t="str">
        <f>IFERROR(__xludf.DUMMYFUNCTION("VLOOKUP($A25,IMPORTRANGE(""1PQtfbQLqBUP-rjYRznmgNFBLOjvAnhGzpIx7BJWq8rk"",""'Worksheet'!$B$2:$H""),7,FALSE)"),"#N/A")</f>
        <v>#N/A</v>
      </c>
      <c r="M25" s="31" t="s">
        <v>60</v>
      </c>
      <c r="N25" s="49">
        <v>2399700.0</v>
      </c>
      <c r="O25" s="49">
        <v>2399700.0</v>
      </c>
      <c r="P25" s="49">
        <f>N25-O25</f>
        <v>0</v>
      </c>
      <c r="Q25" s="34">
        <f t="shared" si="7"/>
        <v>0</v>
      </c>
      <c r="R25" s="31"/>
      <c r="S25" s="31" t="s">
        <v>60</v>
      </c>
      <c r="T25" s="50" t="s">
        <v>194</v>
      </c>
      <c r="U25" s="50" t="s">
        <v>194</v>
      </c>
      <c r="V25" s="51">
        <v>0.0</v>
      </c>
      <c r="W25" s="31"/>
      <c r="X25" s="92" t="s">
        <v>113</v>
      </c>
      <c r="Y25" s="54"/>
      <c r="Z25" s="54"/>
      <c r="AA25" s="54" t="s">
        <v>114</v>
      </c>
      <c r="AB25" s="38" t="s">
        <v>115</v>
      </c>
      <c r="AC25" s="38" t="s">
        <v>173</v>
      </c>
      <c r="AD25" s="39">
        <v>11918.61</v>
      </c>
      <c r="AE25" s="39">
        <v>11205.22446</v>
      </c>
      <c r="AF25" s="39">
        <v>713.38554</v>
      </c>
      <c r="AG25" s="57" t="s">
        <v>195</v>
      </c>
      <c r="AH25" s="42" t="s">
        <v>175</v>
      </c>
      <c r="AI25" s="42" t="str">
        <f>IFERROR(__xludf.DUMMYFUNCTION("vLOOKUP(A25,IMPORTRANGE(""https://docs.google.com/spreadsheets/d/1Rawwwdh8wntXGy8isdYNHxsNQS4n_rC8JSdPfj6vEq4"",""'500 объектов перенос на 2026'!A3:AB502""),13,0)"),"#REF!")</f>
        <v>#REF!</v>
      </c>
      <c r="AJ25" s="42" t="str">
        <f>IFERROR(__xludf.DUMMYFUNCTION("vLOOKUP(A25,IMPORTRANGE(""https://docs.google.com/spreadsheets/d/1Rawwwdh8wntXGy8isdYNHxsNQS4n_rC8JSdPfj6vEq4"",""'500 объектов перенос на 2026'!A3:AB502""),14,0)"),"#REF!")</f>
        <v>#REF!</v>
      </c>
      <c r="AK25" s="43"/>
      <c r="AL25" s="70"/>
      <c r="AM25" s="70"/>
      <c r="AO25" s="44" t="str">
        <f>IFERROR(__xludf.DUMMYFUNCTION("""COMPUTED_VALUE"""),"ООО СЗ ФОРМУЛА РЕМОНТА")</f>
        <v>ООО СЗ ФОРМУЛА РЕМОНТА</v>
      </c>
      <c r="AP25" s="44">
        <f>IFERROR(__xludf.DUMMYFUNCTION("""COMPUTED_VALUE"""),1.4215036775E8)</f>
        <v>142150367.8</v>
      </c>
      <c r="AQ25" s="44"/>
      <c r="AR25" s="44"/>
      <c r="AS25" s="44"/>
      <c r="AT25" s="44"/>
      <c r="AU25" s="44"/>
      <c r="AV25" s="44"/>
      <c r="AW25" s="44"/>
      <c r="AX25" s="44"/>
      <c r="AY25" s="44"/>
      <c r="AZ25" s="44"/>
    </row>
    <row r="26">
      <c r="A26" s="78" t="s">
        <v>215</v>
      </c>
      <c r="B26" s="63" t="s">
        <v>126</v>
      </c>
      <c r="C26" s="64" t="s">
        <v>216</v>
      </c>
      <c r="D26" s="47" t="s">
        <v>171</v>
      </c>
      <c r="E26" s="64" t="s">
        <v>85</v>
      </c>
      <c r="F26" s="31" t="s">
        <v>60</v>
      </c>
      <c r="G26" s="31"/>
      <c r="H26" s="31"/>
      <c r="I26" s="31" t="s">
        <v>60</v>
      </c>
      <c r="J26" s="31"/>
      <c r="K26" s="31"/>
      <c r="L26" s="32" t="str">
        <f>IFERROR(__xludf.DUMMYFUNCTION("VLOOKUP($A26,IMPORTRANGE(""1PQtfbQLqBUP-rjYRznmgNFBLOjvAnhGzpIx7BJWq8rk"",""'Worksheet'!$B$2:$H""),7,FALSE)"),"#N/A")</f>
        <v>#N/A</v>
      </c>
      <c r="M26" s="31" t="s">
        <v>60</v>
      </c>
      <c r="N26" s="49">
        <v>1.096426E7</v>
      </c>
      <c r="O26" s="49">
        <v>8079644.9</v>
      </c>
      <c r="P26" s="49">
        <v>0.0</v>
      </c>
      <c r="Q26" s="34">
        <f t="shared" si="7"/>
        <v>0.263092548</v>
      </c>
      <c r="R26" s="31"/>
      <c r="S26" s="31" t="s">
        <v>60</v>
      </c>
      <c r="T26" s="50" t="s">
        <v>217</v>
      </c>
      <c r="U26" s="50" t="s">
        <v>217</v>
      </c>
      <c r="V26" s="51">
        <v>0.0</v>
      </c>
      <c r="W26" s="31"/>
      <c r="X26" s="92" t="s">
        <v>113</v>
      </c>
      <c r="Y26" s="54"/>
      <c r="Z26" s="54"/>
      <c r="AA26" s="54" t="s">
        <v>114</v>
      </c>
      <c r="AB26" s="38" t="s">
        <v>115</v>
      </c>
      <c r="AC26" s="38" t="s">
        <v>173</v>
      </c>
      <c r="AD26" s="39">
        <v>10964.26</v>
      </c>
      <c r="AE26" s="39">
        <v>8851.37979</v>
      </c>
      <c r="AF26" s="39">
        <v>2112.88021</v>
      </c>
      <c r="AG26" s="57" t="s">
        <v>218</v>
      </c>
      <c r="AH26" s="42" t="s">
        <v>175</v>
      </c>
      <c r="AI26" s="42" t="str">
        <f>IFERROR(__xludf.DUMMYFUNCTION("vLOOKUP(A26,IMPORTRANGE(""https://docs.google.com/spreadsheets/d/1Rawwwdh8wntXGy8isdYNHxsNQS4n_rC8JSdPfj6vEq4"",""'500 объектов перенос на 2026'!A3:AB502""),13,0)"),"#REF!")</f>
        <v>#REF!</v>
      </c>
      <c r="AJ26" s="42" t="str">
        <f>IFERROR(__xludf.DUMMYFUNCTION("vLOOKUP(A26,IMPORTRANGE(""https://docs.google.com/spreadsheets/d/1Rawwwdh8wntXGy8isdYNHxsNQS4n_rC8JSdPfj6vEq4"",""'500 объектов перенос на 2026'!A3:AB502""),14,0)"),"#REF!")</f>
        <v>#REF!</v>
      </c>
      <c r="AK26" s="43"/>
      <c r="AL26" s="70"/>
      <c r="AM26" s="70"/>
      <c r="AO26" s="44" t="str">
        <f>IFERROR(__xludf.DUMMYFUNCTION("""COMPUTED_VALUE"""),"ООО РОУД ГРУПП")</f>
        <v>ООО РОУД ГРУПП</v>
      </c>
      <c r="AP26" s="44">
        <f>IFERROR(__xludf.DUMMYFUNCTION("""COMPUTED_VALUE"""),1.3520131757E8)</f>
        <v>135201317.6</v>
      </c>
      <c r="AQ26" s="44"/>
      <c r="AR26" s="44"/>
      <c r="AS26" s="44"/>
      <c r="AT26" s="44"/>
      <c r="AU26" s="44"/>
      <c r="AV26" s="44"/>
      <c r="AW26" s="44"/>
      <c r="AX26" s="44"/>
      <c r="AY26" s="44"/>
      <c r="AZ26" s="44"/>
    </row>
    <row r="27">
      <c r="A27" s="78" t="s">
        <v>219</v>
      </c>
      <c r="B27" s="63" t="s">
        <v>126</v>
      </c>
      <c r="C27" s="64" t="s">
        <v>220</v>
      </c>
      <c r="D27" s="47" t="s">
        <v>221</v>
      </c>
      <c r="E27" s="64" t="s">
        <v>59</v>
      </c>
      <c r="F27" s="31" t="s">
        <v>60</v>
      </c>
      <c r="G27" s="31"/>
      <c r="H27" s="31"/>
      <c r="I27" s="31" t="s">
        <v>60</v>
      </c>
      <c r="J27" s="31"/>
      <c r="K27" s="31"/>
      <c r="L27" s="32" t="str">
        <f>IFERROR(__xludf.DUMMYFUNCTION("VLOOKUP($A27,IMPORTRANGE(""1PQtfbQLqBUP-rjYRznmgNFBLOjvAnhGzpIx7BJWq8rk"",""'Worksheet'!$B$2:$H""),7,FALSE)"),"#N/A")</f>
        <v>#N/A</v>
      </c>
      <c r="M27" s="31" t="s">
        <v>60</v>
      </c>
      <c r="N27" s="49">
        <v>3.930641E7</v>
      </c>
      <c r="O27" s="49">
        <v>3.104219842E7</v>
      </c>
      <c r="P27" s="49">
        <v>0.0</v>
      </c>
      <c r="Q27" s="34">
        <f t="shared" si="7"/>
        <v>0.2102509891</v>
      </c>
      <c r="R27" s="31"/>
      <c r="S27" s="31" t="s">
        <v>60</v>
      </c>
      <c r="T27" s="50" t="s">
        <v>222</v>
      </c>
      <c r="U27" s="50" t="s">
        <v>222</v>
      </c>
      <c r="V27" s="51">
        <v>0.0</v>
      </c>
      <c r="W27" s="31"/>
      <c r="X27" s="92" t="s">
        <v>113</v>
      </c>
      <c r="Y27" s="54"/>
      <c r="Z27" s="54"/>
      <c r="AA27" s="54" t="s">
        <v>114</v>
      </c>
      <c r="AB27" s="38" t="s">
        <v>115</v>
      </c>
      <c r="AC27" s="38" t="s">
        <v>173</v>
      </c>
      <c r="AD27" s="39">
        <v>39150.168</v>
      </c>
      <c r="AE27" s="39">
        <v>31042.19841</v>
      </c>
      <c r="AF27" s="39">
        <v>8107.96959</v>
      </c>
      <c r="AG27" s="57" t="s">
        <v>223</v>
      </c>
      <c r="AH27" s="42" t="s">
        <v>175</v>
      </c>
      <c r="AI27" s="42" t="str">
        <f>IFERROR(__xludf.DUMMYFUNCTION("vLOOKUP(A27,IMPORTRANGE(""https://docs.google.com/spreadsheets/d/1Rawwwdh8wntXGy8isdYNHxsNQS4n_rC8JSdPfj6vEq4"",""'500 объектов перенос на 2026'!A3:AB502""),13,0)"),"#REF!")</f>
        <v>#REF!</v>
      </c>
      <c r="AJ27" s="42" t="str">
        <f>IFERROR(__xludf.DUMMYFUNCTION("vLOOKUP(A27,IMPORTRANGE(""https://docs.google.com/spreadsheets/d/1Rawwwdh8wntXGy8isdYNHxsNQS4n_rC8JSdPfj6vEq4"",""'500 объектов перенос на 2026'!A3:AB502""),14,0)"),"#REF!")</f>
        <v>#REF!</v>
      </c>
      <c r="AK27" s="43"/>
      <c r="AL27" s="70"/>
      <c r="AM27" s="70"/>
      <c r="AO27" s="44" t="str">
        <f>IFERROR(__xludf.DUMMYFUNCTION("""COMPUTED_VALUE"""),"ООО ЭКОМОНТАЖ")</f>
        <v>ООО ЭКОМОНТАЖ</v>
      </c>
      <c r="AP27" s="44">
        <f>IFERROR(__xludf.DUMMYFUNCTION("""COMPUTED_VALUE"""),1.3346452250999998E8)</f>
        <v>133464522.5</v>
      </c>
      <c r="AQ27" s="44"/>
      <c r="AR27" s="44"/>
      <c r="AS27" s="44"/>
      <c r="AT27" s="44"/>
      <c r="AU27" s="44"/>
      <c r="AV27" s="44"/>
      <c r="AW27" s="44"/>
      <c r="AX27" s="44"/>
      <c r="AY27" s="44"/>
      <c r="AZ27" s="44"/>
    </row>
    <row r="28">
      <c r="A28" s="62" t="s">
        <v>224</v>
      </c>
      <c r="B28" s="63" t="s">
        <v>225</v>
      </c>
      <c r="C28" s="64" t="s">
        <v>226</v>
      </c>
      <c r="D28" s="47" t="s">
        <v>227</v>
      </c>
      <c r="E28" s="64" t="s">
        <v>39</v>
      </c>
      <c r="F28" s="31" t="s">
        <v>60</v>
      </c>
      <c r="G28" s="31"/>
      <c r="H28" s="31"/>
      <c r="I28" s="31" t="s">
        <v>40</v>
      </c>
      <c r="J28" s="31" t="s">
        <v>43</v>
      </c>
      <c r="K28" s="31" t="s">
        <v>72</v>
      </c>
      <c r="L28" s="32">
        <f>IFERROR(__xludf.DUMMYFUNCTION("VLOOKUP($A28,IMPORTRANGE(""1PQtfbQLqBUP-rjYRznmgNFBLOjvAnhGzpIx7BJWq8rk"",""'Worksheet'!$B$2:$H""),7,FALSE)"),0.91)</f>
        <v>0.91</v>
      </c>
      <c r="M28" s="31" t="s">
        <v>45</v>
      </c>
      <c r="N28" s="49">
        <v>2.442230282E8</v>
      </c>
      <c r="O28" s="49">
        <v>2.35437784E8</v>
      </c>
      <c r="P28" s="49">
        <f t="shared" ref="P28:P29" si="8">N28-O28</f>
        <v>8785244.2</v>
      </c>
      <c r="Q28" s="34">
        <f t="shared" si="7"/>
        <v>0.03597221877</v>
      </c>
      <c r="R28" s="31"/>
      <c r="S28" s="31" t="s">
        <v>45</v>
      </c>
      <c r="T28" s="97">
        <v>2.3980750299E8</v>
      </c>
      <c r="U28" s="97">
        <v>2.24697719E8</v>
      </c>
      <c r="V28" s="97">
        <f>T28-U28</f>
        <v>15109783.99</v>
      </c>
      <c r="W28" s="31"/>
      <c r="X28" s="52" t="s">
        <v>228</v>
      </c>
      <c r="Y28" s="54" t="s">
        <v>229</v>
      </c>
      <c r="Z28" s="54" t="s">
        <v>230</v>
      </c>
      <c r="AA28" s="68">
        <v>46232.0</v>
      </c>
      <c r="AB28" s="56"/>
      <c r="AC28" s="35"/>
      <c r="AD28" s="98">
        <v>244223.028</v>
      </c>
      <c r="AE28" s="98">
        <v>224697.719</v>
      </c>
      <c r="AF28" s="40">
        <f>AD28-AE28</f>
        <v>19525.309</v>
      </c>
      <c r="AG28" s="99" t="s">
        <v>231</v>
      </c>
      <c r="AH28" s="85" t="s">
        <v>232</v>
      </c>
      <c r="AI28" s="42" t="str">
        <f>IFERROR(__xludf.DUMMYFUNCTION("vLOOKUP(A28,IMPORTRANGE(""https://docs.google.com/spreadsheets/d/1Rawwwdh8wntXGy8isdYNHxsNQS4n_rC8JSdPfj6vEq4"",""'500 объектов перенос на 2026'!A3:AB502""),13,0)"),"#REF!")</f>
        <v>#REF!</v>
      </c>
      <c r="AJ28" s="42" t="str">
        <f>IFERROR(__xludf.DUMMYFUNCTION("vLOOKUP(A28,IMPORTRANGE(""https://docs.google.com/spreadsheets/d/1Rawwwdh8wntXGy8isdYNHxsNQS4n_rC8JSdPfj6vEq4"",""'500 объектов перенос на 2026'!A3:AB502""),14,0)"),"#REF!")</f>
        <v>#REF!</v>
      </c>
      <c r="AK28" s="54" t="s">
        <v>233</v>
      </c>
      <c r="AL28" s="70" t="s">
        <v>234</v>
      </c>
      <c r="AM28" s="70"/>
      <c r="AO28" s="44" t="str">
        <f>IFERROR(__xludf.DUMMYFUNCTION("""COMPUTED_VALUE"""),"ООО РБК СТРОЙИНВЕСТ")</f>
        <v>ООО РБК СТРОЙИНВЕСТ</v>
      </c>
      <c r="AP28" s="44">
        <f>IFERROR(__xludf.DUMMYFUNCTION("""COMPUTED_VALUE"""),1.3213793E8)</f>
        <v>132137930</v>
      </c>
      <c r="AQ28" s="44"/>
      <c r="AR28" s="44"/>
      <c r="AS28" s="44"/>
      <c r="AT28" s="44"/>
      <c r="AU28" s="44"/>
      <c r="AV28" s="44"/>
      <c r="AW28" s="44"/>
      <c r="AX28" s="44"/>
      <c r="AY28" s="44"/>
      <c r="AZ28" s="44"/>
    </row>
    <row r="29">
      <c r="A29" s="62" t="s">
        <v>235</v>
      </c>
      <c r="B29" s="63" t="s">
        <v>70</v>
      </c>
      <c r="C29" s="64" t="s">
        <v>236</v>
      </c>
      <c r="D29" s="47" t="s">
        <v>237</v>
      </c>
      <c r="E29" s="64" t="s">
        <v>85</v>
      </c>
      <c r="F29" s="31" t="s">
        <v>40</v>
      </c>
      <c r="G29" s="31" t="s">
        <v>41</v>
      </c>
      <c r="H29" s="31" t="s">
        <v>238</v>
      </c>
      <c r="I29" s="31" t="s">
        <v>40</v>
      </c>
      <c r="J29" s="31" t="s">
        <v>102</v>
      </c>
      <c r="K29" s="31"/>
      <c r="L29" s="32">
        <f>IFERROR(__xludf.DUMMYFUNCTION("VLOOKUP($A29,IMPORTRANGE(""1PQtfbQLqBUP-rjYRznmgNFBLOjvAnhGzpIx7BJWq8rk"",""'Worksheet'!$B$2:$H""),7,FALSE)"),0.87)</f>
        <v>0.87</v>
      </c>
      <c r="M29" s="31" t="s">
        <v>40</v>
      </c>
      <c r="N29" s="49">
        <v>5.8138705E8</v>
      </c>
      <c r="O29" s="49">
        <v>4.011557155E8</v>
      </c>
      <c r="P29" s="49">
        <f t="shared" si="8"/>
        <v>180231334.5</v>
      </c>
      <c r="Q29" s="34">
        <f t="shared" si="7"/>
        <v>0.3100023203</v>
      </c>
      <c r="R29" s="31"/>
      <c r="S29" s="31" t="s">
        <v>40</v>
      </c>
      <c r="T29" s="88">
        <v>5.523581273E8</v>
      </c>
      <c r="U29" s="51">
        <v>0.0</v>
      </c>
      <c r="V29" s="88">
        <v>5.523581273E8</v>
      </c>
      <c r="W29" s="31"/>
      <c r="X29" s="52" t="s">
        <v>46</v>
      </c>
      <c r="Y29" s="73" t="s">
        <v>239</v>
      </c>
      <c r="Z29" s="54" t="s">
        <v>240</v>
      </c>
      <c r="AA29" s="100">
        <v>46341.0</v>
      </c>
      <c r="AB29" s="56"/>
      <c r="AC29" s="38"/>
      <c r="AD29" s="39">
        <v>581387.05</v>
      </c>
      <c r="AE29" s="39">
        <v>401155.7155</v>
      </c>
      <c r="AF29" s="40">
        <v>180231.3345</v>
      </c>
      <c r="AG29" s="57" t="s">
        <v>241</v>
      </c>
      <c r="AH29" s="42" t="s">
        <v>49</v>
      </c>
      <c r="AI29" s="42" t="str">
        <f>IFERROR(__xludf.DUMMYFUNCTION("vLOOKUP(A29,IMPORTRANGE(""https://docs.google.com/spreadsheets/d/1Rawwwdh8wntXGy8isdYNHxsNQS4n_rC8JSdPfj6vEq4"",""'500 объектов перенос на 2026'!A3:AB502""),13,0)"),"#REF!")</f>
        <v>#REF!</v>
      </c>
      <c r="AJ29" s="42" t="str">
        <f>IFERROR(__xludf.DUMMYFUNCTION("vLOOKUP(A29,IMPORTRANGE(""https://docs.google.com/spreadsheets/d/1Rawwwdh8wntXGy8isdYNHxsNQS4n_rC8JSdPfj6vEq4"",""'500 объектов перенос на 2026'!A3:AB502""),14,0)"),"#REF!")</f>
        <v>#REF!</v>
      </c>
      <c r="AK29" s="96" t="s">
        <v>242</v>
      </c>
      <c r="AL29" s="70"/>
      <c r="AM29" s="70"/>
      <c r="AO29" s="44" t="str">
        <f>IFERROR(__xludf.DUMMYFUNCTION("""COMPUTED_VALUE"""),"ООО ТПП КОНТУР")</f>
        <v>ООО ТПП КОНТУР</v>
      </c>
      <c r="AP29" s="44">
        <f>IFERROR(__xludf.DUMMYFUNCTION("""COMPUTED_VALUE"""),1.1834095571000001E8)</f>
        <v>118340955.7</v>
      </c>
      <c r="AQ29" s="44"/>
      <c r="AR29" s="44"/>
      <c r="AS29" s="44"/>
      <c r="AT29" s="44"/>
      <c r="AU29" s="44"/>
      <c r="AV29" s="44"/>
      <c r="AW29" s="44"/>
      <c r="AX29" s="44"/>
      <c r="AY29" s="44"/>
      <c r="AZ29" s="44"/>
    </row>
    <row r="30">
      <c r="A30" s="78" t="s">
        <v>243</v>
      </c>
      <c r="B30" s="63" t="s">
        <v>244</v>
      </c>
      <c r="C30" s="64" t="s">
        <v>245</v>
      </c>
      <c r="D30" s="47" t="s">
        <v>246</v>
      </c>
      <c r="E30" s="64" t="s">
        <v>59</v>
      </c>
      <c r="F30" s="31" t="s">
        <v>60</v>
      </c>
      <c r="G30" s="31"/>
      <c r="H30" s="31"/>
      <c r="I30" s="31" t="s">
        <v>60</v>
      </c>
      <c r="J30" s="31"/>
      <c r="K30" s="31"/>
      <c r="L30" s="32" t="str">
        <f>IFERROR(__xludf.DUMMYFUNCTION("VLOOKUP($A30,IMPORTRANGE(""1PQtfbQLqBUP-rjYRznmgNFBLOjvAnhGzpIx7BJWq8rk"",""'Worksheet'!$B$2:$H""),7,FALSE)"),"#N/A")</f>
        <v>#N/A</v>
      </c>
      <c r="M30" s="31" t="s">
        <v>60</v>
      </c>
      <c r="N30" s="49">
        <v>1.8312591E8</v>
      </c>
      <c r="O30" s="49">
        <v>1.6623589543E8</v>
      </c>
      <c r="P30" s="49">
        <v>0.0</v>
      </c>
      <c r="Q30" s="34">
        <f t="shared" si="7"/>
        <v>0.09223170315</v>
      </c>
      <c r="R30" s="31"/>
      <c r="S30" s="31" t="s">
        <v>60</v>
      </c>
      <c r="T30" s="101">
        <v>1.739696145E8</v>
      </c>
      <c r="U30" s="101">
        <v>1.739696145E8</v>
      </c>
      <c r="V30" s="51">
        <v>0.0</v>
      </c>
      <c r="W30" s="31"/>
      <c r="X30" s="52" t="s">
        <v>113</v>
      </c>
      <c r="Y30" s="54"/>
      <c r="Z30" s="54"/>
      <c r="AA30" s="54" t="s">
        <v>114</v>
      </c>
      <c r="AB30" s="38" t="s">
        <v>115</v>
      </c>
      <c r="AC30" s="38"/>
      <c r="AD30" s="39">
        <v>183125.91</v>
      </c>
      <c r="AE30" s="102">
        <v>166235.8954</v>
      </c>
      <c r="AF30" s="39">
        <v>16890.01457</v>
      </c>
      <c r="AG30" s="57" t="s">
        <v>247</v>
      </c>
      <c r="AH30" s="42" t="s">
        <v>248</v>
      </c>
      <c r="AI30" s="42" t="str">
        <f>IFERROR(__xludf.DUMMYFUNCTION("vLOOKUP(A30,IMPORTRANGE(""https://docs.google.com/spreadsheets/d/1Rawwwdh8wntXGy8isdYNHxsNQS4n_rC8JSdPfj6vEq4"",""'500 объектов перенос на 2026'!A3:AB502""),13,0)"),"#REF!")</f>
        <v>#REF!</v>
      </c>
      <c r="AJ30" s="42" t="str">
        <f>IFERROR(__xludf.DUMMYFUNCTION("vLOOKUP(A30,IMPORTRANGE(""https://docs.google.com/spreadsheets/d/1Rawwwdh8wntXGy8isdYNHxsNQS4n_rC8JSdPfj6vEq4"",""'500 объектов перенос на 2026'!A3:AB502""),14,0)"),"#REF!")</f>
        <v>#REF!</v>
      </c>
      <c r="AK30" s="96" t="s">
        <v>115</v>
      </c>
      <c r="AL30" s="70"/>
      <c r="AM30" s="70"/>
      <c r="AO30" s="44" t="str">
        <f>IFERROR(__xludf.DUMMYFUNCTION("""COMPUTED_VALUE"""),"ООО М1 ГАЗЭКСПЛУАТАЦИЯ")</f>
        <v>ООО М1 ГАЗЭКСПЛУАТАЦИЯ</v>
      </c>
      <c r="AP30" s="44">
        <f>IFERROR(__xludf.DUMMYFUNCTION("""COMPUTED_VALUE"""),1.1359711749000001E8)</f>
        <v>113597117.5</v>
      </c>
      <c r="AQ30" s="44"/>
      <c r="AR30" s="44"/>
      <c r="AS30" s="44"/>
      <c r="AT30" s="44"/>
      <c r="AU30" s="44"/>
      <c r="AV30" s="44"/>
      <c r="AW30" s="44"/>
      <c r="AX30" s="44"/>
      <c r="AY30" s="44"/>
      <c r="AZ30" s="44"/>
    </row>
    <row r="31">
      <c r="A31" s="62" t="s">
        <v>249</v>
      </c>
      <c r="B31" s="63" t="s">
        <v>250</v>
      </c>
      <c r="C31" s="64" t="s">
        <v>251</v>
      </c>
      <c r="D31" s="47" t="s">
        <v>252</v>
      </c>
      <c r="E31" s="64" t="s">
        <v>85</v>
      </c>
      <c r="F31" s="31" t="s">
        <v>60</v>
      </c>
      <c r="G31" s="31"/>
      <c r="H31" s="31"/>
      <c r="I31" s="31" t="s">
        <v>60</v>
      </c>
      <c r="J31" s="31"/>
      <c r="K31" s="31"/>
      <c r="L31" s="32">
        <f>IFERROR(__xludf.DUMMYFUNCTION("VLOOKUP($A31,IMPORTRANGE(""1PQtfbQLqBUP-rjYRznmgNFBLOjvAnhGzpIx7BJWq8rk"",""'Worksheet'!$B$2:$H""),7,FALSE)"),0.95)</f>
        <v>0.95</v>
      </c>
      <c r="M31" s="31" t="s">
        <v>60</v>
      </c>
      <c r="N31" s="49">
        <v>1.519046E7</v>
      </c>
      <c r="O31" s="49">
        <v>1.233385197E7</v>
      </c>
      <c r="P31" s="49">
        <v>0.0</v>
      </c>
      <c r="Q31" s="34">
        <f t="shared" si="7"/>
        <v>0.1880527667</v>
      </c>
      <c r="R31" s="31"/>
      <c r="S31" s="31" t="s">
        <v>60</v>
      </c>
      <c r="T31" s="103">
        <v>1.4430937E7</v>
      </c>
      <c r="U31" s="103">
        <v>1.171715937E7</v>
      </c>
      <c r="V31" s="51">
        <v>2713777.63</v>
      </c>
      <c r="W31" s="31"/>
      <c r="X31" s="52" t="s">
        <v>113</v>
      </c>
      <c r="Y31" s="54"/>
      <c r="Z31" s="54"/>
      <c r="AA31" s="54" t="s">
        <v>114</v>
      </c>
      <c r="AB31" s="56"/>
      <c r="AC31" s="38" t="s">
        <v>253</v>
      </c>
      <c r="AD31" s="39">
        <v>15190.46</v>
      </c>
      <c r="AE31" s="39">
        <v>239.484</v>
      </c>
      <c r="AF31" s="39">
        <v>14950.976</v>
      </c>
      <c r="AG31" s="57" t="s">
        <v>254</v>
      </c>
      <c r="AH31" s="42" t="s">
        <v>255</v>
      </c>
      <c r="AI31" s="42" t="str">
        <f>IFERROR(__xludf.DUMMYFUNCTION("vLOOKUP(A31,IMPORTRANGE(""https://docs.google.com/spreadsheets/d/1Rawwwdh8wntXGy8isdYNHxsNQS4n_rC8JSdPfj6vEq4"",""'500 объектов перенос на 2026'!A3:AB502""),13,0)"),"#REF!")</f>
        <v>#REF!</v>
      </c>
      <c r="AJ31" s="42" t="str">
        <f>IFERROR(__xludf.DUMMYFUNCTION("vLOOKUP(A31,IMPORTRANGE(""https://docs.google.com/spreadsheets/d/1Rawwwdh8wntXGy8isdYNHxsNQS4n_rC8JSdPfj6vEq4"",""'500 объектов перенос на 2026'!A3:AB502""),14,0)"),"#REF!")</f>
        <v>#REF!</v>
      </c>
      <c r="AK31" s="43"/>
      <c r="AL31" s="76"/>
      <c r="AM31" s="70"/>
      <c r="AO31" s="44" t="str">
        <f>IFERROR(__xludf.DUMMYFUNCTION("""COMPUTED_VALUE"""),"ООО УНИСТРОЙ")</f>
        <v>ООО УНИСТРОЙ</v>
      </c>
      <c r="AP31" s="44">
        <f>IFERROR(__xludf.DUMMYFUNCTION("""COMPUTED_VALUE"""),1.0771134789000002E8)</f>
        <v>107711347.9</v>
      </c>
      <c r="AQ31" s="44"/>
      <c r="AR31" s="44"/>
      <c r="AS31" s="44"/>
      <c r="AT31" s="44"/>
      <c r="AU31" s="44"/>
      <c r="AV31" s="44"/>
      <c r="AW31" s="44"/>
      <c r="AX31" s="44"/>
      <c r="AY31" s="44"/>
      <c r="AZ31" s="44"/>
    </row>
    <row r="32">
      <c r="A32" s="62" t="s">
        <v>256</v>
      </c>
      <c r="B32" s="63" t="s">
        <v>257</v>
      </c>
      <c r="C32" s="104" t="s">
        <v>258</v>
      </c>
      <c r="D32" s="47" t="s">
        <v>259</v>
      </c>
      <c r="E32" s="64" t="s">
        <v>85</v>
      </c>
      <c r="F32" s="31" t="s">
        <v>40</v>
      </c>
      <c r="G32" s="31" t="s">
        <v>156</v>
      </c>
      <c r="H32" s="31" t="s">
        <v>260</v>
      </c>
      <c r="I32" s="31" t="s">
        <v>40</v>
      </c>
      <c r="J32" s="31" t="s">
        <v>102</v>
      </c>
      <c r="K32" s="31"/>
      <c r="L32" s="32">
        <f>IFERROR(__xludf.DUMMYFUNCTION("VLOOKUP($A32,IMPORTRANGE(""1PQtfbQLqBUP-rjYRznmgNFBLOjvAnhGzpIx7BJWq8rk"",""'Worksheet'!$B$2:$H""),7,FALSE)"),0.5)</f>
        <v>0.5</v>
      </c>
      <c r="M32" s="31" t="s">
        <v>40</v>
      </c>
      <c r="N32" s="49">
        <v>2.457688E8</v>
      </c>
      <c r="O32" s="49">
        <v>7.373064E7</v>
      </c>
      <c r="P32" s="49">
        <f t="shared" ref="P32:P38" si="9">N32-O32</f>
        <v>172038160</v>
      </c>
      <c r="Q32" s="34">
        <f t="shared" si="7"/>
        <v>0.7</v>
      </c>
      <c r="R32" s="31"/>
      <c r="S32" s="31" t="s">
        <v>40</v>
      </c>
      <c r="T32" s="88" t="s">
        <v>261</v>
      </c>
      <c r="U32" s="67">
        <v>0.0</v>
      </c>
      <c r="V32" s="88" t="s">
        <v>261</v>
      </c>
      <c r="W32" s="31"/>
      <c r="X32" s="52" t="s">
        <v>262</v>
      </c>
      <c r="Y32" s="73" t="s">
        <v>263</v>
      </c>
      <c r="Z32" s="74"/>
      <c r="AA32" s="74">
        <v>46296.0</v>
      </c>
      <c r="AB32" s="56"/>
      <c r="AC32" s="38"/>
      <c r="AD32" s="39">
        <v>245768.8</v>
      </c>
      <c r="AE32" s="39">
        <v>73730.64</v>
      </c>
      <c r="AF32" s="40">
        <v>172038.16</v>
      </c>
      <c r="AG32" s="57" t="s">
        <v>264</v>
      </c>
      <c r="AH32" s="42" t="s">
        <v>46</v>
      </c>
      <c r="AI32" s="42" t="str">
        <f>IFERROR(__xludf.DUMMYFUNCTION("vLOOKUP(A32,IMPORTRANGE(""https://docs.google.com/spreadsheets/d/1Rawwwdh8wntXGy8isdYNHxsNQS4n_rC8JSdPfj6vEq4"",""'500 объектов перенос на 2026'!A3:AB502""),13,0)"),"#REF!")</f>
        <v>#REF!</v>
      </c>
      <c r="AJ32" s="42" t="str">
        <f>IFERROR(__xludf.DUMMYFUNCTION("vLOOKUP(A32,IMPORTRANGE(""https://docs.google.com/spreadsheets/d/1Rawwwdh8wntXGy8isdYNHxsNQS4n_rC8JSdPfj6vEq4"",""'500 объектов перенос на 2026'!A3:AB502""),14,0)"),"#REF!")</f>
        <v>#REF!</v>
      </c>
      <c r="AK32" s="96" t="s">
        <v>265</v>
      </c>
      <c r="AL32" s="87" t="s">
        <v>266</v>
      </c>
      <c r="AM32" s="87"/>
      <c r="AO32" s="44" t="str">
        <f>IFERROR(__xludf.DUMMYFUNCTION("""COMPUTED_VALUE"""),"ООО СЗСМЭУ")</f>
        <v>ООО СЗСМЭУ</v>
      </c>
      <c r="AP32" s="44">
        <f>IFERROR(__xludf.DUMMYFUNCTION("""COMPUTED_VALUE"""),1.0454222068E8)</f>
        <v>104542220.7</v>
      </c>
      <c r="AQ32" s="44"/>
      <c r="AR32" s="44"/>
      <c r="AS32" s="44"/>
      <c r="AT32" s="44"/>
      <c r="AU32" s="44"/>
      <c r="AV32" s="44"/>
      <c r="AW32" s="44"/>
      <c r="AX32" s="44"/>
      <c r="AY32" s="44"/>
      <c r="AZ32" s="44"/>
    </row>
    <row r="33">
      <c r="A33" s="62" t="s">
        <v>267</v>
      </c>
      <c r="B33" s="63" t="s">
        <v>268</v>
      </c>
      <c r="C33" s="64" t="s">
        <v>269</v>
      </c>
      <c r="D33" s="105" t="s">
        <v>270</v>
      </c>
      <c r="E33" s="64" t="s">
        <v>39</v>
      </c>
      <c r="F33" s="31" t="s">
        <v>40</v>
      </c>
      <c r="G33" s="31" t="s">
        <v>156</v>
      </c>
      <c r="H33" s="31" t="s">
        <v>42</v>
      </c>
      <c r="I33" s="31" t="s">
        <v>40</v>
      </c>
      <c r="J33" s="31" t="s">
        <v>102</v>
      </c>
      <c r="K33" s="31"/>
      <c r="L33" s="32">
        <f>IFERROR(__xludf.DUMMYFUNCTION("VLOOKUP($A33,IMPORTRANGE(""1PQtfbQLqBUP-rjYRznmgNFBLOjvAnhGzpIx7BJWq8rk"",""'Worksheet'!$B$2:$H""),7,FALSE)"),0.3)</f>
        <v>0.3</v>
      </c>
      <c r="M33" s="31" t="s">
        <v>40</v>
      </c>
      <c r="N33" s="49">
        <v>2.4361609734E8</v>
      </c>
      <c r="O33" s="49">
        <v>7.308482921E7</v>
      </c>
      <c r="P33" s="49">
        <f t="shared" si="9"/>
        <v>170531268.1</v>
      </c>
      <c r="Q33" s="34">
        <f t="shared" si="7"/>
        <v>0.7</v>
      </c>
      <c r="R33" s="31"/>
      <c r="S33" s="31" t="s">
        <v>40</v>
      </c>
      <c r="T33" s="84" t="s">
        <v>271</v>
      </c>
      <c r="U33" s="84">
        <v>0.0</v>
      </c>
      <c r="V33" s="50" t="s">
        <v>271</v>
      </c>
      <c r="W33" s="31"/>
      <c r="X33" s="52" t="s">
        <v>272</v>
      </c>
      <c r="Y33" s="54" t="s">
        <v>273</v>
      </c>
      <c r="Z33" s="54" t="s">
        <v>274</v>
      </c>
      <c r="AA33" s="74">
        <v>46296.0</v>
      </c>
      <c r="AB33" s="56"/>
      <c r="AC33" s="38" t="s">
        <v>275</v>
      </c>
      <c r="AD33" s="39">
        <v>243616.1</v>
      </c>
      <c r="AE33" s="39">
        <v>73084.82921</v>
      </c>
      <c r="AF33" s="40">
        <v>170531.2708</v>
      </c>
      <c r="AG33" s="57" t="s">
        <v>276</v>
      </c>
      <c r="AH33" s="42" t="s">
        <v>277</v>
      </c>
      <c r="AI33" s="42" t="str">
        <f>IFERROR(__xludf.DUMMYFUNCTION("vLOOKUP(A33,IMPORTRANGE(""https://docs.google.com/spreadsheets/d/1Rawwwdh8wntXGy8isdYNHxsNQS4n_rC8JSdPfj6vEq4"",""'500 объектов перенос на 2026'!A3:AB502""),13,0)"),"#REF!")</f>
        <v>#REF!</v>
      </c>
      <c r="AJ33" s="42" t="str">
        <f>IFERROR(__xludf.DUMMYFUNCTION("vLOOKUP(A33,IMPORTRANGE(""https://docs.google.com/spreadsheets/d/1Rawwwdh8wntXGy8isdYNHxsNQS4n_rC8JSdPfj6vEq4"",""'500 объектов перенос на 2026'!A3:AB502""),14,0)"),"#REF!")</f>
        <v>#REF!</v>
      </c>
      <c r="AK33" s="43"/>
      <c r="AL33" s="70"/>
      <c r="AM33" s="70"/>
      <c r="AO33" s="44" t="str">
        <f>IFERROR(__xludf.DUMMYFUNCTION("""COMPUTED_VALUE"""),"ООО ТЭСКИП")</f>
        <v>ООО ТЭСКИП</v>
      </c>
      <c r="AP33" s="44">
        <f>IFERROR(__xludf.DUMMYFUNCTION("""COMPUTED_VALUE"""),1.0342961721E8)</f>
        <v>103429617.2</v>
      </c>
      <c r="AQ33" s="44"/>
      <c r="AR33" s="44"/>
      <c r="AS33" s="44"/>
      <c r="AT33" s="44"/>
      <c r="AU33" s="44"/>
      <c r="AV33" s="44"/>
      <c r="AW33" s="44"/>
      <c r="AX33" s="44"/>
      <c r="AY33" s="44"/>
      <c r="AZ33" s="44"/>
    </row>
    <row r="34">
      <c r="A34" s="62" t="s">
        <v>278</v>
      </c>
      <c r="B34" s="106" t="s">
        <v>225</v>
      </c>
      <c r="C34" s="64" t="s">
        <v>279</v>
      </c>
      <c r="D34" s="47" t="s">
        <v>166</v>
      </c>
      <c r="E34" s="64" t="s">
        <v>39</v>
      </c>
      <c r="F34" s="31" t="s">
        <v>60</v>
      </c>
      <c r="G34" s="31"/>
      <c r="H34" s="31"/>
      <c r="I34" s="31" t="s">
        <v>40</v>
      </c>
      <c r="J34" s="31" t="s">
        <v>102</v>
      </c>
      <c r="K34" s="31" t="s">
        <v>280</v>
      </c>
      <c r="L34" s="32">
        <f>IFERROR(__xludf.DUMMYFUNCTION("VLOOKUP($A34,IMPORTRANGE(""1PQtfbQLqBUP-rjYRznmgNFBLOjvAnhGzpIx7BJWq8rk"",""'Worksheet'!$B$2:$H""),7,FALSE)"),0.56)</f>
        <v>0.56</v>
      </c>
      <c r="M34" s="31" t="s">
        <v>40</v>
      </c>
      <c r="N34" s="49">
        <v>1.7017675878E8</v>
      </c>
      <c r="O34" s="49">
        <v>5.105302763E7</v>
      </c>
      <c r="P34" s="49">
        <f t="shared" si="9"/>
        <v>119123731.2</v>
      </c>
      <c r="Q34" s="34">
        <f t="shared" si="7"/>
        <v>0.7</v>
      </c>
      <c r="R34" s="31"/>
      <c r="S34" s="31" t="s">
        <v>40</v>
      </c>
      <c r="T34" s="88" t="s">
        <v>281</v>
      </c>
      <c r="U34" s="67" t="s">
        <v>282</v>
      </c>
      <c r="V34" s="88" t="s">
        <v>283</v>
      </c>
      <c r="W34" s="31"/>
      <c r="X34" s="52" t="s">
        <v>284</v>
      </c>
      <c r="Y34" s="54" t="s">
        <v>285</v>
      </c>
      <c r="Z34" s="54"/>
      <c r="AA34" s="100">
        <v>46384.0</v>
      </c>
      <c r="AB34" s="56"/>
      <c r="AC34" s="38"/>
      <c r="AD34" s="39">
        <v>202130.67</v>
      </c>
      <c r="AE34" s="39">
        <v>117512.5689</v>
      </c>
      <c r="AF34" s="40">
        <v>84618.1011</v>
      </c>
      <c r="AG34" s="57" t="s">
        <v>286</v>
      </c>
      <c r="AH34" s="42" t="s">
        <v>287</v>
      </c>
      <c r="AI34" s="42" t="str">
        <f>IFERROR(__xludf.DUMMYFUNCTION("vLOOKUP(A34,IMPORTRANGE(""https://docs.google.com/spreadsheets/d/1Rawwwdh8wntXGy8isdYNHxsNQS4n_rC8JSdPfj6vEq4"",""'500 объектов перенос на 2026'!A3:AB502""),13,0)"),"#REF!")</f>
        <v>#REF!</v>
      </c>
      <c r="AJ34" s="42" t="str">
        <f>IFERROR(__xludf.DUMMYFUNCTION("vLOOKUP(A34,IMPORTRANGE(""https://docs.google.com/spreadsheets/d/1Rawwwdh8wntXGy8isdYNHxsNQS4n_rC8JSdPfj6vEq4"",""'500 объектов перенос на 2026'!A3:AB502""),14,0)"),"#REF!")</f>
        <v>#REF!</v>
      </c>
      <c r="AK34" s="96" t="s">
        <v>288</v>
      </c>
      <c r="AL34" s="70"/>
      <c r="AM34" s="70"/>
      <c r="AO34" s="44" t="str">
        <f>IFERROR(__xludf.DUMMYFUNCTION("""COMPUTED_VALUE"""),"ООО ПРОФИСТРОЙ")</f>
        <v>ООО ПРОФИСТРОЙ</v>
      </c>
      <c r="AP34" s="44">
        <f>IFERROR(__xludf.DUMMYFUNCTION("""COMPUTED_VALUE"""),1.0229589392E8)</f>
        <v>102295893.9</v>
      </c>
      <c r="AQ34" s="44"/>
      <c r="AR34" s="44"/>
      <c r="AS34" s="44"/>
      <c r="AT34" s="44"/>
      <c r="AU34" s="44"/>
      <c r="AV34" s="44"/>
      <c r="AW34" s="44"/>
      <c r="AX34" s="44"/>
      <c r="AY34" s="44"/>
      <c r="AZ34" s="44"/>
    </row>
    <row r="35">
      <c r="A35" s="62" t="s">
        <v>289</v>
      </c>
      <c r="B35" s="63" t="s">
        <v>99</v>
      </c>
      <c r="C35" s="64" t="s">
        <v>290</v>
      </c>
      <c r="D35" s="47" t="s">
        <v>101</v>
      </c>
      <c r="E35" s="64" t="s">
        <v>59</v>
      </c>
      <c r="F35" s="31" t="s">
        <v>60</v>
      </c>
      <c r="G35" s="31"/>
      <c r="H35" s="31"/>
      <c r="I35" s="31" t="s">
        <v>40</v>
      </c>
      <c r="J35" s="31" t="s">
        <v>102</v>
      </c>
      <c r="K35" s="31" t="s">
        <v>72</v>
      </c>
      <c r="L35" s="32">
        <f>IFERROR(__xludf.DUMMYFUNCTION("VLOOKUP($A35,IMPORTRANGE(""1PQtfbQLqBUP-rjYRznmgNFBLOjvAnhGzpIx7BJWq8rk"",""'Worksheet'!$B$2:$H""),7,FALSE)"),0.75)</f>
        <v>0.75</v>
      </c>
      <c r="M35" s="31" t="s">
        <v>45</v>
      </c>
      <c r="N35" s="49">
        <v>2.3815254E8</v>
      </c>
      <c r="O35" s="49">
        <v>7.1445762E7</v>
      </c>
      <c r="P35" s="49">
        <f t="shared" si="9"/>
        <v>166706778</v>
      </c>
      <c r="Q35" s="34">
        <f t="shared" si="7"/>
        <v>0.7</v>
      </c>
      <c r="R35" s="31"/>
      <c r="S35" s="31" t="s">
        <v>40</v>
      </c>
      <c r="T35" s="50">
        <v>2.310079638E8</v>
      </c>
      <c r="U35" s="51">
        <v>0.0</v>
      </c>
      <c r="V35" s="50">
        <v>2.310079638E8</v>
      </c>
      <c r="W35" s="31"/>
      <c r="X35" s="52" t="s">
        <v>291</v>
      </c>
      <c r="Y35" s="54" t="s">
        <v>46</v>
      </c>
      <c r="Z35" s="54" t="s">
        <v>160</v>
      </c>
      <c r="AA35" s="74">
        <v>46223.0</v>
      </c>
      <c r="AB35" s="56"/>
      <c r="AC35" s="38"/>
      <c r="AD35" s="39">
        <v>238152.54</v>
      </c>
      <c r="AE35" s="39">
        <v>71445.762</v>
      </c>
      <c r="AF35" s="40">
        <v>166706.778</v>
      </c>
      <c r="AG35" s="57" t="s">
        <v>292</v>
      </c>
      <c r="AH35" s="42" t="s">
        <v>46</v>
      </c>
      <c r="AI35" s="42" t="str">
        <f>IFERROR(__xludf.DUMMYFUNCTION("vLOOKUP(A35,IMPORTRANGE(""https://docs.google.com/spreadsheets/d/1Rawwwdh8wntXGy8isdYNHxsNQS4n_rC8JSdPfj6vEq4"",""'500 объектов перенос на 2026'!A3:AB502""),13,0)"),"#REF!")</f>
        <v>#REF!</v>
      </c>
      <c r="AJ35" s="42" t="str">
        <f>IFERROR(__xludf.DUMMYFUNCTION("vLOOKUP(A35,IMPORTRANGE(""https://docs.google.com/spreadsheets/d/1Rawwwdh8wntXGy8isdYNHxsNQS4n_rC8JSdPfj6vEq4"",""'500 объектов перенос на 2026'!A3:AB502""),14,0)"),"#REF!")</f>
        <v>#REF!</v>
      </c>
      <c r="AK35" s="58" t="s">
        <v>293</v>
      </c>
      <c r="AL35" s="70" t="s">
        <v>294</v>
      </c>
      <c r="AM35" s="70"/>
      <c r="AO35" s="44" t="str">
        <f>IFERROR(__xludf.DUMMYFUNCTION("""COMPUTED_VALUE"""),"АО МИСК")</f>
        <v>АО МИСК</v>
      </c>
      <c r="AP35" s="44">
        <f>IFERROR(__xludf.DUMMYFUNCTION("""COMPUTED_VALUE"""),9.529252727999997E7)</f>
        <v>95292527.28</v>
      </c>
      <c r="AQ35" s="44"/>
      <c r="AR35" s="44"/>
      <c r="AS35" s="44"/>
      <c r="AT35" s="44"/>
      <c r="AU35" s="44"/>
      <c r="AV35" s="44"/>
      <c r="AW35" s="44"/>
      <c r="AX35" s="44"/>
      <c r="AY35" s="44"/>
      <c r="AZ35" s="44"/>
    </row>
    <row r="36">
      <c r="A36" s="62" t="s">
        <v>295</v>
      </c>
      <c r="B36" s="63" t="s">
        <v>296</v>
      </c>
      <c r="C36" s="64" t="s">
        <v>297</v>
      </c>
      <c r="D36" s="47" t="s">
        <v>298</v>
      </c>
      <c r="E36" s="64" t="s">
        <v>85</v>
      </c>
      <c r="F36" s="31" t="s">
        <v>40</v>
      </c>
      <c r="G36" s="31" t="s">
        <v>299</v>
      </c>
      <c r="H36" s="31" t="s">
        <v>300</v>
      </c>
      <c r="I36" s="31" t="s">
        <v>40</v>
      </c>
      <c r="J36" s="31" t="s">
        <v>102</v>
      </c>
      <c r="K36" s="31" t="s">
        <v>301</v>
      </c>
      <c r="L36" s="32" t="str">
        <f>IFERROR(__xludf.DUMMYFUNCTION("VLOOKUP($A36,IMPORTRANGE(""1PQtfbQLqBUP-rjYRznmgNFBLOjvAnhGzpIx7BJWq8rk"",""'Worksheet'!$B$2:$H""),7,FALSE)"),"#N/A")</f>
        <v>#N/A</v>
      </c>
      <c r="M36" s="31" t="s">
        <v>40</v>
      </c>
      <c r="N36" s="49">
        <v>2.3087068154E8</v>
      </c>
      <c r="O36" s="49">
        <v>6.926120446E7</v>
      </c>
      <c r="P36" s="49">
        <f t="shared" si="9"/>
        <v>161609477.1</v>
      </c>
      <c r="Q36" s="34">
        <f t="shared" si="7"/>
        <v>0.7</v>
      </c>
      <c r="R36" s="31"/>
      <c r="S36" s="31" t="s">
        <v>40</v>
      </c>
      <c r="T36" s="107">
        <f>N36-N36*0.05</f>
        <v>219327147.5</v>
      </c>
      <c r="U36" s="51">
        <v>0.0</v>
      </c>
      <c r="V36" s="107">
        <f>P36-P36*0.05</f>
        <v>153529003.2</v>
      </c>
      <c r="W36" s="31"/>
      <c r="X36" s="52" t="s">
        <v>302</v>
      </c>
      <c r="Y36" s="54" t="s">
        <v>303</v>
      </c>
      <c r="Z36" s="54" t="s">
        <v>304</v>
      </c>
      <c r="AA36" s="100">
        <v>46351.0</v>
      </c>
      <c r="AB36" s="56"/>
      <c r="AC36" s="38" t="s">
        <v>305</v>
      </c>
      <c r="AD36" s="39">
        <v>230870.6815</v>
      </c>
      <c r="AE36" s="102">
        <v>0.0</v>
      </c>
      <c r="AF36" s="40">
        <v>230870.6815</v>
      </c>
      <c r="AG36" s="57" t="s">
        <v>306</v>
      </c>
      <c r="AH36" s="57" t="s">
        <v>307</v>
      </c>
      <c r="AI36" s="42" t="str">
        <f>IFERROR(__xludf.DUMMYFUNCTION("vLOOKUP(A36,IMPORTRANGE(""https://docs.google.com/spreadsheets/d/1Rawwwdh8wntXGy8isdYNHxsNQS4n_rC8JSdPfj6vEq4"",""'500 объектов перенос на 2026'!A3:AB502""),13,0)"),"#REF!")</f>
        <v>#REF!</v>
      </c>
      <c r="AJ36" s="42" t="str">
        <f>IFERROR(__xludf.DUMMYFUNCTION("vLOOKUP(A36,IMPORTRANGE(""https://docs.google.com/spreadsheets/d/1Rawwwdh8wntXGy8isdYNHxsNQS4n_rC8JSdPfj6vEq4"",""'500 объектов перенос на 2026'!A3:AB502""),14,0)"),"#REF!")</f>
        <v>#REF!</v>
      </c>
      <c r="AK36" s="96" t="s">
        <v>308</v>
      </c>
      <c r="AL36" s="70"/>
      <c r="AM36" s="70"/>
      <c r="AO36" s="44" t="str">
        <f>IFERROR(__xludf.DUMMYFUNCTION("""COMPUTED_VALUE"""),"ООО ПСМ")</f>
        <v>ООО ПСМ</v>
      </c>
      <c r="AP36" s="44">
        <f>IFERROR(__xludf.DUMMYFUNCTION("""COMPUTED_VALUE"""),9.327607514999999E7)</f>
        <v>93276075.15</v>
      </c>
      <c r="AQ36" s="44"/>
      <c r="AR36" s="44"/>
      <c r="AS36" s="44"/>
      <c r="AT36" s="44"/>
      <c r="AU36" s="44"/>
      <c r="AV36" s="44"/>
      <c r="AW36" s="44"/>
      <c r="AX36" s="44"/>
      <c r="AY36" s="44"/>
      <c r="AZ36" s="44"/>
    </row>
    <row r="37">
      <c r="A37" s="62" t="s">
        <v>309</v>
      </c>
      <c r="B37" s="63" t="s">
        <v>56</v>
      </c>
      <c r="C37" s="64" t="s">
        <v>310</v>
      </c>
      <c r="D37" s="47" t="s">
        <v>311</v>
      </c>
      <c r="E37" s="64" t="s">
        <v>85</v>
      </c>
      <c r="F37" s="31" t="s">
        <v>40</v>
      </c>
      <c r="G37" s="31" t="s">
        <v>156</v>
      </c>
      <c r="H37" s="31" t="s">
        <v>312</v>
      </c>
      <c r="I37" s="31" t="s">
        <v>40</v>
      </c>
      <c r="J37" s="31" t="s">
        <v>102</v>
      </c>
      <c r="K37" s="31"/>
      <c r="L37" s="32">
        <f>IFERROR(__xludf.DUMMYFUNCTION("VLOOKUP($A37,IMPORTRANGE(""1PQtfbQLqBUP-rjYRznmgNFBLOjvAnhGzpIx7BJWq8rk"",""'Worksheet'!$B$2:$H""),7,FALSE)"),0.67)</f>
        <v>0.67</v>
      </c>
      <c r="M37" s="31" t="s">
        <v>40</v>
      </c>
      <c r="N37" s="49">
        <v>2.262388887E8</v>
      </c>
      <c r="O37" s="49">
        <v>6.787166661E7</v>
      </c>
      <c r="P37" s="49">
        <f t="shared" si="9"/>
        <v>158367222.1</v>
      </c>
      <c r="Q37" s="34">
        <f t="shared" si="7"/>
        <v>0.7</v>
      </c>
      <c r="R37" s="31"/>
      <c r="S37" s="31" t="s">
        <v>45</v>
      </c>
      <c r="T37" s="88" t="s">
        <v>313</v>
      </c>
      <c r="U37" s="67" t="s">
        <v>314</v>
      </c>
      <c r="V37" s="88" t="s">
        <v>315</v>
      </c>
      <c r="W37" s="31"/>
      <c r="X37" s="52" t="s">
        <v>49</v>
      </c>
      <c r="Y37" s="54" t="s">
        <v>316</v>
      </c>
      <c r="Z37" s="100"/>
      <c r="AA37" s="100">
        <v>46264.0</v>
      </c>
      <c r="AB37" s="56"/>
      <c r="AC37" s="38"/>
      <c r="AD37" s="39">
        <v>226238.88</v>
      </c>
      <c r="AE37" s="39">
        <v>67871.66661</v>
      </c>
      <c r="AF37" s="40">
        <v>158367.2134</v>
      </c>
      <c r="AG37" s="57" t="s">
        <v>317</v>
      </c>
      <c r="AH37" s="69" t="s">
        <v>66</v>
      </c>
      <c r="AI37" s="42" t="str">
        <f>IFERROR(__xludf.DUMMYFUNCTION("vLOOKUP(A37,IMPORTRANGE(""https://docs.google.com/spreadsheets/d/1Rawwwdh8wntXGy8isdYNHxsNQS4n_rC8JSdPfj6vEq4"",""'500 объектов перенос на 2026'!A3:AB502""),13,0)"),"#REF!")</f>
        <v>#REF!</v>
      </c>
      <c r="AJ37" s="42" t="str">
        <f>IFERROR(__xludf.DUMMYFUNCTION("vLOOKUP(A37,IMPORTRANGE(""https://docs.google.com/spreadsheets/d/1Rawwwdh8wntXGy8isdYNHxsNQS4n_rC8JSdPfj6vEq4"",""'500 объектов перенос на 2026'!A3:AB502""),14,0)"),"#REF!")</f>
        <v>#REF!</v>
      </c>
      <c r="AK37" s="108" t="s">
        <v>318</v>
      </c>
      <c r="AL37" s="76" t="s">
        <v>319</v>
      </c>
      <c r="AM37" s="70" t="s">
        <v>320</v>
      </c>
      <c r="AO37" s="44" t="str">
        <f>IFERROR(__xludf.DUMMYFUNCTION("""COMPUTED_VALUE"""),"АО АГУНА")</f>
        <v>АО АГУНА</v>
      </c>
      <c r="AP37" s="44">
        <f>IFERROR(__xludf.DUMMYFUNCTION("""COMPUTED_VALUE"""),9.061656288E7)</f>
        <v>90616562.88</v>
      </c>
      <c r="AQ37" s="44"/>
      <c r="AR37" s="44"/>
      <c r="AS37" s="44"/>
      <c r="AT37" s="44"/>
      <c r="AU37" s="44"/>
      <c r="AV37" s="44"/>
      <c r="AW37" s="44"/>
      <c r="AX37" s="44"/>
      <c r="AY37" s="44"/>
      <c r="AZ37" s="44"/>
    </row>
    <row r="38">
      <c r="A38" s="62" t="s">
        <v>321</v>
      </c>
      <c r="B38" s="63" t="s">
        <v>250</v>
      </c>
      <c r="C38" s="64" t="s">
        <v>322</v>
      </c>
      <c r="D38" s="47" t="s">
        <v>323</v>
      </c>
      <c r="E38" s="64" t="s">
        <v>324</v>
      </c>
      <c r="F38" s="31" t="s">
        <v>40</v>
      </c>
      <c r="G38" s="31" t="s">
        <v>156</v>
      </c>
      <c r="H38" s="31" t="s">
        <v>325</v>
      </c>
      <c r="I38" s="31" t="s">
        <v>40</v>
      </c>
      <c r="J38" s="31" t="s">
        <v>102</v>
      </c>
      <c r="K38" s="31"/>
      <c r="L38" s="32">
        <f>IFERROR(__xludf.DUMMYFUNCTION("VLOOKUP($A38,IMPORTRANGE(""1PQtfbQLqBUP-rjYRznmgNFBLOjvAnhGzpIx7BJWq8rk"",""'Worksheet'!$B$2:$H""),7,FALSE)"),0.5)</f>
        <v>0.5</v>
      </c>
      <c r="M38" s="31" t="s">
        <v>40</v>
      </c>
      <c r="N38" s="49">
        <v>2.1113148E8</v>
      </c>
      <c r="O38" s="49">
        <v>6.3339444E7</v>
      </c>
      <c r="P38" s="49">
        <f t="shared" si="9"/>
        <v>147792036</v>
      </c>
      <c r="Q38" s="34">
        <f t="shared" si="7"/>
        <v>0.7</v>
      </c>
      <c r="R38" s="31"/>
      <c r="S38" s="31" t="s">
        <v>40</v>
      </c>
      <c r="T38" s="97">
        <v>2.0034492E8</v>
      </c>
      <c r="U38" s="51">
        <v>0.0</v>
      </c>
      <c r="V38" s="97">
        <v>2.0034492E8</v>
      </c>
      <c r="W38" s="31"/>
      <c r="X38" s="52" t="s">
        <v>326</v>
      </c>
      <c r="Y38" s="54" t="s">
        <v>327</v>
      </c>
      <c r="Z38" s="54" t="s">
        <v>75</v>
      </c>
      <c r="AA38" s="74">
        <v>46266.0</v>
      </c>
      <c r="AB38" s="56"/>
      <c r="AC38" s="38" t="s">
        <v>328</v>
      </c>
      <c r="AD38" s="39">
        <v>211131.48</v>
      </c>
      <c r="AE38" s="39">
        <v>63339.444</v>
      </c>
      <c r="AF38" s="40">
        <v>147792.036</v>
      </c>
      <c r="AG38" s="57" t="s">
        <v>329</v>
      </c>
      <c r="AH38" s="42" t="s">
        <v>66</v>
      </c>
      <c r="AI38" s="42" t="str">
        <f>IFERROR(__xludf.DUMMYFUNCTION("vLOOKUP(A38,IMPORTRANGE(""https://docs.google.com/spreadsheets/d/1Rawwwdh8wntXGy8isdYNHxsNQS4n_rC8JSdPfj6vEq4"",""'500 объектов перенос на 2026'!A3:AB502""),13,0)"),"#REF!")</f>
        <v>#REF!</v>
      </c>
      <c r="AJ38" s="42" t="str">
        <f>IFERROR(__xludf.DUMMYFUNCTION("vLOOKUP(A38,IMPORTRANGE(""https://docs.google.com/spreadsheets/d/1Rawwwdh8wntXGy8isdYNHxsNQS4n_rC8JSdPfj6vEq4"",""'500 объектов перенос на 2026'!A3:AB502""),14,0)"),"#REF!")</f>
        <v>#REF!</v>
      </c>
      <c r="AK38" s="94" t="s">
        <v>330</v>
      </c>
      <c r="AL38" s="94" t="s">
        <v>330</v>
      </c>
      <c r="AM38" s="94"/>
      <c r="AO38" s="44" t="str">
        <f>IFERROR(__xludf.DUMMYFUNCTION("""COMPUTED_VALUE"""),"ООО СМУ-ЭС")</f>
        <v>ООО СМУ-ЭС</v>
      </c>
      <c r="AP38" s="44">
        <f>IFERROR(__xludf.DUMMYFUNCTION("""COMPUTED_VALUE"""),8.951387458000001E7)</f>
        <v>89513874.58</v>
      </c>
      <c r="AQ38" s="44"/>
      <c r="AR38" s="44"/>
      <c r="AS38" s="44"/>
      <c r="AT38" s="44"/>
      <c r="AU38" s="44"/>
      <c r="AV38" s="44"/>
      <c r="AW38" s="44"/>
      <c r="AX38" s="44"/>
      <c r="AY38" s="44"/>
      <c r="AZ38" s="44"/>
    </row>
    <row r="39">
      <c r="A39" s="62" t="s">
        <v>331</v>
      </c>
      <c r="B39" s="63" t="s">
        <v>250</v>
      </c>
      <c r="C39" s="64" t="s">
        <v>332</v>
      </c>
      <c r="D39" s="47" t="s">
        <v>333</v>
      </c>
      <c r="E39" s="64" t="s">
        <v>85</v>
      </c>
      <c r="F39" s="31" t="s">
        <v>60</v>
      </c>
      <c r="G39" s="31"/>
      <c r="H39" s="31"/>
      <c r="I39" s="31" t="s">
        <v>60</v>
      </c>
      <c r="J39" s="31"/>
      <c r="K39" s="31"/>
      <c r="L39" s="32">
        <f>IFERROR(__xludf.DUMMYFUNCTION("VLOOKUP($A39,IMPORTRANGE(""1PQtfbQLqBUP-rjYRznmgNFBLOjvAnhGzpIx7BJWq8rk"",""'Worksheet'!$B$2:$H""),7,FALSE)"),0.94)</f>
        <v>0.94</v>
      </c>
      <c r="M39" s="31" t="s">
        <v>60</v>
      </c>
      <c r="N39" s="49">
        <v>2.810610931E7</v>
      </c>
      <c r="O39" s="49">
        <v>2.427709273E7</v>
      </c>
      <c r="P39" s="49">
        <v>0.0</v>
      </c>
      <c r="Q39" s="34">
        <f t="shared" si="7"/>
        <v>0.1362343161</v>
      </c>
      <c r="R39" s="31"/>
      <c r="S39" s="31" t="s">
        <v>60</v>
      </c>
      <c r="T39" s="97" t="s">
        <v>334</v>
      </c>
      <c r="U39" s="88" t="s">
        <v>335</v>
      </c>
      <c r="V39" s="88" t="s">
        <v>336</v>
      </c>
      <c r="W39" s="31"/>
      <c r="X39" s="52" t="s">
        <v>337</v>
      </c>
      <c r="Y39" s="54" t="s">
        <v>338</v>
      </c>
      <c r="Z39" s="54"/>
      <c r="AA39" s="74"/>
      <c r="AB39" s="56"/>
      <c r="AC39" s="38" t="s">
        <v>173</v>
      </c>
      <c r="AD39" s="39">
        <v>28106.11</v>
      </c>
      <c r="AE39" s="39">
        <v>22427.72923</v>
      </c>
      <c r="AF39" s="39">
        <v>5678.38077</v>
      </c>
      <c r="AG39" s="57" t="s">
        <v>339</v>
      </c>
      <c r="AH39" s="42" t="s">
        <v>173</v>
      </c>
      <c r="AI39" s="42" t="str">
        <f>IFERROR(__xludf.DUMMYFUNCTION("vLOOKUP(A39,IMPORTRANGE(""https://docs.google.com/spreadsheets/d/1Rawwwdh8wntXGy8isdYNHxsNQS4n_rC8JSdPfj6vEq4"",""'500 объектов перенос на 2026'!A3:AB502""),13,0)"),"#REF!")</f>
        <v>#REF!</v>
      </c>
      <c r="AJ39" s="42" t="str">
        <f>IFERROR(__xludf.DUMMYFUNCTION("vLOOKUP(A39,IMPORTRANGE(""https://docs.google.com/spreadsheets/d/1Rawwwdh8wntXGy8isdYNHxsNQS4n_rC8JSdPfj6vEq4"",""'500 объектов перенос на 2026'!A3:AB502""),14,0)"),"#REF!")</f>
        <v>#REF!</v>
      </c>
      <c r="AK39" s="43"/>
      <c r="AL39" s="70"/>
      <c r="AM39" s="70"/>
      <c r="AO39" s="44" t="str">
        <f>IFERROR(__xludf.DUMMYFUNCTION("""COMPUTED_VALUE"""),"ООО МОНТАЖ")</f>
        <v>ООО МОНТАЖ</v>
      </c>
      <c r="AP39" s="44">
        <f>IFERROR(__xludf.DUMMYFUNCTION("""COMPUTED_VALUE"""),8.7937E7)</f>
        <v>87937000</v>
      </c>
      <c r="AQ39" s="44"/>
      <c r="AR39" s="44"/>
      <c r="AS39" s="44"/>
      <c r="AT39" s="44"/>
      <c r="AU39" s="44"/>
      <c r="AV39" s="44"/>
      <c r="AW39" s="44"/>
      <c r="AX39" s="44"/>
      <c r="AY39" s="44"/>
      <c r="AZ39" s="44"/>
    </row>
    <row r="40">
      <c r="A40" s="62" t="s">
        <v>340</v>
      </c>
      <c r="B40" s="63" t="s">
        <v>268</v>
      </c>
      <c r="C40" s="64" t="s">
        <v>341</v>
      </c>
      <c r="D40" s="47" t="s">
        <v>342</v>
      </c>
      <c r="E40" s="64" t="s">
        <v>39</v>
      </c>
      <c r="F40" s="31" t="s">
        <v>40</v>
      </c>
      <c r="G40" s="31" t="s">
        <v>41</v>
      </c>
      <c r="H40" s="31" t="s">
        <v>343</v>
      </c>
      <c r="I40" s="31" t="s">
        <v>40</v>
      </c>
      <c r="J40" s="31" t="s">
        <v>102</v>
      </c>
      <c r="K40" s="31"/>
      <c r="L40" s="32">
        <f>IFERROR(__xludf.DUMMYFUNCTION("VLOOKUP($A40,IMPORTRANGE(""1PQtfbQLqBUP-rjYRznmgNFBLOjvAnhGzpIx7BJWq8rk"",""'Worksheet'!$B$2:$H""),7,FALSE)"),0.35)</f>
        <v>0.35</v>
      </c>
      <c r="M40" s="31" t="s">
        <v>40</v>
      </c>
      <c r="N40" s="49">
        <v>2.5580415287E8</v>
      </c>
      <c r="O40" s="49">
        <v>1.1365378512E8</v>
      </c>
      <c r="P40" s="49">
        <f t="shared" ref="P40:P47" si="10">N40-O40</f>
        <v>142150367.8</v>
      </c>
      <c r="Q40" s="34">
        <f t="shared" si="7"/>
        <v>0.5557</v>
      </c>
      <c r="R40" s="31"/>
      <c r="S40" s="31" t="s">
        <v>40</v>
      </c>
      <c r="T40" s="84" t="s">
        <v>344</v>
      </c>
      <c r="U40" s="84">
        <v>0.0</v>
      </c>
      <c r="V40" s="84" t="s">
        <v>344</v>
      </c>
      <c r="W40" s="31"/>
      <c r="X40" s="52" t="s">
        <v>345</v>
      </c>
      <c r="Y40" s="54" t="s">
        <v>346</v>
      </c>
      <c r="Z40" s="54" t="s">
        <v>347</v>
      </c>
      <c r="AA40" s="68">
        <v>46313.0</v>
      </c>
      <c r="AB40" s="56"/>
      <c r="AC40" s="38"/>
      <c r="AD40" s="39">
        <v>255804.15</v>
      </c>
      <c r="AE40" s="39">
        <v>113653.7851</v>
      </c>
      <c r="AF40" s="40">
        <v>142150.3649</v>
      </c>
      <c r="AG40" s="57" t="s">
        <v>348</v>
      </c>
      <c r="AH40" s="42" t="s">
        <v>49</v>
      </c>
      <c r="AI40" s="42" t="str">
        <f>IFERROR(__xludf.DUMMYFUNCTION("vLOOKUP(A40,IMPORTRANGE(""https://docs.google.com/spreadsheets/d/1Rawwwdh8wntXGy8isdYNHxsNQS4n_rC8JSdPfj6vEq4"",""'500 объектов перенос на 2026'!A3:AB502""),13,0)"),"#REF!")</f>
        <v>#REF!</v>
      </c>
      <c r="AJ40" s="42" t="str">
        <f>IFERROR(__xludf.DUMMYFUNCTION("vLOOKUP(A40,IMPORTRANGE(""https://docs.google.com/spreadsheets/d/1Rawwwdh8wntXGy8isdYNHxsNQS4n_rC8JSdPfj6vEq4"",""'500 объектов перенос на 2026'!A3:AB502""),14,0)"),"#REF!")</f>
        <v>#REF!</v>
      </c>
      <c r="AK40" s="43"/>
      <c r="AL40" s="70"/>
      <c r="AM40" s="70"/>
      <c r="AO40" s="44" t="str">
        <f>IFERROR(__xludf.DUMMYFUNCTION("""COMPUTED_VALUE"""),"ООО ЛИДЕР")</f>
        <v>ООО ЛИДЕР</v>
      </c>
      <c r="AP40" s="44">
        <f>IFERROR(__xludf.DUMMYFUNCTION("""COMPUTED_VALUE"""),7.883559E7)</f>
        <v>78835590</v>
      </c>
      <c r="AQ40" s="44"/>
      <c r="AR40" s="44"/>
      <c r="AS40" s="44"/>
      <c r="AT40" s="44"/>
      <c r="AU40" s="44"/>
      <c r="AV40" s="44"/>
      <c r="AW40" s="44"/>
      <c r="AX40" s="44"/>
      <c r="AY40" s="44"/>
      <c r="AZ40" s="44"/>
    </row>
    <row r="41">
      <c r="A41" s="62" t="s">
        <v>349</v>
      </c>
      <c r="B41" s="63" t="s">
        <v>257</v>
      </c>
      <c r="C41" s="64" t="s">
        <v>350</v>
      </c>
      <c r="D41" s="47" t="s">
        <v>351</v>
      </c>
      <c r="E41" s="64" t="s">
        <v>59</v>
      </c>
      <c r="F41" s="31" t="s">
        <v>60</v>
      </c>
      <c r="G41" s="31"/>
      <c r="H41" s="31"/>
      <c r="I41" s="31" t="s">
        <v>40</v>
      </c>
      <c r="J41" s="31" t="s">
        <v>102</v>
      </c>
      <c r="K41" s="31"/>
      <c r="L41" s="32">
        <f>IFERROR(__xludf.DUMMYFUNCTION("VLOOKUP($A41,IMPORTRANGE(""1PQtfbQLqBUP-rjYRznmgNFBLOjvAnhGzpIx7BJWq8rk"",""'Worksheet'!$B$2:$H""),7,FALSE)"),0.89)</f>
        <v>0.89</v>
      </c>
      <c r="M41" s="31" t="s">
        <v>284</v>
      </c>
      <c r="N41" s="49">
        <v>1.53079715E7</v>
      </c>
      <c r="O41" s="49">
        <v>4175000.0</v>
      </c>
      <c r="P41" s="49">
        <f t="shared" si="10"/>
        <v>11132971.5</v>
      </c>
      <c r="Q41" s="34">
        <f t="shared" si="7"/>
        <v>0.7272662808</v>
      </c>
      <c r="R41" s="31"/>
      <c r="S41" s="31" t="s">
        <v>40</v>
      </c>
      <c r="T41" s="88" t="s">
        <v>352</v>
      </c>
      <c r="U41" s="88" t="s">
        <v>353</v>
      </c>
      <c r="V41" s="88" t="s">
        <v>354</v>
      </c>
      <c r="W41" s="31"/>
      <c r="X41" s="52" t="s">
        <v>338</v>
      </c>
      <c r="Y41" s="54" t="s">
        <v>338</v>
      </c>
      <c r="Z41" s="54"/>
      <c r="AA41" s="54"/>
      <c r="AB41" s="56"/>
      <c r="AC41" s="38"/>
      <c r="AD41" s="39">
        <v>15307.9715</v>
      </c>
      <c r="AE41" s="109">
        <v>4175.0</v>
      </c>
      <c r="AF41" s="39">
        <v>11132.9715</v>
      </c>
      <c r="AG41" s="57" t="s">
        <v>355</v>
      </c>
      <c r="AH41" s="42" t="s">
        <v>356</v>
      </c>
      <c r="AI41" s="42" t="str">
        <f>IFERROR(__xludf.DUMMYFUNCTION("vLOOKUP(A41,IMPORTRANGE(""https://docs.google.com/spreadsheets/d/1Rawwwdh8wntXGy8isdYNHxsNQS4n_rC8JSdPfj6vEq4"",""'500 объектов перенос на 2026'!A3:AB502""),13,0)"),"#REF!")</f>
        <v>#REF!</v>
      </c>
      <c r="AJ41" s="42" t="str">
        <f>IFERROR(__xludf.DUMMYFUNCTION("vLOOKUP(A41,IMPORTRANGE(""https://docs.google.com/spreadsheets/d/1Rawwwdh8wntXGy8isdYNHxsNQS4n_rC8JSdPfj6vEq4"",""'500 объектов перенос на 2026'!A3:AB502""),14,0)"),"#REF!")</f>
        <v>#REF!</v>
      </c>
      <c r="AK41" s="43"/>
      <c r="AL41" s="110"/>
      <c r="AM41" s="110"/>
      <c r="AO41" s="44" t="str">
        <f>IFERROR(__xludf.DUMMYFUNCTION("""COMPUTED_VALUE"""),"ООО МЕГАПОЛИС")</f>
        <v>ООО МЕГАПОЛИС</v>
      </c>
      <c r="AP41" s="44">
        <f>IFERROR(__xludf.DUMMYFUNCTION("""COMPUTED_VALUE"""),6.932103371E7)</f>
        <v>69321033.71</v>
      </c>
      <c r="AQ41" s="44"/>
      <c r="AR41" s="44"/>
      <c r="AS41" s="44"/>
      <c r="AT41" s="44"/>
      <c r="AU41" s="44"/>
      <c r="AV41" s="44"/>
      <c r="AW41" s="44"/>
      <c r="AX41" s="44"/>
      <c r="AY41" s="44"/>
      <c r="AZ41" s="44"/>
    </row>
    <row r="42">
      <c r="A42" s="78" t="s">
        <v>357</v>
      </c>
      <c r="B42" s="63" t="s">
        <v>257</v>
      </c>
      <c r="C42" s="64" t="s">
        <v>358</v>
      </c>
      <c r="D42" s="47" t="s">
        <v>259</v>
      </c>
      <c r="E42" s="90" t="s">
        <v>85</v>
      </c>
      <c r="F42" s="31" t="s">
        <v>60</v>
      </c>
      <c r="G42" s="31"/>
      <c r="H42" s="31"/>
      <c r="I42" s="31" t="s">
        <v>60</v>
      </c>
      <c r="J42" s="31"/>
      <c r="K42" s="31"/>
      <c r="L42" s="32" t="str">
        <f>IFERROR(__xludf.DUMMYFUNCTION("VLOOKUP($A42,IMPORTRANGE(""1PQtfbQLqBUP-rjYRznmgNFBLOjvAnhGzpIx7BJWq8rk"",""'Worksheet'!$B$2:$H""),7,FALSE)"),"#N/A")</f>
        <v>#N/A</v>
      </c>
      <c r="M42" s="31" t="s">
        <v>60</v>
      </c>
      <c r="N42" s="49">
        <v>5.984970667E7</v>
      </c>
      <c r="O42" s="49">
        <v>5.984970667E7</v>
      </c>
      <c r="P42" s="49">
        <f t="shared" si="10"/>
        <v>0</v>
      </c>
      <c r="Q42" s="34">
        <f t="shared" si="7"/>
        <v>0</v>
      </c>
      <c r="R42" s="31"/>
      <c r="S42" s="31" t="s">
        <v>60</v>
      </c>
      <c r="T42" s="88">
        <v>5.832764482E7</v>
      </c>
      <c r="U42" s="88">
        <v>2.970328954E7</v>
      </c>
      <c r="V42" s="88" t="s">
        <v>359</v>
      </c>
      <c r="W42" s="31"/>
      <c r="X42" s="52" t="s">
        <v>113</v>
      </c>
      <c r="Y42" s="54"/>
      <c r="Z42" s="54"/>
      <c r="AA42" s="54" t="s">
        <v>360</v>
      </c>
      <c r="AB42" s="38" t="s">
        <v>115</v>
      </c>
      <c r="AC42" s="38"/>
      <c r="AD42" s="39">
        <v>165313.85</v>
      </c>
      <c r="AE42" s="39">
        <v>59849.70667</v>
      </c>
      <c r="AF42" s="39">
        <v>105464.1433</v>
      </c>
      <c r="AG42" s="57" t="s">
        <v>361</v>
      </c>
      <c r="AH42" s="42" t="s">
        <v>362</v>
      </c>
      <c r="AI42" s="42" t="str">
        <f>IFERROR(__xludf.DUMMYFUNCTION("vLOOKUP(A42,IMPORTRANGE(""https://docs.google.com/spreadsheets/d/1Rawwwdh8wntXGy8isdYNHxsNQS4n_rC8JSdPfj6vEq4"",""'500 объектов перенос на 2026'!A3:AB502""),13,0)"),"#REF!")</f>
        <v>#REF!</v>
      </c>
      <c r="AJ42" s="42" t="str">
        <f>IFERROR(__xludf.DUMMYFUNCTION("vLOOKUP(A42,IMPORTRANGE(""https://docs.google.com/spreadsheets/d/1Rawwwdh8wntXGy8isdYNHxsNQS4n_rC8JSdPfj6vEq4"",""'500 объектов перенос на 2026'!A3:AB502""),14,0)"),"#REF!")</f>
        <v>#REF!</v>
      </c>
      <c r="AK42" s="43"/>
      <c r="AL42" s="70"/>
      <c r="AM42" s="70"/>
      <c r="AO42" s="44" t="str">
        <f>IFERROR(__xludf.DUMMYFUNCTION("""COMPUTED_VALUE"""),"ООО ГАЗЭНЕРГО ПРОМСЕРВИС")</f>
        <v>ООО ГАЗЭНЕРГО ПРОМСЕРВИС</v>
      </c>
      <c r="AP42" s="44">
        <f>IFERROR(__xludf.DUMMYFUNCTION("""COMPUTED_VALUE"""),6.3E7)</f>
        <v>63000000</v>
      </c>
      <c r="AQ42" s="44"/>
      <c r="AR42" s="44"/>
      <c r="AS42" s="44"/>
      <c r="AT42" s="44"/>
      <c r="AU42" s="44"/>
      <c r="AV42" s="44"/>
      <c r="AW42" s="44"/>
      <c r="AX42" s="44"/>
      <c r="AY42" s="44"/>
      <c r="AZ42" s="44"/>
    </row>
    <row r="43">
      <c r="A43" s="78" t="s">
        <v>363</v>
      </c>
      <c r="B43" s="63" t="s">
        <v>257</v>
      </c>
      <c r="C43" s="64" t="s">
        <v>364</v>
      </c>
      <c r="D43" s="47" t="s">
        <v>365</v>
      </c>
      <c r="E43" s="64" t="s">
        <v>85</v>
      </c>
      <c r="F43" s="31" t="s">
        <v>60</v>
      </c>
      <c r="G43" s="31"/>
      <c r="H43" s="31"/>
      <c r="I43" s="31" t="s">
        <v>60</v>
      </c>
      <c r="J43" s="31"/>
      <c r="K43" s="31"/>
      <c r="L43" s="32" t="str">
        <f>IFERROR(__xludf.DUMMYFUNCTION("VLOOKUP($A43,IMPORTRANGE(""1PQtfbQLqBUP-rjYRznmgNFBLOjvAnhGzpIx7BJWq8rk"",""'Worksheet'!$B$2:$H""),7,FALSE)"),"#N/A")</f>
        <v>#N/A</v>
      </c>
      <c r="M43" s="31" t="s">
        <v>284</v>
      </c>
      <c r="N43" s="49">
        <v>2.10369E8</v>
      </c>
      <c r="O43" s="49">
        <v>7018012.4</v>
      </c>
      <c r="P43" s="49">
        <f t="shared" si="10"/>
        <v>203350987.6</v>
      </c>
      <c r="Q43" s="34">
        <f t="shared" si="7"/>
        <v>0.9666395125</v>
      </c>
      <c r="R43" s="31" t="s">
        <v>366</v>
      </c>
      <c r="S43" s="31" t="s">
        <v>40</v>
      </c>
      <c r="T43" s="88" t="s">
        <v>367</v>
      </c>
      <c r="U43" s="88">
        <v>0.0</v>
      </c>
      <c r="V43" s="88" t="s">
        <v>367</v>
      </c>
      <c r="W43" s="31"/>
      <c r="X43" s="52" t="s">
        <v>113</v>
      </c>
      <c r="Y43" s="54" t="s">
        <v>284</v>
      </c>
      <c r="Z43" s="54"/>
      <c r="AA43" s="54" t="s">
        <v>114</v>
      </c>
      <c r="AB43" s="38" t="s">
        <v>115</v>
      </c>
      <c r="AC43" s="38"/>
      <c r="AD43" s="39">
        <v>210369.0</v>
      </c>
      <c r="AE43" s="39">
        <v>59983.01198</v>
      </c>
      <c r="AF43" s="39">
        <v>150385.988</v>
      </c>
      <c r="AG43" s="57" t="s">
        <v>368</v>
      </c>
      <c r="AH43" s="42" t="s">
        <v>362</v>
      </c>
      <c r="AI43" s="42" t="str">
        <f>IFERROR(__xludf.DUMMYFUNCTION("vLOOKUP(A43,IMPORTRANGE(""https://docs.google.com/spreadsheets/d/1Rawwwdh8wntXGy8isdYNHxsNQS4n_rC8JSdPfj6vEq4"",""'500 объектов перенос на 2026'!A3:AB502""),13,0)"),"#REF!")</f>
        <v>#REF!</v>
      </c>
      <c r="AJ43" s="42" t="str">
        <f>IFERROR(__xludf.DUMMYFUNCTION("vLOOKUP(A43,IMPORTRANGE(""https://docs.google.com/spreadsheets/d/1Rawwwdh8wntXGy8isdYNHxsNQS4n_rC8JSdPfj6vEq4"",""'500 объектов перенос на 2026'!A3:AB502""),14,0)"),"#REF!")</f>
        <v>#REF!</v>
      </c>
      <c r="AK43" s="43"/>
      <c r="AL43" s="70"/>
      <c r="AM43" s="70"/>
      <c r="AO43" s="44" t="str">
        <f>IFERROR(__xludf.DUMMYFUNCTION("""COMPUTED_VALUE"""),"ООО СПМК МАГИСТРАЛЬ")</f>
        <v>ООО СПМК МАГИСТРАЛЬ</v>
      </c>
      <c r="AP43" s="44">
        <f>IFERROR(__xludf.DUMMYFUNCTION("""COMPUTED_VALUE"""),6.28E7)</f>
        <v>62800000</v>
      </c>
      <c r="AQ43" s="44"/>
      <c r="AR43" s="44"/>
      <c r="AS43" s="44"/>
      <c r="AT43" s="44"/>
      <c r="AU43" s="44"/>
      <c r="AV43" s="44"/>
      <c r="AW43" s="44"/>
      <c r="AX43" s="44"/>
      <c r="AY43" s="44"/>
      <c r="AZ43" s="44"/>
    </row>
    <row r="44">
      <c r="A44" s="78" t="s">
        <v>369</v>
      </c>
      <c r="B44" s="111" t="s">
        <v>257</v>
      </c>
      <c r="C44" s="64" t="s">
        <v>370</v>
      </c>
      <c r="D44" s="47" t="s">
        <v>365</v>
      </c>
      <c r="E44" s="64" t="s">
        <v>85</v>
      </c>
      <c r="F44" s="31" t="s">
        <v>60</v>
      </c>
      <c r="G44" s="31"/>
      <c r="H44" s="31"/>
      <c r="I44" s="31" t="s">
        <v>60</v>
      </c>
      <c r="J44" s="31"/>
      <c r="K44" s="31"/>
      <c r="L44" s="32" t="str">
        <f>IFERROR(__xludf.DUMMYFUNCTION("VLOOKUP($A44,IMPORTRANGE(""1PQtfbQLqBUP-rjYRznmgNFBLOjvAnhGzpIx7BJWq8rk"",""'Worksheet'!$B$2:$H""),7,FALSE)"),"#N/A")</f>
        <v>#N/A</v>
      </c>
      <c r="M44" s="31" t="s">
        <v>284</v>
      </c>
      <c r="N44" s="49">
        <v>6160313.88</v>
      </c>
      <c r="O44" s="49">
        <v>0.0</v>
      </c>
      <c r="P44" s="49">
        <f t="shared" si="10"/>
        <v>6160313.88</v>
      </c>
      <c r="Q44" s="34">
        <f t="shared" si="7"/>
        <v>1</v>
      </c>
      <c r="R44" s="31" t="s">
        <v>366</v>
      </c>
      <c r="S44" s="31" t="s">
        <v>40</v>
      </c>
      <c r="T44" s="88" t="s">
        <v>371</v>
      </c>
      <c r="U44" s="88">
        <v>0.0</v>
      </c>
      <c r="V44" s="88" t="s">
        <v>371</v>
      </c>
      <c r="W44" s="31"/>
      <c r="X44" s="52" t="s">
        <v>113</v>
      </c>
      <c r="Y44" s="54" t="s">
        <v>284</v>
      </c>
      <c r="Z44" s="54"/>
      <c r="AA44" s="54" t="s">
        <v>114</v>
      </c>
      <c r="AB44" s="38" t="s">
        <v>115</v>
      </c>
      <c r="AC44" s="38"/>
      <c r="AD44" s="39">
        <v>6160.31</v>
      </c>
      <c r="AE44" s="39">
        <v>0.0</v>
      </c>
      <c r="AF44" s="39">
        <v>6160.31</v>
      </c>
      <c r="AG44" s="57" t="s">
        <v>372</v>
      </c>
      <c r="AH44" s="42" t="s">
        <v>373</v>
      </c>
      <c r="AI44" s="42" t="str">
        <f>IFERROR(__xludf.DUMMYFUNCTION("vLOOKUP(A44,IMPORTRANGE(""https://docs.google.com/spreadsheets/d/1Rawwwdh8wntXGy8isdYNHxsNQS4n_rC8JSdPfj6vEq4"",""'500 объектов перенос на 2026'!A3:AB502""),13,0)"),"#REF!")</f>
        <v>#REF!</v>
      </c>
      <c r="AJ44" s="42" t="str">
        <f>IFERROR(__xludf.DUMMYFUNCTION("vLOOKUP(A44,IMPORTRANGE(""https://docs.google.com/spreadsheets/d/1Rawwwdh8wntXGy8isdYNHxsNQS4n_rC8JSdPfj6vEq4"",""'500 объектов перенос на 2026'!A3:AB502""),14,0)"),"#REF!")</f>
        <v>#REF!</v>
      </c>
      <c r="AK44" s="42" t="s">
        <v>373</v>
      </c>
      <c r="AL44" s="70"/>
      <c r="AM44" s="70"/>
      <c r="AO44" s="44" t="str">
        <f>IFERROR(__xludf.DUMMYFUNCTION("""COMPUTED_VALUE"""),"ООО МОИК")</f>
        <v>ООО МОИК</v>
      </c>
      <c r="AP44" s="44">
        <f>IFERROR(__xludf.DUMMYFUNCTION("""COMPUTED_VALUE"""),6.235183402E7)</f>
        <v>62351834.02</v>
      </c>
      <c r="AQ44" s="44"/>
      <c r="AR44" s="44"/>
      <c r="AS44" s="44"/>
      <c r="AT44" s="44"/>
      <c r="AU44" s="44"/>
      <c r="AV44" s="44"/>
      <c r="AW44" s="44"/>
      <c r="AX44" s="44"/>
      <c r="AY44" s="44"/>
      <c r="AZ44" s="44"/>
    </row>
    <row r="45">
      <c r="A45" s="78" t="s">
        <v>374</v>
      </c>
      <c r="B45" s="63" t="s">
        <v>257</v>
      </c>
      <c r="C45" s="90" t="s">
        <v>375</v>
      </c>
      <c r="D45" s="47" t="s">
        <v>365</v>
      </c>
      <c r="E45" s="64" t="s">
        <v>85</v>
      </c>
      <c r="F45" s="31" t="s">
        <v>40</v>
      </c>
      <c r="G45" s="31" t="s">
        <v>41</v>
      </c>
      <c r="H45" s="31"/>
      <c r="I45" s="31" t="s">
        <v>60</v>
      </c>
      <c r="J45" s="31"/>
      <c r="K45" s="31"/>
      <c r="L45" s="32" t="str">
        <f>IFERROR(__xludf.DUMMYFUNCTION("VLOOKUP($A45,IMPORTRANGE(""1PQtfbQLqBUP-rjYRznmgNFBLOjvAnhGzpIx7BJWq8rk"",""'Worksheet'!$B$2:$H""),7,FALSE)"),"#N/A")</f>
        <v>#N/A</v>
      </c>
      <c r="M45" s="31" t="s">
        <v>284</v>
      </c>
      <c r="N45" s="49">
        <v>3834151.45</v>
      </c>
      <c r="O45" s="49">
        <v>0.0</v>
      </c>
      <c r="P45" s="49">
        <f t="shared" si="10"/>
        <v>3834151.45</v>
      </c>
      <c r="Q45" s="34">
        <f t="shared" si="7"/>
        <v>1</v>
      </c>
      <c r="R45" s="31" t="s">
        <v>366</v>
      </c>
      <c r="S45" s="31" t="s">
        <v>40</v>
      </c>
      <c r="T45" s="88" t="s">
        <v>376</v>
      </c>
      <c r="U45" s="88">
        <v>0.0</v>
      </c>
      <c r="V45" s="88" t="s">
        <v>376</v>
      </c>
      <c r="W45" s="31"/>
      <c r="X45" s="52" t="s">
        <v>113</v>
      </c>
      <c r="Y45" s="54" t="s">
        <v>377</v>
      </c>
      <c r="Z45" s="54"/>
      <c r="AA45" s="54" t="s">
        <v>114</v>
      </c>
      <c r="AB45" s="38" t="s">
        <v>115</v>
      </c>
      <c r="AC45" s="38"/>
      <c r="AD45" s="39">
        <v>3834.15</v>
      </c>
      <c r="AE45" s="39">
        <v>0.0</v>
      </c>
      <c r="AF45" s="39">
        <v>3834.15</v>
      </c>
      <c r="AG45" s="57" t="s">
        <v>378</v>
      </c>
      <c r="AH45" s="42" t="s">
        <v>373</v>
      </c>
      <c r="AI45" s="42" t="str">
        <f>IFERROR(__xludf.DUMMYFUNCTION("vLOOKUP(A45,IMPORTRANGE(""https://docs.google.com/spreadsheets/d/1Rawwwdh8wntXGy8isdYNHxsNQS4n_rC8JSdPfj6vEq4"",""'500 объектов перенос на 2026'!A3:AB502""),13,0)"),"#REF!")</f>
        <v>#REF!</v>
      </c>
      <c r="AJ45" s="42" t="str">
        <f>IFERROR(__xludf.DUMMYFUNCTION("vLOOKUP(A45,IMPORTRANGE(""https://docs.google.com/spreadsheets/d/1Rawwwdh8wntXGy8isdYNHxsNQS4n_rC8JSdPfj6vEq4"",""'500 объектов перенос на 2026'!A3:AB502""),14,0)"),"#REF!")</f>
        <v>#REF!</v>
      </c>
      <c r="AK45" s="42" t="s">
        <v>373</v>
      </c>
      <c r="AL45" s="110"/>
      <c r="AM45" s="110"/>
      <c r="AO45" s="112" t="str">
        <f>IFERROR(__xludf.DUMMYFUNCTION("""COMPUTED_VALUE"""),"ООО ГЕОМАР")</f>
        <v>ООО ГЕОМАР</v>
      </c>
      <c r="AP45" s="112">
        <f>IFERROR(__xludf.DUMMYFUNCTION("""COMPUTED_VALUE"""),5.6276237730000004E7)</f>
        <v>56276237.73</v>
      </c>
      <c r="AQ45" s="112"/>
      <c r="AR45" s="112"/>
      <c r="AS45" s="112"/>
      <c r="AT45" s="112"/>
      <c r="AU45" s="112"/>
      <c r="AV45" s="112"/>
      <c r="AW45" s="112"/>
      <c r="AX45" s="112"/>
      <c r="AY45" s="112"/>
      <c r="AZ45" s="112"/>
    </row>
    <row r="46">
      <c r="A46" s="62" t="s">
        <v>379</v>
      </c>
      <c r="B46" s="63" t="s">
        <v>36</v>
      </c>
      <c r="C46" s="64" t="s">
        <v>380</v>
      </c>
      <c r="D46" s="47" t="s">
        <v>38</v>
      </c>
      <c r="E46" s="90" t="s">
        <v>39</v>
      </c>
      <c r="F46" s="31" t="s">
        <v>40</v>
      </c>
      <c r="G46" s="31" t="s">
        <v>299</v>
      </c>
      <c r="H46" s="31" t="s">
        <v>325</v>
      </c>
      <c r="I46" s="31" t="s">
        <v>40</v>
      </c>
      <c r="J46" s="31" t="s">
        <v>43</v>
      </c>
      <c r="K46" s="31"/>
      <c r="L46" s="32">
        <f>IFERROR(__xludf.DUMMYFUNCTION("VLOOKUP($A46,IMPORTRANGE(""1PQtfbQLqBUP-rjYRznmgNFBLOjvAnhGzpIx7BJWq8rk"",""'Worksheet'!$B$2:$H""),7,FALSE)"),0.87)</f>
        <v>0.87</v>
      </c>
      <c r="M46" s="31" t="s">
        <v>40</v>
      </c>
      <c r="N46" s="49">
        <v>1.9212207E8</v>
      </c>
      <c r="O46" s="49">
        <v>5.594594678E7</v>
      </c>
      <c r="P46" s="49">
        <f t="shared" si="10"/>
        <v>136176123.2</v>
      </c>
      <c r="Q46" s="34">
        <f t="shared" si="7"/>
        <v>0.7088</v>
      </c>
      <c r="R46" s="31"/>
      <c r="S46" s="31" t="s">
        <v>40</v>
      </c>
      <c r="T46" s="84"/>
      <c r="U46" s="84"/>
      <c r="V46" s="84"/>
      <c r="W46" s="31"/>
      <c r="X46" s="52" t="s">
        <v>46</v>
      </c>
      <c r="Y46" s="53" t="s">
        <v>381</v>
      </c>
      <c r="Z46" s="54" t="s">
        <v>48</v>
      </c>
      <c r="AA46" s="100">
        <v>46384.0</v>
      </c>
      <c r="AB46" s="56"/>
      <c r="AC46" s="38" t="s">
        <v>49</v>
      </c>
      <c r="AD46" s="39">
        <v>192122.07</v>
      </c>
      <c r="AE46" s="39">
        <v>55945.94678</v>
      </c>
      <c r="AF46" s="40">
        <v>136176.1232</v>
      </c>
      <c r="AG46" s="57" t="s">
        <v>382</v>
      </c>
      <c r="AH46" s="42" t="s">
        <v>51</v>
      </c>
      <c r="AI46" s="42" t="str">
        <f>IFERROR(__xludf.DUMMYFUNCTION("vLOOKUP(A46,IMPORTRANGE(""https://docs.google.com/spreadsheets/d/1Rawwwdh8wntXGy8isdYNHxsNQS4n_rC8JSdPfj6vEq4"",""'500 объектов перенос на 2026'!A3:AB502""),13,0)"),"#REF!")</f>
        <v>#REF!</v>
      </c>
      <c r="AJ46" s="42" t="str">
        <f>IFERROR(__xludf.DUMMYFUNCTION("vLOOKUP(A46,IMPORTRANGE(""https://docs.google.com/spreadsheets/d/1Rawwwdh8wntXGy8isdYNHxsNQS4n_rC8JSdPfj6vEq4"",""'500 объектов перенос на 2026'!A3:AB502""),14,0)"),"#REF!")</f>
        <v>#REF!</v>
      </c>
      <c r="AK46" s="75" t="s">
        <v>383</v>
      </c>
      <c r="AL46" s="59" t="s">
        <v>384</v>
      </c>
      <c r="AM46" s="59"/>
      <c r="AO46" s="44" t="str">
        <f>IFERROR(__xludf.DUMMYFUNCTION("""COMPUTED_VALUE"""),"АО ТЕПЛОУЧЕТ")</f>
        <v>АО ТЕПЛОУЧЕТ</v>
      </c>
      <c r="AP46" s="44">
        <f>IFERROR(__xludf.DUMMYFUNCTION("""COMPUTED_VALUE"""),5.32894756E7)</f>
        <v>53289475.6</v>
      </c>
      <c r="AQ46" s="44"/>
      <c r="AR46" s="44"/>
      <c r="AS46" s="44"/>
      <c r="AT46" s="44"/>
      <c r="AU46" s="44"/>
      <c r="AV46" s="44"/>
      <c r="AW46" s="44"/>
      <c r="AX46" s="44"/>
      <c r="AY46" s="44"/>
      <c r="AZ46" s="44"/>
    </row>
    <row r="47">
      <c r="A47" s="62" t="s">
        <v>385</v>
      </c>
      <c r="B47" s="63" t="s">
        <v>82</v>
      </c>
      <c r="C47" s="64" t="s">
        <v>386</v>
      </c>
      <c r="D47" s="47" t="s">
        <v>227</v>
      </c>
      <c r="E47" s="64" t="s">
        <v>85</v>
      </c>
      <c r="F47" s="31" t="s">
        <v>60</v>
      </c>
      <c r="G47" s="31"/>
      <c r="H47" s="31"/>
      <c r="I47" s="31" t="s">
        <v>60</v>
      </c>
      <c r="J47" s="31"/>
      <c r="K47" s="31"/>
      <c r="L47" s="32">
        <f>IFERROR(__xludf.DUMMYFUNCTION("VLOOKUP($A47,IMPORTRANGE(""1PQtfbQLqBUP-rjYRznmgNFBLOjvAnhGzpIx7BJWq8rk"",""'Worksheet'!$B$2:$H""),7,FALSE)"),0.95)</f>
        <v>0.95</v>
      </c>
      <c r="M47" s="31" t="s">
        <v>40</v>
      </c>
      <c r="N47" s="49">
        <v>1.3432576E8</v>
      </c>
      <c r="O47" s="49">
        <v>0.0</v>
      </c>
      <c r="P47" s="49">
        <f t="shared" si="10"/>
        <v>134325760</v>
      </c>
      <c r="Q47" s="34">
        <f t="shared" si="7"/>
        <v>1</v>
      </c>
      <c r="R47" s="31"/>
      <c r="S47" s="31" t="s">
        <v>40</v>
      </c>
      <c r="T47" s="84" t="s">
        <v>387</v>
      </c>
      <c r="U47" s="84">
        <v>0.0</v>
      </c>
      <c r="V47" s="84" t="s">
        <v>387</v>
      </c>
      <c r="W47" s="31"/>
      <c r="X47" s="52" t="s">
        <v>49</v>
      </c>
      <c r="Y47" s="54" t="s">
        <v>388</v>
      </c>
      <c r="Z47" s="74"/>
      <c r="AA47" s="74">
        <v>46218.0</v>
      </c>
      <c r="AB47" s="56"/>
      <c r="AC47" s="38"/>
      <c r="AD47" s="39">
        <v>134325.76</v>
      </c>
      <c r="AE47" s="39">
        <v>0.0</v>
      </c>
      <c r="AF47" s="40">
        <v>134325.76</v>
      </c>
      <c r="AG47" s="57"/>
      <c r="AH47" s="42"/>
      <c r="AI47" s="42" t="str">
        <f>IFERROR(__xludf.DUMMYFUNCTION("vLOOKUP(A47,IMPORTRANGE(""https://docs.google.com/spreadsheets/d/1Rawwwdh8wntXGy8isdYNHxsNQS4n_rC8JSdPfj6vEq4"",""'500 объектов перенос на 2026'!A3:AB502""),13,0)"),"#REF!")</f>
        <v>#REF!</v>
      </c>
      <c r="AJ47" s="42" t="str">
        <f>IFERROR(__xludf.DUMMYFUNCTION("vLOOKUP(A47,IMPORTRANGE(""https://docs.google.com/spreadsheets/d/1Rawwwdh8wntXGy8isdYNHxsNQS4n_rC8JSdPfj6vEq4"",""'500 объектов перенос на 2026'!A3:AB502""),14,0)"),"#REF!")</f>
        <v>#REF!</v>
      </c>
      <c r="AK47" s="58" t="s">
        <v>389</v>
      </c>
      <c r="AL47" s="70" t="s">
        <v>390</v>
      </c>
      <c r="AM47" s="70"/>
      <c r="AO47" s="44" t="str">
        <f>IFERROR(__xludf.DUMMYFUNCTION("""COMPUTED_VALUE"""),"ООО ТВЭЛ")</f>
        <v>ООО ТВЭЛ</v>
      </c>
      <c r="AP47" s="44">
        <f>IFERROR(__xludf.DUMMYFUNCTION("""COMPUTED_VALUE"""),5.143772E7)</f>
        <v>51437720</v>
      </c>
      <c r="AQ47" s="44"/>
      <c r="AR47" s="44"/>
      <c r="AS47" s="44"/>
      <c r="AT47" s="44"/>
      <c r="AU47" s="44"/>
      <c r="AV47" s="44"/>
      <c r="AW47" s="44"/>
      <c r="AX47" s="44"/>
      <c r="AY47" s="44"/>
      <c r="AZ47" s="44"/>
    </row>
    <row r="48">
      <c r="A48" s="62" t="s">
        <v>391</v>
      </c>
      <c r="B48" s="63" t="s">
        <v>392</v>
      </c>
      <c r="C48" s="113" t="s">
        <v>393</v>
      </c>
      <c r="D48" s="47" t="s">
        <v>227</v>
      </c>
      <c r="E48" s="64" t="s">
        <v>39</v>
      </c>
      <c r="F48" s="31" t="s">
        <v>60</v>
      </c>
      <c r="G48" s="31"/>
      <c r="H48" s="31"/>
      <c r="I48" s="31" t="s">
        <v>60</v>
      </c>
      <c r="J48" s="31"/>
      <c r="K48" s="31"/>
      <c r="L48" s="32">
        <f>IFERROR(__xludf.DUMMYFUNCTION("VLOOKUP($A48,IMPORTRANGE(""1PQtfbQLqBUP-rjYRznmgNFBLOjvAnhGzpIx7BJWq8rk"",""'Worksheet'!$B$2:$H""),7,FALSE)"),1.0)</f>
        <v>1</v>
      </c>
      <c r="M48" s="31" t="s">
        <v>60</v>
      </c>
      <c r="N48" s="49">
        <v>1.726387306E7</v>
      </c>
      <c r="O48" s="49">
        <v>1.22734146E7</v>
      </c>
      <c r="P48" s="49">
        <v>0.0</v>
      </c>
      <c r="Q48" s="34">
        <f t="shared" si="7"/>
        <v>0.2890694598</v>
      </c>
      <c r="R48" s="31"/>
      <c r="S48" s="31" t="s">
        <v>60</v>
      </c>
      <c r="T48" s="50">
        <f t="shared" ref="T48:T49" si="11">N48*0.95</f>
        <v>16400679.41</v>
      </c>
      <c r="U48" s="51">
        <v>1.6400679406999998E7</v>
      </c>
      <c r="V48" s="51">
        <v>0.0</v>
      </c>
      <c r="W48" s="31"/>
      <c r="X48" s="52" t="s">
        <v>113</v>
      </c>
      <c r="Y48" s="54"/>
      <c r="Z48" s="54"/>
      <c r="AA48" s="54" t="s">
        <v>114</v>
      </c>
      <c r="AB48" s="56"/>
      <c r="AC48" s="38"/>
      <c r="AD48" s="39">
        <v>17263.87</v>
      </c>
      <c r="AE48" s="39">
        <v>5179.16</v>
      </c>
      <c r="AF48" s="39">
        <v>12084.71</v>
      </c>
      <c r="AG48" s="57" t="s">
        <v>394</v>
      </c>
      <c r="AH48" s="42" t="s">
        <v>395</v>
      </c>
      <c r="AI48" s="42" t="str">
        <f>IFERROR(__xludf.DUMMYFUNCTION("vLOOKUP(A48,IMPORTRANGE(""https://docs.google.com/spreadsheets/d/1Rawwwdh8wntXGy8isdYNHxsNQS4n_rC8JSdPfj6vEq4"",""'500 объектов перенос на 2026'!A3:AB502""),13,0)"),"#REF!")</f>
        <v>#REF!</v>
      </c>
      <c r="AJ48" s="42" t="str">
        <f>IFERROR(__xludf.DUMMYFUNCTION("vLOOKUP(A48,IMPORTRANGE(""https://docs.google.com/spreadsheets/d/1Rawwwdh8wntXGy8isdYNHxsNQS4n_rC8JSdPfj6vEq4"",""'500 объектов перенос на 2026'!A3:AB502""),14,0)"),"#REF!")</f>
        <v>#REF!</v>
      </c>
      <c r="AK48" s="43"/>
      <c r="AL48" s="70"/>
      <c r="AM48" s="70"/>
      <c r="AO48" s="44" t="str">
        <f>IFERROR(__xludf.DUMMYFUNCTION("""COMPUTED_VALUE"""),"ООО ОПТИМГРУПП")</f>
        <v>ООО ОПТИМГРУПП</v>
      </c>
      <c r="AP48" s="44">
        <f>IFERROR(__xludf.DUMMYFUNCTION("""COMPUTED_VALUE"""),4.92834656E7)</f>
        <v>49283465.6</v>
      </c>
      <c r="AQ48" s="44"/>
      <c r="AR48" s="44"/>
      <c r="AS48" s="44"/>
      <c r="AT48" s="44"/>
      <c r="AU48" s="44"/>
      <c r="AV48" s="44"/>
      <c r="AW48" s="44"/>
      <c r="AX48" s="44"/>
      <c r="AY48" s="44"/>
      <c r="AZ48" s="44"/>
    </row>
    <row r="49">
      <c r="A49" s="62" t="s">
        <v>396</v>
      </c>
      <c r="B49" s="63" t="s">
        <v>392</v>
      </c>
      <c r="C49" s="113" t="s">
        <v>397</v>
      </c>
      <c r="D49" s="47" t="s">
        <v>227</v>
      </c>
      <c r="E49" s="64" t="s">
        <v>39</v>
      </c>
      <c r="F49" s="31" t="s">
        <v>60</v>
      </c>
      <c r="G49" s="31"/>
      <c r="H49" s="31"/>
      <c r="I49" s="31" t="s">
        <v>60</v>
      </c>
      <c r="J49" s="31"/>
      <c r="K49" s="31"/>
      <c r="L49" s="32">
        <f>IFERROR(__xludf.DUMMYFUNCTION("VLOOKUP($A49,IMPORTRANGE(""1PQtfbQLqBUP-rjYRznmgNFBLOjvAnhGzpIx7BJWq8rk"",""'Worksheet'!$B$2:$H""),7,FALSE)"),1.0)</f>
        <v>1</v>
      </c>
      <c r="M49" s="31" t="s">
        <v>60</v>
      </c>
      <c r="N49" s="49">
        <v>1.561029331E7</v>
      </c>
      <c r="O49" s="49">
        <v>1.504463562E7</v>
      </c>
      <c r="P49" s="49">
        <v>0.0</v>
      </c>
      <c r="Q49" s="34">
        <f t="shared" si="7"/>
        <v>0.03623619869</v>
      </c>
      <c r="R49" s="31"/>
      <c r="S49" s="31" t="s">
        <v>60</v>
      </c>
      <c r="T49" s="50">
        <f t="shared" si="11"/>
        <v>14829778.64</v>
      </c>
      <c r="U49" s="51">
        <v>1.48297786445E7</v>
      </c>
      <c r="V49" s="51">
        <v>0.0</v>
      </c>
      <c r="W49" s="31"/>
      <c r="X49" s="52" t="s">
        <v>113</v>
      </c>
      <c r="Y49" s="54"/>
      <c r="Z49" s="54"/>
      <c r="AA49" s="54" t="s">
        <v>114</v>
      </c>
      <c r="AB49" s="56"/>
      <c r="AC49" s="38"/>
      <c r="AD49" s="39">
        <v>17263.87</v>
      </c>
      <c r="AE49" s="39">
        <v>5179.16</v>
      </c>
      <c r="AF49" s="39">
        <v>12084.71</v>
      </c>
      <c r="AG49" s="57" t="s">
        <v>398</v>
      </c>
      <c r="AH49" s="42" t="s">
        <v>362</v>
      </c>
      <c r="AI49" s="42" t="str">
        <f>IFERROR(__xludf.DUMMYFUNCTION("vLOOKUP(A49,IMPORTRANGE(""https://docs.google.com/spreadsheets/d/1Rawwwdh8wntXGy8isdYNHxsNQS4n_rC8JSdPfj6vEq4"",""'500 объектов перенос на 2026'!A3:AB502""),13,0)"),"#REF!")</f>
        <v>#REF!</v>
      </c>
      <c r="AJ49" s="42" t="str">
        <f>IFERROR(__xludf.DUMMYFUNCTION("vLOOKUP(A49,IMPORTRANGE(""https://docs.google.com/spreadsheets/d/1Rawwwdh8wntXGy8isdYNHxsNQS4n_rC8JSdPfj6vEq4"",""'500 объектов перенос на 2026'!A3:AB502""),14,0)"),"#REF!")</f>
        <v>#REF!</v>
      </c>
      <c r="AK49" s="43"/>
      <c r="AL49" s="70"/>
      <c r="AM49" s="70"/>
      <c r="AO49" s="44" t="str">
        <f>IFERROR(__xludf.DUMMYFUNCTION("""COMPUTED_VALUE"""),"ООО А-ГРУПП")</f>
        <v>ООО А-ГРУПП</v>
      </c>
      <c r="AP49" s="44">
        <f>IFERROR(__xludf.DUMMYFUNCTION("""COMPUTED_VALUE"""),4.681176256000001E7)</f>
        <v>46811762.56</v>
      </c>
      <c r="AQ49" s="44"/>
      <c r="AR49" s="44"/>
      <c r="AS49" s="44"/>
      <c r="AT49" s="44"/>
      <c r="AU49" s="44"/>
      <c r="AV49" s="44"/>
      <c r="AW49" s="44"/>
      <c r="AX49" s="44"/>
      <c r="AY49" s="44"/>
      <c r="AZ49" s="44"/>
    </row>
    <row r="50">
      <c r="A50" s="114" t="s">
        <v>399</v>
      </c>
      <c r="B50" s="63" t="s">
        <v>400</v>
      </c>
      <c r="C50" s="64" t="s">
        <v>401</v>
      </c>
      <c r="D50" s="47" t="s">
        <v>402</v>
      </c>
      <c r="E50" s="64" t="s">
        <v>85</v>
      </c>
      <c r="F50" s="31" t="s">
        <v>40</v>
      </c>
      <c r="G50" s="31" t="s">
        <v>41</v>
      </c>
      <c r="H50" s="31" t="s">
        <v>260</v>
      </c>
      <c r="I50" s="31" t="s">
        <v>40</v>
      </c>
      <c r="J50" s="31" t="s">
        <v>61</v>
      </c>
      <c r="K50" s="31"/>
      <c r="L50" s="32">
        <f>IFERROR(__xludf.DUMMYFUNCTION("VLOOKUP($A50,IMPORTRANGE(""1PQtfbQLqBUP-rjYRznmgNFBLOjvAnhGzpIx7BJWq8rk"",""'Worksheet'!$B$2:$H""),7,FALSE)"),0.73)</f>
        <v>0.73</v>
      </c>
      <c r="M50" s="31" t="s">
        <v>40</v>
      </c>
      <c r="N50" s="49">
        <v>1.88768474E8</v>
      </c>
      <c r="O50" s="49">
        <v>5.6630544E7</v>
      </c>
      <c r="P50" s="49">
        <f t="shared" ref="P50:P51" si="12">N50-O50</f>
        <v>132137930</v>
      </c>
      <c r="Q50" s="34">
        <f t="shared" si="7"/>
        <v>0.6999999905</v>
      </c>
      <c r="R50" s="31"/>
      <c r="S50" s="31" t="s">
        <v>40</v>
      </c>
      <c r="T50" s="50"/>
      <c r="U50" s="51"/>
      <c r="V50" s="51"/>
      <c r="W50" s="31"/>
      <c r="X50" s="52" t="s">
        <v>49</v>
      </c>
      <c r="Y50" s="89" t="s">
        <v>403</v>
      </c>
      <c r="Z50" s="89" t="s">
        <v>404</v>
      </c>
      <c r="AA50" s="74">
        <v>46254.0</v>
      </c>
      <c r="AB50" s="56"/>
      <c r="AC50" s="38"/>
      <c r="AD50" s="39">
        <v>188768.48</v>
      </c>
      <c r="AE50" s="39">
        <v>56630.544</v>
      </c>
      <c r="AF50" s="40">
        <v>132137.936</v>
      </c>
      <c r="AG50" s="57" t="s">
        <v>405</v>
      </c>
      <c r="AH50" s="42" t="s">
        <v>51</v>
      </c>
      <c r="AI50" s="42" t="str">
        <f>IFERROR(__xludf.DUMMYFUNCTION("vLOOKUP(A50,IMPORTRANGE(""https://docs.google.com/spreadsheets/d/1Rawwwdh8wntXGy8isdYNHxsNQS4n_rC8JSdPfj6vEq4"",""'500 объектов перенос на 2026'!A3:AB502""),13,0)"),"#REF!")</f>
        <v>#REF!</v>
      </c>
      <c r="AJ50" s="42" t="str">
        <f>IFERROR(__xludf.DUMMYFUNCTION("vLOOKUP(A50,IMPORTRANGE(""https://docs.google.com/spreadsheets/d/1Rawwwdh8wntXGy8isdYNHxsNQS4n_rC8JSdPfj6vEq4"",""'500 объектов перенос на 2026'!A3:AB502""),14,0)"),"#REF!")</f>
        <v>#REF!</v>
      </c>
      <c r="AK50" s="43"/>
      <c r="AL50" s="110"/>
      <c r="AM50" s="110"/>
      <c r="AO50" s="44" t="str">
        <f>IFERROR(__xludf.DUMMYFUNCTION("""COMPUTED_VALUE"""),"ООО ПКФ ЭНЕРГОСТРОЙ")</f>
        <v>ООО ПКФ ЭНЕРГОСТРОЙ</v>
      </c>
      <c r="AP50" s="44">
        <f>IFERROR(__xludf.DUMMYFUNCTION("""COMPUTED_VALUE"""),4.374594E7)</f>
        <v>43745940</v>
      </c>
      <c r="AQ50" s="44"/>
      <c r="AR50" s="44"/>
      <c r="AS50" s="44"/>
      <c r="AT50" s="44"/>
      <c r="AU50" s="44"/>
      <c r="AV50" s="44"/>
      <c r="AW50" s="44"/>
      <c r="AX50" s="44"/>
      <c r="AY50" s="44"/>
      <c r="AZ50" s="44"/>
    </row>
    <row r="51">
      <c r="A51" s="62" t="s">
        <v>406</v>
      </c>
      <c r="B51" s="111" t="s">
        <v>392</v>
      </c>
      <c r="C51" s="104" t="s">
        <v>407</v>
      </c>
      <c r="D51" s="47" t="s">
        <v>408</v>
      </c>
      <c r="E51" s="64" t="s">
        <v>39</v>
      </c>
      <c r="F51" s="31" t="s">
        <v>60</v>
      </c>
      <c r="G51" s="31"/>
      <c r="H51" s="31"/>
      <c r="I51" s="31" t="s">
        <v>40</v>
      </c>
      <c r="J51" s="31" t="s">
        <v>102</v>
      </c>
      <c r="K51" s="31" t="s">
        <v>280</v>
      </c>
      <c r="L51" s="32" t="str">
        <f>IFERROR(__xludf.DUMMYFUNCTION("VLOOKUP($A51,IMPORTRANGE(""1PQtfbQLqBUP-rjYRznmgNFBLOjvAnhGzpIx7BJWq8rk"",""'Worksheet'!$B$2:$H""),7,FALSE)"),"#N/A")</f>
        <v>#N/A</v>
      </c>
      <c r="M51" s="31" t="s">
        <v>284</v>
      </c>
      <c r="N51" s="49">
        <v>1.084348136E7</v>
      </c>
      <c r="O51" s="49">
        <v>0.0</v>
      </c>
      <c r="P51" s="49">
        <f t="shared" si="12"/>
        <v>10843481.36</v>
      </c>
      <c r="Q51" s="34">
        <f t="shared" si="7"/>
        <v>1</v>
      </c>
      <c r="R51" s="31"/>
      <c r="S51" s="31" t="s">
        <v>40</v>
      </c>
      <c r="T51" s="50"/>
      <c r="U51" s="51"/>
      <c r="V51" s="51"/>
      <c r="W51" s="31"/>
      <c r="X51" s="52" t="s">
        <v>409</v>
      </c>
      <c r="Y51" s="54" t="s">
        <v>284</v>
      </c>
      <c r="Z51" s="74"/>
      <c r="AA51" s="74">
        <v>46305.0</v>
      </c>
      <c r="AB51" s="56"/>
      <c r="AC51" s="38" t="s">
        <v>410</v>
      </c>
      <c r="AD51" s="39" t="s">
        <v>411</v>
      </c>
      <c r="AE51" s="39">
        <v>16839.66</v>
      </c>
      <c r="AF51" s="40">
        <v>25946.89</v>
      </c>
      <c r="AG51" s="57" t="s">
        <v>412</v>
      </c>
      <c r="AH51" s="42" t="s">
        <v>413</v>
      </c>
      <c r="AI51" s="42" t="str">
        <f>IFERROR(__xludf.DUMMYFUNCTION("vLOOKUP(A51,IMPORTRANGE(""https://docs.google.com/spreadsheets/d/1Rawwwdh8wntXGy8isdYNHxsNQS4n_rC8JSdPfj6vEq4"",""'500 объектов перенос на 2026'!A3:AB502""),13,0)"),"#REF!")</f>
        <v>#REF!</v>
      </c>
      <c r="AJ51" s="42" t="str">
        <f>IFERROR(__xludf.DUMMYFUNCTION("vLOOKUP(A51,IMPORTRANGE(""https://docs.google.com/spreadsheets/d/1Rawwwdh8wntXGy8isdYNHxsNQS4n_rC8JSdPfj6vEq4"",""'500 объектов перенос на 2026'!A3:AB502""),14,0)"),"#REF!")</f>
        <v>#REF!</v>
      </c>
      <c r="AK51" s="43"/>
      <c r="AL51" s="70"/>
      <c r="AM51" s="70"/>
      <c r="AO51" s="44" t="str">
        <f>IFERROR(__xludf.DUMMYFUNCTION("""COMPUTED_VALUE"""),"ООО АЛСТРОЙ")</f>
        <v>ООО АЛСТРОЙ</v>
      </c>
      <c r="AP51" s="44">
        <f>IFERROR(__xludf.DUMMYFUNCTION("""COMPUTED_VALUE"""),4.128676303999999E7)</f>
        <v>41286763.04</v>
      </c>
      <c r="AQ51" s="44"/>
      <c r="AR51" s="44"/>
      <c r="AS51" s="44"/>
      <c r="AT51" s="44"/>
      <c r="AU51" s="44"/>
      <c r="AV51" s="44"/>
      <c r="AW51" s="44"/>
      <c r="AX51" s="44"/>
      <c r="AY51" s="44"/>
      <c r="AZ51" s="44"/>
    </row>
    <row r="52">
      <c r="A52" s="62" t="s">
        <v>414</v>
      </c>
      <c r="B52" s="63" t="s">
        <v>392</v>
      </c>
      <c r="C52" s="64" t="s">
        <v>415</v>
      </c>
      <c r="D52" s="47" t="s">
        <v>416</v>
      </c>
      <c r="E52" s="64" t="s">
        <v>39</v>
      </c>
      <c r="F52" s="31" t="s">
        <v>60</v>
      </c>
      <c r="G52" s="31"/>
      <c r="H52" s="31"/>
      <c r="I52" s="31" t="s">
        <v>60</v>
      </c>
      <c r="J52" s="31"/>
      <c r="K52" s="31"/>
      <c r="L52" s="32">
        <f>IFERROR(__xludf.DUMMYFUNCTION("VLOOKUP($A52,IMPORTRANGE(""1PQtfbQLqBUP-rjYRznmgNFBLOjvAnhGzpIx7BJWq8rk"",""'Worksheet'!$B$2:$H""),7,FALSE)"),1.0)</f>
        <v>1</v>
      </c>
      <c r="M52" s="31" t="s">
        <v>60</v>
      </c>
      <c r="N52" s="49">
        <v>1.2809145E8</v>
      </c>
      <c r="O52" s="49">
        <v>1.2808004984E8</v>
      </c>
      <c r="P52" s="49">
        <v>0.0</v>
      </c>
      <c r="Q52" s="34">
        <f t="shared" si="7"/>
        <v>0.00008900016355</v>
      </c>
      <c r="R52" s="31"/>
      <c r="S52" s="31" t="s">
        <v>60</v>
      </c>
      <c r="T52" s="115">
        <f>N52-N52*0.05</f>
        <v>121686877.5</v>
      </c>
      <c r="U52" s="88">
        <v>1.216868775E8</v>
      </c>
      <c r="V52" s="115">
        <f>T52-U52</f>
        <v>0</v>
      </c>
      <c r="W52" s="31"/>
      <c r="X52" s="52" t="s">
        <v>113</v>
      </c>
      <c r="Y52" s="54"/>
      <c r="Z52" s="54"/>
      <c r="AA52" s="54" t="s">
        <v>114</v>
      </c>
      <c r="AB52" s="56"/>
      <c r="AC52" s="38"/>
      <c r="AD52" s="39">
        <v>124900.0</v>
      </c>
      <c r="AE52" s="39">
        <v>12490.0</v>
      </c>
      <c r="AF52" s="39">
        <v>112410.0</v>
      </c>
      <c r="AG52" s="116"/>
      <c r="AH52" s="116"/>
      <c r="AI52" s="42" t="str">
        <f>IFERROR(__xludf.DUMMYFUNCTION("vLOOKUP(A52,IMPORTRANGE(""https://docs.google.com/spreadsheets/d/1Rawwwdh8wntXGy8isdYNHxsNQS4n_rC8JSdPfj6vEq4"",""'500 объектов перенос на 2026'!A3:AB502""),13,0)"),"#REF!")</f>
        <v>#REF!</v>
      </c>
      <c r="AJ52" s="42" t="str">
        <f>IFERROR(__xludf.DUMMYFUNCTION("vLOOKUP(A52,IMPORTRANGE(""https://docs.google.com/spreadsheets/d/1Rawwwdh8wntXGy8isdYNHxsNQS4n_rC8JSdPfj6vEq4"",""'500 объектов перенос на 2026'!A3:AB502""),14,0)"),"#REF!")</f>
        <v>#REF!</v>
      </c>
      <c r="AK52" s="43"/>
      <c r="AL52" s="70"/>
      <c r="AM52" s="70"/>
      <c r="AO52" s="44" t="str">
        <f>IFERROR(__xludf.DUMMYFUNCTION("""COMPUTED_VALUE"""),"ООО КАСКАД-ЭНЕРГО")</f>
        <v>ООО КАСКАД-ЭНЕРГО</v>
      </c>
      <c r="AP52" s="44">
        <f>IFERROR(__xludf.DUMMYFUNCTION("""COMPUTED_VALUE"""),3.8185105E7)</f>
        <v>38185105</v>
      </c>
      <c r="AQ52" s="44"/>
      <c r="AR52" s="44"/>
      <c r="AS52" s="44"/>
      <c r="AT52" s="44"/>
      <c r="AU52" s="44"/>
      <c r="AV52" s="44"/>
      <c r="AW52" s="44"/>
      <c r="AX52" s="44"/>
      <c r="AY52" s="44"/>
      <c r="AZ52" s="44"/>
    </row>
    <row r="53">
      <c r="A53" s="62" t="s">
        <v>417</v>
      </c>
      <c r="B53" s="63" t="s">
        <v>392</v>
      </c>
      <c r="C53" s="104" t="s">
        <v>418</v>
      </c>
      <c r="D53" s="47" t="s">
        <v>227</v>
      </c>
      <c r="E53" s="64" t="s">
        <v>39</v>
      </c>
      <c r="F53" s="31" t="s">
        <v>60</v>
      </c>
      <c r="G53" s="31"/>
      <c r="H53" s="31"/>
      <c r="I53" s="31" t="s">
        <v>60</v>
      </c>
      <c r="J53" s="31"/>
      <c r="K53" s="31"/>
      <c r="L53" s="32">
        <f>IFERROR(__xludf.DUMMYFUNCTION("VLOOKUP($A53,IMPORTRANGE(""1PQtfbQLqBUP-rjYRznmgNFBLOjvAnhGzpIx7BJWq8rk"",""'Worksheet'!$B$2:$H""),7,FALSE)"),1.0)</f>
        <v>1</v>
      </c>
      <c r="M53" s="31" t="s">
        <v>60</v>
      </c>
      <c r="N53" s="49">
        <v>2.503000698E7</v>
      </c>
      <c r="O53" s="49">
        <v>1.853416842E7</v>
      </c>
      <c r="P53" s="49">
        <v>0.0</v>
      </c>
      <c r="Q53" s="34">
        <f t="shared" si="7"/>
        <v>0.2595220435</v>
      </c>
      <c r="R53" s="31"/>
      <c r="S53" s="31" t="s">
        <v>60</v>
      </c>
      <c r="T53" s="88" t="s">
        <v>419</v>
      </c>
      <c r="U53" s="88" t="s">
        <v>419</v>
      </c>
      <c r="V53" s="88">
        <v>0.0</v>
      </c>
      <c r="W53" s="31"/>
      <c r="X53" s="52" t="s">
        <v>113</v>
      </c>
      <c r="Y53" s="54"/>
      <c r="Z53" s="54"/>
      <c r="AA53" s="54" t="s">
        <v>114</v>
      </c>
      <c r="AB53" s="56"/>
      <c r="AC53" s="38"/>
      <c r="AD53" s="39">
        <v>25030.0</v>
      </c>
      <c r="AE53" s="39">
        <v>7509.0</v>
      </c>
      <c r="AF53" s="39">
        <v>17521.0</v>
      </c>
      <c r="AG53" s="57" t="s">
        <v>420</v>
      </c>
      <c r="AH53" s="42" t="s">
        <v>362</v>
      </c>
      <c r="AI53" s="42" t="str">
        <f>IFERROR(__xludf.DUMMYFUNCTION("vLOOKUP(A53,IMPORTRANGE(""https://docs.google.com/spreadsheets/d/1Rawwwdh8wntXGy8isdYNHxsNQS4n_rC8JSdPfj6vEq4"",""'500 объектов перенос на 2026'!A3:AB502""),13,0)"),"#REF!")</f>
        <v>#REF!</v>
      </c>
      <c r="AJ53" s="42" t="str">
        <f>IFERROR(__xludf.DUMMYFUNCTION("vLOOKUP(A53,IMPORTRANGE(""https://docs.google.com/spreadsheets/d/1Rawwwdh8wntXGy8isdYNHxsNQS4n_rC8JSdPfj6vEq4"",""'500 объектов перенос на 2026'!A3:AB502""),14,0)"),"#REF!")</f>
        <v>#REF!</v>
      </c>
      <c r="AK53" s="43"/>
      <c r="AL53" s="70"/>
      <c r="AM53" s="70"/>
      <c r="AO53" s="44" t="str">
        <f>IFERROR(__xludf.DUMMYFUNCTION("""COMPUTED_VALUE"""),"ООО ЭРГАНА")</f>
        <v>ООО ЭРГАНА</v>
      </c>
      <c r="AP53" s="44">
        <f>IFERROR(__xludf.DUMMYFUNCTION("""COMPUTED_VALUE"""),3.786990928E7)</f>
        <v>37869909.28</v>
      </c>
      <c r="AQ53" s="44"/>
      <c r="AR53" s="44"/>
      <c r="AS53" s="44"/>
      <c r="AT53" s="44"/>
      <c r="AU53" s="44"/>
      <c r="AV53" s="44"/>
      <c r="AW53" s="44"/>
      <c r="AX53" s="44"/>
      <c r="AY53" s="44"/>
      <c r="AZ53" s="44"/>
    </row>
    <row r="54">
      <c r="A54" s="81" t="s">
        <v>421</v>
      </c>
      <c r="B54" s="63" t="s">
        <v>392</v>
      </c>
      <c r="C54" s="104" t="s">
        <v>422</v>
      </c>
      <c r="D54" s="47" t="s">
        <v>423</v>
      </c>
      <c r="E54" s="64" t="s">
        <v>39</v>
      </c>
      <c r="F54" s="31" t="s">
        <v>60</v>
      </c>
      <c r="G54" s="31"/>
      <c r="H54" s="31"/>
      <c r="I54" s="31" t="s">
        <v>60</v>
      </c>
      <c r="J54" s="31" t="s">
        <v>43</v>
      </c>
      <c r="K54" s="31"/>
      <c r="L54" s="32" t="str">
        <f>IFERROR(__xludf.DUMMYFUNCTION("VLOOKUP($A54,IMPORTRANGE(""1PQtfbQLqBUP-rjYRznmgNFBLOjvAnhGzpIx7BJWq8rk"",""'Worksheet'!$B$2:$H""),7,FALSE)"),"#N/A")</f>
        <v>#N/A</v>
      </c>
      <c r="M54" s="31" t="s">
        <v>60</v>
      </c>
      <c r="N54" s="49">
        <v>4.131932473E7</v>
      </c>
      <c r="O54" s="49">
        <v>4.131932473E7</v>
      </c>
      <c r="P54" s="49">
        <f t="shared" ref="P54:P55" si="13">N54-O54</f>
        <v>0</v>
      </c>
      <c r="Q54" s="34">
        <f t="shared" si="7"/>
        <v>0</v>
      </c>
      <c r="R54" s="31"/>
      <c r="S54" s="31" t="s">
        <v>60</v>
      </c>
      <c r="T54" s="88">
        <v>4.131932473E7</v>
      </c>
      <c r="U54" s="88">
        <v>0.0</v>
      </c>
      <c r="V54" s="88">
        <v>4.131932473E7</v>
      </c>
      <c r="W54" s="31"/>
      <c r="X54" s="52" t="s">
        <v>113</v>
      </c>
      <c r="Y54" s="52" t="s">
        <v>113</v>
      </c>
      <c r="Z54" s="74"/>
      <c r="AA54" s="100">
        <v>46305.0</v>
      </c>
      <c r="AB54" s="56"/>
      <c r="AC54" s="38" t="s">
        <v>410</v>
      </c>
      <c r="AD54" s="39">
        <v>59259.13</v>
      </c>
      <c r="AE54" s="39">
        <v>5319.0</v>
      </c>
      <c r="AF54" s="40">
        <v>53940.13</v>
      </c>
      <c r="AG54" s="99" t="s">
        <v>424</v>
      </c>
      <c r="AH54" s="42" t="s">
        <v>284</v>
      </c>
      <c r="AI54" s="42" t="str">
        <f>IFERROR(__xludf.DUMMYFUNCTION("vLOOKUP(A54,IMPORTRANGE(""https://docs.google.com/spreadsheets/d/1Rawwwdh8wntXGy8isdYNHxsNQS4n_rC8JSdPfj6vEq4"",""'500 объектов перенос на 2026'!A3:AB502""),13,0)"),"#REF!")</f>
        <v>#REF!</v>
      </c>
      <c r="AJ54" s="42" t="str">
        <f>IFERROR(__xludf.DUMMYFUNCTION("vLOOKUP(A54,IMPORTRANGE(""https://docs.google.com/spreadsheets/d/1Rawwwdh8wntXGy8isdYNHxsNQS4n_rC8JSdPfj6vEq4"",""'500 объектов перенос на 2026'!A3:AB502""),14,0)"),"#REF!")</f>
        <v>#REF!</v>
      </c>
      <c r="AK54" s="43"/>
      <c r="AL54" s="70"/>
      <c r="AM54" s="70"/>
      <c r="AO54" s="44" t="str">
        <f>IFERROR(__xludf.DUMMYFUNCTION("""COMPUTED_VALUE"""),"ООО ЭТС")</f>
        <v>ООО ЭТС</v>
      </c>
      <c r="AP54" s="44">
        <f>IFERROR(__xludf.DUMMYFUNCTION("""COMPUTED_VALUE"""),3.7018655E7)</f>
        <v>37018655</v>
      </c>
      <c r="AQ54" s="44"/>
      <c r="AR54" s="44"/>
      <c r="AS54" s="44"/>
      <c r="AT54" s="44"/>
      <c r="AU54" s="44"/>
      <c r="AV54" s="44"/>
      <c r="AW54" s="44"/>
      <c r="AX54" s="44"/>
      <c r="AY54" s="44"/>
      <c r="AZ54" s="44"/>
    </row>
    <row r="55">
      <c r="A55" s="62" t="s">
        <v>425</v>
      </c>
      <c r="B55" s="63" t="s">
        <v>142</v>
      </c>
      <c r="C55" s="104" t="s">
        <v>426</v>
      </c>
      <c r="D55" s="47" t="s">
        <v>427</v>
      </c>
      <c r="E55" s="64" t="s">
        <v>59</v>
      </c>
      <c r="F55" s="31" t="s">
        <v>60</v>
      </c>
      <c r="G55" s="31"/>
      <c r="H55" s="31"/>
      <c r="I55" s="31" t="s">
        <v>40</v>
      </c>
      <c r="J55" s="31" t="s">
        <v>102</v>
      </c>
      <c r="K55" s="31" t="s">
        <v>62</v>
      </c>
      <c r="L55" s="32">
        <f>IFERROR(__xludf.DUMMYFUNCTION("VLOOKUP($A55,IMPORTRANGE(""1PQtfbQLqBUP-rjYRznmgNFBLOjvAnhGzpIx7BJWq8rk"",""'Worksheet'!$B$2:$H""),7,FALSE)"),0.81)</f>
        <v>0.81</v>
      </c>
      <c r="M55" s="31" t="s">
        <v>45</v>
      </c>
      <c r="N55" s="49">
        <v>2.974361485E8</v>
      </c>
      <c r="O55" s="49">
        <v>1.965769781E8</v>
      </c>
      <c r="P55" s="49">
        <f t="shared" si="13"/>
        <v>100859170.4</v>
      </c>
      <c r="Q55" s="34">
        <f t="shared" si="7"/>
        <v>0.3390952005</v>
      </c>
      <c r="R55" s="31"/>
      <c r="S55" s="31" t="s">
        <v>45</v>
      </c>
      <c r="T55" s="72" t="s">
        <v>428</v>
      </c>
      <c r="U55" s="67" t="s">
        <v>429</v>
      </c>
      <c r="V55" s="67" t="s">
        <v>430</v>
      </c>
      <c r="W55" s="31"/>
      <c r="X55" s="52" t="s">
        <v>46</v>
      </c>
      <c r="Z55" s="54" t="s">
        <v>431</v>
      </c>
      <c r="AA55" s="74">
        <v>46266.0</v>
      </c>
      <c r="AB55" s="56"/>
      <c r="AC55" s="38"/>
      <c r="AD55" s="39">
        <v>297436.15</v>
      </c>
      <c r="AE55" s="39">
        <v>184209.3385</v>
      </c>
      <c r="AF55" s="40">
        <v>113226.8115</v>
      </c>
      <c r="AG55" s="99" t="s">
        <v>432</v>
      </c>
      <c r="AH55" s="42" t="s">
        <v>46</v>
      </c>
      <c r="AI55" s="42" t="str">
        <f>IFERROR(__xludf.DUMMYFUNCTION("vLOOKUP(A55,IMPORTRANGE(""https://docs.google.com/spreadsheets/d/1Rawwwdh8wntXGy8isdYNHxsNQS4n_rC8JSdPfj6vEq4"",""'500 объектов перенос на 2026'!A3:AB502""),13,0)"),"#REF!")</f>
        <v>#REF!</v>
      </c>
      <c r="AJ55" s="42" t="str">
        <f>IFERROR(__xludf.DUMMYFUNCTION("vLOOKUP(A55,IMPORTRANGE(""https://docs.google.com/spreadsheets/d/1Rawwwdh8wntXGy8isdYNHxsNQS4n_rC8JSdPfj6vEq4"",""'500 объектов перенос на 2026'!A3:AB502""),14,0)"),"#REF!")</f>
        <v>#REF!</v>
      </c>
      <c r="AK55" s="43"/>
      <c r="AL55" s="110"/>
      <c r="AM55" s="110"/>
      <c r="AO55" s="44" t="str">
        <f>IFERROR(__xludf.DUMMYFUNCTION("""COMPUTED_VALUE"""),"ООО СК МАГИРУС")</f>
        <v>ООО СК МАГИРУС</v>
      </c>
      <c r="AP55" s="44">
        <f>IFERROR(__xludf.DUMMYFUNCTION("""COMPUTED_VALUE"""),3.389718975999999E7)</f>
        <v>33897189.76</v>
      </c>
      <c r="AQ55" s="44"/>
      <c r="AR55" s="44"/>
      <c r="AS55" s="44"/>
      <c r="AT55" s="44"/>
      <c r="AU55" s="44"/>
      <c r="AV55" s="44"/>
      <c r="AW55" s="44"/>
      <c r="AX55" s="44"/>
      <c r="AY55" s="44"/>
      <c r="AZ55" s="44"/>
    </row>
    <row r="56">
      <c r="A56" s="78" t="s">
        <v>433</v>
      </c>
      <c r="B56" s="63" t="s">
        <v>268</v>
      </c>
      <c r="C56" s="64" t="s">
        <v>434</v>
      </c>
      <c r="D56" s="47" t="s">
        <v>435</v>
      </c>
      <c r="E56" s="90" t="s">
        <v>59</v>
      </c>
      <c r="F56" s="31" t="s">
        <v>60</v>
      </c>
      <c r="G56" s="31"/>
      <c r="H56" s="31"/>
      <c r="I56" s="31" t="s">
        <v>60</v>
      </c>
      <c r="J56" s="31"/>
      <c r="K56" s="31"/>
      <c r="L56" s="32" t="str">
        <f>IFERROR(__xludf.DUMMYFUNCTION("VLOOKUP($A56,IMPORTRANGE(""1PQtfbQLqBUP-rjYRznmgNFBLOjvAnhGzpIx7BJWq8rk"",""'Worksheet'!$B$2:$H""),7,FALSE)"),"#N/A")</f>
        <v>#N/A</v>
      </c>
      <c r="M56" s="31" t="s">
        <v>60</v>
      </c>
      <c r="N56" s="49">
        <v>2.2491E7</v>
      </c>
      <c r="O56" s="49">
        <v>2.246279006E7</v>
      </c>
      <c r="P56" s="49">
        <v>0.0</v>
      </c>
      <c r="Q56" s="34">
        <f t="shared" si="7"/>
        <v>0.001254276822</v>
      </c>
      <c r="R56" s="31"/>
      <c r="S56" s="31" t="s">
        <v>60</v>
      </c>
      <c r="T56" s="50" t="s">
        <v>436</v>
      </c>
      <c r="U56" s="117" t="s">
        <v>436</v>
      </c>
      <c r="V56" s="51">
        <v>0.0</v>
      </c>
      <c r="W56" s="31"/>
      <c r="X56" s="52" t="s">
        <v>409</v>
      </c>
      <c r="Z56" s="54" t="s">
        <v>437</v>
      </c>
      <c r="AA56" s="54" t="s">
        <v>114</v>
      </c>
      <c r="AB56" s="38" t="s">
        <v>115</v>
      </c>
      <c r="AC56" s="38" t="s">
        <v>438</v>
      </c>
      <c r="AD56" s="39">
        <v>22462.79</v>
      </c>
      <c r="AE56" s="39">
        <v>22462.78958</v>
      </c>
      <c r="AF56" s="40">
        <v>4.2E-4</v>
      </c>
      <c r="AG56" s="57" t="s">
        <v>439</v>
      </c>
      <c r="AH56" s="42"/>
      <c r="AI56" s="42" t="str">
        <f>IFERROR(__xludf.DUMMYFUNCTION("vLOOKUP(A56,IMPORTRANGE(""https://docs.google.com/spreadsheets/d/1Rawwwdh8wntXGy8isdYNHxsNQS4n_rC8JSdPfj6vEq4"",""'500 объектов перенос на 2026'!A3:AB502""),13,0)"),"#REF!")</f>
        <v>#REF!</v>
      </c>
      <c r="AJ56" s="42" t="str">
        <f>IFERROR(__xludf.DUMMYFUNCTION("vLOOKUP(A56,IMPORTRANGE(""https://docs.google.com/spreadsheets/d/1Rawwwdh8wntXGy8isdYNHxsNQS4n_rC8JSdPfj6vEq4"",""'500 объектов перенос на 2026'!A3:AB502""),14,0)"),"#REF!")</f>
        <v>#REF!</v>
      </c>
      <c r="AK56" s="43"/>
      <c r="AL56" s="70"/>
      <c r="AM56" s="70"/>
      <c r="AO56" s="44" t="str">
        <f>IFERROR(__xludf.DUMMYFUNCTION("""COMPUTED_VALUE"""),"ООО ИЭС")</f>
        <v>ООО ИЭС</v>
      </c>
      <c r="AP56" s="44">
        <f>IFERROR(__xludf.DUMMYFUNCTION("""COMPUTED_VALUE"""),3.381479423E7)</f>
        <v>33814794.23</v>
      </c>
      <c r="AQ56" s="44"/>
      <c r="AR56" s="44"/>
      <c r="AS56" s="44"/>
      <c r="AT56" s="44"/>
      <c r="AU56" s="44"/>
      <c r="AV56" s="44"/>
      <c r="AW56" s="44"/>
      <c r="AX56" s="44"/>
      <c r="AY56" s="44"/>
      <c r="AZ56" s="44"/>
    </row>
    <row r="57">
      <c r="A57" s="78" t="s">
        <v>440</v>
      </c>
      <c r="B57" s="63" t="s">
        <v>268</v>
      </c>
      <c r="C57" s="64" t="s">
        <v>441</v>
      </c>
      <c r="D57" s="47" t="s">
        <v>442</v>
      </c>
      <c r="E57" s="64" t="s">
        <v>85</v>
      </c>
      <c r="F57" s="31" t="s">
        <v>60</v>
      </c>
      <c r="G57" s="31"/>
      <c r="H57" s="31"/>
      <c r="I57" s="31" t="s">
        <v>60</v>
      </c>
      <c r="J57" s="31"/>
      <c r="K57" s="31"/>
      <c r="L57" s="32" t="str">
        <f>IFERROR(__xludf.DUMMYFUNCTION("VLOOKUP($A57,IMPORTRANGE(""1PQtfbQLqBUP-rjYRznmgNFBLOjvAnhGzpIx7BJWq8rk"",""'Worksheet'!$B$2:$H""),7,FALSE)"),"#N/A")</f>
        <v>#N/A</v>
      </c>
      <c r="M57" s="31" t="s">
        <v>60</v>
      </c>
      <c r="N57" s="49">
        <v>2.411392E7</v>
      </c>
      <c r="O57" s="49">
        <v>1.942931061E7</v>
      </c>
      <c r="P57" s="49">
        <v>0.0</v>
      </c>
      <c r="Q57" s="34">
        <f t="shared" si="7"/>
        <v>0.1942699233</v>
      </c>
      <c r="R57" s="31"/>
      <c r="S57" s="31" t="s">
        <v>60</v>
      </c>
      <c r="T57" s="50" t="s">
        <v>443</v>
      </c>
      <c r="U57" s="51" t="s">
        <v>443</v>
      </c>
      <c r="V57" s="51">
        <v>0.0</v>
      </c>
      <c r="W57" s="31"/>
      <c r="X57" s="52" t="s">
        <v>409</v>
      </c>
      <c r="Z57" s="54" t="s">
        <v>437</v>
      </c>
      <c r="AA57" s="54" t="s">
        <v>114</v>
      </c>
      <c r="AB57" s="38" t="s">
        <v>115</v>
      </c>
      <c r="AC57" s="38" t="s">
        <v>438</v>
      </c>
      <c r="AD57" s="39">
        <v>22891.7</v>
      </c>
      <c r="AE57" s="39">
        <v>20609.05941</v>
      </c>
      <c r="AF57" s="40">
        <v>2282.64059</v>
      </c>
      <c r="AG57" s="57" t="s">
        <v>444</v>
      </c>
      <c r="AH57" s="42"/>
      <c r="AI57" s="42" t="str">
        <f>IFERROR(__xludf.DUMMYFUNCTION("vLOOKUP(A57,IMPORTRANGE(""https://docs.google.com/spreadsheets/d/1Rawwwdh8wntXGy8isdYNHxsNQS4n_rC8JSdPfj6vEq4"",""'500 объектов перенос на 2026'!A3:AB502""),13,0)"),"#REF!")</f>
        <v>#REF!</v>
      </c>
      <c r="AJ57" s="42" t="str">
        <f>IFERROR(__xludf.DUMMYFUNCTION("vLOOKUP(A57,IMPORTRANGE(""https://docs.google.com/spreadsheets/d/1Rawwwdh8wntXGy8isdYNHxsNQS4n_rC8JSdPfj6vEq4"",""'500 объектов перенос на 2026'!A3:AB502""),14,0)"),"#REF!")</f>
        <v>#REF!</v>
      </c>
      <c r="AK57" s="43"/>
      <c r="AL57" s="70"/>
      <c r="AM57" s="70"/>
      <c r="AO57" s="44" t="str">
        <f>IFERROR(__xludf.DUMMYFUNCTION("""COMPUTED_VALUE"""),"ООО ДАКОРП")</f>
        <v>ООО ДАКОРП</v>
      </c>
      <c r="AP57" s="44">
        <f>IFERROR(__xludf.DUMMYFUNCTION("""COMPUTED_VALUE"""),3.2311751810000002E7)</f>
        <v>32311751.81</v>
      </c>
      <c r="AQ57" s="44"/>
      <c r="AR57" s="44"/>
      <c r="AS57" s="44"/>
      <c r="AT57" s="44"/>
      <c r="AU57" s="44"/>
      <c r="AV57" s="44"/>
      <c r="AW57" s="44"/>
      <c r="AX57" s="44"/>
      <c r="AY57" s="44"/>
      <c r="AZ57" s="44"/>
    </row>
    <row r="58">
      <c r="A58" s="78" t="s">
        <v>445</v>
      </c>
      <c r="B58" s="63" t="s">
        <v>268</v>
      </c>
      <c r="C58" s="64" t="s">
        <v>446</v>
      </c>
      <c r="D58" s="47" t="s">
        <v>442</v>
      </c>
      <c r="E58" s="64" t="s">
        <v>85</v>
      </c>
      <c r="F58" s="31" t="s">
        <v>60</v>
      </c>
      <c r="G58" s="31"/>
      <c r="H58" s="31"/>
      <c r="I58" s="31" t="s">
        <v>60</v>
      </c>
      <c r="J58" s="31"/>
      <c r="K58" s="31"/>
      <c r="L58" s="32" t="str">
        <f>IFERROR(__xludf.DUMMYFUNCTION("VLOOKUP($A58,IMPORTRANGE(""1PQtfbQLqBUP-rjYRznmgNFBLOjvAnhGzpIx7BJWq8rk"",""'Worksheet'!$B$2:$H""),7,FALSE)"),"#N/A")</f>
        <v>#N/A</v>
      </c>
      <c r="M58" s="31" t="s">
        <v>60</v>
      </c>
      <c r="N58" s="49">
        <v>1.752363E7</v>
      </c>
      <c r="O58" s="49">
        <v>1.512096682E7</v>
      </c>
      <c r="P58" s="49">
        <v>0.0</v>
      </c>
      <c r="Q58" s="34">
        <f t="shared" si="7"/>
        <v>0.1371099013</v>
      </c>
      <c r="R58" s="31"/>
      <c r="S58" s="31" t="s">
        <v>60</v>
      </c>
      <c r="T58" s="50" t="s">
        <v>447</v>
      </c>
      <c r="U58" s="51" t="s">
        <v>447</v>
      </c>
      <c r="V58" s="51">
        <v>0.0</v>
      </c>
      <c r="W58" s="31"/>
      <c r="X58" s="52" t="s">
        <v>409</v>
      </c>
      <c r="Z58" s="54" t="s">
        <v>437</v>
      </c>
      <c r="AA58" s="54" t="s">
        <v>114</v>
      </c>
      <c r="AB58" s="38" t="s">
        <v>115</v>
      </c>
      <c r="AC58" s="38" t="s">
        <v>438</v>
      </c>
      <c r="AD58" s="39">
        <v>17523.63</v>
      </c>
      <c r="AE58" s="39">
        <v>15120.96682</v>
      </c>
      <c r="AF58" s="40">
        <v>2402.66318</v>
      </c>
      <c r="AG58" s="57" t="s">
        <v>448</v>
      </c>
      <c r="AH58" s="42"/>
      <c r="AI58" s="42" t="str">
        <f>IFERROR(__xludf.DUMMYFUNCTION("vLOOKUP(A58,IMPORTRANGE(""https://docs.google.com/spreadsheets/d/1Rawwwdh8wntXGy8isdYNHxsNQS4n_rC8JSdPfj6vEq4"",""'500 объектов перенос на 2026'!A3:AB502""),13,0)"),"#REF!")</f>
        <v>#REF!</v>
      </c>
      <c r="AJ58" s="42" t="str">
        <f>IFERROR(__xludf.DUMMYFUNCTION("vLOOKUP(A58,IMPORTRANGE(""https://docs.google.com/spreadsheets/d/1Rawwwdh8wntXGy8isdYNHxsNQS4n_rC8JSdPfj6vEq4"",""'500 объектов перенос на 2026'!A3:AB502""),14,0)"),"#REF!")</f>
        <v>#REF!</v>
      </c>
      <c r="AK58" s="43"/>
      <c r="AL58" s="70"/>
      <c r="AM58" s="70"/>
      <c r="AO58" s="44" t="str">
        <f>IFERROR(__xludf.DUMMYFUNCTION("""COMPUTED_VALUE"""),"ООО СТРОЙСЕРВИС")</f>
        <v>ООО СТРОЙСЕРВИС</v>
      </c>
      <c r="AP58" s="44">
        <f>IFERROR(__xludf.DUMMYFUNCTION("""COMPUTED_VALUE"""),3.167871487E7)</f>
        <v>31678714.87</v>
      </c>
      <c r="AQ58" s="44"/>
      <c r="AR58" s="44"/>
      <c r="AS58" s="44"/>
      <c r="AT58" s="44"/>
      <c r="AU58" s="44"/>
      <c r="AV58" s="44"/>
      <c r="AW58" s="44"/>
      <c r="AX58" s="44"/>
      <c r="AY58" s="44"/>
      <c r="AZ58" s="44"/>
    </row>
    <row r="59">
      <c r="A59" s="78" t="s">
        <v>449</v>
      </c>
      <c r="B59" s="63" t="s">
        <v>268</v>
      </c>
      <c r="C59" s="64" t="s">
        <v>450</v>
      </c>
      <c r="D59" s="47" t="s">
        <v>442</v>
      </c>
      <c r="E59" s="90" t="s">
        <v>85</v>
      </c>
      <c r="F59" s="31" t="s">
        <v>60</v>
      </c>
      <c r="G59" s="31"/>
      <c r="H59" s="31"/>
      <c r="I59" s="31" t="s">
        <v>60</v>
      </c>
      <c r="J59" s="31"/>
      <c r="K59" s="31"/>
      <c r="L59" s="32" t="str">
        <f>IFERROR(__xludf.DUMMYFUNCTION("VLOOKUP($A59,IMPORTRANGE(""1PQtfbQLqBUP-rjYRznmgNFBLOjvAnhGzpIx7BJWq8rk"",""'Worksheet'!$B$2:$H""),7,FALSE)"),"#N/A")</f>
        <v>#N/A</v>
      </c>
      <c r="M59" s="31" t="s">
        <v>60</v>
      </c>
      <c r="N59" s="49">
        <v>2.11686E7</v>
      </c>
      <c r="O59" s="49">
        <v>1.651564405E7</v>
      </c>
      <c r="P59" s="49">
        <v>0.0</v>
      </c>
      <c r="Q59" s="34">
        <f t="shared" si="7"/>
        <v>0.2198046139</v>
      </c>
      <c r="R59" s="31"/>
      <c r="S59" s="31" t="s">
        <v>60</v>
      </c>
      <c r="T59" s="50" t="s">
        <v>451</v>
      </c>
      <c r="U59" s="51" t="s">
        <v>451</v>
      </c>
      <c r="V59" s="51">
        <v>0.0</v>
      </c>
      <c r="W59" s="31"/>
      <c r="X59" s="52" t="s">
        <v>409</v>
      </c>
      <c r="Z59" s="54" t="s">
        <v>437</v>
      </c>
      <c r="AA59" s="54" t="s">
        <v>114</v>
      </c>
      <c r="AB59" s="38" t="s">
        <v>115</v>
      </c>
      <c r="AC59" s="38" t="s">
        <v>438</v>
      </c>
      <c r="AD59" s="39">
        <v>21168.6</v>
      </c>
      <c r="AE59" s="39">
        <v>16515.64541</v>
      </c>
      <c r="AF59" s="40">
        <v>4652.95459</v>
      </c>
      <c r="AG59" s="57" t="s">
        <v>452</v>
      </c>
      <c r="AH59" s="42"/>
      <c r="AI59" s="42" t="str">
        <f>IFERROR(__xludf.DUMMYFUNCTION("vLOOKUP(A59,IMPORTRANGE(""https://docs.google.com/spreadsheets/d/1Rawwwdh8wntXGy8isdYNHxsNQS4n_rC8JSdPfj6vEq4"",""'500 объектов перенос на 2026'!A3:AB502""),13,0)"),"#REF!")</f>
        <v>#REF!</v>
      </c>
      <c r="AJ59" s="42" t="str">
        <f>IFERROR(__xludf.DUMMYFUNCTION("vLOOKUP(A59,IMPORTRANGE(""https://docs.google.com/spreadsheets/d/1Rawwwdh8wntXGy8isdYNHxsNQS4n_rC8JSdPfj6vEq4"",""'500 объектов перенос на 2026'!A3:AB502""),14,0)"),"#REF!")</f>
        <v>#REF!</v>
      </c>
      <c r="AK59" s="43"/>
      <c r="AL59" s="70"/>
      <c r="AM59" s="70"/>
      <c r="AO59" s="44" t="str">
        <f>IFERROR(__xludf.DUMMYFUNCTION("""COMPUTED_VALUE"""),"ООО ТРОЯ")</f>
        <v>ООО ТРОЯ</v>
      </c>
      <c r="AP59" s="44">
        <f>IFERROR(__xludf.DUMMYFUNCTION("""COMPUTED_VALUE"""),3.15E7)</f>
        <v>31500000</v>
      </c>
      <c r="AQ59" s="44"/>
      <c r="AR59" s="44"/>
      <c r="AS59" s="44"/>
      <c r="AT59" s="44"/>
      <c r="AU59" s="44"/>
      <c r="AV59" s="44"/>
      <c r="AW59" s="44"/>
      <c r="AX59" s="44"/>
      <c r="AY59" s="44"/>
      <c r="AZ59" s="44"/>
    </row>
    <row r="60">
      <c r="A60" s="78" t="s">
        <v>453</v>
      </c>
      <c r="B60" s="63" t="s">
        <v>268</v>
      </c>
      <c r="C60" s="64" t="s">
        <v>454</v>
      </c>
      <c r="D60" s="47" t="s">
        <v>442</v>
      </c>
      <c r="E60" s="90" t="s">
        <v>85</v>
      </c>
      <c r="F60" s="31" t="s">
        <v>60</v>
      </c>
      <c r="G60" s="31"/>
      <c r="H60" s="31"/>
      <c r="I60" s="31" t="s">
        <v>60</v>
      </c>
      <c r="J60" s="31"/>
      <c r="K60" s="31"/>
      <c r="L60" s="32" t="str">
        <f>IFERROR(__xludf.DUMMYFUNCTION("VLOOKUP($A60,IMPORTRANGE(""1PQtfbQLqBUP-rjYRznmgNFBLOjvAnhGzpIx7BJWq8rk"",""'Worksheet'!$B$2:$H""),7,FALSE)"),"#N/A")</f>
        <v>#N/A</v>
      </c>
      <c r="M60" s="31" t="s">
        <v>60</v>
      </c>
      <c r="N60" s="49">
        <v>1.890254E7</v>
      </c>
      <c r="O60" s="49">
        <v>1.635505298E7</v>
      </c>
      <c r="P60" s="49">
        <v>0.0</v>
      </c>
      <c r="Q60" s="34">
        <f t="shared" si="7"/>
        <v>0.1347695611</v>
      </c>
      <c r="R60" s="31"/>
      <c r="S60" s="31" t="s">
        <v>60</v>
      </c>
      <c r="T60" s="50" t="s">
        <v>455</v>
      </c>
      <c r="U60" s="51" t="s">
        <v>455</v>
      </c>
      <c r="V60" s="51">
        <v>0.0</v>
      </c>
      <c r="W60" s="31"/>
      <c r="X60" s="52" t="s">
        <v>409</v>
      </c>
      <c r="Z60" s="54" t="s">
        <v>437</v>
      </c>
      <c r="AA60" s="54" t="s">
        <v>114</v>
      </c>
      <c r="AB60" s="38" t="s">
        <v>115</v>
      </c>
      <c r="AC60" s="38" t="s">
        <v>438</v>
      </c>
      <c r="AD60" s="39">
        <v>18902.54</v>
      </c>
      <c r="AE60" s="39">
        <v>16355.05098</v>
      </c>
      <c r="AF60" s="40">
        <v>2547.48902</v>
      </c>
      <c r="AG60" s="57" t="s">
        <v>456</v>
      </c>
      <c r="AH60" s="42"/>
      <c r="AI60" s="42" t="str">
        <f>IFERROR(__xludf.DUMMYFUNCTION("vLOOKUP(A60,IMPORTRANGE(""https://docs.google.com/spreadsheets/d/1Rawwwdh8wntXGy8isdYNHxsNQS4n_rC8JSdPfj6vEq4"",""'500 объектов перенос на 2026'!A3:AB502""),13,0)"),"#REF!")</f>
        <v>#REF!</v>
      </c>
      <c r="AJ60" s="42" t="str">
        <f>IFERROR(__xludf.DUMMYFUNCTION("vLOOKUP(A60,IMPORTRANGE(""https://docs.google.com/spreadsheets/d/1Rawwwdh8wntXGy8isdYNHxsNQS4n_rC8JSdPfj6vEq4"",""'500 объектов перенос на 2026'!A3:AB502""),14,0)"),"#REF!")</f>
        <v>#REF!</v>
      </c>
      <c r="AK60" s="43"/>
      <c r="AL60" s="70"/>
      <c r="AM60" s="70"/>
      <c r="AO60" s="44" t="str">
        <f>IFERROR(__xludf.DUMMYFUNCTION("""COMPUTED_VALUE"""),"ООО ПРОМИНЖИНИРИНГ")</f>
        <v>ООО ПРОМИНЖИНИРИНГ</v>
      </c>
      <c r="AP60" s="44">
        <f>IFERROR(__xludf.DUMMYFUNCTION("""COMPUTED_VALUE"""),2.99316064E7)</f>
        <v>29931606.4</v>
      </c>
      <c r="AQ60" s="44"/>
      <c r="AR60" s="44"/>
      <c r="AS60" s="44"/>
      <c r="AT60" s="44"/>
      <c r="AU60" s="44"/>
      <c r="AV60" s="44"/>
      <c r="AW60" s="44"/>
      <c r="AX60" s="44"/>
      <c r="AY60" s="44"/>
      <c r="AZ60" s="44"/>
    </row>
    <row r="61">
      <c r="A61" s="78" t="s">
        <v>457</v>
      </c>
      <c r="B61" s="63" t="s">
        <v>268</v>
      </c>
      <c r="C61" s="64" t="s">
        <v>458</v>
      </c>
      <c r="D61" s="47" t="s">
        <v>442</v>
      </c>
      <c r="E61" s="64" t="s">
        <v>85</v>
      </c>
      <c r="F61" s="31" t="s">
        <v>60</v>
      </c>
      <c r="G61" s="31"/>
      <c r="H61" s="31"/>
      <c r="I61" s="31" t="s">
        <v>60</v>
      </c>
      <c r="J61" s="31"/>
      <c r="K61" s="31"/>
      <c r="L61" s="32" t="str">
        <f>IFERROR(__xludf.DUMMYFUNCTION("VLOOKUP($A61,IMPORTRANGE(""1PQtfbQLqBUP-rjYRznmgNFBLOjvAnhGzpIx7BJWq8rk"",""'Worksheet'!$B$2:$H""),7,FALSE)"),"#N/A")</f>
        <v>#N/A</v>
      </c>
      <c r="M61" s="31" t="s">
        <v>60</v>
      </c>
      <c r="N61" s="49">
        <v>3.10204E7</v>
      </c>
      <c r="O61" s="49">
        <v>2.946624211E7</v>
      </c>
      <c r="P61" s="49">
        <v>0.0</v>
      </c>
      <c r="Q61" s="34">
        <f t="shared" si="7"/>
        <v>0.05010115569</v>
      </c>
      <c r="R61" s="31"/>
      <c r="S61" s="31" t="s">
        <v>60</v>
      </c>
      <c r="T61" s="50" t="s">
        <v>459</v>
      </c>
      <c r="U61" s="51" t="s">
        <v>459</v>
      </c>
      <c r="V61" s="51">
        <v>0.0</v>
      </c>
      <c r="W61" s="31"/>
      <c r="X61" s="52" t="s">
        <v>409</v>
      </c>
      <c r="Z61" s="54" t="s">
        <v>437</v>
      </c>
      <c r="AA61" s="54" t="s">
        <v>114</v>
      </c>
      <c r="AB61" s="38" t="s">
        <v>115</v>
      </c>
      <c r="AC61" s="38" t="s">
        <v>438</v>
      </c>
      <c r="AD61" s="39">
        <v>31020.4</v>
      </c>
      <c r="AE61" s="39">
        <v>29466.23859</v>
      </c>
      <c r="AF61" s="40">
        <v>1554.16141</v>
      </c>
      <c r="AG61" s="57" t="s">
        <v>460</v>
      </c>
      <c r="AH61" s="42"/>
      <c r="AI61" s="42" t="str">
        <f>IFERROR(__xludf.DUMMYFUNCTION("vLOOKUP(A61,IMPORTRANGE(""https://docs.google.com/spreadsheets/d/1Rawwwdh8wntXGy8isdYNHxsNQS4n_rC8JSdPfj6vEq4"",""'500 объектов перенос на 2026'!A3:AB502""),13,0)"),"#REF!")</f>
        <v>#REF!</v>
      </c>
      <c r="AJ61" s="42" t="str">
        <f>IFERROR(__xludf.DUMMYFUNCTION("vLOOKUP(A61,IMPORTRANGE(""https://docs.google.com/spreadsheets/d/1Rawwwdh8wntXGy8isdYNHxsNQS4n_rC8JSdPfj6vEq4"",""'500 объектов перенос на 2026'!A3:AB502""),14,0)"),"#REF!")</f>
        <v>#REF!</v>
      </c>
      <c r="AK61" s="43"/>
      <c r="AL61" s="70"/>
      <c r="AM61" s="70"/>
      <c r="AO61" s="44" t="str">
        <f>IFERROR(__xludf.DUMMYFUNCTION("""COMPUTED_VALUE"""),"ООО ИНДЖЕТ")</f>
        <v>ООО ИНДЖЕТ</v>
      </c>
      <c r="AP61" s="44">
        <f>IFERROR(__xludf.DUMMYFUNCTION("""COMPUTED_VALUE"""),2.892471946E7)</f>
        <v>28924719.46</v>
      </c>
      <c r="AQ61" s="44"/>
      <c r="AR61" s="44"/>
      <c r="AS61" s="44"/>
      <c r="AT61" s="44"/>
      <c r="AU61" s="44"/>
      <c r="AV61" s="44"/>
      <c r="AW61" s="44"/>
      <c r="AX61" s="44"/>
      <c r="AY61" s="44"/>
      <c r="AZ61" s="44"/>
    </row>
    <row r="62">
      <c r="A62" s="78" t="s">
        <v>461</v>
      </c>
      <c r="B62" s="63" t="s">
        <v>268</v>
      </c>
      <c r="C62" s="64" t="s">
        <v>462</v>
      </c>
      <c r="D62" s="47" t="s">
        <v>463</v>
      </c>
      <c r="E62" s="64" t="s">
        <v>85</v>
      </c>
      <c r="F62" s="31" t="s">
        <v>60</v>
      </c>
      <c r="G62" s="31"/>
      <c r="H62" s="31"/>
      <c r="I62" s="31" t="s">
        <v>60</v>
      </c>
      <c r="J62" s="31"/>
      <c r="K62" s="31"/>
      <c r="L62" s="32" t="str">
        <f>IFERROR(__xludf.DUMMYFUNCTION("VLOOKUP($A62,IMPORTRANGE(""1PQtfbQLqBUP-rjYRznmgNFBLOjvAnhGzpIx7BJWq8rk"",""'Worksheet'!$B$2:$H""),7,FALSE)"),"#N/A")</f>
        <v>#N/A</v>
      </c>
      <c r="M62" s="31" t="s">
        <v>60</v>
      </c>
      <c r="N62" s="49">
        <v>4.023408E7</v>
      </c>
      <c r="O62" s="49">
        <v>3.748866654E7</v>
      </c>
      <c r="P62" s="49">
        <v>0.0</v>
      </c>
      <c r="Q62" s="34">
        <f t="shared" si="7"/>
        <v>0.06823601931</v>
      </c>
      <c r="R62" s="31"/>
      <c r="S62" s="31" t="s">
        <v>60</v>
      </c>
      <c r="T62" s="50" t="s">
        <v>464</v>
      </c>
      <c r="U62" s="51" t="s">
        <v>464</v>
      </c>
      <c r="V62" s="51">
        <v>0.0</v>
      </c>
      <c r="W62" s="31"/>
      <c r="X62" s="52" t="s">
        <v>409</v>
      </c>
      <c r="Z62" s="54" t="s">
        <v>437</v>
      </c>
      <c r="AA62" s="54" t="s">
        <v>114</v>
      </c>
      <c r="AB62" s="38" t="s">
        <v>115</v>
      </c>
      <c r="AC62" s="38" t="s">
        <v>438</v>
      </c>
      <c r="AD62" s="39">
        <v>40234.08</v>
      </c>
      <c r="AE62" s="39">
        <v>37488.66654</v>
      </c>
      <c r="AF62" s="40">
        <v>2745.41346</v>
      </c>
      <c r="AG62" s="57" t="s">
        <v>465</v>
      </c>
      <c r="AH62" s="42"/>
      <c r="AI62" s="42" t="str">
        <f>IFERROR(__xludf.DUMMYFUNCTION("vLOOKUP(A62,IMPORTRANGE(""https://docs.google.com/spreadsheets/d/1Rawwwdh8wntXGy8isdYNHxsNQS4n_rC8JSdPfj6vEq4"",""'500 объектов перенос на 2026'!A3:AB502""),13,0)"),"#REF!")</f>
        <v>#REF!</v>
      </c>
      <c r="AJ62" s="42" t="str">
        <f>IFERROR(__xludf.DUMMYFUNCTION("vLOOKUP(A62,IMPORTRANGE(""https://docs.google.com/spreadsheets/d/1Rawwwdh8wntXGy8isdYNHxsNQS4n_rC8JSdPfj6vEq4"",""'500 объектов перенос на 2026'!A3:AB502""),14,0)"),"#REF!")</f>
        <v>#REF!</v>
      </c>
      <c r="AK62" s="43"/>
      <c r="AL62" s="70"/>
      <c r="AM62" s="70"/>
      <c r="AO62" s="44" t="str">
        <f>IFERROR(__xludf.DUMMYFUNCTION("""COMPUTED_VALUE"""),"ООО ТУЛАОБОРОНСТРОЙ")</f>
        <v>ООО ТУЛАОБОРОНСТРОЙ</v>
      </c>
      <c r="AP62" s="44">
        <f>IFERROR(__xludf.DUMMYFUNCTION("""COMPUTED_VALUE"""),2.540672511E7)</f>
        <v>25406725.11</v>
      </c>
      <c r="AQ62" s="44"/>
      <c r="AR62" s="44"/>
      <c r="AS62" s="44"/>
      <c r="AT62" s="44"/>
      <c r="AU62" s="44"/>
      <c r="AV62" s="44"/>
      <c r="AW62" s="44"/>
      <c r="AX62" s="44"/>
      <c r="AY62" s="44"/>
      <c r="AZ62" s="44"/>
    </row>
    <row r="63">
      <c r="A63" s="62" t="s">
        <v>466</v>
      </c>
      <c r="B63" s="63" t="s">
        <v>142</v>
      </c>
      <c r="C63" s="64" t="s">
        <v>467</v>
      </c>
      <c r="D63" s="47" t="s">
        <v>468</v>
      </c>
      <c r="E63" s="64" t="s">
        <v>59</v>
      </c>
      <c r="F63" s="31" t="s">
        <v>60</v>
      </c>
      <c r="G63" s="31"/>
      <c r="H63" s="31"/>
      <c r="I63" s="31" t="s">
        <v>40</v>
      </c>
      <c r="J63" s="31" t="s">
        <v>102</v>
      </c>
      <c r="K63" s="31" t="s">
        <v>72</v>
      </c>
      <c r="L63" s="32">
        <f>IFERROR(__xludf.DUMMYFUNCTION("VLOOKUP($A63,IMPORTRANGE(""1PQtfbQLqBUP-rjYRznmgNFBLOjvAnhGzpIx7BJWq8rk"",""'Worksheet'!$B$2:$H""),7,FALSE)"),0.7)</f>
        <v>0.7</v>
      </c>
      <c r="M63" s="31" t="s">
        <v>45</v>
      </c>
      <c r="N63" s="49">
        <v>2.4025867686E8</v>
      </c>
      <c r="O63" s="49">
        <v>1.3571645618E8</v>
      </c>
      <c r="P63" s="49">
        <f t="shared" ref="P63:P64" si="14">N63-O63</f>
        <v>104542220.7</v>
      </c>
      <c r="Q63" s="34">
        <f t="shared" si="7"/>
        <v>0.4351236011</v>
      </c>
      <c r="R63" s="31"/>
      <c r="S63" s="31" t="s">
        <v>45</v>
      </c>
      <c r="T63" s="72" t="s">
        <v>469</v>
      </c>
      <c r="U63" s="67" t="s">
        <v>470</v>
      </c>
      <c r="V63" s="67" t="s">
        <v>471</v>
      </c>
      <c r="W63" s="31"/>
      <c r="X63" s="52" t="s">
        <v>472</v>
      </c>
      <c r="Z63" s="54" t="s">
        <v>431</v>
      </c>
      <c r="AA63" s="74">
        <v>46266.0</v>
      </c>
      <c r="AB63" s="56"/>
      <c r="AC63" s="38"/>
      <c r="AD63" s="39">
        <v>240258.68</v>
      </c>
      <c r="AE63" s="39">
        <v>85316.9</v>
      </c>
      <c r="AF63" s="40">
        <v>154941.78</v>
      </c>
      <c r="AG63" s="57" t="s">
        <v>473</v>
      </c>
      <c r="AH63" s="42" t="s">
        <v>46</v>
      </c>
      <c r="AI63" s="42" t="str">
        <f>IFERROR(__xludf.DUMMYFUNCTION("vLOOKUP(A63,IMPORTRANGE(""https://docs.google.com/spreadsheets/d/1Rawwwdh8wntXGy8isdYNHxsNQS4n_rC8JSdPfj6vEq4"",""'500 объектов перенос на 2026'!A3:AB502""),13,0)"),"#REF!")</f>
        <v>#REF!</v>
      </c>
      <c r="AJ63" s="42" t="str">
        <f>IFERROR(__xludf.DUMMYFUNCTION("vLOOKUP(A63,IMPORTRANGE(""https://docs.google.com/spreadsheets/d/1Rawwwdh8wntXGy8isdYNHxsNQS4n_rC8JSdPfj6vEq4"",""'500 объектов перенос на 2026'!A3:AB502""),14,0)"),"#REF!")</f>
        <v>#REF!</v>
      </c>
      <c r="AK63" s="43"/>
      <c r="AL63" s="110"/>
      <c r="AM63" s="110"/>
      <c r="AO63" s="44" t="str">
        <f>IFERROR(__xludf.DUMMYFUNCTION("""COMPUTED_VALUE"""),"ООО ТАРИУС ЭНЕРГО")</f>
        <v>ООО ТАРИУС ЭНЕРГО</v>
      </c>
      <c r="AP63" s="44">
        <f>IFERROR(__xludf.DUMMYFUNCTION("""COMPUTED_VALUE"""),2.5103984510000005E7)</f>
        <v>25103984.51</v>
      </c>
      <c r="AQ63" s="44"/>
      <c r="AR63" s="44"/>
      <c r="AS63" s="44"/>
      <c r="AT63" s="44"/>
      <c r="AU63" s="44"/>
      <c r="AV63" s="44"/>
      <c r="AW63" s="44"/>
      <c r="AX63" s="44"/>
      <c r="AY63" s="44"/>
      <c r="AZ63" s="44"/>
    </row>
    <row r="64">
      <c r="A64" s="62" t="s">
        <v>474</v>
      </c>
      <c r="B64" s="63" t="s">
        <v>142</v>
      </c>
      <c r="C64" s="64" t="s">
        <v>475</v>
      </c>
      <c r="D64" s="47" t="s">
        <v>476</v>
      </c>
      <c r="E64" s="64" t="s">
        <v>59</v>
      </c>
      <c r="F64" s="31" t="s">
        <v>60</v>
      </c>
      <c r="G64" s="31"/>
      <c r="H64" s="31"/>
      <c r="I64" s="31" t="s">
        <v>40</v>
      </c>
      <c r="J64" s="31" t="s">
        <v>102</v>
      </c>
      <c r="K64" s="31" t="s">
        <v>62</v>
      </c>
      <c r="L64" s="32">
        <f>IFERROR(__xludf.DUMMYFUNCTION("VLOOKUP($A64,IMPORTRANGE(""1PQtfbQLqBUP-rjYRznmgNFBLOjvAnhGzpIx7BJWq8rk"",""'Worksheet'!$B$2:$H""),7,FALSE)"),0.75)</f>
        <v>0.75</v>
      </c>
      <c r="M64" s="31" t="s">
        <v>40</v>
      </c>
      <c r="N64" s="49">
        <v>1.5947199391E8</v>
      </c>
      <c r="O64" s="49">
        <v>4.784159818E7</v>
      </c>
      <c r="P64" s="49">
        <f t="shared" si="14"/>
        <v>111630395.7</v>
      </c>
      <c r="Q64" s="34">
        <f t="shared" si="7"/>
        <v>0.7</v>
      </c>
      <c r="R64" s="31"/>
      <c r="S64" s="31" t="s">
        <v>45</v>
      </c>
      <c r="T64" s="72" t="s">
        <v>477</v>
      </c>
      <c r="U64" s="67" t="s">
        <v>478</v>
      </c>
      <c r="V64" s="67" t="s">
        <v>479</v>
      </c>
      <c r="W64" s="31"/>
      <c r="X64" s="52" t="s">
        <v>46</v>
      </c>
      <c r="Z64" s="54" t="s">
        <v>431</v>
      </c>
      <c r="AA64" s="74">
        <v>46266.0</v>
      </c>
      <c r="AB64" s="56"/>
      <c r="AC64" s="38" t="s">
        <v>49</v>
      </c>
      <c r="AD64" s="39">
        <v>172860.09</v>
      </c>
      <c r="AE64" s="39">
        <v>47841.59818</v>
      </c>
      <c r="AF64" s="40">
        <v>125018.4918</v>
      </c>
      <c r="AG64" s="57" t="s">
        <v>480</v>
      </c>
      <c r="AH64" s="42" t="s">
        <v>46</v>
      </c>
      <c r="AI64" s="42" t="str">
        <f>IFERROR(__xludf.DUMMYFUNCTION("vLOOKUP(A64,IMPORTRANGE(""https://docs.google.com/spreadsheets/d/1Rawwwdh8wntXGy8isdYNHxsNQS4n_rC8JSdPfj6vEq4"",""'500 объектов перенос на 2026'!A3:AB502""),13,0)"),"#REF!")</f>
        <v>#REF!</v>
      </c>
      <c r="AJ64" s="42" t="str">
        <f>IFERROR(__xludf.DUMMYFUNCTION("vLOOKUP(A64,IMPORTRANGE(""https://docs.google.com/spreadsheets/d/1Rawwwdh8wntXGy8isdYNHxsNQS4n_rC8JSdPfj6vEq4"",""'500 объектов перенос на 2026'!A3:AB502""),14,0)"),"#REF!")</f>
        <v>#REF!</v>
      </c>
      <c r="AK64" s="43"/>
      <c r="AL64" s="110"/>
      <c r="AM64" s="110"/>
      <c r="AO64" s="44" t="str">
        <f>IFERROR(__xludf.DUMMYFUNCTION("""COMPUTED_VALUE"""),"ООО ВКС ПРОЕКТ")</f>
        <v>ООО ВКС ПРОЕКТ</v>
      </c>
      <c r="AP64" s="44">
        <f>IFERROR(__xludf.DUMMYFUNCTION("""COMPUTED_VALUE"""),2.194548486E7)</f>
        <v>21945484.86</v>
      </c>
      <c r="AQ64" s="44"/>
      <c r="AR64" s="44"/>
      <c r="AS64" s="44"/>
      <c r="AT64" s="44"/>
      <c r="AU64" s="44"/>
      <c r="AV64" s="44"/>
      <c r="AW64" s="44"/>
      <c r="AX64" s="44"/>
      <c r="AY64" s="44"/>
      <c r="AZ64" s="44"/>
    </row>
    <row r="65">
      <c r="A65" s="78" t="s">
        <v>481</v>
      </c>
      <c r="B65" s="63" t="s">
        <v>268</v>
      </c>
      <c r="C65" s="64" t="s">
        <v>482</v>
      </c>
      <c r="D65" s="47" t="s">
        <v>463</v>
      </c>
      <c r="E65" s="64" t="s">
        <v>85</v>
      </c>
      <c r="F65" s="31" t="s">
        <v>60</v>
      </c>
      <c r="G65" s="31"/>
      <c r="H65" s="31"/>
      <c r="I65" s="31" t="s">
        <v>60</v>
      </c>
      <c r="J65" s="31"/>
      <c r="K65" s="31"/>
      <c r="L65" s="32">
        <f>IFERROR(__xludf.DUMMYFUNCTION("VLOOKUP($A65,IMPORTRANGE(""1PQtfbQLqBUP-rjYRznmgNFBLOjvAnhGzpIx7BJWq8rk"",""'Worksheet'!$B$2:$H""),7,FALSE)"),0.98)</f>
        <v>0.98</v>
      </c>
      <c r="M65" s="31" t="s">
        <v>60</v>
      </c>
      <c r="N65" s="49">
        <v>5.2827E7</v>
      </c>
      <c r="O65" s="49">
        <v>4.727123481E7</v>
      </c>
      <c r="P65" s="49">
        <v>0.0</v>
      </c>
      <c r="Q65" s="34">
        <f t="shared" si="7"/>
        <v>0.1051690459</v>
      </c>
      <c r="R65" s="31"/>
      <c r="S65" s="31" t="s">
        <v>60</v>
      </c>
      <c r="T65" s="50" t="s">
        <v>483</v>
      </c>
      <c r="U65" s="51" t="s">
        <v>483</v>
      </c>
      <c r="V65" s="51">
        <v>0.0</v>
      </c>
      <c r="W65" s="31"/>
      <c r="X65" s="52" t="s">
        <v>409</v>
      </c>
      <c r="Y65" s="54" t="s">
        <v>437</v>
      </c>
      <c r="Z65" s="54" t="s">
        <v>437</v>
      </c>
      <c r="AA65" s="54" t="s">
        <v>114</v>
      </c>
      <c r="AB65" s="38" t="s">
        <v>115</v>
      </c>
      <c r="AC65" s="38" t="s">
        <v>438</v>
      </c>
      <c r="AD65" s="39">
        <v>52827.0</v>
      </c>
      <c r="AE65" s="39">
        <v>47506.51281</v>
      </c>
      <c r="AF65" s="40">
        <v>5320.48719</v>
      </c>
      <c r="AG65" s="57" t="s">
        <v>484</v>
      </c>
      <c r="AH65" s="42" t="s">
        <v>485</v>
      </c>
      <c r="AI65" s="42" t="str">
        <f>IFERROR(__xludf.DUMMYFUNCTION("vLOOKUP(A65,IMPORTRANGE(""https://docs.google.com/spreadsheets/d/1Rawwwdh8wntXGy8isdYNHxsNQS4n_rC8JSdPfj6vEq4"",""'500 объектов перенос на 2026'!A3:AB502""),13,0)"),"#REF!")</f>
        <v>#REF!</v>
      </c>
      <c r="AJ65" s="42" t="str">
        <f>IFERROR(__xludf.DUMMYFUNCTION("vLOOKUP(A65,IMPORTRANGE(""https://docs.google.com/spreadsheets/d/1Rawwwdh8wntXGy8isdYNHxsNQS4n_rC8JSdPfj6vEq4"",""'500 объектов перенос на 2026'!A3:AB502""),14,0)"),"#REF!")</f>
        <v>#REF!</v>
      </c>
      <c r="AK65" s="43"/>
      <c r="AL65" s="70"/>
      <c r="AM65" s="70"/>
      <c r="AO65" s="44" t="str">
        <f>IFERROR(__xludf.DUMMYFUNCTION("""COMPUTED_VALUE"""),"ООО КОСМА")</f>
        <v>ООО КОСМА</v>
      </c>
      <c r="AP65" s="44">
        <f>IFERROR(__xludf.DUMMYFUNCTION("""COMPUTED_VALUE"""),2.1865419E7)</f>
        <v>21865419</v>
      </c>
      <c r="AQ65" s="44"/>
      <c r="AR65" s="44"/>
      <c r="AS65" s="44"/>
      <c r="AT65" s="44"/>
      <c r="AU65" s="44"/>
      <c r="AV65" s="44"/>
      <c r="AW65" s="44"/>
      <c r="AX65" s="44"/>
      <c r="AY65" s="44"/>
      <c r="AZ65" s="44"/>
    </row>
    <row r="66">
      <c r="A66" s="78" t="s">
        <v>486</v>
      </c>
      <c r="B66" s="63" t="s">
        <v>268</v>
      </c>
      <c r="C66" s="64" t="s">
        <v>487</v>
      </c>
      <c r="D66" s="47" t="s">
        <v>463</v>
      </c>
      <c r="E66" s="90" t="s">
        <v>85</v>
      </c>
      <c r="F66" s="31" t="s">
        <v>60</v>
      </c>
      <c r="G66" s="31"/>
      <c r="H66" s="31"/>
      <c r="I66" s="31" t="s">
        <v>60</v>
      </c>
      <c r="J66" s="31"/>
      <c r="K66" s="31"/>
      <c r="L66" s="32">
        <f>IFERROR(__xludf.DUMMYFUNCTION("VLOOKUP($A66,IMPORTRANGE(""1PQtfbQLqBUP-rjYRznmgNFBLOjvAnhGzpIx7BJWq8rk"",""'Worksheet'!$B$2:$H""),7,FALSE)"),0.92)</f>
        <v>0.92</v>
      </c>
      <c r="M66" s="31" t="s">
        <v>60</v>
      </c>
      <c r="N66" s="49">
        <v>6.140629E7</v>
      </c>
      <c r="O66" s="49">
        <v>5.687967226E7</v>
      </c>
      <c r="P66" s="49">
        <v>0.0</v>
      </c>
      <c r="Q66" s="34">
        <f t="shared" si="7"/>
        <v>0.07371586429</v>
      </c>
      <c r="R66" s="31"/>
      <c r="S66" s="31" t="s">
        <v>60</v>
      </c>
      <c r="T66" s="50" t="s">
        <v>488</v>
      </c>
      <c r="U66" s="51" t="s">
        <v>488</v>
      </c>
      <c r="V66" s="51">
        <v>0.0</v>
      </c>
      <c r="W66" s="31"/>
      <c r="X66" s="52" t="s">
        <v>409</v>
      </c>
      <c r="Y66" s="54" t="s">
        <v>437</v>
      </c>
      <c r="Z66" s="54" t="s">
        <v>437</v>
      </c>
      <c r="AA66" s="54" t="s">
        <v>114</v>
      </c>
      <c r="AB66" s="38" t="s">
        <v>115</v>
      </c>
      <c r="AC66" s="38" t="s">
        <v>438</v>
      </c>
      <c r="AD66" s="39">
        <v>96849.5</v>
      </c>
      <c r="AE66" s="39">
        <v>57873.59588</v>
      </c>
      <c r="AF66" s="40">
        <v>38975.90412</v>
      </c>
      <c r="AG66" s="57" t="s">
        <v>489</v>
      </c>
      <c r="AH66" s="42"/>
      <c r="AI66" s="42" t="str">
        <f>IFERROR(__xludf.DUMMYFUNCTION("vLOOKUP(A66,IMPORTRANGE(""https://docs.google.com/spreadsheets/d/1Rawwwdh8wntXGy8isdYNHxsNQS4n_rC8JSdPfj6vEq4"",""'500 объектов перенос на 2026'!A3:AB502""),13,0)"),"#REF!")</f>
        <v>#REF!</v>
      </c>
      <c r="AJ66" s="42" t="str">
        <f>IFERROR(__xludf.DUMMYFUNCTION("vLOOKUP(A66,IMPORTRANGE(""https://docs.google.com/spreadsheets/d/1Rawwwdh8wntXGy8isdYNHxsNQS4n_rC8JSdPfj6vEq4"",""'500 объектов перенос на 2026'!A3:AB502""),14,0)"),"#REF!")</f>
        <v>#REF!</v>
      </c>
      <c r="AK66" s="43"/>
      <c r="AL66" s="70"/>
      <c r="AM66" s="70"/>
      <c r="AO66" s="44" t="str">
        <f>IFERROR(__xludf.DUMMYFUNCTION("""COMPUTED_VALUE"""),"ООО ТРАССТРОЙ")</f>
        <v>ООО ТРАССТРОЙ</v>
      </c>
      <c r="AP66" s="44">
        <f>IFERROR(__xludf.DUMMYFUNCTION("""COMPUTED_VALUE"""),2.0129702E7)</f>
        <v>20129702</v>
      </c>
      <c r="AQ66" s="44"/>
      <c r="AR66" s="44"/>
      <c r="AS66" s="44"/>
      <c r="AT66" s="44"/>
      <c r="AU66" s="44"/>
      <c r="AV66" s="44"/>
      <c r="AW66" s="44"/>
      <c r="AX66" s="44"/>
      <c r="AY66" s="44"/>
      <c r="AZ66" s="44"/>
    </row>
    <row r="67">
      <c r="A67" s="62" t="s">
        <v>490</v>
      </c>
      <c r="B67" s="63" t="s">
        <v>56</v>
      </c>
      <c r="C67" s="64" t="s">
        <v>491</v>
      </c>
      <c r="D67" s="47" t="s">
        <v>492</v>
      </c>
      <c r="E67" s="64" t="s">
        <v>85</v>
      </c>
      <c r="F67" s="31" t="s">
        <v>40</v>
      </c>
      <c r="G67" s="31" t="s">
        <v>41</v>
      </c>
      <c r="H67" s="31" t="s">
        <v>343</v>
      </c>
      <c r="I67" s="31" t="s">
        <v>40</v>
      </c>
      <c r="J67" s="31" t="s">
        <v>102</v>
      </c>
      <c r="K67" s="31"/>
      <c r="L67" s="32">
        <f>IFERROR(__xludf.DUMMYFUNCTION("VLOOKUP($A67,IMPORTRANGE(""1PQtfbQLqBUP-rjYRznmgNFBLOjvAnhGzpIx7BJWq8rk"",""'Worksheet'!$B$2:$H""),7,FALSE)"),0.25)</f>
        <v>0.25</v>
      </c>
      <c r="M67" s="31" t="s">
        <v>40</v>
      </c>
      <c r="N67" s="49">
        <v>1.2151329E8</v>
      </c>
      <c r="O67" s="49">
        <v>1.2151329E7</v>
      </c>
      <c r="P67" s="49">
        <f t="shared" ref="P67:P69" si="15">N67-O67</f>
        <v>109361961</v>
      </c>
      <c r="Q67" s="34">
        <f t="shared" si="7"/>
        <v>0.9</v>
      </c>
      <c r="R67" s="31"/>
      <c r="S67" s="31" t="s">
        <v>45</v>
      </c>
      <c r="T67" s="72" t="s">
        <v>493</v>
      </c>
      <c r="U67" s="67" t="s">
        <v>494</v>
      </c>
      <c r="V67" s="67" t="s">
        <v>495</v>
      </c>
      <c r="W67" s="31"/>
      <c r="X67" s="52" t="s">
        <v>49</v>
      </c>
      <c r="Y67" s="54" t="s">
        <v>496</v>
      </c>
      <c r="Z67" s="54" t="s">
        <v>497</v>
      </c>
      <c r="AA67" s="68">
        <v>46356.0</v>
      </c>
      <c r="AB67" s="56"/>
      <c r="AC67" s="38" t="s">
        <v>498</v>
      </c>
      <c r="AD67" s="39">
        <v>121513.3</v>
      </c>
      <c r="AE67" s="39">
        <v>12151.329</v>
      </c>
      <c r="AF67" s="40">
        <v>109361.971</v>
      </c>
      <c r="AG67" s="57" t="s">
        <v>499</v>
      </c>
      <c r="AH67" s="42" t="s">
        <v>500</v>
      </c>
      <c r="AI67" s="42" t="str">
        <f>IFERROR(__xludf.DUMMYFUNCTION("vLOOKUP(A67,IMPORTRANGE(""https://docs.google.com/spreadsheets/d/1Rawwwdh8wntXGy8isdYNHxsNQS4n_rC8JSdPfj6vEq4"",""'500 объектов перенос на 2026'!A3:AB502""),13,0)"),"#REF!")</f>
        <v>#REF!</v>
      </c>
      <c r="AJ67" s="42" t="str">
        <f>IFERROR(__xludf.DUMMYFUNCTION("vLOOKUP(A67,IMPORTRANGE(""https://docs.google.com/spreadsheets/d/1Rawwwdh8wntXGy8isdYNHxsNQS4n_rC8JSdPfj6vEq4"",""'500 объектов перенос на 2026'!A3:AB502""),14,0)"),"#REF!")</f>
        <v>#REF!</v>
      </c>
      <c r="AK67" s="96" t="s">
        <v>501</v>
      </c>
      <c r="AL67" s="70"/>
      <c r="AM67" s="70"/>
      <c r="AO67" s="44" t="str">
        <f>IFERROR(__xludf.DUMMYFUNCTION("""COMPUTED_VALUE"""),"ООО СТРОЙСНАБ")</f>
        <v>ООО СТРОЙСНАБ</v>
      </c>
      <c r="AP67" s="44">
        <f>IFERROR(__xludf.DUMMYFUNCTION("""COMPUTED_VALUE"""),1.8957366259999998E7)</f>
        <v>18957366.26</v>
      </c>
      <c r="AQ67" s="44"/>
      <c r="AR67" s="44"/>
      <c r="AS67" s="44"/>
      <c r="AT67" s="44"/>
      <c r="AU67" s="44"/>
      <c r="AV67" s="44"/>
      <c r="AW67" s="44"/>
      <c r="AX67" s="44"/>
      <c r="AY67" s="44"/>
      <c r="AZ67" s="44"/>
    </row>
    <row r="68">
      <c r="A68" s="114" t="s">
        <v>502</v>
      </c>
      <c r="B68" s="63" t="s">
        <v>503</v>
      </c>
      <c r="C68" s="64" t="s">
        <v>504</v>
      </c>
      <c r="D68" s="47" t="s">
        <v>505</v>
      </c>
      <c r="E68" s="64" t="s">
        <v>59</v>
      </c>
      <c r="F68" s="31" t="s">
        <v>60</v>
      </c>
      <c r="G68" s="31"/>
      <c r="H68" s="31"/>
      <c r="I68" s="31" t="s">
        <v>60</v>
      </c>
      <c r="J68" s="31"/>
      <c r="K68" s="31"/>
      <c r="L68" s="32">
        <f>IFERROR(__xludf.DUMMYFUNCTION("VLOOKUP($A68,IMPORTRANGE(""1PQtfbQLqBUP-rjYRznmgNFBLOjvAnhGzpIx7BJWq8rk"",""'Worksheet'!$B$2:$H""),7,FALSE)"),0.98)</f>
        <v>0.98</v>
      </c>
      <c r="M68" s="31" t="s">
        <v>40</v>
      </c>
      <c r="N68" s="49">
        <v>1.4802362E8</v>
      </c>
      <c r="O68" s="49">
        <v>4.222486602E7</v>
      </c>
      <c r="P68" s="49">
        <f t="shared" si="15"/>
        <v>105798754</v>
      </c>
      <c r="Q68" s="34">
        <f t="shared" si="7"/>
        <v>0.7147423768</v>
      </c>
      <c r="R68" s="31"/>
      <c r="S68" s="31" t="s">
        <v>45</v>
      </c>
      <c r="T68" s="50"/>
      <c r="U68" s="51"/>
      <c r="V68" s="50"/>
      <c r="W68" s="31" t="s">
        <v>506</v>
      </c>
      <c r="X68" s="52" t="s">
        <v>507</v>
      </c>
      <c r="Y68" s="54" t="s">
        <v>508</v>
      </c>
      <c r="Z68" s="54" t="s">
        <v>509</v>
      </c>
      <c r="AA68" s="74">
        <v>46213.0</v>
      </c>
      <c r="AB68" s="56"/>
      <c r="AC68" s="38"/>
      <c r="AD68" s="39">
        <v>148023.62</v>
      </c>
      <c r="AE68" s="39">
        <v>42224.86602</v>
      </c>
      <c r="AF68" s="40">
        <v>105798.754</v>
      </c>
      <c r="AG68" s="57" t="s">
        <v>510</v>
      </c>
      <c r="AH68" s="85" t="s">
        <v>511</v>
      </c>
      <c r="AI68" s="42" t="str">
        <f>IFERROR(__xludf.DUMMYFUNCTION("vLOOKUP(A68,IMPORTRANGE(""https://docs.google.com/spreadsheets/d/1Rawwwdh8wntXGy8isdYNHxsNQS4n_rC8JSdPfj6vEq4"",""'500 объектов перенос на 2026'!A3:AB502""),13,0)"),"#REF!")</f>
        <v>#REF!</v>
      </c>
      <c r="AJ68" s="42" t="str">
        <f>IFERROR(__xludf.DUMMYFUNCTION("vLOOKUP(A68,IMPORTRANGE(""https://docs.google.com/spreadsheets/d/1Rawwwdh8wntXGy8isdYNHxsNQS4n_rC8JSdPfj6vEq4"",""'500 объектов перенос на 2026'!A3:AB502""),14,0)"),"#REF!")</f>
        <v>#REF!</v>
      </c>
      <c r="AK68" s="43"/>
      <c r="AL68" s="87"/>
      <c r="AM68" s="87"/>
      <c r="AO68" s="44" t="str">
        <f>IFERROR(__xludf.DUMMYFUNCTION("""COMPUTED_VALUE"""),"ООО РНП")</f>
        <v>ООО РНП</v>
      </c>
      <c r="AP68" s="44">
        <f>IFERROR(__xludf.DUMMYFUNCTION("""COMPUTED_VALUE"""),1.736E7)</f>
        <v>17360000</v>
      </c>
      <c r="AQ68" s="44"/>
      <c r="AR68" s="44"/>
      <c r="AS68" s="44"/>
      <c r="AT68" s="44"/>
      <c r="AU68" s="44"/>
      <c r="AV68" s="44"/>
      <c r="AW68" s="44"/>
      <c r="AX68" s="44"/>
      <c r="AY68" s="44"/>
      <c r="AZ68" s="44"/>
    </row>
    <row r="69">
      <c r="A69" s="62" t="s">
        <v>512</v>
      </c>
      <c r="B69" s="63" t="s">
        <v>257</v>
      </c>
      <c r="C69" s="104" t="s">
        <v>513</v>
      </c>
      <c r="D69" s="47" t="s">
        <v>259</v>
      </c>
      <c r="E69" s="64" t="s">
        <v>39</v>
      </c>
      <c r="F69" s="31" t="s">
        <v>60</v>
      </c>
      <c r="G69" s="31"/>
      <c r="H69" s="31"/>
      <c r="I69" s="31" t="s">
        <v>40</v>
      </c>
      <c r="J69" s="31" t="s">
        <v>102</v>
      </c>
      <c r="K69" s="31" t="s">
        <v>62</v>
      </c>
      <c r="L69" s="32">
        <f>IFERROR(__xludf.DUMMYFUNCTION("VLOOKUP($A69,IMPORTRANGE(""1PQtfbQLqBUP-rjYRznmgNFBLOjvAnhGzpIx7BJWq8rk"",""'Worksheet'!$B$2:$H""),7,FALSE)"),0.14)</f>
        <v>0.14</v>
      </c>
      <c r="M69" s="31" t="s">
        <v>40</v>
      </c>
      <c r="N69" s="49">
        <v>1.5003949507E8</v>
      </c>
      <c r="O69" s="49">
        <v>4.501184852E7</v>
      </c>
      <c r="P69" s="49">
        <f t="shared" si="15"/>
        <v>105027646.6</v>
      </c>
      <c r="Q69" s="34">
        <f t="shared" si="7"/>
        <v>0.7</v>
      </c>
      <c r="R69" s="31"/>
      <c r="S69" s="31" t="s">
        <v>40</v>
      </c>
      <c r="T69" s="72" t="s">
        <v>514</v>
      </c>
      <c r="U69" s="67">
        <v>0.0</v>
      </c>
      <c r="V69" s="67" t="s">
        <v>514</v>
      </c>
      <c r="W69" s="31"/>
      <c r="X69" s="52" t="s">
        <v>262</v>
      </c>
      <c r="Y69" s="54" t="s">
        <v>515</v>
      </c>
      <c r="Z69" s="74"/>
      <c r="AA69" s="74">
        <v>46296.0</v>
      </c>
      <c r="AB69" s="56"/>
      <c r="AC69" s="38"/>
      <c r="AD69" s="39">
        <v>150039.5</v>
      </c>
      <c r="AE69" s="39">
        <v>45011.84852</v>
      </c>
      <c r="AF69" s="40">
        <v>105027.6515</v>
      </c>
      <c r="AG69" s="57" t="s">
        <v>355</v>
      </c>
      <c r="AH69" s="42" t="s">
        <v>46</v>
      </c>
      <c r="AI69" s="42" t="str">
        <f>IFERROR(__xludf.DUMMYFUNCTION("vLOOKUP(A69,IMPORTRANGE(""https://docs.google.com/spreadsheets/d/1Rawwwdh8wntXGy8isdYNHxsNQS4n_rC8JSdPfj6vEq4"",""'500 объектов перенос на 2026'!A3:AB502""),13,0)"),"#REF!")</f>
        <v>#REF!</v>
      </c>
      <c r="AJ69" s="42" t="str">
        <f>IFERROR(__xludf.DUMMYFUNCTION("vLOOKUP(A69,IMPORTRANGE(""https://docs.google.com/spreadsheets/d/1Rawwwdh8wntXGy8isdYNHxsNQS4n_rC8JSdPfj6vEq4"",""'500 объектов перенос на 2026'!A3:AB502""),14,0)"),"#REF!")</f>
        <v>#REF!</v>
      </c>
      <c r="AK69" s="96" t="s">
        <v>516</v>
      </c>
      <c r="AL69" s="70"/>
      <c r="AM69" s="70"/>
      <c r="AO69" s="44" t="str">
        <f>IFERROR(__xludf.DUMMYFUNCTION("""COMPUTED_VALUE"""),"ООО РУСВОДА ИНЖИНИРИНГ")</f>
        <v>ООО РУСВОДА ИНЖИНИРИНГ</v>
      </c>
      <c r="AP69" s="44">
        <f>IFERROR(__xludf.DUMMYFUNCTION("""COMPUTED_VALUE"""),1.69845984E7)</f>
        <v>16984598.4</v>
      </c>
      <c r="AQ69" s="44"/>
      <c r="AR69" s="44"/>
      <c r="AS69" s="44"/>
      <c r="AT69" s="44"/>
      <c r="AU69" s="44"/>
      <c r="AV69" s="44"/>
      <c r="AW69" s="44"/>
      <c r="AX69" s="44"/>
      <c r="AY69" s="44"/>
      <c r="AZ69" s="44"/>
    </row>
    <row r="70">
      <c r="A70" s="78" t="s">
        <v>517</v>
      </c>
      <c r="B70" s="63" t="s">
        <v>268</v>
      </c>
      <c r="C70" s="64" t="s">
        <v>518</v>
      </c>
      <c r="D70" s="47" t="s">
        <v>442</v>
      </c>
      <c r="E70" s="64" t="s">
        <v>85</v>
      </c>
      <c r="F70" s="31" t="s">
        <v>60</v>
      </c>
      <c r="G70" s="31"/>
      <c r="H70" s="31"/>
      <c r="I70" s="31" t="s">
        <v>60</v>
      </c>
      <c r="J70" s="31"/>
      <c r="K70" s="31"/>
      <c r="L70" s="32">
        <f>IFERROR(__xludf.DUMMYFUNCTION("VLOOKUP($A70,IMPORTRANGE(""1PQtfbQLqBUP-rjYRznmgNFBLOjvAnhGzpIx7BJWq8rk"",""'Worksheet'!$B$2:$H""),7,FALSE)"),0.92)</f>
        <v>0.92</v>
      </c>
      <c r="M70" s="31" t="s">
        <v>60</v>
      </c>
      <c r="N70" s="49">
        <v>3.521142E7</v>
      </c>
      <c r="O70" s="49">
        <v>2.791092128E7</v>
      </c>
      <c r="P70" s="49">
        <v>0.0</v>
      </c>
      <c r="Q70" s="34">
        <f t="shared" si="7"/>
        <v>0.2073332663</v>
      </c>
      <c r="R70" s="31"/>
      <c r="S70" s="31" t="s">
        <v>60</v>
      </c>
      <c r="T70" s="50" t="s">
        <v>519</v>
      </c>
      <c r="U70" s="51" t="s">
        <v>519</v>
      </c>
      <c r="V70" s="51">
        <v>0.0</v>
      </c>
      <c r="W70" s="31"/>
      <c r="X70" s="52" t="s">
        <v>409</v>
      </c>
      <c r="Y70" s="54" t="s">
        <v>437</v>
      </c>
      <c r="Z70" s="54" t="s">
        <v>437</v>
      </c>
      <c r="AA70" s="54" t="s">
        <v>114</v>
      </c>
      <c r="AB70" s="38" t="s">
        <v>115</v>
      </c>
      <c r="AC70" s="38" t="s">
        <v>438</v>
      </c>
      <c r="AD70" s="39">
        <v>35211.42</v>
      </c>
      <c r="AE70" s="39">
        <v>27910.922</v>
      </c>
      <c r="AF70" s="40">
        <v>7300.498</v>
      </c>
      <c r="AG70" s="57" t="s">
        <v>520</v>
      </c>
      <c r="AH70" s="42" t="s">
        <v>485</v>
      </c>
      <c r="AI70" s="42" t="str">
        <f>IFERROR(__xludf.DUMMYFUNCTION("vLOOKUP(A70,IMPORTRANGE(""https://docs.google.com/spreadsheets/d/1Rawwwdh8wntXGy8isdYNHxsNQS4n_rC8JSdPfj6vEq4"",""'500 объектов перенос на 2026'!A3:AB502""),13,0)"),"#REF!")</f>
        <v>#REF!</v>
      </c>
      <c r="AJ70" s="42" t="str">
        <f>IFERROR(__xludf.DUMMYFUNCTION("vLOOKUP(A70,IMPORTRANGE(""https://docs.google.com/spreadsheets/d/1Rawwwdh8wntXGy8isdYNHxsNQS4n_rC8JSdPfj6vEq4"",""'500 объектов перенос на 2026'!A3:AB502""),14,0)"),"#REF!")</f>
        <v>#REF!</v>
      </c>
      <c r="AK70" s="43"/>
      <c r="AL70" s="70"/>
      <c r="AM70" s="70"/>
      <c r="AO70" s="44" t="str">
        <f>IFERROR(__xludf.DUMMYFUNCTION("""COMPUTED_VALUE"""),"ООО РЕМИСТР")</f>
        <v>ООО РЕМИСТР</v>
      </c>
      <c r="AP70" s="44">
        <f>IFERROR(__xludf.DUMMYFUNCTION("""COMPUTED_VALUE"""),1.650470756E7)</f>
        <v>16504707.56</v>
      </c>
      <c r="AQ70" s="44"/>
      <c r="AR70" s="44"/>
      <c r="AS70" s="44"/>
      <c r="AT70" s="44"/>
      <c r="AU70" s="44"/>
      <c r="AV70" s="44"/>
      <c r="AW70" s="44"/>
      <c r="AX70" s="44"/>
      <c r="AY70" s="44"/>
      <c r="AZ70" s="44"/>
    </row>
    <row r="71">
      <c r="A71" s="62" t="s">
        <v>521</v>
      </c>
      <c r="B71" s="63" t="s">
        <v>225</v>
      </c>
      <c r="C71" s="64" t="s">
        <v>522</v>
      </c>
      <c r="D71" s="105" t="s">
        <v>523</v>
      </c>
      <c r="E71" s="64" t="s">
        <v>39</v>
      </c>
      <c r="F71" s="31" t="s">
        <v>60</v>
      </c>
      <c r="G71" s="31"/>
      <c r="H71" s="31"/>
      <c r="I71" s="31" t="s">
        <v>40</v>
      </c>
      <c r="J71" s="31" t="s">
        <v>102</v>
      </c>
      <c r="K71" s="31" t="s">
        <v>280</v>
      </c>
      <c r="L71" s="32">
        <f>IFERROR(__xludf.DUMMYFUNCTION("VLOOKUP($A71,IMPORTRANGE(""1PQtfbQLqBUP-rjYRznmgNFBLOjvAnhGzpIx7BJWq8rk"",""'Worksheet'!$B$2:$H""),7,FALSE)"),0.56)</f>
        <v>0.56</v>
      </c>
      <c r="M71" s="31" t="s">
        <v>40</v>
      </c>
      <c r="N71" s="49">
        <v>2.0459178784E8</v>
      </c>
      <c r="O71" s="49">
        <v>1.0229589392E8</v>
      </c>
      <c r="P71" s="49">
        <f>N71-O71</f>
        <v>102295893.9</v>
      </c>
      <c r="Q71" s="34">
        <f t="shared" si="7"/>
        <v>0.5</v>
      </c>
      <c r="R71" s="31"/>
      <c r="S71" s="31" t="s">
        <v>45</v>
      </c>
      <c r="T71" s="72" t="s">
        <v>524</v>
      </c>
      <c r="U71" s="67" t="s">
        <v>525</v>
      </c>
      <c r="V71" s="67" t="s">
        <v>526</v>
      </c>
      <c r="W71" s="31"/>
      <c r="X71" s="52" t="s">
        <v>527</v>
      </c>
      <c r="Y71" s="118" t="s">
        <v>528</v>
      </c>
      <c r="Z71" s="54" t="s">
        <v>529</v>
      </c>
      <c r="AA71" s="100">
        <v>46384.0</v>
      </c>
      <c r="AB71" s="56"/>
      <c r="AC71" s="38"/>
      <c r="AD71" s="39">
        <v>204591.78</v>
      </c>
      <c r="AE71" s="39">
        <v>103991.7587</v>
      </c>
      <c r="AF71" s="40">
        <v>100600.0214</v>
      </c>
      <c r="AG71" s="57" t="s">
        <v>530</v>
      </c>
      <c r="AH71" s="42" t="s">
        <v>531</v>
      </c>
      <c r="AI71" s="42" t="str">
        <f>IFERROR(__xludf.DUMMYFUNCTION("vLOOKUP(A71,IMPORTRANGE(""https://docs.google.com/spreadsheets/d/1Rawwwdh8wntXGy8isdYNHxsNQS4n_rC8JSdPfj6vEq4"",""'500 объектов перенос на 2026'!A3:AB502""),13,0)"),"#REF!")</f>
        <v>#REF!</v>
      </c>
      <c r="AJ71" s="42" t="str">
        <f>IFERROR(__xludf.DUMMYFUNCTION("vLOOKUP(A71,IMPORTRANGE(""https://docs.google.com/spreadsheets/d/1Rawwwdh8wntXGy8isdYNHxsNQS4n_rC8JSdPfj6vEq4"",""'500 объектов перенос на 2026'!A3:AB502""),14,0)"),"#REF!")</f>
        <v>#REF!</v>
      </c>
      <c r="AK71" s="118" t="s">
        <v>532</v>
      </c>
      <c r="AL71" s="70"/>
      <c r="AM71" s="70"/>
      <c r="AO71" s="44" t="str">
        <f>IFERROR(__xludf.DUMMYFUNCTION("""COMPUTED_VALUE"""),"ООО СМУ-102")</f>
        <v>ООО СМУ-102</v>
      </c>
      <c r="AP71" s="44">
        <f>IFERROR(__xludf.DUMMYFUNCTION("""COMPUTED_VALUE"""),1.458268E7)</f>
        <v>14582680</v>
      </c>
      <c r="AQ71" s="44"/>
      <c r="AR71" s="44"/>
      <c r="AS71" s="44"/>
      <c r="AT71" s="44"/>
      <c r="AU71" s="44"/>
      <c r="AV71" s="44"/>
      <c r="AW71" s="44"/>
      <c r="AX71" s="44"/>
      <c r="AY71" s="44"/>
      <c r="AZ71" s="44"/>
    </row>
    <row r="72">
      <c r="A72" s="78" t="s">
        <v>533</v>
      </c>
      <c r="B72" s="63" t="s">
        <v>268</v>
      </c>
      <c r="C72" s="64" t="s">
        <v>534</v>
      </c>
      <c r="D72" s="47" t="s">
        <v>535</v>
      </c>
      <c r="E72" s="64" t="s">
        <v>85</v>
      </c>
      <c r="F72" s="31" t="s">
        <v>60</v>
      </c>
      <c r="G72" s="31"/>
      <c r="H72" s="31"/>
      <c r="I72" s="31" t="s">
        <v>60</v>
      </c>
      <c r="J72" s="31"/>
      <c r="K72" s="31"/>
      <c r="L72" s="32">
        <f>IFERROR(__xludf.DUMMYFUNCTION("VLOOKUP($A72,IMPORTRANGE(""1PQtfbQLqBUP-rjYRznmgNFBLOjvAnhGzpIx7BJWq8rk"",""'Worksheet'!$B$2:$H""),7,FALSE)"),1.0)</f>
        <v>1</v>
      </c>
      <c r="M72" s="31" t="s">
        <v>60</v>
      </c>
      <c r="N72" s="49">
        <v>2.99595E7</v>
      </c>
      <c r="O72" s="49">
        <v>2.610841286E7</v>
      </c>
      <c r="P72" s="49">
        <v>0.0</v>
      </c>
      <c r="Q72" s="34">
        <f t="shared" si="7"/>
        <v>0.1285431045</v>
      </c>
      <c r="R72" s="31"/>
      <c r="S72" s="31" t="s">
        <v>60</v>
      </c>
      <c r="T72" s="91" t="s">
        <v>536</v>
      </c>
      <c r="U72" s="117" t="s">
        <v>536</v>
      </c>
      <c r="V72" s="51">
        <v>0.0</v>
      </c>
      <c r="W72" s="31"/>
      <c r="X72" s="52" t="s">
        <v>409</v>
      </c>
      <c r="Y72" s="54" t="s">
        <v>437</v>
      </c>
      <c r="Z72" s="54" t="s">
        <v>437</v>
      </c>
      <c r="AA72" s="54" t="s">
        <v>114</v>
      </c>
      <c r="AB72" s="38" t="s">
        <v>115</v>
      </c>
      <c r="AC72" s="38" t="s">
        <v>438</v>
      </c>
      <c r="AD72" s="39">
        <v>22553.664</v>
      </c>
      <c r="AE72" s="39">
        <v>26108.0992</v>
      </c>
      <c r="AF72" s="40">
        <v>-3554.4352</v>
      </c>
      <c r="AG72" s="57" t="s">
        <v>537</v>
      </c>
      <c r="AH72" s="42"/>
      <c r="AI72" s="42" t="str">
        <f>IFERROR(__xludf.DUMMYFUNCTION("vLOOKUP(A72,IMPORTRANGE(""https://docs.google.com/spreadsheets/d/1Rawwwdh8wntXGy8isdYNHxsNQS4n_rC8JSdPfj6vEq4"",""'500 объектов перенос на 2026'!A3:AB502""),13,0)"),"#REF!")</f>
        <v>#REF!</v>
      </c>
      <c r="AJ72" s="42" t="str">
        <f>IFERROR(__xludf.DUMMYFUNCTION("vLOOKUP(A72,IMPORTRANGE(""https://docs.google.com/spreadsheets/d/1Rawwwdh8wntXGy8isdYNHxsNQS4n_rC8JSdPfj6vEq4"",""'500 объектов перенос на 2026'!A3:AB502""),14,0)"),"#REF!")</f>
        <v>#REF!</v>
      </c>
      <c r="AK72" s="43"/>
      <c r="AL72" s="70"/>
      <c r="AM72" s="70"/>
      <c r="AO72" s="44" t="str">
        <f>IFERROR(__xludf.DUMMYFUNCTION("""COMPUTED_VALUE"""),"ООО ОПУСГРУПП")</f>
        <v>ООО ОПУСГРУПП</v>
      </c>
      <c r="AP72" s="44">
        <f>IFERROR(__xludf.DUMMYFUNCTION("""COMPUTED_VALUE"""),1.1879E7)</f>
        <v>11879000</v>
      </c>
      <c r="AQ72" s="44"/>
      <c r="AR72" s="44"/>
      <c r="AS72" s="44"/>
      <c r="AT72" s="44"/>
      <c r="AU72" s="44"/>
      <c r="AV72" s="44"/>
      <c r="AW72" s="44"/>
      <c r="AX72" s="44"/>
      <c r="AY72" s="44"/>
      <c r="AZ72" s="44"/>
    </row>
    <row r="73">
      <c r="A73" s="62" t="s">
        <v>538</v>
      </c>
      <c r="B73" s="63" t="s">
        <v>268</v>
      </c>
      <c r="C73" s="64" t="s">
        <v>539</v>
      </c>
      <c r="D73" s="47" t="s">
        <v>535</v>
      </c>
      <c r="E73" s="64" t="s">
        <v>85</v>
      </c>
      <c r="F73" s="31" t="s">
        <v>60</v>
      </c>
      <c r="G73" s="31"/>
      <c r="H73" s="31"/>
      <c r="I73" s="31" t="s">
        <v>60</v>
      </c>
      <c r="J73" s="31"/>
      <c r="K73" s="31"/>
      <c r="L73" s="32">
        <f>IFERROR(__xludf.DUMMYFUNCTION("VLOOKUP($A73,IMPORTRANGE(""1PQtfbQLqBUP-rjYRznmgNFBLOjvAnhGzpIx7BJWq8rk"",""'Worksheet'!$B$2:$H""),7,FALSE)"),1.0)</f>
        <v>1</v>
      </c>
      <c r="M73" s="31" t="s">
        <v>60</v>
      </c>
      <c r="N73" s="49">
        <v>5.477854E7</v>
      </c>
      <c r="O73" s="49">
        <v>4.91418065E7</v>
      </c>
      <c r="P73" s="49">
        <v>0.0</v>
      </c>
      <c r="Q73" s="34">
        <f t="shared" si="7"/>
        <v>0.1029003968</v>
      </c>
      <c r="R73" s="31"/>
      <c r="S73" s="31" t="s">
        <v>60</v>
      </c>
      <c r="T73" s="91" t="s">
        <v>540</v>
      </c>
      <c r="U73" s="51" t="s">
        <v>540</v>
      </c>
      <c r="V73" s="51">
        <v>0.0</v>
      </c>
      <c r="W73" s="31"/>
      <c r="X73" s="52" t="s">
        <v>409</v>
      </c>
      <c r="Y73" s="54" t="s">
        <v>437</v>
      </c>
      <c r="Z73" s="54" t="s">
        <v>437</v>
      </c>
      <c r="AA73" s="54" t="s">
        <v>114</v>
      </c>
      <c r="AB73" s="38" t="s">
        <v>115</v>
      </c>
      <c r="AC73" s="38" t="s">
        <v>438</v>
      </c>
      <c r="AD73" s="39">
        <v>54778.54</v>
      </c>
      <c r="AE73" s="39">
        <v>49141.81042</v>
      </c>
      <c r="AF73" s="40">
        <v>5636.72958</v>
      </c>
      <c r="AG73" s="57" t="s">
        <v>541</v>
      </c>
      <c r="AH73" s="42"/>
      <c r="AI73" s="42" t="str">
        <f>IFERROR(__xludf.DUMMYFUNCTION("vLOOKUP(A73,IMPORTRANGE(""https://docs.google.com/spreadsheets/d/1Rawwwdh8wntXGy8isdYNHxsNQS4n_rC8JSdPfj6vEq4"",""'500 объектов перенос на 2026'!A3:AB502""),13,0)"),"#REF!")</f>
        <v>#REF!</v>
      </c>
      <c r="AJ73" s="42" t="str">
        <f>IFERROR(__xludf.DUMMYFUNCTION("vLOOKUP(A73,IMPORTRANGE(""https://docs.google.com/spreadsheets/d/1Rawwwdh8wntXGy8isdYNHxsNQS4n_rC8JSdPfj6vEq4"",""'500 объектов перенос на 2026'!A3:AB502""),14,0)"),"#REF!")</f>
        <v>#REF!</v>
      </c>
      <c r="AK73" s="43"/>
      <c r="AL73" s="70"/>
      <c r="AM73" s="70"/>
      <c r="AO73" s="44" t="str">
        <f>IFERROR(__xludf.DUMMYFUNCTION("""COMPUTED_VALUE"""),"ООО ГИПРОН")</f>
        <v>ООО ГИПРОН</v>
      </c>
      <c r="AP73" s="44">
        <f>IFERROR(__xludf.DUMMYFUNCTION("""COMPUTED_VALUE"""),9920512.0)</f>
        <v>9920512</v>
      </c>
      <c r="AQ73" s="44"/>
      <c r="AR73" s="44"/>
      <c r="AS73" s="44"/>
      <c r="AT73" s="44"/>
      <c r="AU73" s="44"/>
      <c r="AV73" s="44"/>
      <c r="AW73" s="44"/>
      <c r="AX73" s="44"/>
      <c r="AY73" s="44"/>
      <c r="AZ73" s="44"/>
    </row>
    <row r="74">
      <c r="A74" s="62" t="s">
        <v>542</v>
      </c>
      <c r="B74" s="63" t="s">
        <v>543</v>
      </c>
      <c r="C74" s="64" t="s">
        <v>544</v>
      </c>
      <c r="D74" s="47" t="s">
        <v>545</v>
      </c>
      <c r="E74" s="64" t="s">
        <v>85</v>
      </c>
      <c r="F74" s="31" t="s">
        <v>60</v>
      </c>
      <c r="G74" s="31"/>
      <c r="H74" s="31"/>
      <c r="I74" s="31" t="s">
        <v>40</v>
      </c>
      <c r="J74" s="31" t="s">
        <v>102</v>
      </c>
      <c r="K74" s="31" t="s">
        <v>62</v>
      </c>
      <c r="L74" s="32">
        <f>IFERROR(__xludf.DUMMYFUNCTION("VLOOKUP($A74,IMPORTRANGE(""1PQtfbQLqBUP-rjYRznmgNFBLOjvAnhGzpIx7BJWq8rk"",""'Worksheet'!$B$2:$H""),7,FALSE)"),0.82)</f>
        <v>0.82</v>
      </c>
      <c r="M74" s="31" t="s">
        <v>45</v>
      </c>
      <c r="N74" s="49">
        <v>1.3227422E8</v>
      </c>
      <c r="O74" s="49">
        <v>7.599798227E7</v>
      </c>
      <c r="P74" s="49">
        <f t="shared" ref="P74:P87" si="16">N74-O74</f>
        <v>56276237.73</v>
      </c>
      <c r="Q74" s="34">
        <f t="shared" si="7"/>
        <v>0.4254512915</v>
      </c>
      <c r="R74" s="31"/>
      <c r="S74" s="31" t="s">
        <v>45</v>
      </c>
      <c r="T74" s="50" t="s">
        <v>546</v>
      </c>
      <c r="U74" s="51" t="s">
        <v>547</v>
      </c>
      <c r="V74" s="51" t="s">
        <v>548</v>
      </c>
      <c r="W74" s="31"/>
      <c r="X74" s="52" t="s">
        <v>46</v>
      </c>
      <c r="Y74" s="54" t="s">
        <v>549</v>
      </c>
      <c r="Z74" s="54" t="s">
        <v>550</v>
      </c>
      <c r="AA74" s="68">
        <v>46268.0</v>
      </c>
      <c r="AB74" s="56"/>
      <c r="AC74" s="38"/>
      <c r="AD74" s="39">
        <v>90546.4</v>
      </c>
      <c r="AE74" s="39">
        <v>31691.24</v>
      </c>
      <c r="AF74" s="40">
        <v>58855.16</v>
      </c>
      <c r="AG74" s="57" t="s">
        <v>551</v>
      </c>
      <c r="AH74" s="42" t="s">
        <v>552</v>
      </c>
      <c r="AI74" s="42" t="str">
        <f>IFERROR(__xludf.DUMMYFUNCTION("vLOOKUP(A74,IMPORTRANGE(""https://docs.google.com/spreadsheets/d/1Rawwwdh8wntXGy8isdYNHxsNQS4n_rC8JSdPfj6vEq4"",""'500 объектов перенос на 2026'!A3:AB502""),13,0)"),"#REF!")</f>
        <v>#REF!</v>
      </c>
      <c r="AJ74" s="42" t="str">
        <f>IFERROR(__xludf.DUMMYFUNCTION("vLOOKUP(A74,IMPORTRANGE(""https://docs.google.com/spreadsheets/d/1Rawwwdh8wntXGy8isdYNHxsNQS4n_rC8JSdPfj6vEq4"",""'500 объектов перенос на 2026'!A3:AB502""),14,0)"),"#REF!")</f>
        <v>#REF!</v>
      </c>
      <c r="AK74" s="43"/>
      <c r="AL74" s="119"/>
      <c r="AM74" s="119"/>
      <c r="AO74" s="44" t="str">
        <f>IFERROR(__xludf.DUMMYFUNCTION("""COMPUTED_VALUE"""),"ООО КАЛЬДЕРА")</f>
        <v>ООО КАЛЬДЕРА</v>
      </c>
      <c r="AP74" s="44">
        <f>IFERROR(__xludf.DUMMYFUNCTION("""COMPUTED_VALUE"""),7167881.199999988)</f>
        <v>7167881.2</v>
      </c>
      <c r="AQ74" s="44"/>
      <c r="AR74" s="44"/>
      <c r="AS74" s="44"/>
      <c r="AT74" s="44"/>
      <c r="AU74" s="44"/>
      <c r="AV74" s="44"/>
      <c r="AW74" s="44"/>
      <c r="AX74" s="44"/>
      <c r="AY74" s="44"/>
      <c r="AZ74" s="44"/>
    </row>
    <row r="75">
      <c r="A75" s="62" t="s">
        <v>553</v>
      </c>
      <c r="B75" s="63" t="s">
        <v>110</v>
      </c>
      <c r="C75" s="64" t="s">
        <v>554</v>
      </c>
      <c r="D75" s="47" t="s">
        <v>112</v>
      </c>
      <c r="E75" s="90" t="s">
        <v>85</v>
      </c>
      <c r="F75" s="31" t="s">
        <v>60</v>
      </c>
      <c r="G75" s="31"/>
      <c r="H75" s="31"/>
      <c r="I75" s="31" t="s">
        <v>40</v>
      </c>
      <c r="J75" s="31" t="s">
        <v>61</v>
      </c>
      <c r="K75" s="31" t="s">
        <v>301</v>
      </c>
      <c r="L75" s="32">
        <f>IFERROR(__xludf.DUMMYFUNCTION("VLOOKUP($A75,IMPORTRANGE(""1PQtfbQLqBUP-rjYRznmgNFBLOjvAnhGzpIx7BJWq8rk"",""'Worksheet'!$B$2:$H""),7,FALSE)"),0.82)</f>
        <v>0.82</v>
      </c>
      <c r="M75" s="31" t="s">
        <v>45</v>
      </c>
      <c r="N75" s="49">
        <v>2.0136950999E8</v>
      </c>
      <c r="O75" s="49">
        <v>1.0519727496E8</v>
      </c>
      <c r="P75" s="49">
        <f t="shared" si="16"/>
        <v>96172235.03</v>
      </c>
      <c r="Q75" s="34">
        <f t="shared" si="7"/>
        <v>0.477590848</v>
      </c>
      <c r="R75" s="31" t="s">
        <v>555</v>
      </c>
      <c r="S75" s="31" t="s">
        <v>45</v>
      </c>
      <c r="T75" s="50">
        <v>1.9782385869E8</v>
      </c>
      <c r="U75" s="51">
        <v>1.2669783333E8</v>
      </c>
      <c r="V75" s="51">
        <v>7.112602536E7</v>
      </c>
      <c r="W75" s="31" t="s">
        <v>556</v>
      </c>
      <c r="X75" s="52" t="s">
        <v>557</v>
      </c>
      <c r="Y75" s="54" t="s">
        <v>558</v>
      </c>
      <c r="Z75" s="54"/>
      <c r="AA75" s="74">
        <v>46223.0</v>
      </c>
      <c r="AB75" s="37">
        <v>46132.0</v>
      </c>
      <c r="AC75" s="35" t="s">
        <v>559</v>
      </c>
      <c r="AD75" s="39">
        <v>201369.51</v>
      </c>
      <c r="AE75" s="39">
        <v>156725.2569</v>
      </c>
      <c r="AF75" s="40">
        <v>44644.25306</v>
      </c>
      <c r="AG75" s="57"/>
      <c r="AH75" s="42" t="s">
        <v>560</v>
      </c>
      <c r="AI75" s="42" t="str">
        <f>IFERROR(__xludf.DUMMYFUNCTION("vLOOKUP(A75,IMPORTRANGE(""https://docs.google.com/spreadsheets/d/1Rawwwdh8wntXGy8isdYNHxsNQS4n_rC8JSdPfj6vEq4"",""'500 объектов перенос на 2026'!A3:AB502""),13,0)"),"#REF!")</f>
        <v>#REF!</v>
      </c>
      <c r="AJ75" s="42" t="str">
        <f>IFERROR(__xludf.DUMMYFUNCTION("vLOOKUP(A75,IMPORTRANGE(""https://docs.google.com/spreadsheets/d/1Rawwwdh8wntXGy8isdYNHxsNQS4n_rC8JSdPfj6vEq4"",""'500 объектов перенос на 2026'!A3:AB502""),14,0)"),"#REF!")</f>
        <v>#REF!</v>
      </c>
      <c r="AK75" s="120" t="s">
        <v>561</v>
      </c>
      <c r="AL75" s="70" t="s">
        <v>562</v>
      </c>
      <c r="AM75" s="70"/>
      <c r="AO75" s="44" t="str">
        <f>IFERROR(__xludf.DUMMYFUNCTION("""COMPUTED_VALUE"""),"ООО ПГК МСК")</f>
        <v>ООО ПГК МСК</v>
      </c>
      <c r="AP75" s="44">
        <f>IFERROR(__xludf.DUMMYFUNCTION("""COMPUTED_VALUE"""),6477030.0)</f>
        <v>6477030</v>
      </c>
      <c r="AQ75" s="44"/>
      <c r="AR75" s="44"/>
      <c r="AS75" s="44"/>
      <c r="AT75" s="44"/>
      <c r="AU75" s="44"/>
      <c r="AV75" s="44"/>
      <c r="AW75" s="44"/>
      <c r="AX75" s="44"/>
      <c r="AY75" s="44"/>
      <c r="AZ75" s="44"/>
    </row>
    <row r="76">
      <c r="A76" s="62" t="s">
        <v>563</v>
      </c>
      <c r="B76" s="63" t="s">
        <v>225</v>
      </c>
      <c r="C76" s="64" t="s">
        <v>564</v>
      </c>
      <c r="D76" s="47" t="s">
        <v>166</v>
      </c>
      <c r="E76" s="64" t="s">
        <v>85</v>
      </c>
      <c r="F76" s="31" t="s">
        <v>40</v>
      </c>
      <c r="G76" s="31" t="s">
        <v>299</v>
      </c>
      <c r="H76" s="31" t="s">
        <v>42</v>
      </c>
      <c r="I76" s="31" t="s">
        <v>60</v>
      </c>
      <c r="J76" s="31"/>
      <c r="K76" s="31"/>
      <c r="L76" s="32" t="str">
        <f>IFERROR(__xludf.DUMMYFUNCTION("VLOOKUP($A76,IMPORTRANGE(""1PQtfbQLqBUP-rjYRznmgNFBLOjvAnhGzpIx7BJWq8rk"",""'Worksheet'!$B$2:$H""),7,FALSE)"),"#N/A")</f>
        <v>#N/A</v>
      </c>
      <c r="M76" s="31" t="s">
        <v>40</v>
      </c>
      <c r="N76" s="49">
        <v>1.3640398E8</v>
      </c>
      <c r="O76" s="49">
        <v>4.0921194E7</v>
      </c>
      <c r="P76" s="49">
        <f t="shared" si="16"/>
        <v>95482786</v>
      </c>
      <c r="Q76" s="34">
        <f t="shared" si="7"/>
        <v>0.7</v>
      </c>
      <c r="R76" s="31"/>
      <c r="S76" s="31" t="s">
        <v>40</v>
      </c>
      <c r="T76" s="50">
        <v>0.0</v>
      </c>
      <c r="U76" s="51">
        <v>0.0</v>
      </c>
      <c r="V76" s="51">
        <v>0.0</v>
      </c>
      <c r="W76" s="31"/>
      <c r="X76" s="52" t="s">
        <v>49</v>
      </c>
      <c r="Y76" s="54" t="s">
        <v>565</v>
      </c>
      <c r="Z76" s="54" t="s">
        <v>566</v>
      </c>
      <c r="AA76" s="74">
        <v>46310.0</v>
      </c>
      <c r="AB76" s="56"/>
      <c r="AC76" s="121" t="s">
        <v>567</v>
      </c>
      <c r="AD76" s="39" t="s">
        <v>568</v>
      </c>
      <c r="AE76" s="39">
        <v>40921.19</v>
      </c>
      <c r="AF76" s="40">
        <v>95482.79</v>
      </c>
      <c r="AG76" s="57" t="s">
        <v>569</v>
      </c>
      <c r="AH76" s="42" t="s">
        <v>570</v>
      </c>
      <c r="AI76" s="42" t="str">
        <f>IFERROR(__xludf.DUMMYFUNCTION("vLOOKUP(A76,IMPORTRANGE(""https://docs.google.com/spreadsheets/d/1Rawwwdh8wntXGy8isdYNHxsNQS4n_rC8JSdPfj6vEq4"",""'500 объектов перенос на 2026'!A3:AB502""),13,0)"),"#REF!")</f>
        <v>#REF!</v>
      </c>
      <c r="AJ76" s="42" t="str">
        <f>IFERROR(__xludf.DUMMYFUNCTION("vLOOKUP(A76,IMPORTRANGE(""https://docs.google.com/spreadsheets/d/1Rawwwdh8wntXGy8isdYNHxsNQS4n_rC8JSdPfj6vEq4"",""'500 объектов перенос на 2026'!A3:AB502""),14,0)"),"#REF!")</f>
        <v>#REF!</v>
      </c>
      <c r="AK76" s="54" t="s">
        <v>571</v>
      </c>
      <c r="AL76" s="70"/>
      <c r="AM76" s="70"/>
      <c r="AO76" s="44" t="str">
        <f>IFERROR(__xludf.DUMMYFUNCTION("""COMPUTED_VALUE"""),"ООО ЭНЕРГОИНДУСТРИЯ")</f>
        <v>ООО ЭНЕРГОИНДУСТРИЯ</v>
      </c>
      <c r="AP76" s="44">
        <f>IFERROR(__xludf.DUMMYFUNCTION("""COMPUTED_VALUE"""),4050760.0)</f>
        <v>4050760</v>
      </c>
      <c r="AQ76" s="44"/>
      <c r="AR76" s="44"/>
      <c r="AS76" s="44"/>
      <c r="AT76" s="44"/>
      <c r="AU76" s="44"/>
      <c r="AV76" s="44"/>
      <c r="AW76" s="44"/>
      <c r="AX76" s="44"/>
      <c r="AY76" s="44"/>
      <c r="AZ76" s="44"/>
    </row>
    <row r="77">
      <c r="A77" s="122" t="s">
        <v>572</v>
      </c>
      <c r="B77" s="63" t="s">
        <v>573</v>
      </c>
      <c r="C77" s="104" t="s">
        <v>574</v>
      </c>
      <c r="D77" s="47" t="s">
        <v>575</v>
      </c>
      <c r="E77" s="90" t="s">
        <v>85</v>
      </c>
      <c r="F77" s="31" t="s">
        <v>60</v>
      </c>
      <c r="G77" s="31"/>
      <c r="H77" s="31"/>
      <c r="I77" s="31" t="s">
        <v>40</v>
      </c>
      <c r="J77" s="31" t="s">
        <v>61</v>
      </c>
      <c r="K77" s="31" t="s">
        <v>72</v>
      </c>
      <c r="L77" s="32">
        <f>IFERROR(__xludf.DUMMYFUNCTION("VLOOKUP($A77,IMPORTRANGE(""1PQtfbQLqBUP-rjYRznmgNFBLOjvAnhGzpIx7BJWq8rk"",""'Worksheet'!$B$2:$H""),7,FALSE)"),0.97)</f>
        <v>0.97</v>
      </c>
      <c r="M77" s="31" t="s">
        <v>45</v>
      </c>
      <c r="N77" s="49">
        <v>1.66537425599E9</v>
      </c>
      <c r="O77" s="49">
        <v>1.57008172871E9</v>
      </c>
      <c r="P77" s="49">
        <f t="shared" si="16"/>
        <v>95292527.28</v>
      </c>
      <c r="Q77" s="34">
        <f t="shared" si="7"/>
        <v>0.05721988732</v>
      </c>
      <c r="R77" s="31"/>
      <c r="S77" s="31" t="s">
        <v>45</v>
      </c>
      <c r="T77" s="50"/>
      <c r="U77" s="51"/>
      <c r="V77" s="51"/>
      <c r="W77" s="31"/>
      <c r="X77" s="52" t="s">
        <v>576</v>
      </c>
      <c r="Y77" s="54" t="s">
        <v>577</v>
      </c>
      <c r="Z77" s="54" t="s">
        <v>578</v>
      </c>
      <c r="AA77" s="54" t="s">
        <v>579</v>
      </c>
      <c r="AB77" s="56"/>
      <c r="AC77" s="121" t="s">
        <v>580</v>
      </c>
      <c r="AD77" s="39">
        <v>1665374.25</v>
      </c>
      <c r="AE77" s="39">
        <v>1561783.315</v>
      </c>
      <c r="AF77" s="40">
        <v>103590.935</v>
      </c>
      <c r="AG77" s="57" t="s">
        <v>581</v>
      </c>
      <c r="AH77" s="42" t="s">
        <v>582</v>
      </c>
      <c r="AI77" s="42" t="str">
        <f>IFERROR(__xludf.DUMMYFUNCTION("vLOOKUP(A77,IMPORTRANGE(""https://docs.google.com/spreadsheets/d/1Rawwwdh8wntXGy8isdYNHxsNQS4n_rC8JSdPfj6vEq4"",""'500 объектов перенос на 2026'!A3:AB502""),13,0)"),"#REF!")</f>
        <v>#REF!</v>
      </c>
      <c r="AJ77" s="42" t="str">
        <f>IFERROR(__xludf.DUMMYFUNCTION("vLOOKUP(A77,IMPORTRANGE(""https://docs.google.com/spreadsheets/d/1Rawwwdh8wntXGy8isdYNHxsNQS4n_rC8JSdPfj6vEq4"",""'500 объектов перенос на 2026'!A3:AB502""),14,0)"),"#REF!")</f>
        <v>#REF!</v>
      </c>
      <c r="AK77" s="43"/>
      <c r="AL77" s="70"/>
      <c r="AM77" s="70"/>
      <c r="AO77" s="44" t="str">
        <f>IFERROR(__xludf.DUMMYFUNCTION("""COMPUTED_VALUE"""),"ООО ЕВРОГАЗ")</f>
        <v>ООО ЕВРОГАЗ</v>
      </c>
      <c r="AP77" s="44">
        <f>IFERROR(__xludf.DUMMYFUNCTION("""COMPUTED_VALUE"""),2242797.780000001)</f>
        <v>2242797.78</v>
      </c>
      <c r="AQ77" s="44"/>
      <c r="AR77" s="44"/>
      <c r="AS77" s="44"/>
      <c r="AT77" s="44"/>
      <c r="AU77" s="44"/>
      <c r="AV77" s="44"/>
      <c r="AW77" s="44"/>
      <c r="AX77" s="44"/>
      <c r="AY77" s="44"/>
      <c r="AZ77" s="44"/>
    </row>
    <row r="78">
      <c r="A78" s="62" t="s">
        <v>583</v>
      </c>
      <c r="B78" s="63" t="s">
        <v>126</v>
      </c>
      <c r="C78" s="64" t="s">
        <v>584</v>
      </c>
      <c r="D78" s="47" t="s">
        <v>585</v>
      </c>
      <c r="E78" s="64" t="s">
        <v>85</v>
      </c>
      <c r="F78" s="31" t="s">
        <v>60</v>
      </c>
      <c r="G78" s="31"/>
      <c r="H78" s="31"/>
      <c r="I78" s="31" t="s">
        <v>40</v>
      </c>
      <c r="J78" s="31" t="s">
        <v>102</v>
      </c>
      <c r="K78" s="31" t="s">
        <v>586</v>
      </c>
      <c r="L78" s="32">
        <f>IFERROR(__xludf.DUMMYFUNCTION("VLOOKUP($A78,IMPORTRANGE(""1PQtfbQLqBUP-rjYRznmgNFBLOjvAnhGzpIx7BJWq8rk"",""'Worksheet'!$B$2:$H""),7,FALSE)"),0.45)</f>
        <v>0.45</v>
      </c>
      <c r="M78" s="31" t="s">
        <v>45</v>
      </c>
      <c r="N78" s="49">
        <v>2.0409799E8</v>
      </c>
      <c r="O78" s="49">
        <v>1.0989082063E8</v>
      </c>
      <c r="P78" s="49">
        <f t="shared" si="16"/>
        <v>94207169.37</v>
      </c>
      <c r="Q78" s="34">
        <f t="shared" si="7"/>
        <v>0.461578134</v>
      </c>
      <c r="R78" s="31"/>
      <c r="S78" s="31" t="s">
        <v>45</v>
      </c>
      <c r="T78" s="72" t="s">
        <v>587</v>
      </c>
      <c r="U78" s="67" t="s">
        <v>588</v>
      </c>
      <c r="V78" s="67" t="s">
        <v>589</v>
      </c>
      <c r="W78" s="31"/>
      <c r="X78" s="52" t="s">
        <v>590</v>
      </c>
      <c r="Y78" s="54" t="s">
        <v>591</v>
      </c>
      <c r="Z78" s="54" t="s">
        <v>592</v>
      </c>
      <c r="AA78" s="74">
        <v>46254.0</v>
      </c>
      <c r="AB78" s="56"/>
      <c r="AC78" s="121" t="s">
        <v>593</v>
      </c>
      <c r="AD78" s="39">
        <v>204097.99</v>
      </c>
      <c r="AE78" s="39">
        <v>109890.8206</v>
      </c>
      <c r="AF78" s="40">
        <v>94207.16937</v>
      </c>
      <c r="AG78" s="57" t="s">
        <v>594</v>
      </c>
      <c r="AH78" s="42" t="s">
        <v>595</v>
      </c>
      <c r="AI78" s="42" t="str">
        <f>IFERROR(__xludf.DUMMYFUNCTION("vLOOKUP(A78,IMPORTRANGE(""https://docs.google.com/spreadsheets/d/1Rawwwdh8wntXGy8isdYNHxsNQS4n_rC8JSdPfj6vEq4"",""'500 объектов перенос на 2026'!A3:AB502""),13,0)"),"#REF!")</f>
        <v>#REF!</v>
      </c>
      <c r="AJ78" s="42" t="str">
        <f>IFERROR(__xludf.DUMMYFUNCTION("vLOOKUP(A78,IMPORTRANGE(""https://docs.google.com/spreadsheets/d/1Rawwwdh8wntXGy8isdYNHxsNQS4n_rC8JSdPfj6vEq4"",""'500 объектов перенос на 2026'!A3:AB502""),14,0)"),"#REF!")</f>
        <v>#REF!</v>
      </c>
      <c r="AK78" s="96" t="s">
        <v>596</v>
      </c>
      <c r="AL78" s="70"/>
      <c r="AM78" s="70"/>
      <c r="AO78" s="44"/>
      <c r="AP78" s="44"/>
      <c r="AQ78" s="44"/>
      <c r="AR78" s="44"/>
      <c r="AS78" s="44"/>
      <c r="AT78" s="44"/>
      <c r="AU78" s="44"/>
      <c r="AV78" s="44"/>
      <c r="AW78" s="44"/>
      <c r="AX78" s="44"/>
      <c r="AY78" s="44"/>
      <c r="AZ78" s="44"/>
    </row>
    <row r="79">
      <c r="A79" s="62" t="s">
        <v>597</v>
      </c>
      <c r="B79" s="63" t="s">
        <v>36</v>
      </c>
      <c r="C79" s="64" t="s">
        <v>598</v>
      </c>
      <c r="D79" s="47" t="s">
        <v>599</v>
      </c>
      <c r="E79" s="123" t="s">
        <v>85</v>
      </c>
      <c r="F79" s="31" t="s">
        <v>60</v>
      </c>
      <c r="G79" s="31"/>
      <c r="H79" s="31"/>
      <c r="I79" s="31" t="s">
        <v>60</v>
      </c>
      <c r="J79" s="31"/>
      <c r="K79" s="31"/>
      <c r="L79" s="32">
        <f>IFERROR(__xludf.DUMMYFUNCTION("VLOOKUP($A79,IMPORTRANGE(""1PQtfbQLqBUP-rjYRznmgNFBLOjvAnhGzpIx7BJWq8rk"",""'Worksheet'!$B$2:$H""),7,FALSE)"),0.95)</f>
        <v>0.95</v>
      </c>
      <c r="M79" s="31" t="s">
        <v>60</v>
      </c>
      <c r="N79" s="49">
        <v>1.5961413826E8</v>
      </c>
      <c r="O79" s="49">
        <v>1.4276621419E8</v>
      </c>
      <c r="P79" s="49">
        <f t="shared" si="16"/>
        <v>16847924.07</v>
      </c>
      <c r="Q79" s="34">
        <f t="shared" si="7"/>
        <v>0.1055540835</v>
      </c>
      <c r="R79" s="31"/>
      <c r="S79" s="31" t="s">
        <v>60</v>
      </c>
      <c r="T79" s="50"/>
      <c r="U79" s="51"/>
      <c r="V79" s="51"/>
      <c r="W79" s="31" t="s">
        <v>148</v>
      </c>
      <c r="X79" s="52" t="s">
        <v>600</v>
      </c>
      <c r="Y79" s="89" t="s">
        <v>601</v>
      </c>
      <c r="Z79" s="54" t="s">
        <v>602</v>
      </c>
      <c r="AA79" s="74">
        <v>46188.0</v>
      </c>
      <c r="AB79" s="56"/>
      <c r="AC79" s="121"/>
      <c r="AD79" s="39">
        <v>135788.4</v>
      </c>
      <c r="AE79" s="39">
        <v>44013.98308</v>
      </c>
      <c r="AF79" s="40">
        <v>91774.41692</v>
      </c>
      <c r="AG79" s="57" t="s">
        <v>603</v>
      </c>
      <c r="AH79" s="42"/>
      <c r="AI79" s="42"/>
      <c r="AJ79" s="42"/>
      <c r="AK79" s="96" t="s">
        <v>173</v>
      </c>
      <c r="AL79" s="110"/>
      <c r="AM79" s="110"/>
      <c r="AO79" s="44"/>
      <c r="AP79" s="44"/>
      <c r="AQ79" s="44"/>
      <c r="AR79" s="44"/>
      <c r="AS79" s="44"/>
      <c r="AT79" s="44"/>
      <c r="AU79" s="44"/>
      <c r="AV79" s="44"/>
      <c r="AW79" s="44"/>
      <c r="AX79" s="44"/>
      <c r="AY79" s="44"/>
      <c r="AZ79" s="44"/>
    </row>
    <row r="80">
      <c r="A80" s="62" t="s">
        <v>604</v>
      </c>
      <c r="B80" s="63" t="s">
        <v>605</v>
      </c>
      <c r="C80" s="64" t="s">
        <v>606</v>
      </c>
      <c r="D80" s="47" t="s">
        <v>179</v>
      </c>
      <c r="E80" s="64" t="s">
        <v>85</v>
      </c>
      <c r="F80" s="31" t="s">
        <v>60</v>
      </c>
      <c r="G80" s="31"/>
      <c r="H80" s="31"/>
      <c r="I80" s="31" t="s">
        <v>60</v>
      </c>
      <c r="J80" s="31"/>
      <c r="K80" s="31"/>
      <c r="L80" s="32">
        <f>IFERROR(__xludf.DUMMYFUNCTION("VLOOKUP($A80,IMPORTRANGE(""1PQtfbQLqBUP-rjYRznmgNFBLOjvAnhGzpIx7BJWq8rk"",""'Worksheet'!$B$2:$H""),7,FALSE)"),0.98)</f>
        <v>0.98</v>
      </c>
      <c r="M80" s="31" t="s">
        <v>45</v>
      </c>
      <c r="N80" s="49">
        <v>1.5957378989E8</v>
      </c>
      <c r="O80" s="49">
        <v>5.63609823E7</v>
      </c>
      <c r="P80" s="49">
        <f t="shared" si="16"/>
        <v>103212807.6</v>
      </c>
      <c r="Q80" s="34">
        <f t="shared" si="7"/>
        <v>0.6468030098</v>
      </c>
      <c r="R80" s="31"/>
      <c r="S80" s="31" t="s">
        <v>45</v>
      </c>
      <c r="T80" s="72" t="s">
        <v>607</v>
      </c>
      <c r="U80" s="67">
        <v>0.0</v>
      </c>
      <c r="V80" s="67" t="s">
        <v>607</v>
      </c>
      <c r="W80" s="31" t="s">
        <v>148</v>
      </c>
      <c r="X80" s="52" t="s">
        <v>507</v>
      </c>
      <c r="Y80" s="124" t="s">
        <v>608</v>
      </c>
      <c r="Z80" s="54" t="s">
        <v>75</v>
      </c>
      <c r="AA80" s="74">
        <v>46265.0</v>
      </c>
      <c r="AB80" s="56"/>
      <c r="AC80" s="121"/>
      <c r="AD80" s="39">
        <v>127937.789</v>
      </c>
      <c r="AE80" s="39">
        <v>36462.26989</v>
      </c>
      <c r="AF80" s="40">
        <v>91475.51911</v>
      </c>
      <c r="AG80" s="99" t="s">
        <v>609</v>
      </c>
      <c r="AH80" s="85"/>
      <c r="AI80" s="42" t="str">
        <f>IFERROR(__xludf.DUMMYFUNCTION("vLOOKUP(A80,IMPORTRANGE(""https://docs.google.com/spreadsheets/d/1Rawwwdh8wntXGy8isdYNHxsNQS4n_rC8JSdPfj6vEq4"",""'500 объектов перенос на 2026'!A3:AB502""),13,0)"),"#REF!")</f>
        <v>#REF!</v>
      </c>
      <c r="AJ80" s="42" t="str">
        <f>IFERROR(__xludf.DUMMYFUNCTION("vLOOKUP(A80,IMPORTRANGE(""https://docs.google.com/spreadsheets/d/1Rawwwdh8wntXGy8isdYNHxsNQS4n_rC8JSdPfj6vEq4"",""'500 объектов перенос на 2026'!A3:AB502""),14,0)"),"#REF!")</f>
        <v>#REF!</v>
      </c>
      <c r="AK80" s="75" t="s">
        <v>610</v>
      </c>
      <c r="AL80" s="110" t="s">
        <v>611</v>
      </c>
      <c r="AM80" s="110"/>
      <c r="AO80" s="44"/>
      <c r="AP80" s="44"/>
      <c r="AQ80" s="44"/>
      <c r="AR80" s="44"/>
      <c r="AS80" s="44"/>
      <c r="AT80" s="44"/>
      <c r="AU80" s="44"/>
      <c r="AV80" s="44"/>
      <c r="AW80" s="44"/>
      <c r="AX80" s="44"/>
      <c r="AY80" s="44"/>
      <c r="AZ80" s="44"/>
    </row>
    <row r="81">
      <c r="A81" s="62" t="s">
        <v>612</v>
      </c>
      <c r="B81" s="63" t="s">
        <v>126</v>
      </c>
      <c r="C81" s="64" t="s">
        <v>613</v>
      </c>
      <c r="D81" s="47" t="s">
        <v>614</v>
      </c>
      <c r="E81" s="64" t="s">
        <v>39</v>
      </c>
      <c r="F81" s="31" t="s">
        <v>60</v>
      </c>
      <c r="G81" s="31"/>
      <c r="H81" s="31"/>
      <c r="I81" s="31" t="s">
        <v>60</v>
      </c>
      <c r="J81" s="31"/>
      <c r="K81" s="31"/>
      <c r="L81" s="32">
        <f>IFERROR(__xludf.DUMMYFUNCTION("VLOOKUP($A81,IMPORTRANGE(""1PQtfbQLqBUP-rjYRznmgNFBLOjvAnhGzpIx7BJWq8rk"",""'Worksheet'!$B$2:$H""),7,FALSE)"),1.0)</f>
        <v>1</v>
      </c>
      <c r="M81" s="31" t="s">
        <v>60</v>
      </c>
      <c r="N81" s="49">
        <v>1.5850905222E8</v>
      </c>
      <c r="O81" s="49">
        <v>1.5520801091E8</v>
      </c>
      <c r="P81" s="49">
        <f t="shared" si="16"/>
        <v>3301041.31</v>
      </c>
      <c r="Q81" s="34">
        <f t="shared" si="7"/>
        <v>0.02082556967</v>
      </c>
      <c r="R81" s="31"/>
      <c r="S81" s="31" t="s">
        <v>60</v>
      </c>
      <c r="T81" s="65" t="s">
        <v>615</v>
      </c>
      <c r="U81" s="67" t="s">
        <v>616</v>
      </c>
      <c r="V81" s="67" t="s">
        <v>617</v>
      </c>
      <c r="W81" s="31"/>
      <c r="X81" s="52" t="s">
        <v>618</v>
      </c>
      <c r="Y81" s="125" t="s">
        <v>619</v>
      </c>
      <c r="Z81" s="74"/>
      <c r="AA81" s="74">
        <v>46203.0</v>
      </c>
      <c r="AB81" s="56"/>
      <c r="AC81" s="121" t="s">
        <v>620</v>
      </c>
      <c r="AD81" s="39">
        <v>122000.0</v>
      </c>
      <c r="AE81" s="39">
        <v>75397.38398</v>
      </c>
      <c r="AF81" s="40">
        <v>46602.61602</v>
      </c>
      <c r="AG81" s="57" t="s">
        <v>621</v>
      </c>
      <c r="AH81" s="42" t="s">
        <v>622</v>
      </c>
      <c r="AI81" s="42" t="str">
        <f>IFERROR(__xludf.DUMMYFUNCTION("vLOOKUP(A81,IMPORTRANGE(""https://docs.google.com/spreadsheets/d/1Rawwwdh8wntXGy8isdYNHxsNQS4n_rC8JSdPfj6vEq4"",""'500 объектов перенос на 2026'!A3:AB502""),13,0)"),"#REF!")</f>
        <v>#REF!</v>
      </c>
      <c r="AJ81" s="42" t="str">
        <f>IFERROR(__xludf.DUMMYFUNCTION("vLOOKUP(A81,IMPORTRANGE(""https://docs.google.com/spreadsheets/d/1Rawwwdh8wntXGy8isdYNHxsNQS4n_rC8JSdPfj6vEq4"",""'500 объектов перенос на 2026'!A3:AB502""),14,0)"),"#REF!")</f>
        <v>#REF!</v>
      </c>
      <c r="AK81" s="126" t="s">
        <v>623</v>
      </c>
      <c r="AL81" s="76"/>
      <c r="AM81" s="70"/>
      <c r="AO81" s="44"/>
      <c r="AP81" s="44"/>
      <c r="AQ81" s="44"/>
      <c r="AR81" s="44"/>
      <c r="AS81" s="44"/>
      <c r="AT81" s="44"/>
      <c r="AU81" s="44"/>
      <c r="AV81" s="44"/>
      <c r="AW81" s="44"/>
      <c r="AX81" s="44"/>
      <c r="AY81" s="44"/>
      <c r="AZ81" s="44"/>
    </row>
    <row r="82">
      <c r="A82" s="62" t="s">
        <v>624</v>
      </c>
      <c r="B82" s="63" t="s">
        <v>625</v>
      </c>
      <c r="C82" s="64" t="s">
        <v>626</v>
      </c>
      <c r="D82" s="47" t="s">
        <v>101</v>
      </c>
      <c r="E82" s="64" t="s">
        <v>39</v>
      </c>
      <c r="F82" s="31" t="s">
        <v>60</v>
      </c>
      <c r="G82" s="31"/>
      <c r="H82" s="31"/>
      <c r="I82" s="31" t="s">
        <v>40</v>
      </c>
      <c r="J82" s="31" t="s">
        <v>102</v>
      </c>
      <c r="K82" s="31" t="s">
        <v>72</v>
      </c>
      <c r="L82" s="32">
        <f>IFERROR(__xludf.DUMMYFUNCTION("VLOOKUP($A82,IMPORTRANGE(""1PQtfbQLqBUP-rjYRznmgNFBLOjvAnhGzpIx7BJWq8rk"",""'Worksheet'!$B$2:$H""),7,FALSE)"),0.75)</f>
        <v>0.75</v>
      </c>
      <c r="M82" s="31" t="s">
        <v>45</v>
      </c>
      <c r="N82" s="49">
        <v>1.345953477E8</v>
      </c>
      <c r="O82" s="49">
        <v>4.53072888E7</v>
      </c>
      <c r="P82" s="49">
        <f t="shared" si="16"/>
        <v>89288058.9</v>
      </c>
      <c r="Q82" s="34">
        <f t="shared" si="7"/>
        <v>0.6633814647</v>
      </c>
      <c r="R82" s="31"/>
      <c r="S82" s="31" t="s">
        <v>40</v>
      </c>
      <c r="T82" s="50" t="s">
        <v>627</v>
      </c>
      <c r="U82" s="51">
        <v>0.0</v>
      </c>
      <c r="V82" s="51" t="s">
        <v>627</v>
      </c>
      <c r="W82" s="31"/>
      <c r="X82" s="52" t="s">
        <v>46</v>
      </c>
      <c r="Y82" s="54" t="s">
        <v>628</v>
      </c>
      <c r="Z82" s="54" t="s">
        <v>629</v>
      </c>
      <c r="AA82" s="68">
        <v>46310.0</v>
      </c>
      <c r="AB82" s="56"/>
      <c r="AC82" s="121"/>
      <c r="AD82" s="39">
        <v>151024.29</v>
      </c>
      <c r="AE82" s="39">
        <v>45307.2888</v>
      </c>
      <c r="AF82" s="40">
        <v>105717.0012</v>
      </c>
      <c r="AG82" s="57" t="s">
        <v>630</v>
      </c>
      <c r="AH82" s="42" t="s">
        <v>272</v>
      </c>
      <c r="AI82" s="42" t="str">
        <f>IFERROR(__xludf.DUMMYFUNCTION("vLOOKUP(A82,IMPORTRANGE(""https://docs.google.com/spreadsheets/d/1Rawwwdh8wntXGy8isdYNHxsNQS4n_rC8JSdPfj6vEq4"",""'500 объектов перенос на 2026'!A3:AB502""),13,0)"),"#REF!")</f>
        <v>#REF!</v>
      </c>
      <c r="AJ82" s="85" t="s">
        <v>631</v>
      </c>
      <c r="AK82" s="75" t="s">
        <v>632</v>
      </c>
      <c r="AL82" s="70" t="s">
        <v>633</v>
      </c>
      <c r="AM82" s="70"/>
      <c r="AO82" s="44"/>
      <c r="AP82" s="44"/>
      <c r="AQ82" s="44"/>
      <c r="AR82" s="44"/>
      <c r="AS82" s="44"/>
      <c r="AT82" s="44"/>
      <c r="AU82" s="44"/>
      <c r="AV82" s="44"/>
      <c r="AW82" s="44"/>
      <c r="AX82" s="44"/>
      <c r="AY82" s="44"/>
      <c r="AZ82" s="44"/>
    </row>
    <row r="83">
      <c r="A83" s="62" t="s">
        <v>634</v>
      </c>
      <c r="B83" s="63" t="s">
        <v>635</v>
      </c>
      <c r="C83" s="64" t="s">
        <v>636</v>
      </c>
      <c r="D83" s="47" t="s">
        <v>505</v>
      </c>
      <c r="E83" s="64" t="s">
        <v>59</v>
      </c>
      <c r="F83" s="31" t="s">
        <v>40</v>
      </c>
      <c r="G83" s="31" t="s">
        <v>156</v>
      </c>
      <c r="H83" s="31" t="s">
        <v>637</v>
      </c>
      <c r="I83" s="31" t="s">
        <v>60</v>
      </c>
      <c r="J83" s="31"/>
      <c r="K83" s="31"/>
      <c r="L83" s="32">
        <f>IFERROR(__xludf.DUMMYFUNCTION("VLOOKUP($A83,IMPORTRANGE(""1PQtfbQLqBUP-rjYRznmgNFBLOjvAnhGzpIx7BJWq8rk"",""'Worksheet'!$B$2:$H""),7,FALSE)"),0.87)</f>
        <v>0.87</v>
      </c>
      <c r="M83" s="31" t="s">
        <v>40</v>
      </c>
      <c r="N83" s="49">
        <v>1.27113E8</v>
      </c>
      <c r="O83" s="49">
        <v>3.81339E7</v>
      </c>
      <c r="P83" s="49">
        <f t="shared" si="16"/>
        <v>88979100</v>
      </c>
      <c r="Q83" s="34">
        <f t="shared" si="7"/>
        <v>0.7</v>
      </c>
      <c r="R83" s="31"/>
      <c r="S83" s="31" t="s">
        <v>40</v>
      </c>
      <c r="T83" s="50" t="s">
        <v>638</v>
      </c>
      <c r="U83" s="51">
        <v>0.0</v>
      </c>
      <c r="V83" s="51" t="s">
        <v>638</v>
      </c>
      <c r="W83" s="31"/>
      <c r="X83" s="52" t="s">
        <v>49</v>
      </c>
      <c r="Y83" s="54" t="s">
        <v>639</v>
      </c>
      <c r="Z83" s="54" t="s">
        <v>640</v>
      </c>
      <c r="AA83" s="74">
        <v>46249.0</v>
      </c>
      <c r="AB83" s="56"/>
      <c r="AC83" s="38"/>
      <c r="AD83" s="39">
        <v>129362.51</v>
      </c>
      <c r="AE83" s="39">
        <v>38133.9</v>
      </c>
      <c r="AF83" s="40">
        <v>91228.61</v>
      </c>
      <c r="AG83" s="57" t="s">
        <v>641</v>
      </c>
      <c r="AH83" s="42" t="s">
        <v>49</v>
      </c>
      <c r="AI83" s="42" t="str">
        <f>IFERROR(__xludf.DUMMYFUNCTION("vLOOKUP(A83,IMPORTRANGE(""https://docs.google.com/spreadsheets/d/1Rawwwdh8wntXGy8isdYNHxsNQS4n_rC8JSdPfj6vEq4"",""'500 объектов перенос на 2026'!A3:AB502""),13,0)"),"#REF!")</f>
        <v>#REF!</v>
      </c>
      <c r="AJ83" s="42" t="str">
        <f>IFERROR(__xludf.DUMMYFUNCTION("vLOOKUP(A83,IMPORTRANGE(""https://docs.google.com/spreadsheets/d/1Rawwwdh8wntXGy8isdYNHxsNQS4n_rC8JSdPfj6vEq4"",""'500 объектов перенос на 2026'!A3:AB502""),14,0)"),"#REF!")</f>
        <v>#REF!</v>
      </c>
      <c r="AK83" s="43"/>
      <c r="AL83" s="76"/>
      <c r="AM83" s="70"/>
      <c r="AO83" s="44"/>
      <c r="AP83" s="44"/>
      <c r="AQ83" s="44"/>
      <c r="AR83" s="44"/>
      <c r="AS83" s="44"/>
      <c r="AT83" s="44"/>
      <c r="AU83" s="44"/>
      <c r="AV83" s="44"/>
      <c r="AW83" s="44"/>
      <c r="AX83" s="44"/>
      <c r="AY83" s="44"/>
      <c r="AZ83" s="44"/>
    </row>
    <row r="84">
      <c r="A84" s="62" t="s">
        <v>642</v>
      </c>
      <c r="B84" s="63" t="s">
        <v>126</v>
      </c>
      <c r="C84" s="64" t="s">
        <v>643</v>
      </c>
      <c r="D84" s="47" t="s">
        <v>171</v>
      </c>
      <c r="E84" s="64" t="s">
        <v>85</v>
      </c>
      <c r="F84" s="31" t="s">
        <v>60</v>
      </c>
      <c r="G84" s="31"/>
      <c r="H84" s="31"/>
      <c r="I84" s="31" t="s">
        <v>60</v>
      </c>
      <c r="J84" s="31"/>
      <c r="K84" s="31"/>
      <c r="L84" s="32">
        <f>IFERROR(__xludf.DUMMYFUNCTION("VLOOKUP($A84,IMPORTRANGE(""1PQtfbQLqBUP-rjYRznmgNFBLOjvAnhGzpIx7BJWq8rk"",""'Worksheet'!$B$2:$H""),7,FALSE)"),0.98)</f>
        <v>0.98</v>
      </c>
      <c r="M84" s="31" t="s">
        <v>45</v>
      </c>
      <c r="N84" s="49">
        <v>9.895348E7</v>
      </c>
      <c r="O84" s="49">
        <v>8336917.12</v>
      </c>
      <c r="P84" s="49">
        <f t="shared" si="16"/>
        <v>90616562.88</v>
      </c>
      <c r="Q84" s="34">
        <f t="shared" si="7"/>
        <v>0.9157491266</v>
      </c>
      <c r="R84" s="31"/>
      <c r="S84" s="31" t="s">
        <v>45</v>
      </c>
      <c r="T84" s="72" t="s">
        <v>644</v>
      </c>
      <c r="U84" s="67" t="s">
        <v>645</v>
      </c>
      <c r="V84" s="67" t="s">
        <v>646</v>
      </c>
      <c r="W84" s="31" t="s">
        <v>148</v>
      </c>
      <c r="X84" s="92" t="s">
        <v>647</v>
      </c>
      <c r="Y84" s="54" t="s">
        <v>648</v>
      </c>
      <c r="Z84" s="74"/>
      <c r="AA84" s="74">
        <v>46203.0</v>
      </c>
      <c r="AB84" s="56"/>
      <c r="AC84" s="38"/>
      <c r="AD84" s="39">
        <v>98953.48</v>
      </c>
      <c r="AE84" s="39">
        <v>37801.22722</v>
      </c>
      <c r="AF84" s="40">
        <v>61152.25278</v>
      </c>
      <c r="AG84" s="99" t="s">
        <v>649</v>
      </c>
      <c r="AH84" s="42" t="s">
        <v>650</v>
      </c>
      <c r="AI84" s="42" t="str">
        <f>IFERROR(__xludf.DUMMYFUNCTION("vLOOKUP(A84,IMPORTRANGE(""https://docs.google.com/spreadsheets/d/1Rawwwdh8wntXGy8isdYNHxsNQS4n_rC8JSdPfj6vEq4"",""'500 объектов перенос на 2026'!A3:AB502""),13,0)"),"#REF!")</f>
        <v>#REF!</v>
      </c>
      <c r="AJ84" s="42" t="str">
        <f>IFERROR(__xludf.DUMMYFUNCTION("vLOOKUP(A84,IMPORTRANGE(""https://docs.google.com/spreadsheets/d/1Rawwwdh8wntXGy8isdYNHxsNQS4n_rC8JSdPfj6vEq4"",""'500 объектов перенос на 2026'!A3:AB502""),14,0)"),"#REF!")</f>
        <v>#REF!</v>
      </c>
      <c r="AK84" s="96" t="s">
        <v>651</v>
      </c>
      <c r="AL84" s="70"/>
      <c r="AM84" s="70"/>
      <c r="AO84" s="44"/>
      <c r="AP84" s="44"/>
      <c r="AQ84" s="44"/>
      <c r="AR84" s="44"/>
      <c r="AS84" s="44"/>
      <c r="AT84" s="44"/>
      <c r="AU84" s="44"/>
      <c r="AV84" s="44"/>
      <c r="AW84" s="44"/>
      <c r="AX84" s="44"/>
      <c r="AY84" s="44"/>
      <c r="AZ84" s="44"/>
    </row>
    <row r="85">
      <c r="A85" s="62" t="s">
        <v>652</v>
      </c>
      <c r="B85" s="63" t="s">
        <v>653</v>
      </c>
      <c r="C85" s="64" t="s">
        <v>654</v>
      </c>
      <c r="D85" s="47" t="s">
        <v>655</v>
      </c>
      <c r="E85" s="64" t="s">
        <v>59</v>
      </c>
      <c r="F85" s="31" t="s">
        <v>60</v>
      </c>
      <c r="G85" s="31"/>
      <c r="H85" s="31"/>
      <c r="I85" s="31" t="s">
        <v>40</v>
      </c>
      <c r="J85" s="31" t="s">
        <v>102</v>
      </c>
      <c r="K85" s="31" t="s">
        <v>62</v>
      </c>
      <c r="L85" s="32">
        <f>IFERROR(__xludf.DUMMYFUNCTION("VLOOKUP($A85,IMPORTRANGE(""1PQtfbQLqBUP-rjYRznmgNFBLOjvAnhGzpIx7BJWq8rk"",""'Worksheet'!$B$2:$H""),7,FALSE)"),0.53)</f>
        <v>0.53</v>
      </c>
      <c r="M85" s="31" t="s">
        <v>45</v>
      </c>
      <c r="N85" s="49">
        <v>1.3987372268E8</v>
      </c>
      <c r="O85" s="127">
        <v>1.0756197087E8</v>
      </c>
      <c r="P85" s="49">
        <f t="shared" si="16"/>
        <v>32311751.81</v>
      </c>
      <c r="Q85" s="34">
        <f t="shared" si="7"/>
        <v>0.2310065907</v>
      </c>
      <c r="R85" s="31"/>
      <c r="S85" s="31" t="s">
        <v>45</v>
      </c>
      <c r="T85" s="91" t="s">
        <v>656</v>
      </c>
      <c r="U85" s="117" t="s">
        <v>657</v>
      </c>
      <c r="V85" s="51" t="s">
        <v>658</v>
      </c>
      <c r="W85" s="31"/>
      <c r="X85" s="52" t="s">
        <v>326</v>
      </c>
      <c r="Y85" s="54" t="s">
        <v>659</v>
      </c>
      <c r="Z85" s="54" t="s">
        <v>660</v>
      </c>
      <c r="AA85" s="74">
        <v>46290.0</v>
      </c>
      <c r="AB85" s="56"/>
      <c r="AC85" s="38" t="s">
        <v>45</v>
      </c>
      <c r="AD85" s="39">
        <v>140619.49</v>
      </c>
      <c r="AE85" s="39">
        <v>107561.9709</v>
      </c>
      <c r="AF85" s="40">
        <v>33057.51913</v>
      </c>
      <c r="AG85" s="57">
        <v>107561.9709</v>
      </c>
      <c r="AH85" s="42" t="s">
        <v>661</v>
      </c>
      <c r="AI85" s="42" t="str">
        <f>IFERROR(__xludf.DUMMYFUNCTION("vLOOKUP(A85,IMPORTRANGE(""https://docs.google.com/spreadsheets/d/1Rawwwdh8wntXGy8isdYNHxsNQS4n_rC8JSdPfj6vEq4"",""'500 объектов перенос на 2026'!A3:AB502""),13,0)"),"#REF!")</f>
        <v>#REF!</v>
      </c>
      <c r="AJ85" s="42" t="str">
        <f>IFERROR(__xludf.DUMMYFUNCTION("vLOOKUP(A85,IMPORTRANGE(""https://docs.google.com/spreadsheets/d/1Rawwwdh8wntXGy8isdYNHxsNQS4n_rC8JSdPfj6vEq4"",""'500 объектов перенос на 2026'!A3:AB502""),14,0)"),"#REF!")</f>
        <v>#REF!</v>
      </c>
      <c r="AK85" s="43"/>
      <c r="AL85" s="76"/>
      <c r="AM85" s="70"/>
      <c r="AO85" s="43"/>
      <c r="AP85" s="43"/>
      <c r="AQ85" s="43"/>
      <c r="AR85" s="43"/>
      <c r="AS85" s="43"/>
      <c r="AT85" s="43"/>
      <c r="AU85" s="43"/>
      <c r="AV85" s="43"/>
      <c r="AW85" s="43"/>
      <c r="AX85" s="43"/>
      <c r="AY85" s="43"/>
      <c r="AZ85" s="43"/>
    </row>
    <row r="86">
      <c r="A86" s="62" t="s">
        <v>662</v>
      </c>
      <c r="B86" s="63" t="s">
        <v>56</v>
      </c>
      <c r="C86" s="64" t="s">
        <v>663</v>
      </c>
      <c r="D86" s="47" t="s">
        <v>664</v>
      </c>
      <c r="E86" s="64" t="s">
        <v>85</v>
      </c>
      <c r="F86" s="31" t="s">
        <v>40</v>
      </c>
      <c r="G86" s="31" t="s">
        <v>41</v>
      </c>
      <c r="H86" s="31" t="s">
        <v>343</v>
      </c>
      <c r="I86" s="31" t="s">
        <v>40</v>
      </c>
      <c r="J86" s="31" t="s">
        <v>102</v>
      </c>
      <c r="K86" s="31"/>
      <c r="L86" s="32">
        <f>IFERROR(__xludf.DUMMYFUNCTION("VLOOKUP($A86,IMPORTRANGE(""1PQtfbQLqBUP-rjYRznmgNFBLOjvAnhGzpIx7BJWq8rk"",""'Worksheet'!$B$2:$H""),7,FALSE)"),0.68)</f>
        <v>0.68</v>
      </c>
      <c r="M86" s="31" t="s">
        <v>45</v>
      </c>
      <c r="N86" s="49">
        <v>1.75874E8</v>
      </c>
      <c r="O86" s="49">
        <v>8.7937E7</v>
      </c>
      <c r="P86" s="49">
        <f t="shared" si="16"/>
        <v>87937000</v>
      </c>
      <c r="Q86" s="34">
        <f t="shared" si="7"/>
        <v>0.5</v>
      </c>
      <c r="R86" s="31"/>
      <c r="S86" s="31" t="s">
        <v>45</v>
      </c>
      <c r="T86" s="72" t="s">
        <v>665</v>
      </c>
      <c r="U86" s="67" t="s">
        <v>666</v>
      </c>
      <c r="V86" s="67" t="s">
        <v>667</v>
      </c>
      <c r="W86" s="31"/>
      <c r="X86" s="52" t="s">
        <v>49</v>
      </c>
      <c r="Y86" s="54" t="s">
        <v>496</v>
      </c>
      <c r="Z86" s="54" t="s">
        <v>668</v>
      </c>
      <c r="AA86" s="68">
        <v>46249.0</v>
      </c>
      <c r="AB86" s="56"/>
      <c r="AC86" s="38"/>
      <c r="AD86" s="39">
        <v>175874.24</v>
      </c>
      <c r="AE86" s="39">
        <v>87937.0</v>
      </c>
      <c r="AF86" s="40">
        <v>87937.24</v>
      </c>
      <c r="AG86" s="57" t="s">
        <v>669</v>
      </c>
      <c r="AH86" s="69" t="s">
        <v>66</v>
      </c>
      <c r="AI86" s="42" t="str">
        <f>IFERROR(__xludf.DUMMYFUNCTION("vLOOKUP(A86,IMPORTRANGE(""https://docs.google.com/spreadsheets/d/1Rawwwdh8wntXGy8isdYNHxsNQS4n_rC8JSdPfj6vEq4"",""'500 объектов перенос на 2026'!A3:AB502""),13,0)"),"#REF!")</f>
        <v>#REF!</v>
      </c>
      <c r="AJ86" s="42" t="str">
        <f>IFERROR(__xludf.DUMMYFUNCTION("vLOOKUP(A86,IMPORTRANGE(""https://docs.google.com/spreadsheets/d/1Rawwwdh8wntXGy8isdYNHxsNQS4n_rC8JSdPfj6vEq4"",""'500 объектов перенос на 2026'!A3:AB502""),14,0)"),"#REF!")</f>
        <v>#REF!</v>
      </c>
      <c r="AK86" s="96" t="s">
        <v>670</v>
      </c>
      <c r="AL86" s="70"/>
      <c r="AM86" s="70"/>
      <c r="AO86" s="43"/>
      <c r="AP86" s="43"/>
      <c r="AQ86" s="43"/>
      <c r="AR86" s="43"/>
      <c r="AS86" s="43"/>
      <c r="AT86" s="43"/>
      <c r="AU86" s="43"/>
      <c r="AV86" s="43"/>
      <c r="AW86" s="43"/>
      <c r="AX86" s="43"/>
      <c r="AY86" s="43"/>
      <c r="AZ86" s="43"/>
    </row>
    <row r="87">
      <c r="A87" s="62" t="s">
        <v>671</v>
      </c>
      <c r="B87" s="63" t="s">
        <v>70</v>
      </c>
      <c r="C87" s="64" t="s">
        <v>672</v>
      </c>
      <c r="D87" s="47" t="s">
        <v>237</v>
      </c>
      <c r="E87" s="64" t="s">
        <v>85</v>
      </c>
      <c r="F87" s="31" t="s">
        <v>60</v>
      </c>
      <c r="G87" s="31"/>
      <c r="H87" s="31"/>
      <c r="I87" s="31" t="s">
        <v>60</v>
      </c>
      <c r="J87" s="31"/>
      <c r="K87" s="31"/>
      <c r="L87" s="32">
        <f>IFERROR(__xludf.DUMMYFUNCTION("VLOOKUP($A87,IMPORTRANGE(""1PQtfbQLqBUP-rjYRznmgNFBLOjvAnhGzpIx7BJWq8rk"",""'Worksheet'!$B$2:$H""),7,FALSE)"),0.88)</f>
        <v>0.88</v>
      </c>
      <c r="M87" s="31" t="s">
        <v>45</v>
      </c>
      <c r="N87" s="49">
        <v>2.1167282364E8</v>
      </c>
      <c r="O87" s="49">
        <v>2.0832257078E8</v>
      </c>
      <c r="P87" s="49">
        <f t="shared" si="16"/>
        <v>3350252.86</v>
      </c>
      <c r="Q87" s="34">
        <f t="shared" si="7"/>
        <v>0.01582750588</v>
      </c>
      <c r="R87" s="31"/>
      <c r="S87" s="31" t="s">
        <v>45</v>
      </c>
      <c r="T87" s="50">
        <v>2.1167282364E8</v>
      </c>
      <c r="U87" s="51">
        <v>2.0311029009E8</v>
      </c>
      <c r="V87" s="51">
        <v>8562533.5</v>
      </c>
      <c r="W87" s="31" t="s">
        <v>183</v>
      </c>
      <c r="X87" s="52" t="s">
        <v>507</v>
      </c>
      <c r="Y87" s="73" t="s">
        <v>673</v>
      </c>
      <c r="Z87" s="54" t="s">
        <v>75</v>
      </c>
      <c r="AA87" s="74">
        <v>46203.0</v>
      </c>
      <c r="AB87" s="56"/>
      <c r="AC87" s="121" t="s">
        <v>674</v>
      </c>
      <c r="AD87" s="39">
        <v>257853.5168</v>
      </c>
      <c r="AE87" s="39">
        <v>128926.76</v>
      </c>
      <c r="AF87" s="40">
        <v>128926.7568</v>
      </c>
      <c r="AG87" s="57" t="s">
        <v>675</v>
      </c>
      <c r="AH87" s="85" t="s">
        <v>676</v>
      </c>
      <c r="AI87" s="42" t="str">
        <f>IFERROR(__xludf.DUMMYFUNCTION("vLOOKUP(A87,IMPORTRANGE(""https://docs.google.com/spreadsheets/d/1Rawwwdh8wntXGy8isdYNHxsNQS4n_rC8JSdPfj6vEq4"",""'500 объектов перенос на 2026'!A3:AB502""),13,0)"),"#REF!")</f>
        <v>#REF!</v>
      </c>
      <c r="AJ87" s="42" t="str">
        <f>IFERROR(__xludf.DUMMYFUNCTION("vLOOKUP(A87,IMPORTRANGE(""https://docs.google.com/spreadsheets/d/1Rawwwdh8wntXGy8isdYNHxsNQS4n_rC8JSdPfj6vEq4"",""'500 объектов перенос на 2026'!A3:AB502""),14,0)"),"#REF!")</f>
        <v>#REF!</v>
      </c>
      <c r="AK87" s="43"/>
      <c r="AL87" s="70" t="s">
        <v>677</v>
      </c>
      <c r="AM87" s="70"/>
      <c r="AO87" s="43"/>
      <c r="AP87" s="43"/>
      <c r="AQ87" s="43"/>
      <c r="AR87" s="43"/>
      <c r="AS87" s="43"/>
      <c r="AT87" s="43"/>
      <c r="AU87" s="43"/>
      <c r="AV87" s="43"/>
      <c r="AW87" s="43"/>
      <c r="AX87" s="43"/>
      <c r="AY87" s="43"/>
      <c r="AZ87" s="43"/>
    </row>
    <row r="88">
      <c r="A88" s="78" t="s">
        <v>678</v>
      </c>
      <c r="B88" s="63" t="s">
        <v>268</v>
      </c>
      <c r="C88" s="64" t="s">
        <v>679</v>
      </c>
      <c r="D88" s="47" t="s">
        <v>505</v>
      </c>
      <c r="E88" s="64" t="s">
        <v>59</v>
      </c>
      <c r="F88" s="31" t="s">
        <v>60</v>
      </c>
      <c r="G88" s="31"/>
      <c r="H88" s="31"/>
      <c r="I88" s="31" t="s">
        <v>60</v>
      </c>
      <c r="J88" s="31"/>
      <c r="K88" s="31"/>
      <c r="L88" s="32" t="str">
        <f>IFERROR(__xludf.DUMMYFUNCTION("VLOOKUP($A88,IMPORTRANGE(""1PQtfbQLqBUP-rjYRznmgNFBLOjvAnhGzpIx7BJWq8rk"",""'Worksheet'!$B$2:$H""),7,FALSE)"),"#N/A")</f>
        <v>#N/A</v>
      </c>
      <c r="M88" s="31" t="s">
        <v>60</v>
      </c>
      <c r="N88" s="49">
        <v>2.954643E7</v>
      </c>
      <c r="O88" s="49">
        <v>2.825891256E7</v>
      </c>
      <c r="P88" s="49">
        <v>0.0</v>
      </c>
      <c r="Q88" s="34">
        <f t="shared" si="7"/>
        <v>0.04357607467</v>
      </c>
      <c r="R88" s="31"/>
      <c r="S88" s="31" t="s">
        <v>60</v>
      </c>
      <c r="T88" s="50" t="s">
        <v>680</v>
      </c>
      <c r="U88" s="51" t="s">
        <v>680</v>
      </c>
      <c r="V88" s="51">
        <v>0.0</v>
      </c>
      <c r="W88" s="31"/>
      <c r="X88" s="52" t="s">
        <v>113</v>
      </c>
      <c r="Y88" s="54" t="s">
        <v>437</v>
      </c>
      <c r="Z88" s="54" t="s">
        <v>437</v>
      </c>
      <c r="AA88" s="54" t="s">
        <v>114</v>
      </c>
      <c r="AB88" s="38" t="s">
        <v>115</v>
      </c>
      <c r="AC88" s="38"/>
      <c r="AD88" s="39">
        <v>29546.43</v>
      </c>
      <c r="AE88" s="39">
        <v>28258.91256</v>
      </c>
      <c r="AF88" s="39">
        <v>1287.51744</v>
      </c>
      <c r="AG88" s="57" t="s">
        <v>681</v>
      </c>
      <c r="AH88" s="42"/>
      <c r="AI88" s="42" t="str">
        <f>IFERROR(__xludf.DUMMYFUNCTION("vLOOKUP(A88,IMPORTRANGE(""https://docs.google.com/spreadsheets/d/1Rawwwdh8wntXGy8isdYNHxsNQS4n_rC8JSdPfj6vEq4"",""'500 объектов перенос на 2026'!A3:AB502""),13,0)"),"#REF!")</f>
        <v>#REF!</v>
      </c>
      <c r="AJ88" s="42" t="str">
        <f>IFERROR(__xludf.DUMMYFUNCTION("vLOOKUP(A88,IMPORTRANGE(""https://docs.google.com/spreadsheets/d/1Rawwwdh8wntXGy8isdYNHxsNQS4n_rC8JSdPfj6vEq4"",""'500 объектов перенос на 2026'!A3:AB502""),14,0)"),"#REF!")</f>
        <v>#REF!</v>
      </c>
      <c r="AK88" s="43"/>
      <c r="AL88" s="70"/>
      <c r="AM88" s="70"/>
      <c r="AO88" s="43"/>
      <c r="AP88" s="43"/>
      <c r="AQ88" s="43"/>
      <c r="AR88" s="43"/>
      <c r="AS88" s="43"/>
      <c r="AT88" s="43"/>
      <c r="AU88" s="43"/>
      <c r="AV88" s="43"/>
      <c r="AW88" s="43"/>
      <c r="AX88" s="43"/>
      <c r="AY88" s="43"/>
      <c r="AZ88" s="43"/>
    </row>
    <row r="89">
      <c r="A89" s="78" t="s">
        <v>682</v>
      </c>
      <c r="B89" s="63" t="s">
        <v>268</v>
      </c>
      <c r="C89" s="64" t="s">
        <v>683</v>
      </c>
      <c r="D89" s="47" t="s">
        <v>505</v>
      </c>
      <c r="E89" s="90" t="s">
        <v>59</v>
      </c>
      <c r="F89" s="31" t="s">
        <v>60</v>
      </c>
      <c r="G89" s="31"/>
      <c r="H89" s="31"/>
      <c r="I89" s="31" t="s">
        <v>60</v>
      </c>
      <c r="J89" s="31"/>
      <c r="K89" s="31"/>
      <c r="L89" s="32" t="str">
        <f>IFERROR(__xludf.DUMMYFUNCTION("VLOOKUP($A89,IMPORTRANGE(""1PQtfbQLqBUP-rjYRznmgNFBLOjvAnhGzpIx7BJWq8rk"",""'Worksheet'!$B$2:$H""),7,FALSE)"),"#N/A")</f>
        <v>#N/A</v>
      </c>
      <c r="M89" s="31" t="s">
        <v>60</v>
      </c>
      <c r="N89" s="49">
        <v>1.591718E7</v>
      </c>
      <c r="O89" s="49">
        <v>1.441645065E7</v>
      </c>
      <c r="P89" s="49">
        <v>0.0</v>
      </c>
      <c r="Q89" s="34">
        <f t="shared" si="7"/>
        <v>0.09428361996</v>
      </c>
      <c r="R89" s="31"/>
      <c r="S89" s="31" t="s">
        <v>60</v>
      </c>
      <c r="T89" s="50" t="s">
        <v>684</v>
      </c>
      <c r="U89" s="51" t="s">
        <v>684</v>
      </c>
      <c r="V89" s="51">
        <v>0.0</v>
      </c>
      <c r="W89" s="31"/>
      <c r="X89" s="52" t="s">
        <v>113</v>
      </c>
      <c r="Y89" s="54" t="s">
        <v>437</v>
      </c>
      <c r="Z89" s="54" t="s">
        <v>437</v>
      </c>
      <c r="AA89" s="54" t="s">
        <v>114</v>
      </c>
      <c r="AB89" s="38" t="s">
        <v>115</v>
      </c>
      <c r="AC89" s="38"/>
      <c r="AD89" s="39">
        <v>15917.18</v>
      </c>
      <c r="AE89" s="39">
        <v>4153.5</v>
      </c>
      <c r="AF89" s="39">
        <v>11763.68</v>
      </c>
      <c r="AG89" s="57" t="s">
        <v>685</v>
      </c>
      <c r="AH89" s="42"/>
      <c r="AI89" s="42" t="str">
        <f>IFERROR(__xludf.DUMMYFUNCTION("vLOOKUP(A89,IMPORTRANGE(""https://docs.google.com/spreadsheets/d/1Rawwwdh8wntXGy8isdYNHxsNQS4n_rC8JSdPfj6vEq4"",""'500 объектов перенос на 2026'!A3:AB502""),13,0)"),"#REF!")</f>
        <v>#REF!</v>
      </c>
      <c r="AJ89" s="42" t="str">
        <f>IFERROR(__xludf.DUMMYFUNCTION("vLOOKUP(A89,IMPORTRANGE(""https://docs.google.com/spreadsheets/d/1Rawwwdh8wntXGy8isdYNHxsNQS4n_rC8JSdPfj6vEq4"",""'500 объектов перенос на 2026'!A3:AB502""),14,0)"),"#REF!")</f>
        <v>#REF!</v>
      </c>
      <c r="AK89" s="43"/>
      <c r="AL89" s="70"/>
      <c r="AM89" s="70"/>
      <c r="AO89" s="43"/>
      <c r="AP89" s="43"/>
      <c r="AQ89" s="43"/>
      <c r="AR89" s="43"/>
      <c r="AS89" s="43"/>
      <c r="AT89" s="43"/>
      <c r="AU89" s="43"/>
      <c r="AV89" s="43"/>
      <c r="AW89" s="43"/>
      <c r="AX89" s="43"/>
      <c r="AY89" s="43"/>
      <c r="AZ89" s="43"/>
    </row>
    <row r="90">
      <c r="A90" s="62" t="s">
        <v>686</v>
      </c>
      <c r="B90" s="63" t="s">
        <v>142</v>
      </c>
      <c r="C90" s="64" t="s">
        <v>687</v>
      </c>
      <c r="D90" s="47" t="s">
        <v>476</v>
      </c>
      <c r="E90" s="64" t="s">
        <v>59</v>
      </c>
      <c r="F90" s="31" t="s">
        <v>40</v>
      </c>
      <c r="G90" s="31" t="s">
        <v>156</v>
      </c>
      <c r="H90" s="31" t="s">
        <v>260</v>
      </c>
      <c r="I90" s="31" t="s">
        <v>40</v>
      </c>
      <c r="J90" s="31" t="s">
        <v>102</v>
      </c>
      <c r="K90" s="31"/>
      <c r="L90" s="32">
        <f>IFERROR(__xludf.DUMMYFUNCTION("VLOOKUP($A90,IMPORTRANGE(""1PQtfbQLqBUP-rjYRznmgNFBLOjvAnhGzpIx7BJWq8rk"",""'Worksheet'!$B$2:$H""),7,FALSE)"),0.9)</f>
        <v>0.9</v>
      </c>
      <c r="M90" s="31" t="s">
        <v>40</v>
      </c>
      <c r="N90" s="49">
        <v>1.146638597E8</v>
      </c>
      <c r="O90" s="49">
        <v>3.439915791E7</v>
      </c>
      <c r="P90" s="49">
        <f t="shared" ref="P90:P93" si="17">N90-O90</f>
        <v>80264701.79</v>
      </c>
      <c r="Q90" s="34">
        <f t="shared" si="7"/>
        <v>0.7</v>
      </c>
      <c r="R90" s="31"/>
      <c r="S90" s="31" t="s">
        <v>45</v>
      </c>
      <c r="T90" s="72" t="s">
        <v>688</v>
      </c>
      <c r="U90" s="67" t="s">
        <v>689</v>
      </c>
      <c r="V90" s="67" t="s">
        <v>690</v>
      </c>
      <c r="W90" s="31"/>
      <c r="X90" s="52" t="s">
        <v>46</v>
      </c>
      <c r="Y90" s="54" t="s">
        <v>691</v>
      </c>
      <c r="Z90" s="54" t="s">
        <v>431</v>
      </c>
      <c r="AA90" s="74">
        <v>46266.0</v>
      </c>
      <c r="AB90" s="56"/>
      <c r="AC90" s="38"/>
      <c r="AD90" s="39">
        <v>115240.06</v>
      </c>
      <c r="AE90" s="39">
        <v>34399.15791</v>
      </c>
      <c r="AF90" s="40">
        <v>80840.90209</v>
      </c>
      <c r="AG90" s="57" t="s">
        <v>692</v>
      </c>
      <c r="AH90" s="42" t="s">
        <v>49</v>
      </c>
      <c r="AI90" s="42" t="str">
        <f>IFERROR(__xludf.DUMMYFUNCTION("vLOOKUP(A90,IMPORTRANGE(""https://docs.google.com/spreadsheets/d/1Rawwwdh8wntXGy8isdYNHxsNQS4n_rC8JSdPfj6vEq4"",""'500 объектов перенос на 2026'!A3:AB502""),13,0)"),"#REF!")</f>
        <v>#REF!</v>
      </c>
      <c r="AJ90" s="42" t="str">
        <f>IFERROR(__xludf.DUMMYFUNCTION("vLOOKUP(A90,IMPORTRANGE(""https://docs.google.com/spreadsheets/d/1Rawwwdh8wntXGy8isdYNHxsNQS4n_rC8JSdPfj6vEq4"",""'500 объектов перенос на 2026'!A3:AB502""),14,0)"),"#REF!")</f>
        <v>#REF!</v>
      </c>
      <c r="AK90" s="43"/>
      <c r="AL90" s="110"/>
      <c r="AM90" s="110"/>
      <c r="AO90" s="43"/>
      <c r="AP90" s="43"/>
      <c r="AQ90" s="43"/>
      <c r="AR90" s="43"/>
      <c r="AS90" s="43"/>
      <c r="AT90" s="43"/>
      <c r="AU90" s="43"/>
      <c r="AV90" s="43"/>
      <c r="AW90" s="43"/>
      <c r="AX90" s="43"/>
      <c r="AY90" s="43"/>
      <c r="AZ90" s="43"/>
    </row>
    <row r="91">
      <c r="A91" s="62" t="s">
        <v>693</v>
      </c>
      <c r="B91" s="63" t="s">
        <v>653</v>
      </c>
      <c r="C91" s="64" t="s">
        <v>694</v>
      </c>
      <c r="D91" s="47" t="s">
        <v>695</v>
      </c>
      <c r="E91" s="64" t="s">
        <v>59</v>
      </c>
      <c r="F91" s="31" t="s">
        <v>60</v>
      </c>
      <c r="G91" s="31"/>
      <c r="H91" s="31"/>
      <c r="I91" s="31" t="s">
        <v>40</v>
      </c>
      <c r="J91" s="31" t="s">
        <v>102</v>
      </c>
      <c r="K91" s="31" t="s">
        <v>62</v>
      </c>
      <c r="L91" s="32">
        <f>IFERROR(__xludf.DUMMYFUNCTION("VLOOKUP($A91,IMPORTRANGE(""1PQtfbQLqBUP-rjYRznmgNFBLOjvAnhGzpIx7BJWq8rk"",""'Worksheet'!$B$2:$H""),7,FALSE)"),0.67)</f>
        <v>0.67</v>
      </c>
      <c r="M91" s="31" t="s">
        <v>40</v>
      </c>
      <c r="N91" s="49">
        <v>1.0511412E8</v>
      </c>
      <c r="O91" s="127">
        <v>2.627853E7</v>
      </c>
      <c r="P91" s="49">
        <f t="shared" si="17"/>
        <v>78835590</v>
      </c>
      <c r="Q91" s="34">
        <f t="shared" si="7"/>
        <v>0.75</v>
      </c>
      <c r="R91" s="31"/>
      <c r="S91" s="31" t="s">
        <v>40</v>
      </c>
      <c r="T91" s="91" t="s">
        <v>696</v>
      </c>
      <c r="U91" s="51">
        <v>0.0</v>
      </c>
      <c r="V91" s="51" t="s">
        <v>696</v>
      </c>
      <c r="W91" s="31"/>
      <c r="X91" s="52" t="s">
        <v>46</v>
      </c>
      <c r="Y91" s="54" t="s">
        <v>697</v>
      </c>
      <c r="Z91" s="54" t="s">
        <v>698</v>
      </c>
      <c r="AA91" s="68">
        <v>46381.0</v>
      </c>
      <c r="AB91" s="56"/>
      <c r="AC91" s="38" t="s">
        <v>699</v>
      </c>
      <c r="AD91" s="39">
        <v>105114.12</v>
      </c>
      <c r="AE91" s="39">
        <v>26278.53</v>
      </c>
      <c r="AF91" s="40">
        <v>78835.59</v>
      </c>
      <c r="AG91" s="57" t="s">
        <v>700</v>
      </c>
      <c r="AH91" s="42" t="s">
        <v>701</v>
      </c>
      <c r="AI91" s="42" t="str">
        <f>IFERROR(__xludf.DUMMYFUNCTION("vLOOKUP(A91,IMPORTRANGE(""https://docs.google.com/spreadsheets/d/1Rawwwdh8wntXGy8isdYNHxsNQS4n_rC8JSdPfj6vEq4"",""'500 объектов перенос на 2026'!A3:AB502""),13,0)"),"#REF!")</f>
        <v>#REF!</v>
      </c>
      <c r="AJ91" s="42" t="str">
        <f>IFERROR(__xludf.DUMMYFUNCTION("vLOOKUP(A91,IMPORTRANGE(""https://docs.google.com/spreadsheets/d/1Rawwwdh8wntXGy8isdYNHxsNQS4n_rC8JSdPfj6vEq4"",""'500 объектов перенос на 2026'!A3:AB502""),14,0)"),"#REF!")</f>
        <v>#REF!</v>
      </c>
      <c r="AK91" s="43"/>
      <c r="AL91" s="70"/>
      <c r="AM91" s="70"/>
      <c r="AO91" s="43"/>
      <c r="AP91" s="43"/>
      <c r="AQ91" s="43"/>
      <c r="AR91" s="43"/>
      <c r="AS91" s="43"/>
      <c r="AT91" s="43"/>
      <c r="AU91" s="43"/>
      <c r="AV91" s="43"/>
      <c r="AW91" s="43"/>
      <c r="AX91" s="43"/>
      <c r="AY91" s="43"/>
      <c r="AZ91" s="43"/>
    </row>
    <row r="92">
      <c r="A92" s="62" t="s">
        <v>702</v>
      </c>
      <c r="B92" s="63" t="s">
        <v>703</v>
      </c>
      <c r="C92" s="64" t="s">
        <v>704</v>
      </c>
      <c r="D92" s="47" t="s">
        <v>705</v>
      </c>
      <c r="E92" s="64" t="s">
        <v>85</v>
      </c>
      <c r="F92" s="31" t="s">
        <v>60</v>
      </c>
      <c r="G92" s="31"/>
      <c r="H92" s="31"/>
      <c r="I92" s="31" t="s">
        <v>60</v>
      </c>
      <c r="J92" s="31"/>
      <c r="K92" s="31"/>
      <c r="L92" s="32">
        <f>IFERROR(__xludf.DUMMYFUNCTION("VLOOKUP($A92,IMPORTRANGE(""1PQtfbQLqBUP-rjYRznmgNFBLOjvAnhGzpIx7BJWq8rk"",""'Worksheet'!$B$2:$H""),7,FALSE)"),0.98)</f>
        <v>0.98</v>
      </c>
      <c r="M92" s="31" t="s">
        <v>45</v>
      </c>
      <c r="N92" s="49">
        <v>1.6244128914E8</v>
      </c>
      <c r="O92" s="49">
        <v>1.3786524632E8</v>
      </c>
      <c r="P92" s="49">
        <f t="shared" si="17"/>
        <v>24576042.82</v>
      </c>
      <c r="Q92" s="34">
        <f t="shared" si="7"/>
        <v>0.151291848</v>
      </c>
      <c r="R92" s="31"/>
      <c r="S92" s="31" t="s">
        <v>45</v>
      </c>
      <c r="T92" s="91"/>
      <c r="U92" s="51"/>
      <c r="V92" s="51"/>
      <c r="W92" s="31"/>
      <c r="X92" s="52" t="s">
        <v>507</v>
      </c>
      <c r="Y92" s="128" t="s">
        <v>706</v>
      </c>
      <c r="Z92" s="54" t="s">
        <v>707</v>
      </c>
      <c r="AA92" s="74">
        <v>46218.0</v>
      </c>
      <c r="AB92" s="38"/>
      <c r="AC92" s="38"/>
      <c r="AD92" s="129">
        <v>1.62441289E8</v>
      </c>
      <c r="AE92" s="129">
        <v>1.37865246E8</v>
      </c>
      <c r="AF92" s="40">
        <f>AD92-AE92</f>
        <v>24576043</v>
      </c>
      <c r="AG92" s="99" t="s">
        <v>708</v>
      </c>
      <c r="AH92" s="85"/>
      <c r="AI92" s="42" t="str">
        <f>IFERROR(__xludf.DUMMYFUNCTION("vLOOKUP(A92,IMPORTRANGE(""https://docs.google.com/spreadsheets/d/1Rawwwdh8wntXGy8isdYNHxsNQS4n_rC8JSdPfj6vEq4"",""'500 объектов перенос на 2026'!A3:AB502""),13,0)"),"#REF!")</f>
        <v>#REF!</v>
      </c>
      <c r="AJ92" s="42" t="str">
        <f>IFERROR(__xludf.DUMMYFUNCTION("vLOOKUP(A92,IMPORTRANGE(""https://docs.google.com/spreadsheets/d/1Rawwwdh8wntXGy8isdYNHxsNQS4n_rC8JSdPfj6vEq4"",""'500 объектов перенос на 2026'!A3:AB502""),14,0)"),"#REF!")</f>
        <v>#REF!</v>
      </c>
      <c r="AK92" s="130" t="s">
        <v>709</v>
      </c>
      <c r="AL92" s="110"/>
      <c r="AM92" s="110"/>
      <c r="AO92" s="43"/>
      <c r="AP92" s="43"/>
      <c r="AQ92" s="43"/>
      <c r="AR92" s="43"/>
      <c r="AS92" s="43"/>
      <c r="AT92" s="43"/>
      <c r="AU92" s="43"/>
      <c r="AV92" s="43"/>
      <c r="AW92" s="43"/>
      <c r="AX92" s="43"/>
      <c r="AY92" s="43"/>
      <c r="AZ92" s="43"/>
    </row>
    <row r="93">
      <c r="A93" s="62" t="s">
        <v>710</v>
      </c>
      <c r="B93" s="63" t="s">
        <v>711</v>
      </c>
      <c r="C93" s="64" t="s">
        <v>712</v>
      </c>
      <c r="D93" s="47" t="s">
        <v>227</v>
      </c>
      <c r="E93" s="64" t="s">
        <v>39</v>
      </c>
      <c r="F93" s="31" t="s">
        <v>60</v>
      </c>
      <c r="G93" s="31"/>
      <c r="H93" s="31"/>
      <c r="I93" s="31" t="s">
        <v>40</v>
      </c>
      <c r="J93" s="31" t="s">
        <v>102</v>
      </c>
      <c r="K93" s="31" t="s">
        <v>713</v>
      </c>
      <c r="L93" s="32">
        <f>IFERROR(__xludf.DUMMYFUNCTION("VLOOKUP($A93,IMPORTRANGE(""1PQtfbQLqBUP-rjYRznmgNFBLOjvAnhGzpIx7BJWq8rk"",""'Worksheet'!$B$2:$H""),7,FALSE)"),0.37)</f>
        <v>0.37</v>
      </c>
      <c r="M93" s="31" t="s">
        <v>40</v>
      </c>
      <c r="N93" s="49">
        <v>1.4921788954E8</v>
      </c>
      <c r="O93" s="49">
        <v>7.460894478E7</v>
      </c>
      <c r="P93" s="49">
        <f t="shared" si="17"/>
        <v>74608944.76</v>
      </c>
      <c r="Q93" s="34">
        <f t="shared" si="7"/>
        <v>0.4999999999</v>
      </c>
      <c r="R93" s="31"/>
      <c r="S93" s="31" t="s">
        <v>40</v>
      </c>
      <c r="T93" s="50"/>
      <c r="U93" s="51"/>
      <c r="V93" s="51"/>
      <c r="W93" s="31"/>
      <c r="X93" s="52" t="s">
        <v>46</v>
      </c>
      <c r="Y93" s="54" t="s">
        <v>714</v>
      </c>
      <c r="Z93" s="54" t="s">
        <v>715</v>
      </c>
      <c r="AA93" s="74">
        <v>46326.0</v>
      </c>
      <c r="AB93" s="56"/>
      <c r="AC93" s="38"/>
      <c r="AD93" s="39">
        <v>149217.89</v>
      </c>
      <c r="AE93" s="39">
        <v>74608.94478</v>
      </c>
      <c r="AF93" s="40">
        <v>74608.94522</v>
      </c>
      <c r="AG93" s="57" t="s">
        <v>716</v>
      </c>
      <c r="AH93" s="42" t="s">
        <v>717</v>
      </c>
      <c r="AI93" s="42" t="str">
        <f>IFERROR(__xludf.DUMMYFUNCTION("vLOOKUP(A93,IMPORTRANGE(""https://docs.google.com/spreadsheets/d/1Rawwwdh8wntXGy8isdYNHxsNQS4n_rC8JSdPfj6vEq4"",""'500 объектов перенос на 2026'!A3:AB502""),13,0)"),"#REF!")</f>
        <v>#REF!</v>
      </c>
      <c r="AJ93" s="42" t="str">
        <f>IFERROR(__xludf.DUMMYFUNCTION("vLOOKUP(A93,IMPORTRANGE(""https://docs.google.com/spreadsheets/d/1Rawwwdh8wntXGy8isdYNHxsNQS4n_rC8JSdPfj6vEq4"",""'500 объектов перенос на 2026'!A3:AB502""),14,0)"),"#REF!")</f>
        <v>#REF!</v>
      </c>
      <c r="AK93" s="75" t="s">
        <v>718</v>
      </c>
      <c r="AL93" s="70" t="s">
        <v>719</v>
      </c>
      <c r="AM93" s="70"/>
      <c r="AO93" s="43"/>
      <c r="AP93" s="43"/>
      <c r="AQ93" s="43"/>
      <c r="AR93" s="43"/>
      <c r="AS93" s="43"/>
      <c r="AT93" s="43"/>
      <c r="AU93" s="43"/>
      <c r="AV93" s="43"/>
      <c r="AW93" s="43"/>
      <c r="AX93" s="43"/>
      <c r="AY93" s="43"/>
      <c r="AZ93" s="43"/>
    </row>
    <row r="94">
      <c r="A94" s="78" t="s">
        <v>720</v>
      </c>
      <c r="B94" s="63" t="s">
        <v>268</v>
      </c>
      <c r="C94" s="64" t="s">
        <v>721</v>
      </c>
      <c r="D94" s="47" t="s">
        <v>505</v>
      </c>
      <c r="E94" s="64" t="s">
        <v>59</v>
      </c>
      <c r="F94" s="31" t="s">
        <v>60</v>
      </c>
      <c r="G94" s="31"/>
      <c r="H94" s="31"/>
      <c r="I94" s="31" t="s">
        <v>60</v>
      </c>
      <c r="J94" s="31"/>
      <c r="K94" s="31"/>
      <c r="L94" s="32" t="str">
        <f>IFERROR(__xludf.DUMMYFUNCTION("VLOOKUP($A94,IMPORTRANGE(""1PQtfbQLqBUP-rjYRznmgNFBLOjvAnhGzpIx7BJWq8rk"",""'Worksheet'!$B$2:$H""),7,FALSE)"),"#N/A")</f>
        <v>#N/A</v>
      </c>
      <c r="M94" s="31" t="s">
        <v>60</v>
      </c>
      <c r="N94" s="49">
        <v>1.261231E7</v>
      </c>
      <c r="O94" s="49">
        <v>1.243513566E7</v>
      </c>
      <c r="P94" s="49">
        <v>0.0</v>
      </c>
      <c r="Q94" s="34">
        <f t="shared" si="7"/>
        <v>0.01404773115</v>
      </c>
      <c r="R94" s="31"/>
      <c r="S94" s="31" t="s">
        <v>60</v>
      </c>
      <c r="T94" s="91" t="s">
        <v>722</v>
      </c>
      <c r="U94" s="51" t="s">
        <v>722</v>
      </c>
      <c r="V94" s="51">
        <v>0.0</v>
      </c>
      <c r="W94" s="31"/>
      <c r="X94" s="52" t="s">
        <v>113</v>
      </c>
      <c r="Y94" s="54" t="s">
        <v>437</v>
      </c>
      <c r="Z94" s="54" t="s">
        <v>437</v>
      </c>
      <c r="AA94" s="54" t="s">
        <v>114</v>
      </c>
      <c r="AB94" s="38" t="s">
        <v>115</v>
      </c>
      <c r="AC94" s="38"/>
      <c r="AD94" s="39">
        <v>12629.93</v>
      </c>
      <c r="AE94" s="39">
        <v>3788.979</v>
      </c>
      <c r="AF94" s="39">
        <v>8840.951</v>
      </c>
      <c r="AG94" s="57" t="s">
        <v>723</v>
      </c>
      <c r="AH94" s="42"/>
      <c r="AI94" s="42" t="str">
        <f>IFERROR(__xludf.DUMMYFUNCTION("vLOOKUP(A94,IMPORTRANGE(""https://docs.google.com/spreadsheets/d/1Rawwwdh8wntXGy8isdYNHxsNQS4n_rC8JSdPfj6vEq4"",""'500 объектов перенос на 2026'!A3:AB502""),13,0)"),"#REF!")</f>
        <v>#REF!</v>
      </c>
      <c r="AJ94" s="42" t="str">
        <f>IFERROR(__xludf.DUMMYFUNCTION("vLOOKUP(A94,IMPORTRANGE(""https://docs.google.com/spreadsheets/d/1Rawwwdh8wntXGy8isdYNHxsNQS4n_rC8JSdPfj6vEq4"",""'500 объектов перенос на 2026'!A3:AB502""),14,0)"),"#REF!")</f>
        <v>#REF!</v>
      </c>
      <c r="AK94" s="43"/>
      <c r="AL94" s="70"/>
      <c r="AM94" s="70"/>
      <c r="AO94" s="43"/>
      <c r="AP94" s="43"/>
      <c r="AQ94" s="43"/>
      <c r="AR94" s="43"/>
      <c r="AS94" s="43"/>
      <c r="AT94" s="43"/>
      <c r="AU94" s="43"/>
      <c r="AV94" s="43"/>
      <c r="AW94" s="43"/>
      <c r="AX94" s="43"/>
      <c r="AY94" s="43"/>
      <c r="AZ94" s="43"/>
    </row>
    <row r="95">
      <c r="A95" s="62" t="s">
        <v>724</v>
      </c>
      <c r="B95" s="63" t="s">
        <v>725</v>
      </c>
      <c r="C95" s="104" t="s">
        <v>726</v>
      </c>
      <c r="D95" s="47" t="s">
        <v>727</v>
      </c>
      <c r="E95" s="64" t="s">
        <v>85</v>
      </c>
      <c r="F95" s="31" t="s">
        <v>60</v>
      </c>
      <c r="G95" s="31"/>
      <c r="H95" s="31"/>
      <c r="I95" s="31" t="s">
        <v>40</v>
      </c>
      <c r="J95" s="31" t="s">
        <v>102</v>
      </c>
      <c r="K95" s="31" t="s">
        <v>72</v>
      </c>
      <c r="L95" s="32" t="str">
        <f>IFERROR(__xludf.DUMMYFUNCTION("VLOOKUP($A95,IMPORTRANGE(""1PQtfbQLqBUP-rjYRznmgNFBLOjvAnhGzpIx7BJWq8rk"",""'Worksheet'!$B$2:$H""),7,FALSE)"),"#N/A")</f>
        <v>#N/A</v>
      </c>
      <c r="M95" s="31" t="s">
        <v>45</v>
      </c>
      <c r="N95" s="49">
        <v>1.432E8</v>
      </c>
      <c r="O95" s="49">
        <v>7.062502395E7</v>
      </c>
      <c r="P95" s="49">
        <f t="shared" ref="P95:P98" si="18">N95-O95</f>
        <v>72574976.05</v>
      </c>
      <c r="Q95" s="34">
        <f t="shared" si="7"/>
        <v>0.506808492</v>
      </c>
      <c r="R95" s="31"/>
      <c r="S95" s="31" t="s">
        <v>40</v>
      </c>
      <c r="T95" s="72" t="s">
        <v>728</v>
      </c>
      <c r="U95" s="67">
        <v>6.70937727525E7</v>
      </c>
      <c r="V95" s="67" t="s">
        <v>729</v>
      </c>
      <c r="W95" s="31"/>
      <c r="X95" s="52" t="s">
        <v>46</v>
      </c>
      <c r="Y95" s="89" t="s">
        <v>730</v>
      </c>
      <c r="Z95" s="54" t="s">
        <v>731</v>
      </c>
      <c r="AA95" s="74">
        <v>46266.0</v>
      </c>
      <c r="AB95" s="56"/>
      <c r="AC95" s="38"/>
      <c r="AD95" s="39">
        <v>150000.01</v>
      </c>
      <c r="AE95" s="39">
        <v>0.0</v>
      </c>
      <c r="AF95" s="40">
        <v>150000.01</v>
      </c>
      <c r="AG95" s="57" t="s">
        <v>732</v>
      </c>
      <c r="AH95" s="42" t="s">
        <v>46</v>
      </c>
      <c r="AI95" s="42" t="str">
        <f>IFERROR(__xludf.DUMMYFUNCTION("vLOOKUP(A95,IMPORTRANGE(""https://docs.google.com/spreadsheets/d/1Rawwwdh8wntXGy8isdYNHxsNQS4n_rC8JSdPfj6vEq4"",""'500 объектов перенос на 2026'!A3:AB502""),13,0)"),"#REF!")</f>
        <v>#REF!</v>
      </c>
      <c r="AJ95" s="42" t="str">
        <f>IFERROR(__xludf.DUMMYFUNCTION("vLOOKUP(A95,IMPORTRANGE(""https://docs.google.com/spreadsheets/d/1Rawwwdh8wntXGy8isdYNHxsNQS4n_rC8JSdPfj6vEq4"",""'500 объектов перенос на 2026'!A3:AB502""),14,0)"),"#REF!")</f>
        <v>#REF!</v>
      </c>
      <c r="AK95" s="110" t="s">
        <v>733</v>
      </c>
      <c r="AL95" s="110" t="s">
        <v>734</v>
      </c>
      <c r="AM95" s="110"/>
      <c r="AN95" s="96"/>
      <c r="AO95" s="43"/>
      <c r="AP95" s="43"/>
      <c r="AQ95" s="43"/>
      <c r="AR95" s="43"/>
      <c r="AS95" s="43"/>
      <c r="AT95" s="43"/>
      <c r="AU95" s="43"/>
      <c r="AV95" s="43"/>
      <c r="AW95" s="43"/>
      <c r="AX95" s="43"/>
      <c r="AY95" s="43"/>
      <c r="AZ95" s="43"/>
    </row>
    <row r="96">
      <c r="A96" s="62" t="s">
        <v>735</v>
      </c>
      <c r="B96" s="63" t="s">
        <v>736</v>
      </c>
      <c r="C96" s="64" t="s">
        <v>737</v>
      </c>
      <c r="D96" s="47" t="s">
        <v>101</v>
      </c>
      <c r="E96" s="64" t="s">
        <v>39</v>
      </c>
      <c r="F96" s="31" t="s">
        <v>60</v>
      </c>
      <c r="G96" s="31"/>
      <c r="H96" s="31"/>
      <c r="I96" s="31" t="s">
        <v>60</v>
      </c>
      <c r="J96" s="31"/>
      <c r="K96" s="31"/>
      <c r="L96" s="32">
        <f>IFERROR(__xludf.DUMMYFUNCTION("VLOOKUP($A96,IMPORTRANGE(""1PQtfbQLqBUP-rjYRznmgNFBLOjvAnhGzpIx7BJWq8rk"",""'Worksheet'!$B$2:$H""),7,FALSE)"),1.0)</f>
        <v>1</v>
      </c>
      <c r="M96" s="31" t="s">
        <v>60</v>
      </c>
      <c r="N96" s="49">
        <v>1.302231713E8</v>
      </c>
      <c r="O96" s="49">
        <v>1.2627684369E8</v>
      </c>
      <c r="P96" s="49">
        <f t="shared" si="18"/>
        <v>3946327.61</v>
      </c>
      <c r="Q96" s="34">
        <f t="shared" si="7"/>
        <v>0.0303043427</v>
      </c>
      <c r="R96" s="31"/>
      <c r="S96" s="31" t="s">
        <v>60</v>
      </c>
      <c r="T96" s="50" t="s">
        <v>738</v>
      </c>
      <c r="U96" s="51" t="s">
        <v>739</v>
      </c>
      <c r="V96" s="51" t="s">
        <v>740</v>
      </c>
      <c r="W96" s="31" t="s">
        <v>148</v>
      </c>
      <c r="X96" s="52" t="s">
        <v>741</v>
      </c>
      <c r="Y96" s="54" t="s">
        <v>742</v>
      </c>
      <c r="Z96" s="54" t="s">
        <v>743</v>
      </c>
      <c r="AA96" s="74">
        <v>46192.0</v>
      </c>
      <c r="AB96" s="56"/>
      <c r="AC96" s="38"/>
      <c r="AD96" s="39">
        <v>103744.37</v>
      </c>
      <c r="AE96" s="39">
        <v>72442.33592</v>
      </c>
      <c r="AF96" s="40">
        <v>31302.03408</v>
      </c>
      <c r="AG96" s="57" t="s">
        <v>744</v>
      </c>
      <c r="AH96" s="42" t="s">
        <v>745</v>
      </c>
      <c r="AI96" s="42" t="str">
        <f>IFERROR(__xludf.DUMMYFUNCTION("vLOOKUP(A96,IMPORTRANGE(""https://docs.google.com/spreadsheets/d/1Rawwwdh8wntXGy8isdYNHxsNQS4n_rC8JSdPfj6vEq4"",""'500 объектов перенос на 2026'!A3:AB502""),13,0)"),"#REF!")</f>
        <v>#REF!</v>
      </c>
      <c r="AJ96" s="42" t="str">
        <f>IFERROR(__xludf.DUMMYFUNCTION("vLOOKUP(A96,IMPORTRANGE(""https://docs.google.com/spreadsheets/d/1Rawwwdh8wntXGy8isdYNHxsNQS4n_rC8JSdPfj6vEq4"",""'500 объектов перенос на 2026'!A3:AB502""),14,0)"),"#REF!")</f>
        <v>#REF!</v>
      </c>
      <c r="AK96" s="75" t="s">
        <v>746</v>
      </c>
      <c r="AL96" s="70" t="s">
        <v>747</v>
      </c>
      <c r="AM96" s="96" t="s">
        <v>748</v>
      </c>
      <c r="AO96" s="43"/>
      <c r="AP96" s="43"/>
      <c r="AQ96" s="43"/>
      <c r="AR96" s="43"/>
      <c r="AS96" s="43"/>
      <c r="AT96" s="43"/>
      <c r="AU96" s="43"/>
      <c r="AV96" s="43"/>
      <c r="AW96" s="43"/>
      <c r="AX96" s="43"/>
      <c r="AY96" s="43"/>
      <c r="AZ96" s="43"/>
    </row>
    <row r="97">
      <c r="A97" s="62" t="s">
        <v>749</v>
      </c>
      <c r="B97" s="63" t="s">
        <v>605</v>
      </c>
      <c r="C97" s="64" t="s">
        <v>750</v>
      </c>
      <c r="D97" s="47" t="s">
        <v>751</v>
      </c>
      <c r="E97" s="64" t="s">
        <v>39</v>
      </c>
      <c r="F97" s="31" t="s">
        <v>40</v>
      </c>
      <c r="G97" s="31" t="s">
        <v>156</v>
      </c>
      <c r="H97" s="31" t="s">
        <v>300</v>
      </c>
      <c r="I97" s="31" t="s">
        <v>40</v>
      </c>
      <c r="J97" s="31" t="s">
        <v>43</v>
      </c>
      <c r="K97" s="31"/>
      <c r="L97" s="32">
        <f>IFERROR(__xludf.DUMMYFUNCTION("VLOOKUP($A97,IMPORTRANGE(""1PQtfbQLqBUP-rjYRznmgNFBLOjvAnhGzpIx7BJWq8rk"",""'Worksheet'!$B$2:$H""),7,FALSE)"),0.89)</f>
        <v>0.89</v>
      </c>
      <c r="M97" s="31" t="s">
        <v>40</v>
      </c>
      <c r="N97" s="49">
        <v>1.2927103371E8</v>
      </c>
      <c r="O97" s="49">
        <v>5.995E7</v>
      </c>
      <c r="P97" s="49">
        <f t="shared" si="18"/>
        <v>69321033.71</v>
      </c>
      <c r="Q97" s="34">
        <f t="shared" si="7"/>
        <v>0.5362456826</v>
      </c>
      <c r="R97" s="31"/>
      <c r="S97" s="31" t="s">
        <v>40</v>
      </c>
      <c r="T97" s="72" t="s">
        <v>752</v>
      </c>
      <c r="U97" s="67">
        <v>0.0</v>
      </c>
      <c r="V97" s="67" t="s">
        <v>752</v>
      </c>
      <c r="W97" s="31"/>
      <c r="X97" s="52" t="s">
        <v>49</v>
      </c>
      <c r="Y97" s="54" t="s">
        <v>753</v>
      </c>
      <c r="Z97" s="54" t="s">
        <v>754</v>
      </c>
      <c r="AA97" s="74">
        <v>46280.0</v>
      </c>
      <c r="AB97" s="56"/>
      <c r="AC97" s="38" t="s">
        <v>46</v>
      </c>
      <c r="AD97" s="39">
        <v>149221.02</v>
      </c>
      <c r="AE97" s="39">
        <v>59950.0</v>
      </c>
      <c r="AF97" s="40">
        <v>89271.02</v>
      </c>
      <c r="AG97" s="99" t="s">
        <v>755</v>
      </c>
      <c r="AH97" s="85"/>
      <c r="AI97" s="42" t="str">
        <f>IFERROR(__xludf.DUMMYFUNCTION("vLOOKUP(A97,IMPORTRANGE(""https://docs.google.com/spreadsheets/d/1Rawwwdh8wntXGy8isdYNHxsNQS4n_rC8JSdPfj6vEq4"",""'500 объектов перенос на 2026'!A3:AB502""),13,0)"),"#REF!")</f>
        <v>#REF!</v>
      </c>
      <c r="AJ97" s="42" t="str">
        <f>IFERROR(__xludf.DUMMYFUNCTION("vLOOKUP(A97,IMPORTRANGE(""https://docs.google.com/spreadsheets/d/1Rawwwdh8wntXGy8isdYNHxsNQS4n_rC8JSdPfj6vEq4"",""'500 объектов перенос на 2026'!A3:AB502""),14,0)"),"#REF!")</f>
        <v>#REF!</v>
      </c>
      <c r="AK97" s="43"/>
      <c r="AL97" s="70"/>
      <c r="AM97" s="70"/>
      <c r="AO97" s="43"/>
      <c r="AP97" s="43"/>
      <c r="AQ97" s="43"/>
      <c r="AR97" s="43"/>
      <c r="AS97" s="43"/>
      <c r="AT97" s="43"/>
      <c r="AU97" s="43"/>
      <c r="AV97" s="43"/>
      <c r="AW97" s="43"/>
      <c r="AX97" s="43"/>
      <c r="AY97" s="43"/>
      <c r="AZ97" s="43"/>
    </row>
    <row r="98">
      <c r="A98" s="62" t="s">
        <v>756</v>
      </c>
      <c r="B98" s="63" t="s">
        <v>757</v>
      </c>
      <c r="C98" s="64" t="s">
        <v>758</v>
      </c>
      <c r="D98" s="47" t="s">
        <v>759</v>
      </c>
      <c r="E98" s="64" t="s">
        <v>85</v>
      </c>
      <c r="F98" s="31" t="s">
        <v>60</v>
      </c>
      <c r="G98" s="31"/>
      <c r="H98" s="31"/>
      <c r="I98" s="31" t="s">
        <v>60</v>
      </c>
      <c r="J98" s="31"/>
      <c r="K98" s="31"/>
      <c r="L98" s="32">
        <f>IFERROR(__xludf.DUMMYFUNCTION("VLOOKUP($A98,IMPORTRANGE(""1PQtfbQLqBUP-rjYRznmgNFBLOjvAnhGzpIx7BJWq8rk"",""'Worksheet'!$B$2:$H""),7,FALSE)"),0.93)</f>
        <v>0.93</v>
      </c>
      <c r="M98" s="31" t="s">
        <v>45</v>
      </c>
      <c r="N98" s="49">
        <v>8.000224E7</v>
      </c>
      <c r="O98" s="49">
        <v>6.449881499E7</v>
      </c>
      <c r="P98" s="49">
        <f t="shared" si="18"/>
        <v>15503425.01</v>
      </c>
      <c r="Q98" s="34">
        <f t="shared" si="7"/>
        <v>0.1937873866</v>
      </c>
      <c r="R98" s="31"/>
      <c r="S98" s="31" t="s">
        <v>45</v>
      </c>
      <c r="T98" s="50"/>
      <c r="U98" s="51"/>
      <c r="V98" s="51"/>
      <c r="W98" s="31" t="s">
        <v>148</v>
      </c>
      <c r="X98" s="52" t="s">
        <v>507</v>
      </c>
      <c r="Y98" s="54" t="s">
        <v>760</v>
      </c>
      <c r="Z98" s="54"/>
      <c r="AA98" s="74">
        <v>46188.0</v>
      </c>
      <c r="AB98" s="56"/>
      <c r="AC98" s="38"/>
      <c r="AD98" s="39">
        <v>41960.32</v>
      </c>
      <c r="AE98" s="39">
        <v>11964.996</v>
      </c>
      <c r="AF98" s="40">
        <v>29995.324</v>
      </c>
      <c r="AG98" s="57" t="s">
        <v>761</v>
      </c>
      <c r="AH98" s="42" t="s">
        <v>762</v>
      </c>
      <c r="AI98" s="42" t="str">
        <f>IFERROR(__xludf.DUMMYFUNCTION("vLOOKUP(A98,IMPORTRANGE(""https://docs.google.com/spreadsheets/d/1Rawwwdh8wntXGy8isdYNHxsNQS4n_rC8JSdPfj6vEq4"",""'500 объектов перенос на 2026'!A3:AB502""),13,0)"),"#REF!")</f>
        <v>#REF!</v>
      </c>
      <c r="AJ98" s="42" t="str">
        <f>IFERROR(__xludf.DUMMYFUNCTION("vLOOKUP(A98,IMPORTRANGE(""https://docs.google.com/spreadsheets/d/1Rawwwdh8wntXGy8isdYNHxsNQS4n_rC8JSdPfj6vEq4"",""'500 объектов перенос на 2026'!A3:AB502""),14,0)"),"#REF!")</f>
        <v>#REF!</v>
      </c>
      <c r="AK98" s="43"/>
      <c r="AL98" s="70"/>
      <c r="AM98" s="70"/>
      <c r="AO98" s="43"/>
      <c r="AP98" s="43"/>
      <c r="AQ98" s="43"/>
      <c r="AR98" s="43"/>
      <c r="AS98" s="43"/>
      <c r="AT98" s="43"/>
      <c r="AU98" s="43"/>
      <c r="AV98" s="43"/>
      <c r="AW98" s="43"/>
      <c r="AX98" s="43"/>
      <c r="AY98" s="43"/>
      <c r="AZ98" s="43"/>
    </row>
    <row r="99">
      <c r="A99" s="78" t="s">
        <v>763</v>
      </c>
      <c r="B99" s="63" t="s">
        <v>764</v>
      </c>
      <c r="C99" s="64" t="s">
        <v>765</v>
      </c>
      <c r="D99" s="47" t="s">
        <v>766</v>
      </c>
      <c r="E99" s="64" t="s">
        <v>59</v>
      </c>
      <c r="F99" s="31" t="s">
        <v>60</v>
      </c>
      <c r="G99" s="31"/>
      <c r="H99" s="31"/>
      <c r="I99" s="31" t="s">
        <v>60</v>
      </c>
      <c r="J99" s="31"/>
      <c r="K99" s="31"/>
      <c r="L99" s="32" t="str">
        <f>IFERROR(__xludf.DUMMYFUNCTION("VLOOKUP($A99,IMPORTRANGE(""1PQtfbQLqBUP-rjYRznmgNFBLOjvAnhGzpIx7BJWq8rk"",""'Worksheet'!$B$2:$H""),7,FALSE)"),"#N/A")</f>
        <v>#N/A</v>
      </c>
      <c r="M99" s="31" t="s">
        <v>60</v>
      </c>
      <c r="N99" s="49">
        <v>1.2459294E8</v>
      </c>
      <c r="O99" s="49">
        <v>1.2432971615E8</v>
      </c>
      <c r="P99" s="49">
        <v>0.0</v>
      </c>
      <c r="Q99" s="34">
        <f t="shared" si="7"/>
        <v>0.00211267067</v>
      </c>
      <c r="R99" s="31"/>
      <c r="S99" s="31" t="s">
        <v>60</v>
      </c>
      <c r="T99" s="50">
        <f>0.95*N99</f>
        <v>118363293</v>
      </c>
      <c r="U99" s="51">
        <f>T99</f>
        <v>118363293</v>
      </c>
      <c r="V99" s="51">
        <v>0.0</v>
      </c>
      <c r="W99" s="31"/>
      <c r="X99" s="52" t="s">
        <v>113</v>
      </c>
      <c r="Y99" s="54"/>
      <c r="Z99" s="54"/>
      <c r="AA99" s="54" t="s">
        <v>114</v>
      </c>
      <c r="AB99" s="38" t="s">
        <v>115</v>
      </c>
      <c r="AC99" s="38"/>
      <c r="AD99" s="39">
        <v>124592.94</v>
      </c>
      <c r="AE99" s="39">
        <v>124329.7162</v>
      </c>
      <c r="AF99" s="39">
        <v>263.22385</v>
      </c>
      <c r="AG99" s="57" t="s">
        <v>767</v>
      </c>
      <c r="AH99" s="42" t="s">
        <v>768</v>
      </c>
      <c r="AI99" s="42" t="s">
        <v>768</v>
      </c>
      <c r="AJ99" s="42" t="s">
        <v>768</v>
      </c>
      <c r="AK99" s="43"/>
      <c r="AL99" s="76"/>
      <c r="AM99" s="70"/>
      <c r="AO99" s="43"/>
      <c r="AP99" s="43"/>
      <c r="AQ99" s="43"/>
      <c r="AR99" s="43"/>
      <c r="AS99" s="43"/>
      <c r="AT99" s="43"/>
      <c r="AU99" s="43"/>
      <c r="AV99" s="43"/>
      <c r="AW99" s="43"/>
      <c r="AX99" s="43"/>
      <c r="AY99" s="43"/>
      <c r="AZ99" s="43"/>
    </row>
    <row r="100">
      <c r="A100" s="62" t="s">
        <v>769</v>
      </c>
      <c r="B100" s="63" t="s">
        <v>736</v>
      </c>
      <c r="C100" s="64" t="s">
        <v>770</v>
      </c>
      <c r="D100" s="47" t="s">
        <v>101</v>
      </c>
      <c r="E100" s="64" t="s">
        <v>59</v>
      </c>
      <c r="F100" s="31" t="s">
        <v>60</v>
      </c>
      <c r="G100" s="31" t="s">
        <v>41</v>
      </c>
      <c r="H100" s="31"/>
      <c r="I100" s="31" t="s">
        <v>60</v>
      </c>
      <c r="J100" s="31"/>
      <c r="K100" s="31"/>
      <c r="L100" s="32">
        <f>IFERROR(__xludf.DUMMYFUNCTION("VLOOKUP($A100,IMPORTRANGE(""1PQtfbQLqBUP-rjYRznmgNFBLOjvAnhGzpIx7BJWq8rk"",""'Worksheet'!$B$2:$H""),7,FALSE)"),1.0)</f>
        <v>1</v>
      </c>
      <c r="M100" s="31" t="s">
        <v>60</v>
      </c>
      <c r="N100" s="49">
        <v>8.657372861E7</v>
      </c>
      <c r="O100" s="49">
        <v>8.346294564E7</v>
      </c>
      <c r="P100" s="49">
        <f t="shared" ref="P100:P103" si="19">N100-O100</f>
        <v>3110782.97</v>
      </c>
      <c r="Q100" s="34">
        <f t="shared" si="7"/>
        <v>0.03593218197</v>
      </c>
      <c r="R100" s="31"/>
      <c r="S100" s="31" t="s">
        <v>60</v>
      </c>
      <c r="T100" s="84" t="s">
        <v>771</v>
      </c>
      <c r="U100" s="84" t="s">
        <v>772</v>
      </c>
      <c r="V100" s="84" t="s">
        <v>773</v>
      </c>
      <c r="W100" s="31" t="s">
        <v>148</v>
      </c>
      <c r="X100" s="52" t="s">
        <v>507</v>
      </c>
      <c r="Y100" s="54" t="s">
        <v>742</v>
      </c>
      <c r="Z100" s="54" t="s">
        <v>774</v>
      </c>
      <c r="AA100" s="74">
        <v>46192.0</v>
      </c>
      <c r="AB100" s="56"/>
      <c r="AC100" s="38"/>
      <c r="AD100" s="39">
        <v>53941.16</v>
      </c>
      <c r="AE100" s="39">
        <v>18848.15947</v>
      </c>
      <c r="AF100" s="40">
        <v>35093.00053</v>
      </c>
      <c r="AG100" s="57" t="s">
        <v>775</v>
      </c>
      <c r="AH100" s="42" t="s">
        <v>776</v>
      </c>
      <c r="AI100" s="42" t="str">
        <f>IFERROR(__xludf.DUMMYFUNCTION("vLOOKUP(A100,IMPORTRANGE(""https://docs.google.com/spreadsheets/d/1Rawwwdh8wntXGy8isdYNHxsNQS4n_rC8JSdPfj6vEq4"",""'500 объектов перенос на 2026'!A3:AB502""),13,0)"),"#REF!")</f>
        <v>#REF!</v>
      </c>
      <c r="AJ100" s="42" t="str">
        <f>IFERROR(__xludf.DUMMYFUNCTION("vLOOKUP(A100,IMPORTRANGE(""https://docs.google.com/spreadsheets/d/1Rawwwdh8wntXGy8isdYNHxsNQS4n_rC8JSdPfj6vEq4"",""'500 объектов перенос на 2026'!A3:AB502""),14,0)"),"#REF!")</f>
        <v>#REF!</v>
      </c>
      <c r="AK100" s="75" t="s">
        <v>746</v>
      </c>
      <c r="AL100" s="70" t="s">
        <v>747</v>
      </c>
      <c r="AM100" s="96" t="s">
        <v>748</v>
      </c>
      <c r="AO100" s="43"/>
      <c r="AP100" s="43"/>
      <c r="AQ100" s="43"/>
      <c r="AR100" s="43"/>
      <c r="AS100" s="43"/>
      <c r="AT100" s="43"/>
      <c r="AU100" s="43"/>
      <c r="AV100" s="43"/>
      <c r="AW100" s="43"/>
      <c r="AX100" s="43"/>
      <c r="AY100" s="43"/>
      <c r="AZ100" s="43"/>
    </row>
    <row r="101">
      <c r="A101" s="62" t="s">
        <v>777</v>
      </c>
      <c r="B101" s="63" t="s">
        <v>70</v>
      </c>
      <c r="C101" s="64" t="s">
        <v>778</v>
      </c>
      <c r="D101" s="47" t="s">
        <v>38</v>
      </c>
      <c r="E101" s="64" t="s">
        <v>59</v>
      </c>
      <c r="F101" s="31" t="s">
        <v>40</v>
      </c>
      <c r="G101" s="31" t="s">
        <v>156</v>
      </c>
      <c r="H101" s="31" t="s">
        <v>779</v>
      </c>
      <c r="I101" s="31" t="s">
        <v>60</v>
      </c>
      <c r="J101" s="31"/>
      <c r="K101" s="31"/>
      <c r="L101" s="32">
        <f>IFERROR(__xludf.DUMMYFUNCTION("VLOOKUP($A101,IMPORTRANGE(""1PQtfbQLqBUP-rjYRznmgNFBLOjvAnhGzpIx7BJWq8rk"",""'Worksheet'!$B$2:$H""),7,FALSE)"),0.97)</f>
        <v>0.97</v>
      </c>
      <c r="M101" s="31" t="s">
        <v>45</v>
      </c>
      <c r="N101" s="49">
        <v>2.18210565E8</v>
      </c>
      <c r="O101" s="49">
        <v>1.5056528984E8</v>
      </c>
      <c r="P101" s="49">
        <f t="shared" si="19"/>
        <v>67645275.16</v>
      </c>
      <c r="Q101" s="34">
        <f t="shared" si="7"/>
        <v>0.31</v>
      </c>
      <c r="R101" s="31"/>
      <c r="S101" s="31" t="s">
        <v>45</v>
      </c>
      <c r="T101" s="88">
        <v>2.0742669282E8</v>
      </c>
      <c r="U101" s="84">
        <v>0.0</v>
      </c>
      <c r="V101" s="88">
        <v>2.0742669282E8</v>
      </c>
      <c r="W101" s="31"/>
      <c r="X101" s="52" t="s">
        <v>73</v>
      </c>
      <c r="Y101" s="73" t="s">
        <v>780</v>
      </c>
      <c r="Z101" s="54" t="s">
        <v>75</v>
      </c>
      <c r="AA101" s="74">
        <v>46285.0</v>
      </c>
      <c r="AB101" s="56"/>
      <c r="AC101" s="38"/>
      <c r="AD101" s="39">
        <v>218210.56</v>
      </c>
      <c r="AE101" s="39">
        <v>150565.2898</v>
      </c>
      <c r="AF101" s="40">
        <v>67645.27016</v>
      </c>
      <c r="AG101" s="57" t="s">
        <v>781</v>
      </c>
      <c r="AH101" s="42" t="s">
        <v>782</v>
      </c>
      <c r="AI101" s="42" t="str">
        <f>IFERROR(__xludf.DUMMYFUNCTION("vLOOKUP(A101,IMPORTRANGE(""https://docs.google.com/spreadsheets/d/1Rawwwdh8wntXGy8isdYNHxsNQS4n_rC8JSdPfj6vEq4"",""'500 объектов перенос на 2026'!A3:AB502""),13,0)"),"#REF!")</f>
        <v>#REF!</v>
      </c>
      <c r="AJ101" s="42" t="str">
        <f>IFERROR(__xludf.DUMMYFUNCTION("vLOOKUP(A101,IMPORTRANGE(""https://docs.google.com/spreadsheets/d/1Rawwwdh8wntXGy8isdYNHxsNQS4n_rC8JSdPfj6vEq4"",""'500 объектов перенос на 2026'!A3:AB502""),14,0)"),"#REF!")</f>
        <v>#REF!</v>
      </c>
      <c r="AK101" s="131" t="s">
        <v>783</v>
      </c>
      <c r="AL101" s="70" t="s">
        <v>784</v>
      </c>
      <c r="AM101" s="70"/>
      <c r="AO101" s="43"/>
      <c r="AP101" s="43"/>
      <c r="AQ101" s="43"/>
      <c r="AR101" s="43"/>
      <c r="AS101" s="43"/>
      <c r="AT101" s="43"/>
      <c r="AU101" s="43"/>
      <c r="AV101" s="43"/>
      <c r="AW101" s="43"/>
      <c r="AX101" s="43"/>
      <c r="AY101" s="43"/>
      <c r="AZ101" s="43"/>
    </row>
    <row r="102">
      <c r="A102" s="62" t="s">
        <v>785</v>
      </c>
      <c r="B102" s="63" t="s">
        <v>82</v>
      </c>
      <c r="C102" s="64" t="s">
        <v>786</v>
      </c>
      <c r="D102" s="47" t="s">
        <v>227</v>
      </c>
      <c r="E102" s="64" t="s">
        <v>39</v>
      </c>
      <c r="F102" s="31" t="s">
        <v>60</v>
      </c>
      <c r="G102" s="31"/>
      <c r="H102" s="31"/>
      <c r="I102" s="31" t="s">
        <v>40</v>
      </c>
      <c r="J102" s="31" t="s">
        <v>43</v>
      </c>
      <c r="K102" s="31"/>
      <c r="L102" s="32">
        <f>IFERROR(__xludf.DUMMYFUNCTION("VLOOKUP($A102,IMPORTRANGE(""1PQtfbQLqBUP-rjYRznmgNFBLOjvAnhGzpIx7BJWq8rk"",""'Worksheet'!$B$2:$H""),7,FALSE)"),0.98)</f>
        <v>0.98</v>
      </c>
      <c r="M102" s="31" t="s">
        <v>40</v>
      </c>
      <c r="N102" s="49">
        <v>1.5888841772E8</v>
      </c>
      <c r="O102" s="49">
        <v>6.692979E7</v>
      </c>
      <c r="P102" s="49">
        <f t="shared" si="19"/>
        <v>91958627.72</v>
      </c>
      <c r="Q102" s="34">
        <f t="shared" si="7"/>
        <v>0.5787623103</v>
      </c>
      <c r="R102" s="31"/>
      <c r="S102" s="31" t="s">
        <v>45</v>
      </c>
      <c r="T102" s="84" t="s">
        <v>787</v>
      </c>
      <c r="U102" s="84">
        <v>0.0</v>
      </c>
      <c r="V102" s="84" t="s">
        <v>787</v>
      </c>
      <c r="W102" s="31" t="s">
        <v>148</v>
      </c>
      <c r="X102" s="52" t="s">
        <v>46</v>
      </c>
      <c r="Y102" s="54" t="s">
        <v>788</v>
      </c>
      <c r="Z102" s="74"/>
      <c r="AA102" s="74">
        <v>46233.0</v>
      </c>
      <c r="AB102" s="56"/>
      <c r="AC102" s="38" t="s">
        <v>789</v>
      </c>
      <c r="AD102" s="39">
        <v>133859.58</v>
      </c>
      <c r="AE102" s="39">
        <v>66929.79</v>
      </c>
      <c r="AF102" s="40">
        <v>66929.79</v>
      </c>
      <c r="AG102" s="57" t="s">
        <v>790</v>
      </c>
      <c r="AH102" s="42" t="s">
        <v>46</v>
      </c>
      <c r="AI102" s="42" t="str">
        <f>IFERROR(__xludf.DUMMYFUNCTION("vLOOKUP(A102,IMPORTRANGE(""https://docs.google.com/spreadsheets/d/1Rawwwdh8wntXGy8isdYNHxsNQS4n_rC8JSdPfj6vEq4"",""'500 объектов перенос на 2026'!A3:AB502""),13,0)"),"#REF!")</f>
        <v>#REF!</v>
      </c>
      <c r="AJ102" s="42" t="str">
        <f>IFERROR(__xludf.DUMMYFUNCTION("vLOOKUP(A102,IMPORTRANGE(""https://docs.google.com/spreadsheets/d/1Rawwwdh8wntXGy8isdYNHxsNQS4n_rC8JSdPfj6vEq4"",""'500 объектов перенос на 2026'!A3:AB502""),14,0)"),"#REF!")</f>
        <v>#REF!</v>
      </c>
      <c r="AK102" s="58" t="s">
        <v>791</v>
      </c>
      <c r="AL102" s="76" t="s">
        <v>792</v>
      </c>
      <c r="AM102" s="70"/>
      <c r="AO102" s="43"/>
      <c r="AP102" s="43"/>
      <c r="AQ102" s="43"/>
      <c r="AR102" s="43"/>
      <c r="AS102" s="43"/>
      <c r="AT102" s="43"/>
      <c r="AU102" s="43"/>
      <c r="AV102" s="43"/>
      <c r="AW102" s="43"/>
      <c r="AX102" s="43"/>
      <c r="AY102" s="43"/>
      <c r="AZ102" s="43"/>
    </row>
    <row r="103">
      <c r="A103" s="132" t="s">
        <v>793</v>
      </c>
      <c r="B103" s="63" t="s">
        <v>757</v>
      </c>
      <c r="C103" s="64" t="s">
        <v>794</v>
      </c>
      <c r="D103" s="47" t="s">
        <v>759</v>
      </c>
      <c r="E103" s="64" t="s">
        <v>85</v>
      </c>
      <c r="F103" s="31" t="s">
        <v>60</v>
      </c>
      <c r="G103" s="31"/>
      <c r="H103" s="31"/>
      <c r="I103" s="31" t="s">
        <v>60</v>
      </c>
      <c r="J103" s="31"/>
      <c r="K103" s="31"/>
      <c r="L103" s="32">
        <f>IFERROR(__xludf.DUMMYFUNCTION("VLOOKUP($A103,IMPORTRANGE(""1PQtfbQLqBUP-rjYRznmgNFBLOjvAnhGzpIx7BJWq8rk"",""'Worksheet'!$B$2:$H""),7,FALSE)"),0.93)</f>
        <v>0.93</v>
      </c>
      <c r="M103" s="31" t="s">
        <v>60</v>
      </c>
      <c r="N103" s="49">
        <v>8.669524585E7</v>
      </c>
      <c r="O103" s="49">
        <v>8.669524585E7</v>
      </c>
      <c r="P103" s="49">
        <f t="shared" si="19"/>
        <v>0</v>
      </c>
      <c r="Q103" s="34">
        <f t="shared" si="7"/>
        <v>0</v>
      </c>
      <c r="R103" s="31"/>
      <c r="S103" s="31" t="s">
        <v>60</v>
      </c>
      <c r="T103" s="84"/>
      <c r="U103" s="84"/>
      <c r="V103" s="84"/>
      <c r="W103" s="31"/>
      <c r="X103" s="52" t="s">
        <v>795</v>
      </c>
      <c r="Y103" s="54" t="s">
        <v>796</v>
      </c>
      <c r="Z103" s="54" t="s">
        <v>797</v>
      </c>
      <c r="AA103" s="54" t="s">
        <v>798</v>
      </c>
      <c r="AB103" s="56"/>
      <c r="AC103" s="38"/>
      <c r="AD103" s="39">
        <v>74133.89</v>
      </c>
      <c r="AE103" s="39">
        <v>21128.157</v>
      </c>
      <c r="AF103" s="40">
        <v>53005.733</v>
      </c>
      <c r="AG103" s="57" t="s">
        <v>799</v>
      </c>
      <c r="AH103" s="42" t="s">
        <v>762</v>
      </c>
      <c r="AI103" s="42" t="str">
        <f>IFERROR(__xludf.DUMMYFUNCTION("vLOOKUP(A103,IMPORTRANGE(""https://docs.google.com/spreadsheets/d/1Rawwwdh8wntXGy8isdYNHxsNQS4n_rC8JSdPfj6vEq4"",""'500 объектов перенос на 2026'!A3:AB502""),13,0)"),"#REF!")</f>
        <v>#REF!</v>
      </c>
      <c r="AJ103" s="42" t="str">
        <f>IFERROR(__xludf.DUMMYFUNCTION("vLOOKUP(A103,IMPORTRANGE(""https://docs.google.com/spreadsheets/d/1Rawwwdh8wntXGy8isdYNHxsNQS4n_rC8JSdPfj6vEq4"",""'500 объектов перенос на 2026'!A3:AB502""),14,0)"),"#REF!")</f>
        <v>#REF!</v>
      </c>
      <c r="AK103" s="133"/>
      <c r="AL103" s="76"/>
      <c r="AM103" s="70"/>
      <c r="AO103" s="43"/>
      <c r="AP103" s="43"/>
      <c r="AQ103" s="43"/>
      <c r="AR103" s="43"/>
      <c r="AS103" s="43"/>
      <c r="AT103" s="43"/>
      <c r="AU103" s="43"/>
      <c r="AV103" s="43"/>
      <c r="AW103" s="43"/>
      <c r="AX103" s="43"/>
      <c r="AY103" s="43"/>
      <c r="AZ103" s="43"/>
    </row>
    <row r="104">
      <c r="A104" s="62" t="s">
        <v>800</v>
      </c>
      <c r="B104" s="63" t="s">
        <v>177</v>
      </c>
      <c r="C104" s="64" t="s">
        <v>801</v>
      </c>
      <c r="D104" s="47" t="s">
        <v>179</v>
      </c>
      <c r="E104" s="64" t="s">
        <v>85</v>
      </c>
      <c r="F104" s="31" t="s">
        <v>60</v>
      </c>
      <c r="G104" s="31"/>
      <c r="H104" s="31"/>
      <c r="I104" s="31" t="s">
        <v>60</v>
      </c>
      <c r="J104" s="31"/>
      <c r="K104" s="31"/>
      <c r="L104" s="32" t="str">
        <f>IFERROR(__xludf.DUMMYFUNCTION("VLOOKUP($A104,IMPORTRANGE(""1PQtfbQLqBUP-rjYRznmgNFBLOjvAnhGzpIx7BJWq8rk"",""'Worksheet'!$B$2:$H""),7,FALSE)"),"#N/A")</f>
        <v>#N/A</v>
      </c>
      <c r="M104" s="31" t="s">
        <v>60</v>
      </c>
      <c r="N104" s="49">
        <v>2.844435E7</v>
      </c>
      <c r="O104" s="49">
        <v>2.772356895E7</v>
      </c>
      <c r="P104" s="49">
        <v>0.0</v>
      </c>
      <c r="Q104" s="34">
        <f t="shared" si="7"/>
        <v>0.02534004293</v>
      </c>
      <c r="R104" s="31"/>
      <c r="S104" s="31" t="s">
        <v>60</v>
      </c>
      <c r="T104" s="134" t="s">
        <v>802</v>
      </c>
      <c r="U104" s="135" t="s">
        <v>802</v>
      </c>
      <c r="V104" s="51">
        <v>0.0</v>
      </c>
      <c r="W104" s="31"/>
      <c r="X104" s="52" t="s">
        <v>803</v>
      </c>
      <c r="Y104" s="54" t="s">
        <v>114</v>
      </c>
      <c r="Z104" s="54"/>
      <c r="AA104" s="54" t="s">
        <v>114</v>
      </c>
      <c r="AB104" s="38" t="s">
        <v>115</v>
      </c>
      <c r="AC104" s="38"/>
      <c r="AD104" s="39">
        <v>28444.35</v>
      </c>
      <c r="AE104" s="39">
        <v>27723.56895</v>
      </c>
      <c r="AF104" s="40">
        <v>720.78105</v>
      </c>
      <c r="AG104" s="99" t="s">
        <v>804</v>
      </c>
      <c r="AH104" s="42"/>
      <c r="AI104" s="116" t="s">
        <v>115</v>
      </c>
      <c r="AJ104" s="116" t="s">
        <v>115</v>
      </c>
      <c r="AK104" s="133"/>
      <c r="AL104" s="76"/>
      <c r="AM104" s="70"/>
      <c r="AO104" s="43"/>
      <c r="AP104" s="43"/>
      <c r="AQ104" s="43"/>
      <c r="AR104" s="43"/>
      <c r="AS104" s="43"/>
      <c r="AT104" s="43"/>
      <c r="AU104" s="43"/>
      <c r="AV104" s="43"/>
      <c r="AW104" s="43"/>
      <c r="AX104" s="43"/>
      <c r="AY104" s="43"/>
      <c r="AZ104" s="43"/>
    </row>
    <row r="105">
      <c r="A105" s="62" t="s">
        <v>805</v>
      </c>
      <c r="B105" s="63" t="s">
        <v>177</v>
      </c>
      <c r="C105" s="64" t="s">
        <v>806</v>
      </c>
      <c r="D105" s="47" t="s">
        <v>179</v>
      </c>
      <c r="E105" s="64" t="s">
        <v>85</v>
      </c>
      <c r="F105" s="31" t="s">
        <v>60</v>
      </c>
      <c r="G105" s="31"/>
      <c r="H105" s="31"/>
      <c r="I105" s="31" t="s">
        <v>60</v>
      </c>
      <c r="J105" s="31"/>
      <c r="K105" s="31"/>
      <c r="L105" s="32">
        <f>IFERROR(__xludf.DUMMYFUNCTION("VLOOKUP($A105,IMPORTRANGE(""1PQtfbQLqBUP-rjYRznmgNFBLOjvAnhGzpIx7BJWq8rk"",""'Worksheet'!$B$2:$H""),7,FALSE)"),1.0)</f>
        <v>1</v>
      </c>
      <c r="M105" s="31" t="s">
        <v>60</v>
      </c>
      <c r="N105" s="49">
        <v>9.510377E7</v>
      </c>
      <c r="O105" s="49">
        <v>8.894564252E7</v>
      </c>
      <c r="P105" s="49">
        <v>0.0</v>
      </c>
      <c r="Q105" s="34">
        <f t="shared" si="7"/>
        <v>0.06475166526</v>
      </c>
      <c r="R105" s="31"/>
      <c r="S105" s="31" t="s">
        <v>60</v>
      </c>
      <c r="T105" s="135" t="s">
        <v>807</v>
      </c>
      <c r="U105" s="135" t="s">
        <v>807</v>
      </c>
      <c r="V105" s="51">
        <v>0.0</v>
      </c>
      <c r="W105" s="31"/>
      <c r="X105" s="52" t="s">
        <v>507</v>
      </c>
      <c r="Y105" s="54" t="s">
        <v>114</v>
      </c>
      <c r="Z105" s="54"/>
      <c r="AA105" s="54" t="s">
        <v>114</v>
      </c>
      <c r="AB105" s="38" t="s">
        <v>115</v>
      </c>
      <c r="AC105" s="38"/>
      <c r="AD105" s="39">
        <v>95103.77</v>
      </c>
      <c r="AE105" s="39">
        <v>88945.64561</v>
      </c>
      <c r="AF105" s="40">
        <v>6158.12439</v>
      </c>
      <c r="AG105" s="99" t="s">
        <v>808</v>
      </c>
      <c r="AH105" s="42"/>
      <c r="AI105" s="85" t="s">
        <v>809</v>
      </c>
      <c r="AJ105" s="85" t="s">
        <v>809</v>
      </c>
      <c r="AK105" s="133"/>
      <c r="AL105" s="70"/>
      <c r="AM105" s="70"/>
      <c r="AO105" s="43"/>
      <c r="AP105" s="43"/>
      <c r="AQ105" s="43"/>
      <c r="AR105" s="43"/>
      <c r="AS105" s="43"/>
      <c r="AT105" s="43"/>
      <c r="AU105" s="43"/>
      <c r="AV105" s="43"/>
      <c r="AW105" s="43"/>
      <c r="AX105" s="43"/>
      <c r="AY105" s="43"/>
      <c r="AZ105" s="43"/>
    </row>
    <row r="106">
      <c r="A106" s="81" t="s">
        <v>810</v>
      </c>
      <c r="B106" s="111" t="s">
        <v>635</v>
      </c>
      <c r="C106" s="64" t="s">
        <v>811</v>
      </c>
      <c r="D106" s="47" t="s">
        <v>812</v>
      </c>
      <c r="E106" s="64" t="s">
        <v>85</v>
      </c>
      <c r="F106" s="31" t="s">
        <v>60</v>
      </c>
      <c r="G106" s="31"/>
      <c r="H106" s="31"/>
      <c r="I106" s="31" t="s">
        <v>60</v>
      </c>
      <c r="J106" s="31"/>
      <c r="K106" s="31"/>
      <c r="L106" s="32">
        <f>IFERROR(__xludf.DUMMYFUNCTION("VLOOKUP($A106,IMPORTRANGE(""1PQtfbQLqBUP-rjYRznmgNFBLOjvAnhGzpIx7BJWq8rk"",""'Worksheet'!$B$2:$H""),7,FALSE)"),0.78)</f>
        <v>0.78</v>
      </c>
      <c r="M106" s="31" t="s">
        <v>60</v>
      </c>
      <c r="N106" s="49">
        <v>1.2595936882E8</v>
      </c>
      <c r="O106" s="49">
        <v>1.1495382463E8</v>
      </c>
      <c r="P106" s="49">
        <v>0.0</v>
      </c>
      <c r="Q106" s="34">
        <f t="shared" si="7"/>
        <v>0.0873737642</v>
      </c>
      <c r="R106" s="31"/>
      <c r="S106" s="31" t="s">
        <v>60</v>
      </c>
      <c r="T106" s="50" t="s">
        <v>813</v>
      </c>
      <c r="U106" s="51" t="s">
        <v>813</v>
      </c>
      <c r="V106" s="51">
        <v>0.0</v>
      </c>
      <c r="W106" s="31"/>
      <c r="X106" s="52" t="s">
        <v>814</v>
      </c>
      <c r="Y106" s="54" t="s">
        <v>437</v>
      </c>
      <c r="Z106" s="54" t="s">
        <v>437</v>
      </c>
      <c r="AA106" s="54" t="s">
        <v>114</v>
      </c>
      <c r="AB106" s="56"/>
      <c r="AC106" s="38" t="s">
        <v>284</v>
      </c>
      <c r="AD106" s="39">
        <v>125959.38</v>
      </c>
      <c r="AE106" s="39">
        <v>115063.8246</v>
      </c>
      <c r="AF106" s="39">
        <v>10895.55537</v>
      </c>
      <c r="AG106" s="57" t="s">
        <v>815</v>
      </c>
      <c r="AH106" s="136" t="s">
        <v>366</v>
      </c>
      <c r="AI106" s="42" t="str">
        <f>IFERROR(__xludf.DUMMYFUNCTION("vLOOKUP(A106,IMPORTRANGE(""https://docs.google.com/spreadsheets/d/1Rawwwdh8wntXGy8isdYNHxsNQS4n_rC8JSdPfj6vEq4"",""'500 объектов перенос на 2026'!A3:AB502""),13,0)"),"#REF!")</f>
        <v>#REF!</v>
      </c>
      <c r="AJ106" s="42" t="str">
        <f>IFERROR(__xludf.DUMMYFUNCTION("vLOOKUP(A106,IMPORTRANGE(""https://docs.google.com/spreadsheets/d/1Rawwwdh8wntXGy8isdYNHxsNQS4n_rC8JSdPfj6vEq4"",""'500 объектов перенос на 2026'!A3:AB502""),14,0)"),"#REF!")</f>
        <v>#REF!</v>
      </c>
      <c r="AK106" s="133"/>
      <c r="AL106" s="70"/>
      <c r="AM106" s="70"/>
      <c r="AN106" s="43"/>
      <c r="AO106" s="43"/>
      <c r="AP106" s="43"/>
      <c r="AQ106" s="43"/>
      <c r="AR106" s="43"/>
      <c r="AS106" s="43"/>
      <c r="AT106" s="43"/>
      <c r="AU106" s="43"/>
      <c r="AV106" s="43"/>
      <c r="AW106" s="43"/>
      <c r="AX106" s="43"/>
      <c r="AY106" s="43"/>
      <c r="AZ106" s="43"/>
    </row>
    <row r="107">
      <c r="A107" s="62" t="s">
        <v>816</v>
      </c>
      <c r="B107" s="111" t="s">
        <v>635</v>
      </c>
      <c r="C107" s="64" t="s">
        <v>817</v>
      </c>
      <c r="D107" s="47" t="s">
        <v>818</v>
      </c>
      <c r="E107" s="64" t="s">
        <v>85</v>
      </c>
      <c r="F107" s="31" t="s">
        <v>60</v>
      </c>
      <c r="G107" s="31"/>
      <c r="H107" s="31"/>
      <c r="I107" s="31" t="s">
        <v>40</v>
      </c>
      <c r="J107" s="31" t="s">
        <v>102</v>
      </c>
      <c r="K107" s="31" t="s">
        <v>280</v>
      </c>
      <c r="L107" s="32">
        <f>IFERROR(__xludf.DUMMYFUNCTION("VLOOKUP($A107,IMPORTRANGE(""1PQtfbQLqBUP-rjYRznmgNFBLOjvAnhGzpIx7BJWq8rk"",""'Worksheet'!$B$2:$H""),7,FALSE)"),0.17)</f>
        <v>0.17</v>
      </c>
      <c r="M107" s="31" t="s">
        <v>284</v>
      </c>
      <c r="N107" s="49">
        <v>5.584219044E7</v>
      </c>
      <c r="O107" s="49">
        <v>1.824453085E7</v>
      </c>
      <c r="P107" s="49">
        <f t="shared" ref="P107:P108" si="20">N107-O107</f>
        <v>37597659.59</v>
      </c>
      <c r="Q107" s="34">
        <f t="shared" si="7"/>
        <v>0.6732841118</v>
      </c>
      <c r="R107" s="31"/>
      <c r="S107" s="31" t="s">
        <v>40</v>
      </c>
      <c r="T107" s="50" t="s">
        <v>819</v>
      </c>
      <c r="U107" s="51">
        <v>0.0</v>
      </c>
      <c r="V107" s="51" t="s">
        <v>819</v>
      </c>
      <c r="W107" s="31"/>
      <c r="X107" s="52" t="s">
        <v>820</v>
      </c>
      <c r="Y107" s="54" t="s">
        <v>821</v>
      </c>
      <c r="Z107" s="54" t="s">
        <v>822</v>
      </c>
      <c r="AA107" s="68">
        <v>46346.0</v>
      </c>
      <c r="AB107" s="56"/>
      <c r="AC107" s="38" t="s">
        <v>823</v>
      </c>
      <c r="AD107" s="39">
        <v>39747.03</v>
      </c>
      <c r="AE107" s="39">
        <v>18244.53085</v>
      </c>
      <c r="AF107" s="40">
        <v>21502.49915</v>
      </c>
      <c r="AG107" s="57" t="s">
        <v>824</v>
      </c>
      <c r="AH107" s="136" t="s">
        <v>366</v>
      </c>
      <c r="AI107" s="42" t="str">
        <f>IFERROR(__xludf.DUMMYFUNCTION("vLOOKUP(A107,IMPORTRANGE(""https://docs.google.com/spreadsheets/d/1Rawwwdh8wntXGy8isdYNHxsNQS4n_rC8JSdPfj6vEq4"",""'500 объектов перенос на 2026'!A3:AB502""),13,0)"),"#REF!")</f>
        <v>#REF!</v>
      </c>
      <c r="AJ107" s="42" t="str">
        <f>IFERROR(__xludf.DUMMYFUNCTION("vLOOKUP(A107,IMPORTRANGE(""https://docs.google.com/spreadsheets/d/1Rawwwdh8wntXGy8isdYNHxsNQS4n_rC8JSdPfj6vEq4"",""'500 объектов перенос на 2026'!A3:AB502""),14,0)"),"#REF!")</f>
        <v>#REF!</v>
      </c>
      <c r="AK107" s="133"/>
      <c r="AL107" s="70"/>
      <c r="AM107" s="70"/>
      <c r="AN107" s="43"/>
      <c r="AO107" s="43"/>
      <c r="AP107" s="43"/>
      <c r="AQ107" s="43"/>
      <c r="AR107" s="43"/>
      <c r="AS107" s="43"/>
      <c r="AT107" s="43"/>
      <c r="AU107" s="43"/>
      <c r="AV107" s="43"/>
      <c r="AW107" s="43"/>
      <c r="AX107" s="43"/>
      <c r="AY107" s="43"/>
      <c r="AZ107" s="43"/>
    </row>
    <row r="108">
      <c r="A108" s="137" t="s">
        <v>825</v>
      </c>
      <c r="B108" s="63" t="s">
        <v>826</v>
      </c>
      <c r="C108" s="104" t="s">
        <v>827</v>
      </c>
      <c r="D108" s="47" t="s">
        <v>727</v>
      </c>
      <c r="E108" s="64" t="s">
        <v>59</v>
      </c>
      <c r="F108" s="31" t="s">
        <v>40</v>
      </c>
      <c r="G108" s="31" t="s">
        <v>41</v>
      </c>
      <c r="H108" s="31" t="s">
        <v>828</v>
      </c>
      <c r="I108" s="31" t="s">
        <v>40</v>
      </c>
      <c r="J108" s="31" t="s">
        <v>102</v>
      </c>
      <c r="K108" s="31"/>
      <c r="L108" s="32">
        <f>IFERROR(__xludf.DUMMYFUNCTION("VLOOKUP($A108,IMPORTRANGE(""1PQtfbQLqBUP-rjYRznmgNFBLOjvAnhGzpIx7BJWq8rk"",""'Worksheet'!$B$2:$H""),7,FALSE)"),0.77)</f>
        <v>0.77</v>
      </c>
      <c r="M108" s="31" t="s">
        <v>40</v>
      </c>
      <c r="N108" s="49">
        <v>1.1904704E8</v>
      </c>
      <c r="O108" s="49">
        <v>5.475238705E7</v>
      </c>
      <c r="P108" s="49">
        <f t="shared" si="20"/>
        <v>64294652.95</v>
      </c>
      <c r="Q108" s="34">
        <f t="shared" si="7"/>
        <v>0.5400777117</v>
      </c>
      <c r="R108" s="31"/>
      <c r="S108" s="31" t="s">
        <v>45</v>
      </c>
      <c r="T108" s="50">
        <v>1.13094688E8</v>
      </c>
      <c r="U108" s="51">
        <v>5.20147677E7</v>
      </c>
      <c r="V108" s="51">
        <f>T108-U108</f>
        <v>61079920.3</v>
      </c>
      <c r="W108" s="31"/>
      <c r="X108" s="52">
        <v>5.20147677E7</v>
      </c>
      <c r="Y108" s="54" t="s">
        <v>829</v>
      </c>
      <c r="Z108" s="54" t="s">
        <v>830</v>
      </c>
      <c r="AA108" s="74">
        <v>46266.0</v>
      </c>
      <c r="AB108" s="56"/>
      <c r="AC108" s="38" t="s">
        <v>49</v>
      </c>
      <c r="AD108" s="39">
        <v>119047.04</v>
      </c>
      <c r="AE108" s="39">
        <v>54752.38705</v>
      </c>
      <c r="AF108" s="40">
        <v>64294.65295</v>
      </c>
      <c r="AG108" s="57" t="s">
        <v>831</v>
      </c>
      <c r="AH108" s="42" t="s">
        <v>832</v>
      </c>
      <c r="AI108" s="42" t="str">
        <f>IFERROR(__xludf.DUMMYFUNCTION("vLOOKUP(A108,IMPORTRANGE(""https://docs.google.com/spreadsheets/d/1Rawwwdh8wntXGy8isdYNHxsNQS4n_rC8JSdPfj6vEq4"",""'500 объектов перенос на 2026'!A3:AB502""),13,0)"),"#REF!")</f>
        <v>#REF!</v>
      </c>
      <c r="AJ108" s="42" t="str">
        <f>IFERROR(__xludf.DUMMYFUNCTION("vLOOKUP(A108,IMPORTRANGE(""https://docs.google.com/spreadsheets/d/1Rawwwdh8wntXGy8isdYNHxsNQS4n_rC8JSdPfj6vEq4"",""'500 объектов перенос на 2026'!A3:AB502""),14,0)"),"#REF!")</f>
        <v>#REF!</v>
      </c>
      <c r="AK108" s="138" t="s">
        <v>833</v>
      </c>
      <c r="AL108" s="87" t="s">
        <v>834</v>
      </c>
      <c r="AM108" s="87"/>
      <c r="AN108" s="43"/>
      <c r="AO108" s="43"/>
      <c r="AP108" s="43"/>
      <c r="AQ108" s="43"/>
      <c r="AR108" s="43"/>
      <c r="AS108" s="43"/>
      <c r="AT108" s="43"/>
      <c r="AU108" s="43"/>
      <c r="AV108" s="43"/>
      <c r="AW108" s="43"/>
      <c r="AX108" s="43"/>
      <c r="AY108" s="43"/>
      <c r="AZ108" s="43"/>
    </row>
    <row r="109">
      <c r="A109" s="114" t="s">
        <v>835</v>
      </c>
      <c r="B109" s="63" t="s">
        <v>635</v>
      </c>
      <c r="C109" s="64" t="s">
        <v>836</v>
      </c>
      <c r="D109" s="47" t="s">
        <v>812</v>
      </c>
      <c r="E109" s="64" t="s">
        <v>59</v>
      </c>
      <c r="F109" s="31" t="s">
        <v>60</v>
      </c>
      <c r="G109" s="31"/>
      <c r="H109" s="31"/>
      <c r="I109" s="31" t="s">
        <v>60</v>
      </c>
      <c r="J109" s="31"/>
      <c r="K109" s="31"/>
      <c r="L109" s="32" t="str">
        <f>IFERROR(__xludf.DUMMYFUNCTION("VLOOKUP($A109,IMPORTRANGE(""1PQtfbQLqBUP-rjYRznmgNFBLOjvAnhGzpIx7BJWq8rk"",""'Worksheet'!$B$2:$H""),7,FALSE)"),"#N/A")</f>
        <v>#N/A</v>
      </c>
      <c r="M109" s="31" t="s">
        <v>60</v>
      </c>
      <c r="N109" s="49">
        <v>7920000.0</v>
      </c>
      <c r="O109" s="49">
        <v>4489928.93</v>
      </c>
      <c r="P109" s="49">
        <v>0.0</v>
      </c>
      <c r="Q109" s="34">
        <f t="shared" si="7"/>
        <v>0.4330897816</v>
      </c>
      <c r="R109" s="31"/>
      <c r="S109" s="31" t="s">
        <v>60</v>
      </c>
      <c r="T109" s="50" t="s">
        <v>837</v>
      </c>
      <c r="U109" s="51" t="s">
        <v>837</v>
      </c>
      <c r="V109" s="51">
        <v>0.0</v>
      </c>
      <c r="W109" s="31"/>
      <c r="X109" s="52" t="s">
        <v>113</v>
      </c>
      <c r="Y109" s="54" t="s">
        <v>437</v>
      </c>
      <c r="Z109" s="54" t="s">
        <v>437</v>
      </c>
      <c r="AA109" s="54" t="s">
        <v>114</v>
      </c>
      <c r="AB109" s="38" t="s">
        <v>115</v>
      </c>
      <c r="AC109" s="38"/>
      <c r="AD109" s="39">
        <v>7920.0</v>
      </c>
      <c r="AE109" s="39">
        <v>4425.49561</v>
      </c>
      <c r="AF109" s="39">
        <v>3494.50439</v>
      </c>
      <c r="AG109" s="57" t="s">
        <v>838</v>
      </c>
      <c r="AH109" s="42"/>
      <c r="AI109" s="42" t="str">
        <f>IFERROR(__xludf.DUMMYFUNCTION("vLOOKUP(A109,IMPORTRANGE(""https://docs.google.com/spreadsheets/d/1Rawwwdh8wntXGy8isdYNHxsNQS4n_rC8JSdPfj6vEq4"",""'500 объектов перенос на 2026'!A3:AB502""),13,0)"),"#REF!")</f>
        <v>#REF!</v>
      </c>
      <c r="AJ109" s="42" t="str">
        <f>IFERROR(__xludf.DUMMYFUNCTION("vLOOKUP(A109,IMPORTRANGE(""https://docs.google.com/spreadsheets/d/1Rawwwdh8wntXGy8isdYNHxsNQS4n_rC8JSdPfj6vEq4"",""'500 объектов перенос на 2026'!A3:AB502""),14,0)"),"#REF!")</f>
        <v>#REF!</v>
      </c>
      <c r="AK109" s="133"/>
      <c r="AL109" s="70"/>
      <c r="AM109" s="70"/>
      <c r="AN109" s="43"/>
      <c r="AO109" s="43"/>
      <c r="AP109" s="43"/>
      <c r="AQ109" s="43"/>
      <c r="AR109" s="43"/>
      <c r="AS109" s="43"/>
      <c r="AT109" s="43"/>
      <c r="AU109" s="43"/>
      <c r="AV109" s="43"/>
      <c r="AW109" s="43"/>
      <c r="AX109" s="43"/>
      <c r="AY109" s="43"/>
      <c r="AZ109" s="43"/>
    </row>
    <row r="110">
      <c r="A110" s="78" t="s">
        <v>839</v>
      </c>
      <c r="B110" s="63" t="s">
        <v>635</v>
      </c>
      <c r="C110" s="64" t="s">
        <v>840</v>
      </c>
      <c r="D110" s="47" t="s">
        <v>505</v>
      </c>
      <c r="E110" s="64" t="s">
        <v>59</v>
      </c>
      <c r="F110" s="31" t="s">
        <v>60</v>
      </c>
      <c r="G110" s="31"/>
      <c r="H110" s="31"/>
      <c r="I110" s="31" t="s">
        <v>60</v>
      </c>
      <c r="J110" s="31"/>
      <c r="K110" s="31"/>
      <c r="L110" s="32" t="str">
        <f>IFERROR(__xludf.DUMMYFUNCTION("VLOOKUP($A110,IMPORTRANGE(""1PQtfbQLqBUP-rjYRznmgNFBLOjvAnhGzpIx7BJWq8rk"",""'Worksheet'!$B$2:$H""),7,FALSE)"),"#N/A")</f>
        <v>#N/A</v>
      </c>
      <c r="M110" s="31" t="s">
        <v>60</v>
      </c>
      <c r="N110" s="49">
        <v>7.11613E7</v>
      </c>
      <c r="O110" s="49">
        <v>6.856578567E7</v>
      </c>
      <c r="P110" s="49">
        <v>0.0</v>
      </c>
      <c r="Q110" s="34">
        <f t="shared" si="7"/>
        <v>0.03647367783</v>
      </c>
      <c r="R110" s="31"/>
      <c r="S110" s="31" t="s">
        <v>60</v>
      </c>
      <c r="T110" s="50" t="s">
        <v>841</v>
      </c>
      <c r="U110" s="51" t="s">
        <v>841</v>
      </c>
      <c r="V110" s="51">
        <v>0.0</v>
      </c>
      <c r="W110" s="31"/>
      <c r="X110" s="52" t="s">
        <v>113</v>
      </c>
      <c r="Y110" s="54" t="s">
        <v>437</v>
      </c>
      <c r="Z110" s="54" t="s">
        <v>437</v>
      </c>
      <c r="AA110" s="54" t="s">
        <v>114</v>
      </c>
      <c r="AB110" s="38" t="s">
        <v>115</v>
      </c>
      <c r="AC110" s="38"/>
      <c r="AD110" s="39">
        <v>71161.3</v>
      </c>
      <c r="AE110" s="39">
        <v>68710.21899</v>
      </c>
      <c r="AF110" s="39">
        <v>2451.08101</v>
      </c>
      <c r="AG110" s="57" t="s">
        <v>842</v>
      </c>
      <c r="AH110" s="42"/>
      <c r="AI110" s="42" t="str">
        <f>IFERROR(__xludf.DUMMYFUNCTION("vLOOKUP(A110,IMPORTRANGE(""https://docs.google.com/spreadsheets/d/1Rawwwdh8wntXGy8isdYNHxsNQS4n_rC8JSdPfj6vEq4"",""'500 объектов перенос на 2026'!A3:AB502""),13,0)"),"#REF!")</f>
        <v>#REF!</v>
      </c>
      <c r="AJ110" s="42" t="str">
        <f>IFERROR(__xludf.DUMMYFUNCTION("vLOOKUP(A110,IMPORTRANGE(""https://docs.google.com/spreadsheets/d/1Rawwwdh8wntXGy8isdYNHxsNQS4n_rC8JSdPfj6vEq4"",""'500 объектов перенос на 2026'!A3:AB502""),14,0)"),"#REF!")</f>
        <v>#REF!</v>
      </c>
      <c r="AK110" s="76" t="s">
        <v>114</v>
      </c>
      <c r="AL110" s="70"/>
      <c r="AM110" s="70"/>
      <c r="AN110" s="43"/>
      <c r="AO110" s="43"/>
      <c r="AP110" s="43"/>
      <c r="AQ110" s="43"/>
      <c r="AR110" s="43"/>
      <c r="AS110" s="43"/>
      <c r="AT110" s="43"/>
      <c r="AU110" s="43"/>
      <c r="AV110" s="43"/>
      <c r="AW110" s="43"/>
      <c r="AX110" s="43"/>
      <c r="AY110" s="43"/>
      <c r="AZ110" s="43"/>
    </row>
    <row r="111">
      <c r="A111" s="62" t="s">
        <v>843</v>
      </c>
      <c r="B111" s="63" t="s">
        <v>826</v>
      </c>
      <c r="C111" s="64" t="s">
        <v>844</v>
      </c>
      <c r="D111" s="47" t="s">
        <v>727</v>
      </c>
      <c r="E111" s="64" t="s">
        <v>59</v>
      </c>
      <c r="F111" s="31" t="s">
        <v>40</v>
      </c>
      <c r="G111" s="31" t="s">
        <v>41</v>
      </c>
      <c r="H111" s="31" t="s">
        <v>828</v>
      </c>
      <c r="I111" s="31" t="s">
        <v>40</v>
      </c>
      <c r="J111" s="31" t="s">
        <v>102</v>
      </c>
      <c r="K111" s="31"/>
      <c r="L111" s="32">
        <f>IFERROR(__xludf.DUMMYFUNCTION("VLOOKUP($A111,IMPORTRANGE(""1PQtfbQLqBUP-rjYRznmgNFBLOjvAnhGzpIx7BJWq8rk"",""'Worksheet'!$B$2:$H""),7,FALSE)"),0.83)</f>
        <v>0.83</v>
      </c>
      <c r="M111" s="31" t="s">
        <v>40</v>
      </c>
      <c r="N111" s="49">
        <v>1.1904704E8</v>
      </c>
      <c r="O111" s="49">
        <v>5.475238745E7</v>
      </c>
      <c r="P111" s="49">
        <f t="shared" ref="P111:P112" si="21">N111-O111</f>
        <v>64294652.55</v>
      </c>
      <c r="Q111" s="34">
        <f t="shared" si="7"/>
        <v>0.5400777084</v>
      </c>
      <c r="R111" s="31"/>
      <c r="S111" s="31" t="s">
        <v>45</v>
      </c>
      <c r="T111" s="50">
        <v>1.13094688E8</v>
      </c>
      <c r="U111" s="51">
        <v>5.201476808E7</v>
      </c>
      <c r="V111" s="51">
        <f>T111-U111</f>
        <v>61079919.92</v>
      </c>
      <c r="W111" s="31"/>
      <c r="X111" s="52">
        <v>5.201476808E7</v>
      </c>
      <c r="Y111" s="54" t="s">
        <v>833</v>
      </c>
      <c r="Z111" s="54" t="s">
        <v>830</v>
      </c>
      <c r="AA111" s="74">
        <v>46296.0</v>
      </c>
      <c r="AB111" s="56"/>
      <c r="AC111" s="38" t="s">
        <v>49</v>
      </c>
      <c r="AD111" s="39">
        <v>119047.04</v>
      </c>
      <c r="AE111" s="39">
        <v>54752.38745</v>
      </c>
      <c r="AF111" s="40">
        <v>64294.65255</v>
      </c>
      <c r="AG111" s="57" t="s">
        <v>845</v>
      </c>
      <c r="AH111" s="42" t="s">
        <v>832</v>
      </c>
      <c r="AI111" s="42" t="str">
        <f>IFERROR(__xludf.DUMMYFUNCTION("vLOOKUP(A111,IMPORTRANGE(""https://docs.google.com/spreadsheets/d/1Rawwwdh8wntXGy8isdYNHxsNQS4n_rC8JSdPfj6vEq4"",""'500 объектов перенос на 2026'!A3:AB502""),13,0)"),"#REF!")</f>
        <v>#REF!</v>
      </c>
      <c r="AJ111" s="42" t="str">
        <f>IFERROR(__xludf.DUMMYFUNCTION("vLOOKUP(A111,IMPORTRANGE(""https://docs.google.com/spreadsheets/d/1Rawwwdh8wntXGy8isdYNHxsNQS4n_rC8JSdPfj6vEq4"",""'500 объектов перенос на 2026'!A3:AB502""),14,0)"),"#REF!")</f>
        <v>#REF!</v>
      </c>
      <c r="AK111" s="138" t="s">
        <v>833</v>
      </c>
      <c r="AL111" s="86" t="s">
        <v>834</v>
      </c>
      <c r="AM111" s="87"/>
      <c r="AN111" s="43"/>
      <c r="AO111" s="43"/>
      <c r="AP111" s="43"/>
      <c r="AQ111" s="43"/>
      <c r="AR111" s="43"/>
      <c r="AS111" s="43"/>
      <c r="AT111" s="43"/>
      <c r="AU111" s="43"/>
      <c r="AV111" s="43"/>
      <c r="AW111" s="43"/>
      <c r="AX111" s="43"/>
      <c r="AY111" s="43"/>
      <c r="AZ111" s="43"/>
    </row>
    <row r="112">
      <c r="A112" s="62" t="s">
        <v>846</v>
      </c>
      <c r="B112" s="63" t="s">
        <v>268</v>
      </c>
      <c r="C112" s="64" t="s">
        <v>847</v>
      </c>
      <c r="D112" s="47" t="s">
        <v>848</v>
      </c>
      <c r="E112" s="64" t="s">
        <v>85</v>
      </c>
      <c r="F112" s="31" t="s">
        <v>40</v>
      </c>
      <c r="G112" s="31" t="s">
        <v>41</v>
      </c>
      <c r="H112" s="31" t="s">
        <v>260</v>
      </c>
      <c r="I112" s="31" t="s">
        <v>40</v>
      </c>
      <c r="J112" s="31" t="s">
        <v>102</v>
      </c>
      <c r="K112" s="31"/>
      <c r="L112" s="32">
        <f>IFERROR(__xludf.DUMMYFUNCTION("VLOOKUP($A112,IMPORTRANGE(""1PQtfbQLqBUP-rjYRznmgNFBLOjvAnhGzpIx7BJWq8rk"",""'Worksheet'!$B$2:$H""),7,FALSE)"),0.15)</f>
        <v>0.15</v>
      </c>
      <c r="M112" s="31" t="s">
        <v>40</v>
      </c>
      <c r="N112" s="49">
        <v>1.25944E8</v>
      </c>
      <c r="O112" s="49">
        <v>6.171946131E7</v>
      </c>
      <c r="P112" s="49">
        <f t="shared" si="21"/>
        <v>64224538.69</v>
      </c>
      <c r="Q112" s="34">
        <f t="shared" si="7"/>
        <v>0.5099452033</v>
      </c>
      <c r="R112" s="31"/>
      <c r="S112" s="31" t="s">
        <v>40</v>
      </c>
      <c r="T112" s="91" t="s">
        <v>849</v>
      </c>
      <c r="U112" s="51">
        <v>0.0</v>
      </c>
      <c r="V112" s="117" t="s">
        <v>849</v>
      </c>
      <c r="W112" s="31"/>
      <c r="X112" s="52" t="s">
        <v>272</v>
      </c>
      <c r="Y112" s="54" t="s">
        <v>850</v>
      </c>
      <c r="Z112" s="54" t="s">
        <v>851</v>
      </c>
      <c r="AA112" s="74">
        <v>46280.0</v>
      </c>
      <c r="AB112" s="56"/>
      <c r="AC112" s="38" t="s">
        <v>852</v>
      </c>
      <c r="AD112" s="39">
        <v>125944.0</v>
      </c>
      <c r="AE112" s="39">
        <v>61719.46131</v>
      </c>
      <c r="AF112" s="40">
        <v>64224.53869</v>
      </c>
      <c r="AG112" s="57" t="s">
        <v>853</v>
      </c>
      <c r="AH112" s="42" t="s">
        <v>854</v>
      </c>
      <c r="AI112" s="42" t="str">
        <f>IFERROR(__xludf.DUMMYFUNCTION("vLOOKUP(A112,IMPORTRANGE(""https://docs.google.com/spreadsheets/d/1Rawwwdh8wntXGy8isdYNHxsNQS4n_rC8JSdPfj6vEq4"",""'500 объектов перенос на 2026'!A3:AB502""),13,0)"),"#REF!")</f>
        <v>#REF!</v>
      </c>
      <c r="AJ112" s="42" t="str">
        <f>IFERROR(__xludf.DUMMYFUNCTION("vLOOKUP(A112,IMPORTRANGE(""https://docs.google.com/spreadsheets/d/1Rawwwdh8wntXGy8isdYNHxsNQS4n_rC8JSdPfj6vEq4"",""'500 объектов перенос на 2026'!A3:AB502""),14,0)"),"#REF!")</f>
        <v>#REF!</v>
      </c>
      <c r="AK112" s="87" t="s">
        <v>855</v>
      </c>
      <c r="AL112" s="86"/>
      <c r="AM112" s="87"/>
      <c r="AN112" s="43"/>
      <c r="AO112" s="43"/>
      <c r="AP112" s="43"/>
      <c r="AQ112" s="43"/>
      <c r="AR112" s="43"/>
      <c r="AS112" s="43"/>
      <c r="AT112" s="43"/>
      <c r="AU112" s="43"/>
      <c r="AV112" s="43"/>
      <c r="AW112" s="43"/>
      <c r="AX112" s="43"/>
      <c r="AY112" s="43"/>
      <c r="AZ112" s="43"/>
    </row>
    <row r="113">
      <c r="A113" s="78" t="s">
        <v>856</v>
      </c>
      <c r="B113" s="63" t="s">
        <v>635</v>
      </c>
      <c r="C113" s="64" t="s">
        <v>857</v>
      </c>
      <c r="D113" s="47" t="s">
        <v>858</v>
      </c>
      <c r="E113" s="64" t="s">
        <v>85</v>
      </c>
      <c r="F113" s="31" t="s">
        <v>60</v>
      </c>
      <c r="G113" s="31"/>
      <c r="H113" s="31"/>
      <c r="I113" s="31" t="s">
        <v>60</v>
      </c>
      <c r="J113" s="31"/>
      <c r="K113" s="31"/>
      <c r="L113" s="32" t="str">
        <f>IFERROR(__xludf.DUMMYFUNCTION("VLOOKUP($A113,IMPORTRANGE(""1PQtfbQLqBUP-rjYRznmgNFBLOjvAnhGzpIx7BJWq8rk"",""'Worksheet'!$B$2:$H""),7,FALSE)"),"#N/A")</f>
        <v>#N/A</v>
      </c>
      <c r="M113" s="31" t="s">
        <v>60</v>
      </c>
      <c r="N113" s="49">
        <v>7761120.0</v>
      </c>
      <c r="O113" s="49">
        <v>2328336.0</v>
      </c>
      <c r="P113" s="49">
        <v>0.0</v>
      </c>
      <c r="Q113" s="34">
        <f t="shared" si="7"/>
        <v>0.7</v>
      </c>
      <c r="R113" s="31"/>
      <c r="S113" s="31" t="s">
        <v>60</v>
      </c>
      <c r="T113" s="91">
        <v>0.0</v>
      </c>
      <c r="U113" s="51">
        <v>0.0</v>
      </c>
      <c r="V113" s="51">
        <v>0.0</v>
      </c>
      <c r="W113" s="31"/>
      <c r="X113" s="52" t="s">
        <v>113</v>
      </c>
      <c r="Y113" s="54"/>
      <c r="Z113" s="54"/>
      <c r="AA113" s="54" t="s">
        <v>114</v>
      </c>
      <c r="AB113" s="38" t="s">
        <v>115</v>
      </c>
      <c r="AC113" s="38" t="s">
        <v>284</v>
      </c>
      <c r="AD113" s="39">
        <v>7761.12</v>
      </c>
      <c r="AE113" s="39">
        <v>2328.33476</v>
      </c>
      <c r="AF113" s="39">
        <v>5432.78524</v>
      </c>
      <c r="AG113" s="57" t="s">
        <v>859</v>
      </c>
      <c r="AH113" s="42"/>
      <c r="AI113" s="42" t="str">
        <f>IFERROR(__xludf.DUMMYFUNCTION("vLOOKUP(A113,IMPORTRANGE(""https://docs.google.com/spreadsheets/d/1Rawwwdh8wntXGy8isdYNHxsNQS4n_rC8JSdPfj6vEq4"",""'500 объектов перенос на 2026'!A3:AB502""),13,0)"),"#REF!")</f>
        <v>#REF!</v>
      </c>
      <c r="AJ113" s="42" t="str">
        <f>IFERROR(__xludf.DUMMYFUNCTION("vLOOKUP(A113,IMPORTRANGE(""https://docs.google.com/spreadsheets/d/1Rawwwdh8wntXGy8isdYNHxsNQS4n_rC8JSdPfj6vEq4"",""'500 объектов перенос на 2026'!A3:AB502""),14,0)"),"#REF!")</f>
        <v>#REF!</v>
      </c>
      <c r="AK113" s="76" t="s">
        <v>114</v>
      </c>
      <c r="AL113" s="70"/>
      <c r="AM113" s="70"/>
      <c r="AN113" s="43"/>
      <c r="AO113" s="43"/>
      <c r="AP113" s="43"/>
      <c r="AQ113" s="43"/>
      <c r="AR113" s="43"/>
      <c r="AS113" s="43"/>
      <c r="AT113" s="43"/>
      <c r="AU113" s="43"/>
      <c r="AV113" s="43"/>
      <c r="AW113" s="43"/>
      <c r="AX113" s="43"/>
      <c r="AY113" s="43"/>
      <c r="AZ113" s="43"/>
    </row>
    <row r="114">
      <c r="A114" s="62" t="s">
        <v>860</v>
      </c>
      <c r="B114" s="63" t="s">
        <v>56</v>
      </c>
      <c r="C114" s="64" t="s">
        <v>861</v>
      </c>
      <c r="D114" s="47" t="s">
        <v>862</v>
      </c>
      <c r="E114" s="64" t="s">
        <v>39</v>
      </c>
      <c r="F114" s="31" t="s">
        <v>40</v>
      </c>
      <c r="G114" s="31" t="s">
        <v>299</v>
      </c>
      <c r="H114" s="31" t="s">
        <v>260</v>
      </c>
      <c r="I114" s="31" t="s">
        <v>40</v>
      </c>
      <c r="J114" s="31" t="s">
        <v>43</v>
      </c>
      <c r="K114" s="31"/>
      <c r="L114" s="32">
        <f>IFERROR(__xludf.DUMMYFUNCTION("VLOOKUP($A114,IMPORTRANGE(""1PQtfbQLqBUP-rjYRznmgNFBLOjvAnhGzpIx7BJWq8rk"",""'Worksheet'!$B$2:$H""),7,FALSE)"),0.8)</f>
        <v>0.8</v>
      </c>
      <c r="M114" s="31" t="s">
        <v>40</v>
      </c>
      <c r="N114" s="49">
        <v>9.0E7</v>
      </c>
      <c r="O114" s="49">
        <v>2.7E7</v>
      </c>
      <c r="P114" s="49">
        <f t="shared" ref="P114:P116" si="22">N114-O114</f>
        <v>63000000</v>
      </c>
      <c r="Q114" s="34">
        <f t="shared" si="7"/>
        <v>0.7</v>
      </c>
      <c r="R114" s="31"/>
      <c r="S114" s="31" t="s">
        <v>45</v>
      </c>
      <c r="T114" s="72" t="s">
        <v>863</v>
      </c>
      <c r="U114" s="67" t="s">
        <v>864</v>
      </c>
      <c r="V114" s="67" t="s">
        <v>865</v>
      </c>
      <c r="W114" s="31"/>
      <c r="X114" s="52" t="s">
        <v>49</v>
      </c>
      <c r="Y114" s="54" t="s">
        <v>866</v>
      </c>
      <c r="Z114" s="68"/>
      <c r="AA114" s="68">
        <v>46356.0</v>
      </c>
      <c r="AB114" s="56"/>
      <c r="AC114" s="38"/>
      <c r="AD114" s="39">
        <v>90000.0</v>
      </c>
      <c r="AE114" s="39">
        <v>27000.0</v>
      </c>
      <c r="AF114" s="40">
        <v>63000.0</v>
      </c>
      <c r="AG114" s="57" t="s">
        <v>867</v>
      </c>
      <c r="AH114" s="42" t="s">
        <v>49</v>
      </c>
      <c r="AI114" s="42" t="str">
        <f>IFERROR(__xludf.DUMMYFUNCTION("vLOOKUP(A114,IMPORTRANGE(""https://docs.google.com/spreadsheets/d/1Rawwwdh8wntXGy8isdYNHxsNQS4n_rC8JSdPfj6vEq4"",""'500 объектов перенос на 2026'!A3:AB502""),13,0)"),"#REF!")</f>
        <v>#REF!</v>
      </c>
      <c r="AJ114" s="42" t="str">
        <f>IFERROR(__xludf.DUMMYFUNCTION("vLOOKUP(A114,IMPORTRANGE(""https://docs.google.com/spreadsheets/d/1Rawwwdh8wntXGy8isdYNHxsNQS4n_rC8JSdPfj6vEq4"",""'500 объектов перенос на 2026'!A3:AB502""),14,0)"),"#REF!")</f>
        <v>#REF!</v>
      </c>
      <c r="AK114" s="76" t="s">
        <v>868</v>
      </c>
      <c r="AL114" s="76"/>
      <c r="AM114" s="70"/>
      <c r="AN114" s="43"/>
      <c r="AO114" s="43"/>
      <c r="AP114" s="43"/>
      <c r="AQ114" s="43"/>
      <c r="AR114" s="43"/>
      <c r="AS114" s="43"/>
      <c r="AT114" s="43"/>
      <c r="AU114" s="43"/>
      <c r="AV114" s="43"/>
      <c r="AW114" s="43"/>
      <c r="AX114" s="43"/>
      <c r="AY114" s="43"/>
      <c r="AZ114" s="43"/>
    </row>
    <row r="115">
      <c r="A115" s="62" t="s">
        <v>869</v>
      </c>
      <c r="B115" s="63" t="s">
        <v>653</v>
      </c>
      <c r="C115" s="64" t="s">
        <v>870</v>
      </c>
      <c r="D115" s="47" t="s">
        <v>871</v>
      </c>
      <c r="E115" s="64" t="s">
        <v>85</v>
      </c>
      <c r="F115" s="31" t="s">
        <v>60</v>
      </c>
      <c r="G115" s="31"/>
      <c r="H115" s="31"/>
      <c r="I115" s="31" t="s">
        <v>60</v>
      </c>
      <c r="J115" s="31"/>
      <c r="K115" s="31"/>
      <c r="L115" s="32">
        <f>IFERROR(__xludf.DUMMYFUNCTION("VLOOKUP($A115,IMPORTRANGE(""1PQtfbQLqBUP-rjYRznmgNFBLOjvAnhGzpIx7BJWq8rk"",""'Worksheet'!$B$2:$H""),7,FALSE)"),0.98)</f>
        <v>0.98</v>
      </c>
      <c r="M115" s="31" t="s">
        <v>40</v>
      </c>
      <c r="N115" s="49">
        <v>1.256E8</v>
      </c>
      <c r="O115" s="127">
        <v>6.28E7</v>
      </c>
      <c r="P115" s="49">
        <f t="shared" si="22"/>
        <v>62800000</v>
      </c>
      <c r="Q115" s="34">
        <f t="shared" si="7"/>
        <v>0.5</v>
      </c>
      <c r="R115" s="31"/>
      <c r="S115" s="31" t="s">
        <v>40</v>
      </c>
      <c r="T115" s="91" t="s">
        <v>872</v>
      </c>
      <c r="U115" s="117">
        <v>0.0</v>
      </c>
      <c r="V115" s="51" t="s">
        <v>872</v>
      </c>
      <c r="W115" s="31" t="s">
        <v>148</v>
      </c>
      <c r="X115" s="52" t="s">
        <v>8</v>
      </c>
      <c r="Y115" s="73" t="s">
        <v>873</v>
      </c>
      <c r="Z115" s="74"/>
      <c r="AA115" s="74">
        <v>46203.0</v>
      </c>
      <c r="AB115" s="56"/>
      <c r="AC115" s="38" t="s">
        <v>874</v>
      </c>
      <c r="AD115" s="39">
        <v>125600.0</v>
      </c>
      <c r="AE115" s="39">
        <v>62800.0</v>
      </c>
      <c r="AF115" s="40">
        <v>62800.0</v>
      </c>
      <c r="AG115" s="57" t="s">
        <v>875</v>
      </c>
      <c r="AH115" s="42" t="s">
        <v>326</v>
      </c>
      <c r="AI115" s="42" t="str">
        <f>IFERROR(__xludf.DUMMYFUNCTION("vLOOKUP(A115,IMPORTRANGE(""https://docs.google.com/spreadsheets/d/1Rawwwdh8wntXGy8isdYNHxsNQS4n_rC8JSdPfj6vEq4"",""'500 объектов перенос на 2026'!A3:AB502""),13,0)"),"#REF!")</f>
        <v>#REF!</v>
      </c>
      <c r="AJ115" s="42" t="str">
        <f>IFERROR(__xludf.DUMMYFUNCTION("vLOOKUP(A115,IMPORTRANGE(""https://docs.google.com/spreadsheets/d/1Rawwwdh8wntXGy8isdYNHxsNQS4n_rC8JSdPfj6vEq4"",""'500 объектов перенос на 2026'!A3:AB502""),14,0)"),"#REF!")</f>
        <v>#REF!</v>
      </c>
      <c r="AK115" s="70" t="s">
        <v>876</v>
      </c>
      <c r="AL115" s="70"/>
      <c r="AM115" s="70"/>
      <c r="AN115" s="43"/>
      <c r="AO115" s="43"/>
      <c r="AP115" s="43"/>
      <c r="AQ115" s="43"/>
      <c r="AR115" s="43"/>
      <c r="AS115" s="43"/>
      <c r="AT115" s="43"/>
      <c r="AU115" s="43"/>
      <c r="AV115" s="43"/>
      <c r="AW115" s="43"/>
      <c r="AX115" s="43"/>
      <c r="AY115" s="43"/>
      <c r="AZ115" s="43"/>
    </row>
    <row r="116">
      <c r="A116" s="62" t="s">
        <v>877</v>
      </c>
      <c r="B116" s="63" t="s">
        <v>826</v>
      </c>
      <c r="C116" s="64" t="s">
        <v>878</v>
      </c>
      <c r="D116" s="47" t="s">
        <v>727</v>
      </c>
      <c r="E116" s="64" t="s">
        <v>59</v>
      </c>
      <c r="F116" s="31" t="s">
        <v>40</v>
      </c>
      <c r="G116" s="31" t="s">
        <v>156</v>
      </c>
      <c r="H116" s="31" t="s">
        <v>301</v>
      </c>
      <c r="I116" s="31" t="s">
        <v>40</v>
      </c>
      <c r="J116" s="31" t="s">
        <v>102</v>
      </c>
      <c r="K116" s="31"/>
      <c r="L116" s="32">
        <f>IFERROR(__xludf.DUMMYFUNCTION("VLOOKUP($A116,IMPORTRANGE(""1PQtfbQLqBUP-rjYRznmgNFBLOjvAnhGzpIx7BJWq8rk"",""'Worksheet'!$B$2:$H""),7,FALSE)"),0.84)</f>
        <v>0.84</v>
      </c>
      <c r="M116" s="31" t="s">
        <v>40</v>
      </c>
      <c r="N116" s="49">
        <v>1.1507882E8</v>
      </c>
      <c r="O116" s="49">
        <v>5.292731462E7</v>
      </c>
      <c r="P116" s="49">
        <f t="shared" si="22"/>
        <v>62151505.38</v>
      </c>
      <c r="Q116" s="34">
        <f t="shared" si="7"/>
        <v>0.5400777083</v>
      </c>
      <c r="R116" s="31"/>
      <c r="S116" s="31" t="s">
        <v>45</v>
      </c>
      <c r="T116" s="50">
        <v>1.09324879E8</v>
      </c>
      <c r="U116" s="51">
        <v>5.028094889E7</v>
      </c>
      <c r="V116" s="51">
        <f>T116-U116</f>
        <v>59043930.11</v>
      </c>
      <c r="W116" s="31"/>
      <c r="X116" s="52">
        <v>5.028094889E7</v>
      </c>
      <c r="Y116" s="54" t="s">
        <v>879</v>
      </c>
      <c r="Z116" s="54" t="s">
        <v>830</v>
      </c>
      <c r="AA116" s="74">
        <v>46266.0</v>
      </c>
      <c r="AB116" s="56"/>
      <c r="AC116" s="38" t="s">
        <v>880</v>
      </c>
      <c r="AD116" s="39">
        <v>115078.82</v>
      </c>
      <c r="AE116" s="39">
        <v>52927.31462</v>
      </c>
      <c r="AF116" s="40">
        <v>62151.50538</v>
      </c>
      <c r="AG116" s="57" t="s">
        <v>881</v>
      </c>
      <c r="AH116" s="42" t="s">
        <v>49</v>
      </c>
      <c r="AI116" s="42" t="str">
        <f>IFERROR(__xludf.DUMMYFUNCTION("vLOOKUP(A116,IMPORTRANGE(""https://docs.google.com/spreadsheets/d/1Rawwwdh8wntXGy8isdYNHxsNQS4n_rC8JSdPfj6vEq4"",""'500 объектов перенос на 2026'!A3:AB502""),13,0)"),"#REF!")</f>
        <v>#REF!</v>
      </c>
      <c r="AJ116" s="42" t="str">
        <f>IFERROR(__xludf.DUMMYFUNCTION("vLOOKUP(A116,IMPORTRANGE(""https://docs.google.com/spreadsheets/d/1Rawwwdh8wntXGy8isdYNHxsNQS4n_rC8JSdPfj6vEq4"",""'500 объектов перенос на 2026'!A3:AB502""),14,0)"),"#REF!")</f>
        <v>#REF!</v>
      </c>
      <c r="AK116" s="76" t="s">
        <v>879</v>
      </c>
      <c r="AL116" s="70" t="s">
        <v>882</v>
      </c>
      <c r="AM116" s="70"/>
      <c r="AN116" s="43"/>
      <c r="AO116" s="43"/>
      <c r="AP116" s="43"/>
      <c r="AQ116" s="43"/>
      <c r="AR116" s="43"/>
      <c r="AS116" s="43"/>
      <c r="AT116" s="43"/>
      <c r="AU116" s="43"/>
      <c r="AV116" s="43"/>
      <c r="AW116" s="43"/>
      <c r="AX116" s="43"/>
      <c r="AY116" s="43"/>
      <c r="AZ116" s="43"/>
    </row>
    <row r="117">
      <c r="A117" s="78" t="s">
        <v>883</v>
      </c>
      <c r="B117" s="63" t="s">
        <v>503</v>
      </c>
      <c r="C117" s="64" t="s">
        <v>884</v>
      </c>
      <c r="D117" s="47" t="s">
        <v>885</v>
      </c>
      <c r="E117" s="64" t="s">
        <v>85</v>
      </c>
      <c r="F117" s="31" t="s">
        <v>60</v>
      </c>
      <c r="G117" s="31"/>
      <c r="H117" s="31"/>
      <c r="I117" s="31" t="s">
        <v>60</v>
      </c>
      <c r="J117" s="31"/>
      <c r="K117" s="31"/>
      <c r="L117" s="32" t="str">
        <f>IFERROR(__xludf.DUMMYFUNCTION("VLOOKUP($A117,IMPORTRANGE(""1PQtfbQLqBUP-rjYRznmgNFBLOjvAnhGzpIx7BJWq8rk"",""'Worksheet'!$B$2:$H""),7,FALSE)"),"#N/A")</f>
        <v>#N/A</v>
      </c>
      <c r="M117" s="31" t="s">
        <v>60</v>
      </c>
      <c r="N117" s="49">
        <v>1.56167391E8</v>
      </c>
      <c r="O117" s="49">
        <v>1.56167391E8</v>
      </c>
      <c r="P117" s="49">
        <v>0.0</v>
      </c>
      <c r="Q117" s="34">
        <f t="shared" si="7"/>
        <v>0</v>
      </c>
      <c r="R117" s="31"/>
      <c r="S117" s="31" t="s">
        <v>60</v>
      </c>
      <c r="T117" s="50"/>
      <c r="U117" s="51"/>
      <c r="V117" s="51"/>
      <c r="W117" s="31"/>
      <c r="X117" s="52" t="s">
        <v>113</v>
      </c>
      <c r="Y117" s="54"/>
      <c r="Z117" s="54"/>
      <c r="AA117" s="54" t="s">
        <v>114</v>
      </c>
      <c r="AB117" s="38" t="s">
        <v>115</v>
      </c>
      <c r="AC117" s="38"/>
      <c r="AD117" s="39">
        <v>156167.3911</v>
      </c>
      <c r="AE117" s="39">
        <v>156167.3911</v>
      </c>
      <c r="AF117" s="39">
        <v>0.0</v>
      </c>
      <c r="AG117" s="57" t="s">
        <v>886</v>
      </c>
      <c r="AH117" s="42" t="s">
        <v>887</v>
      </c>
      <c r="AI117" s="42" t="str">
        <f>IFERROR(__xludf.DUMMYFUNCTION("vLOOKUP(A117,IMPORTRANGE(""https://docs.google.com/spreadsheets/d/1Rawwwdh8wntXGy8isdYNHxsNQS4n_rC8JSdPfj6vEq4"",""'500 объектов перенос на 2026'!A3:AB502""),13,0)"),"#REF!")</f>
        <v>#REF!</v>
      </c>
      <c r="AJ117" s="42" t="str">
        <f>IFERROR(__xludf.DUMMYFUNCTION("vLOOKUP(A117,IMPORTRANGE(""https://docs.google.com/spreadsheets/d/1Rawwwdh8wntXGy8isdYNHxsNQS4n_rC8JSdPfj6vEq4"",""'500 объектов перенос на 2026'!A3:AB502""),14,0)"),"#REF!")</f>
        <v>#REF!</v>
      </c>
      <c r="AK117" s="76" t="s">
        <v>114</v>
      </c>
      <c r="AL117" s="70"/>
      <c r="AM117" s="70"/>
      <c r="AN117" s="43"/>
      <c r="AO117" s="43"/>
      <c r="AP117" s="43"/>
      <c r="AQ117" s="43"/>
      <c r="AR117" s="43"/>
      <c r="AS117" s="43"/>
      <c r="AT117" s="43"/>
      <c r="AU117" s="43"/>
      <c r="AV117" s="43"/>
      <c r="AW117" s="43"/>
      <c r="AX117" s="43"/>
      <c r="AY117" s="43"/>
      <c r="AZ117" s="43"/>
    </row>
    <row r="118">
      <c r="A118" s="78" t="s">
        <v>888</v>
      </c>
      <c r="B118" s="63" t="s">
        <v>503</v>
      </c>
      <c r="C118" s="64" t="s">
        <v>889</v>
      </c>
      <c r="D118" s="47" t="s">
        <v>890</v>
      </c>
      <c r="E118" s="64" t="s">
        <v>85</v>
      </c>
      <c r="F118" s="31" t="s">
        <v>60</v>
      </c>
      <c r="G118" s="31"/>
      <c r="H118" s="31"/>
      <c r="I118" s="31" t="s">
        <v>60</v>
      </c>
      <c r="J118" s="31"/>
      <c r="K118" s="31"/>
      <c r="L118" s="32" t="str">
        <f>IFERROR(__xludf.DUMMYFUNCTION("VLOOKUP($A118,IMPORTRANGE(""1PQtfbQLqBUP-rjYRznmgNFBLOjvAnhGzpIx7BJWq8rk"",""'Worksheet'!$B$2:$H""),7,FALSE)"),"#N/A")</f>
        <v>#N/A</v>
      </c>
      <c r="M118" s="31" t="s">
        <v>60</v>
      </c>
      <c r="N118" s="49">
        <v>1.281512E7</v>
      </c>
      <c r="O118" s="49">
        <v>1.163672603E7</v>
      </c>
      <c r="P118" s="49">
        <v>0.0</v>
      </c>
      <c r="Q118" s="34">
        <f t="shared" si="7"/>
        <v>0.09195340894</v>
      </c>
      <c r="R118" s="31"/>
      <c r="S118" s="31" t="s">
        <v>60</v>
      </c>
      <c r="T118" s="50"/>
      <c r="U118" s="51"/>
      <c r="V118" s="51"/>
      <c r="W118" s="31"/>
      <c r="X118" s="52" t="s">
        <v>113</v>
      </c>
      <c r="Y118" s="54"/>
      <c r="Z118" s="54"/>
      <c r="AA118" s="54" t="s">
        <v>114</v>
      </c>
      <c r="AB118" s="38" t="s">
        <v>115</v>
      </c>
      <c r="AC118" s="38"/>
      <c r="AD118" s="39">
        <v>12815.12</v>
      </c>
      <c r="AE118" s="39">
        <v>11636.72603</v>
      </c>
      <c r="AF118" s="139">
        <v>1178.39397</v>
      </c>
      <c r="AG118" s="57" t="s">
        <v>891</v>
      </c>
      <c r="AH118" s="42" t="s">
        <v>892</v>
      </c>
      <c r="AI118" s="42" t="str">
        <f>IFERROR(__xludf.DUMMYFUNCTION("vLOOKUP(A118,IMPORTRANGE(""https://docs.google.com/spreadsheets/d/1Rawwwdh8wntXGy8isdYNHxsNQS4n_rC8JSdPfj6vEq4"",""'500 объектов перенос на 2026'!A3:AB502""),13,0)"),"#REF!")</f>
        <v>#REF!</v>
      </c>
      <c r="AJ118" s="42" t="str">
        <f>IFERROR(__xludf.DUMMYFUNCTION("vLOOKUP(A118,IMPORTRANGE(""https://docs.google.com/spreadsheets/d/1Rawwwdh8wntXGy8isdYNHxsNQS4n_rC8JSdPfj6vEq4"",""'500 объектов перенос на 2026'!A3:AB502""),14,0)"),"#REF!")</f>
        <v>#REF!</v>
      </c>
      <c r="AK118" s="76" t="s">
        <v>114</v>
      </c>
      <c r="AL118" s="70"/>
      <c r="AM118" s="70"/>
      <c r="AN118" s="43"/>
      <c r="AO118" s="43"/>
      <c r="AP118" s="43"/>
      <c r="AQ118" s="43"/>
      <c r="AR118" s="43"/>
      <c r="AS118" s="43"/>
      <c r="AT118" s="43"/>
      <c r="AU118" s="43"/>
      <c r="AV118" s="43"/>
      <c r="AW118" s="43"/>
      <c r="AX118" s="43"/>
      <c r="AY118" s="43"/>
      <c r="AZ118" s="43"/>
    </row>
    <row r="119">
      <c r="A119" s="62" t="s">
        <v>893</v>
      </c>
      <c r="B119" s="63" t="s">
        <v>894</v>
      </c>
      <c r="C119" s="64" t="s">
        <v>895</v>
      </c>
      <c r="D119" s="47" t="s">
        <v>885</v>
      </c>
      <c r="E119" s="64" t="s">
        <v>85</v>
      </c>
      <c r="F119" s="31" t="s">
        <v>60</v>
      </c>
      <c r="G119" s="31"/>
      <c r="H119" s="31"/>
      <c r="I119" s="31" t="s">
        <v>40</v>
      </c>
      <c r="J119" s="31" t="s">
        <v>61</v>
      </c>
      <c r="K119" s="31" t="s">
        <v>72</v>
      </c>
      <c r="L119" s="32">
        <f>IFERROR(__xludf.DUMMYFUNCTION("VLOOKUP($A119,IMPORTRANGE(""1PQtfbQLqBUP-rjYRznmgNFBLOjvAnhGzpIx7BJWq8rk"",""'Worksheet'!$B$2:$H""),7,FALSE)"),0.87)</f>
        <v>0.87</v>
      </c>
      <c r="M119" s="31" t="s">
        <v>45</v>
      </c>
      <c r="N119" s="49">
        <v>1.0140446231E8</v>
      </c>
      <c r="O119" s="127">
        <v>3.935504061E7</v>
      </c>
      <c r="P119" s="49">
        <f t="shared" ref="P119:P123" si="23">N119-O119</f>
        <v>62049421.7</v>
      </c>
      <c r="Q119" s="34">
        <f t="shared" si="7"/>
        <v>0.6119003078</v>
      </c>
      <c r="R119" s="31"/>
      <c r="S119" s="31" t="s">
        <v>45</v>
      </c>
      <c r="T119" s="50" t="s">
        <v>896</v>
      </c>
      <c r="U119" s="51" t="s">
        <v>897</v>
      </c>
      <c r="V119" s="51" t="s">
        <v>898</v>
      </c>
      <c r="W119" s="31"/>
      <c r="X119" s="52" t="s">
        <v>899</v>
      </c>
      <c r="Y119" s="54" t="s">
        <v>900</v>
      </c>
      <c r="Z119" s="74"/>
      <c r="AA119" s="74">
        <v>46233.0</v>
      </c>
      <c r="AB119" s="56"/>
      <c r="AC119" s="38" t="s">
        <v>901</v>
      </c>
      <c r="AD119" s="39">
        <v>101404.46</v>
      </c>
      <c r="AE119" s="39">
        <v>30421.33869</v>
      </c>
      <c r="AF119" s="40">
        <v>70983.12131</v>
      </c>
      <c r="AG119" s="57" t="s">
        <v>902</v>
      </c>
      <c r="AH119" s="42" t="s">
        <v>903</v>
      </c>
      <c r="AI119" s="42" t="str">
        <f>IFERROR(__xludf.DUMMYFUNCTION("vLOOKUP(A119,IMPORTRANGE(""https://docs.google.com/spreadsheets/d/1Rawwwdh8wntXGy8isdYNHxsNQS4n_rC8JSdPfj6vEq4"",""'500 объектов перенос на 2026'!A3:AB502""),13,0)"),"#REF!")</f>
        <v>#REF!</v>
      </c>
      <c r="AJ119" s="42" t="str">
        <f>IFERROR(__xludf.DUMMYFUNCTION("vLOOKUP(A119,IMPORTRANGE(""https://docs.google.com/spreadsheets/d/1Rawwwdh8wntXGy8isdYNHxsNQS4n_rC8JSdPfj6vEq4"",""'500 объектов перенос на 2026'!A3:AB502""),14,0)"),"#REF!")</f>
        <v>#REF!</v>
      </c>
      <c r="AK119" s="70" t="s">
        <v>904</v>
      </c>
      <c r="AL119" s="70"/>
      <c r="AM119" s="70"/>
      <c r="AN119" s="43"/>
      <c r="AO119" s="43"/>
      <c r="AP119" s="43"/>
      <c r="AQ119" s="43"/>
      <c r="AR119" s="43"/>
      <c r="AS119" s="43"/>
      <c r="AT119" s="43"/>
      <c r="AU119" s="43"/>
      <c r="AV119" s="43"/>
      <c r="AW119" s="43"/>
      <c r="AX119" s="43"/>
      <c r="AY119" s="43"/>
      <c r="AZ119" s="43"/>
    </row>
    <row r="120">
      <c r="A120" s="62" t="s">
        <v>905</v>
      </c>
      <c r="B120" s="63" t="s">
        <v>56</v>
      </c>
      <c r="C120" s="64" t="s">
        <v>906</v>
      </c>
      <c r="D120" s="47" t="s">
        <v>311</v>
      </c>
      <c r="E120" s="64" t="s">
        <v>85</v>
      </c>
      <c r="F120" s="31" t="s">
        <v>40</v>
      </c>
      <c r="G120" s="31" t="s">
        <v>156</v>
      </c>
      <c r="H120" s="31" t="s">
        <v>312</v>
      </c>
      <c r="I120" s="31" t="s">
        <v>40</v>
      </c>
      <c r="J120" s="31" t="s">
        <v>907</v>
      </c>
      <c r="K120" s="31"/>
      <c r="L120" s="32">
        <f>IFERROR(__xludf.DUMMYFUNCTION("VLOOKUP($A120,IMPORTRANGE(""1PQtfbQLqBUP-rjYRznmgNFBLOjvAnhGzpIx7BJWq8rk"",""'Worksheet'!$B$2:$H""),7,FALSE)"),0.88)</f>
        <v>0.88</v>
      </c>
      <c r="M120" s="31" t="s">
        <v>45</v>
      </c>
      <c r="N120" s="49">
        <v>8.74460272E7</v>
      </c>
      <c r="O120" s="49">
        <v>2.623380816E7</v>
      </c>
      <c r="P120" s="49">
        <f t="shared" si="23"/>
        <v>61212219.04</v>
      </c>
      <c r="Q120" s="34">
        <f t="shared" si="7"/>
        <v>0.7</v>
      </c>
      <c r="R120" s="31"/>
      <c r="S120" s="31" t="s">
        <v>45</v>
      </c>
      <c r="T120" s="72" t="s">
        <v>908</v>
      </c>
      <c r="U120" s="67" t="s">
        <v>909</v>
      </c>
      <c r="V120" s="67" t="s">
        <v>910</v>
      </c>
      <c r="W120" s="31"/>
      <c r="X120" s="52" t="s">
        <v>49</v>
      </c>
      <c r="Y120" s="54" t="s">
        <v>911</v>
      </c>
      <c r="Z120" s="68"/>
      <c r="AA120" s="68">
        <v>46233.0</v>
      </c>
      <c r="AB120" s="56"/>
      <c r="AC120" s="38"/>
      <c r="AD120" s="39">
        <v>87446.03</v>
      </c>
      <c r="AE120" s="39">
        <v>26233.80816</v>
      </c>
      <c r="AF120" s="40">
        <v>61212.22184</v>
      </c>
      <c r="AG120" s="57" t="s">
        <v>912</v>
      </c>
      <c r="AH120" s="69" t="s">
        <v>66</v>
      </c>
      <c r="AI120" s="42" t="str">
        <f>IFERROR(__xludf.DUMMYFUNCTION("vLOOKUP(A120,IMPORTRANGE(""https://docs.google.com/spreadsheets/d/1Rawwwdh8wntXGy8isdYNHxsNQS4n_rC8JSdPfj6vEq4"",""'500 объектов перенос на 2026'!A3:AB502""),13,0)"),"#REF!")</f>
        <v>#REF!</v>
      </c>
      <c r="AJ120" s="42" t="str">
        <f>IFERROR(__xludf.DUMMYFUNCTION("vLOOKUP(A120,IMPORTRANGE(""https://docs.google.com/spreadsheets/d/1Rawwwdh8wntXGy8isdYNHxsNQS4n_rC8JSdPfj6vEq4"",""'500 объектов перенос на 2026'!A3:AB502""),14,0)"),"#REF!")</f>
        <v>#REF!</v>
      </c>
      <c r="AK120" s="58" t="s">
        <v>913</v>
      </c>
      <c r="AL120" s="70" t="s">
        <v>914</v>
      </c>
      <c r="AM120" s="70" t="s">
        <v>915</v>
      </c>
      <c r="AN120" s="43"/>
      <c r="AO120" s="43"/>
      <c r="AP120" s="43"/>
      <c r="AQ120" s="43"/>
      <c r="AR120" s="43"/>
      <c r="AS120" s="43"/>
      <c r="AT120" s="43"/>
      <c r="AU120" s="43"/>
      <c r="AV120" s="43"/>
      <c r="AW120" s="43"/>
      <c r="AX120" s="43"/>
      <c r="AY120" s="43"/>
      <c r="AZ120" s="43"/>
    </row>
    <row r="121">
      <c r="A121" s="62" t="s">
        <v>916</v>
      </c>
      <c r="B121" s="63" t="s">
        <v>826</v>
      </c>
      <c r="C121" s="104" t="s">
        <v>917</v>
      </c>
      <c r="D121" s="47" t="s">
        <v>727</v>
      </c>
      <c r="E121" s="64" t="s">
        <v>59</v>
      </c>
      <c r="F121" s="31" t="s">
        <v>40</v>
      </c>
      <c r="G121" s="31" t="s">
        <v>156</v>
      </c>
      <c r="H121" s="31" t="s">
        <v>828</v>
      </c>
      <c r="I121" s="31" t="s">
        <v>40</v>
      </c>
      <c r="J121" s="31" t="s">
        <v>102</v>
      </c>
      <c r="K121" s="31"/>
      <c r="L121" s="32">
        <f>IFERROR(__xludf.DUMMYFUNCTION("VLOOKUP($A121,IMPORTRANGE(""1PQtfbQLqBUP-rjYRznmgNFBLOjvAnhGzpIx7BJWq8rk"",""'Worksheet'!$B$2:$H""),7,FALSE)"),0.76)</f>
        <v>0.76</v>
      </c>
      <c r="M121" s="31" t="s">
        <v>40</v>
      </c>
      <c r="N121" s="49">
        <v>7.936471E7</v>
      </c>
      <c r="O121" s="49">
        <v>2.190095958E7</v>
      </c>
      <c r="P121" s="49">
        <f t="shared" si="23"/>
        <v>57463750.42</v>
      </c>
      <c r="Q121" s="34">
        <f t="shared" si="7"/>
        <v>0.724046625</v>
      </c>
      <c r="R121" s="31"/>
      <c r="S121" s="31" t="s">
        <v>45</v>
      </c>
      <c r="T121" s="50">
        <v>7.53964745E7</v>
      </c>
      <c r="U121" s="51">
        <v>2.08059116E7</v>
      </c>
      <c r="V121" s="51">
        <f>T121-U121</f>
        <v>54590562.9</v>
      </c>
      <c r="W121" s="31"/>
      <c r="X121" s="52">
        <v>2.08059116E7</v>
      </c>
      <c r="Y121" s="54" t="s">
        <v>918</v>
      </c>
      <c r="Z121" s="54" t="s">
        <v>830</v>
      </c>
      <c r="AA121" s="74">
        <v>46296.0</v>
      </c>
      <c r="AB121" s="56"/>
      <c r="AC121" s="38" t="s">
        <v>49</v>
      </c>
      <c r="AD121" s="39">
        <v>79364.70168</v>
      </c>
      <c r="AE121" s="39">
        <v>21900.95958</v>
      </c>
      <c r="AF121" s="40">
        <v>57463.7421</v>
      </c>
      <c r="AG121" s="57" t="s">
        <v>919</v>
      </c>
      <c r="AH121" s="42" t="s">
        <v>920</v>
      </c>
      <c r="AI121" s="42" t="str">
        <f>IFERROR(__xludf.DUMMYFUNCTION("vLOOKUP(A121,IMPORTRANGE(""https://docs.google.com/spreadsheets/d/1Rawwwdh8wntXGy8isdYNHxsNQS4n_rC8JSdPfj6vEq4"",""'500 объектов перенос на 2026'!A3:AB502""),13,0)"),"#REF!")</f>
        <v>#REF!</v>
      </c>
      <c r="AJ121" s="42" t="str">
        <f>IFERROR(__xludf.DUMMYFUNCTION("vLOOKUP(A121,IMPORTRANGE(""https://docs.google.com/spreadsheets/d/1Rawwwdh8wntXGy8isdYNHxsNQS4n_rC8JSdPfj6vEq4"",""'500 объектов перенос на 2026'!A3:AB502""),14,0)"),"#REF!")</f>
        <v>#REF!</v>
      </c>
      <c r="AK121" s="76" t="s">
        <v>921</v>
      </c>
      <c r="AL121" s="70" t="s">
        <v>922</v>
      </c>
      <c r="AM121" s="70"/>
      <c r="AN121" s="43"/>
      <c r="AO121" s="43"/>
      <c r="AP121" s="43"/>
      <c r="AQ121" s="43"/>
      <c r="AR121" s="43"/>
      <c r="AS121" s="43"/>
      <c r="AT121" s="43"/>
      <c r="AU121" s="43"/>
      <c r="AV121" s="43"/>
      <c r="AW121" s="43"/>
      <c r="AX121" s="43"/>
      <c r="AY121" s="43"/>
      <c r="AZ121" s="43"/>
    </row>
    <row r="122">
      <c r="A122" s="62" t="s">
        <v>923</v>
      </c>
      <c r="B122" s="63" t="s">
        <v>142</v>
      </c>
      <c r="C122" s="64" t="s">
        <v>924</v>
      </c>
      <c r="D122" s="47" t="s">
        <v>476</v>
      </c>
      <c r="E122" s="64" t="s">
        <v>59</v>
      </c>
      <c r="F122" s="31" t="s">
        <v>60</v>
      </c>
      <c r="G122" s="31"/>
      <c r="H122" s="31"/>
      <c r="I122" s="31" t="s">
        <v>40</v>
      </c>
      <c r="J122" s="31" t="s">
        <v>102</v>
      </c>
      <c r="K122" s="31" t="s">
        <v>62</v>
      </c>
      <c r="L122" s="32">
        <f>IFERROR(__xludf.DUMMYFUNCTION("VLOOKUP($A122,IMPORTRANGE(""1PQtfbQLqBUP-rjYRznmgNFBLOjvAnhGzpIx7BJWq8rk"",""'Worksheet'!$B$2:$H""),7,FALSE)"),0.9)</f>
        <v>0.9</v>
      </c>
      <c r="M122" s="31" t="s">
        <v>40</v>
      </c>
      <c r="N122" s="49">
        <v>1.146638597E8</v>
      </c>
      <c r="O122" s="49">
        <v>5.721726599E7</v>
      </c>
      <c r="P122" s="49">
        <f t="shared" si="23"/>
        <v>57446593.71</v>
      </c>
      <c r="Q122" s="34">
        <f t="shared" si="7"/>
        <v>0.501</v>
      </c>
      <c r="R122" s="31"/>
      <c r="S122" s="31" t="s">
        <v>45</v>
      </c>
      <c r="T122" s="72" t="s">
        <v>688</v>
      </c>
      <c r="U122" s="67" t="s">
        <v>689</v>
      </c>
      <c r="V122" s="67" t="s">
        <v>690</v>
      </c>
      <c r="W122" s="31"/>
      <c r="X122" s="52" t="s">
        <v>46</v>
      </c>
      <c r="Y122" s="54" t="s">
        <v>925</v>
      </c>
      <c r="Z122" s="54" t="s">
        <v>431</v>
      </c>
      <c r="AA122" s="74">
        <v>46266.0</v>
      </c>
      <c r="AB122" s="56"/>
      <c r="AC122" s="38" t="s">
        <v>49</v>
      </c>
      <c r="AD122" s="39">
        <v>115240.06</v>
      </c>
      <c r="AE122" s="39">
        <v>57217.26599</v>
      </c>
      <c r="AF122" s="40">
        <v>58022.79401</v>
      </c>
      <c r="AG122" s="57" t="s">
        <v>926</v>
      </c>
      <c r="AH122" s="42"/>
      <c r="AI122" s="42" t="str">
        <f>IFERROR(__xludf.DUMMYFUNCTION("vLOOKUP(A122,IMPORTRANGE(""https://docs.google.com/spreadsheets/d/1Rawwwdh8wntXGy8isdYNHxsNQS4n_rC8JSdPfj6vEq4"",""'500 объектов перенос на 2026'!A3:AB502""),13,0)"),"#REF!")</f>
        <v>#REF!</v>
      </c>
      <c r="AJ122" s="42" t="str">
        <f>IFERROR(__xludf.DUMMYFUNCTION("vLOOKUP(A122,IMPORTRANGE(""https://docs.google.com/spreadsheets/d/1Rawwwdh8wntXGy8isdYNHxsNQS4n_rC8JSdPfj6vEq4"",""'500 объектов перенос на 2026'!A3:AB502""),14,0)"),"#REF!")</f>
        <v>#REF!</v>
      </c>
      <c r="AK122" s="138" t="s">
        <v>927</v>
      </c>
      <c r="AL122" s="110"/>
      <c r="AM122" s="110"/>
      <c r="AN122" s="43"/>
      <c r="AO122" s="43"/>
      <c r="AP122" s="43"/>
      <c r="AQ122" s="43"/>
      <c r="AR122" s="43"/>
      <c r="AS122" s="43"/>
      <c r="AT122" s="43"/>
      <c r="AU122" s="43"/>
      <c r="AV122" s="43"/>
      <c r="AW122" s="43"/>
      <c r="AX122" s="43"/>
      <c r="AY122" s="43"/>
      <c r="AZ122" s="43"/>
    </row>
    <row r="123">
      <c r="A123" s="62" t="s">
        <v>928</v>
      </c>
      <c r="B123" s="111" t="s">
        <v>503</v>
      </c>
      <c r="C123" s="64" t="s">
        <v>929</v>
      </c>
      <c r="D123" s="47" t="s">
        <v>930</v>
      </c>
      <c r="E123" s="64" t="s">
        <v>931</v>
      </c>
      <c r="F123" s="31"/>
      <c r="G123" s="31"/>
      <c r="H123" s="31"/>
      <c r="I123" s="31"/>
      <c r="J123" s="31"/>
      <c r="K123" s="31"/>
      <c r="L123" s="32" t="str">
        <f>IFERROR(__xludf.DUMMYFUNCTION("VLOOKUP($A123,IMPORTRANGE(""1PQtfbQLqBUP-rjYRznmgNFBLOjvAnhGzpIx7BJWq8rk"",""'Worksheet'!$B$2:$H""),7,FALSE)"),"#N/A")</f>
        <v>#N/A</v>
      </c>
      <c r="M123" s="31" t="s">
        <v>284</v>
      </c>
      <c r="N123" s="49">
        <v>1976808.0</v>
      </c>
      <c r="O123" s="49">
        <v>0.0</v>
      </c>
      <c r="P123" s="49">
        <f t="shared" si="23"/>
        <v>1976808</v>
      </c>
      <c r="Q123" s="34">
        <f t="shared" si="7"/>
        <v>1</v>
      </c>
      <c r="R123" s="31"/>
      <c r="S123" s="31" t="s">
        <v>40</v>
      </c>
      <c r="T123" s="50"/>
      <c r="U123" s="51"/>
      <c r="V123" s="51"/>
      <c r="W123" s="31"/>
      <c r="X123" s="52" t="s">
        <v>932</v>
      </c>
      <c r="Y123" s="54" t="s">
        <v>284</v>
      </c>
      <c r="Z123" s="54"/>
      <c r="AA123" s="54"/>
      <c r="AB123" s="56"/>
      <c r="AC123" s="38"/>
      <c r="AD123" s="39">
        <v>2618.29</v>
      </c>
      <c r="AE123" s="39">
        <v>0.0</v>
      </c>
      <c r="AF123" s="40">
        <v>2618.29</v>
      </c>
      <c r="AG123" s="57" t="s">
        <v>933</v>
      </c>
      <c r="AH123" s="42" t="s">
        <v>933</v>
      </c>
      <c r="AI123" s="42" t="s">
        <v>933</v>
      </c>
      <c r="AJ123" s="42" t="s">
        <v>933</v>
      </c>
      <c r="AK123" s="119"/>
      <c r="AL123" s="140"/>
      <c r="AM123" s="119"/>
      <c r="AN123" s="43"/>
      <c r="AO123" s="43"/>
      <c r="AP123" s="43"/>
      <c r="AQ123" s="43"/>
      <c r="AR123" s="43"/>
      <c r="AS123" s="43"/>
      <c r="AT123" s="43"/>
      <c r="AU123" s="43"/>
      <c r="AV123" s="43"/>
      <c r="AW123" s="43"/>
      <c r="AX123" s="43"/>
      <c r="AY123" s="43"/>
      <c r="AZ123" s="43"/>
    </row>
    <row r="124">
      <c r="A124" s="78" t="s">
        <v>934</v>
      </c>
      <c r="B124" s="63" t="s">
        <v>503</v>
      </c>
      <c r="C124" s="64" t="s">
        <v>935</v>
      </c>
      <c r="D124" s="47" t="s">
        <v>936</v>
      </c>
      <c r="E124" s="64" t="s">
        <v>85</v>
      </c>
      <c r="F124" s="31" t="s">
        <v>60</v>
      </c>
      <c r="G124" s="31"/>
      <c r="H124" s="31"/>
      <c r="I124" s="31" t="s">
        <v>60</v>
      </c>
      <c r="J124" s="31"/>
      <c r="K124" s="31"/>
      <c r="L124" s="32" t="str">
        <f>IFERROR(__xludf.DUMMYFUNCTION("VLOOKUP($A124,IMPORTRANGE(""1PQtfbQLqBUP-rjYRznmgNFBLOjvAnhGzpIx7BJWq8rk"",""'Worksheet'!$B$2:$H""),7,FALSE)"),"#N/A")</f>
        <v>#N/A</v>
      </c>
      <c r="M124" s="31" t="s">
        <v>60</v>
      </c>
      <c r="N124" s="49">
        <v>3.32E7</v>
      </c>
      <c r="O124" s="49">
        <v>2.433003122E7</v>
      </c>
      <c r="P124" s="49">
        <v>0.0</v>
      </c>
      <c r="Q124" s="34">
        <f t="shared" si="7"/>
        <v>0.2671677343</v>
      </c>
      <c r="R124" s="31"/>
      <c r="S124" s="31" t="s">
        <v>60</v>
      </c>
      <c r="T124" s="50"/>
      <c r="U124" s="51"/>
      <c r="V124" s="51"/>
      <c r="W124" s="31"/>
      <c r="X124" s="52" t="s">
        <v>113</v>
      </c>
      <c r="Y124" s="54"/>
      <c r="Z124" s="54"/>
      <c r="AA124" s="54" t="s">
        <v>114</v>
      </c>
      <c r="AB124" s="38" t="s">
        <v>115</v>
      </c>
      <c r="AC124" s="38"/>
      <c r="AD124" s="39">
        <v>33200.0</v>
      </c>
      <c r="AE124" s="39">
        <v>24330.03122</v>
      </c>
      <c r="AF124" s="39">
        <v>8869.96878</v>
      </c>
      <c r="AG124" s="57" t="s">
        <v>937</v>
      </c>
      <c r="AH124" s="42" t="s">
        <v>938</v>
      </c>
      <c r="AI124" s="42" t="str">
        <f>IFERROR(__xludf.DUMMYFUNCTION("vLOOKUP(A124,IMPORTRANGE(""https://docs.google.com/spreadsheets/d/1Rawwwdh8wntXGy8isdYNHxsNQS4n_rC8JSdPfj6vEq4"",""'500 объектов перенос на 2026'!A3:AB502""),13,0)"),"#REF!")</f>
        <v>#REF!</v>
      </c>
      <c r="AJ124" s="42" t="str">
        <f>IFERROR(__xludf.DUMMYFUNCTION("vLOOKUP(A124,IMPORTRANGE(""https://docs.google.com/spreadsheets/d/1Rawwwdh8wntXGy8isdYNHxsNQS4n_rC8JSdPfj6vEq4"",""'500 объектов перенос на 2026'!A3:AB502""),14,0)"),"#REF!")</f>
        <v>#REF!</v>
      </c>
      <c r="AK124" s="76" t="s">
        <v>114</v>
      </c>
      <c r="AL124" s="70"/>
      <c r="AM124" s="70"/>
      <c r="AN124" s="43"/>
      <c r="AO124" s="43"/>
      <c r="AP124" s="43"/>
      <c r="AQ124" s="43"/>
      <c r="AR124" s="43"/>
      <c r="AS124" s="43"/>
      <c r="AT124" s="43"/>
      <c r="AU124" s="43"/>
      <c r="AV124" s="43"/>
      <c r="AW124" s="43"/>
      <c r="AX124" s="43"/>
      <c r="AY124" s="43"/>
      <c r="AZ124" s="43"/>
    </row>
    <row r="125">
      <c r="A125" s="78" t="s">
        <v>939</v>
      </c>
      <c r="B125" s="111" t="s">
        <v>503</v>
      </c>
      <c r="C125" s="64" t="s">
        <v>940</v>
      </c>
      <c r="D125" s="47" t="s">
        <v>890</v>
      </c>
      <c r="E125" s="64" t="s">
        <v>85</v>
      </c>
      <c r="F125" s="31" t="s">
        <v>60</v>
      </c>
      <c r="G125" s="31"/>
      <c r="H125" s="31"/>
      <c r="I125" s="31" t="s">
        <v>60</v>
      </c>
      <c r="J125" s="31"/>
      <c r="K125" s="31"/>
      <c r="L125" s="32" t="str">
        <f>IFERROR(__xludf.DUMMYFUNCTION("VLOOKUP($A125,IMPORTRANGE(""1PQtfbQLqBUP-rjYRznmgNFBLOjvAnhGzpIx7BJWq8rk"",""'Worksheet'!$B$2:$H""),7,FALSE)"),"#N/A")</f>
        <v>#N/A</v>
      </c>
      <c r="M125" s="31" t="s">
        <v>60</v>
      </c>
      <c r="N125" s="49">
        <v>4.923096E7</v>
      </c>
      <c r="O125" s="49">
        <v>2.91958185E7</v>
      </c>
      <c r="P125" s="49">
        <v>0.0</v>
      </c>
      <c r="Q125" s="34">
        <f t="shared" si="7"/>
        <v>0.4069622347</v>
      </c>
      <c r="R125" s="31"/>
      <c r="S125" s="31" t="s">
        <v>60</v>
      </c>
      <c r="T125" s="50"/>
      <c r="U125" s="51"/>
      <c r="V125" s="51"/>
      <c r="W125" s="31"/>
      <c r="X125" s="52" t="s">
        <v>113</v>
      </c>
      <c r="Y125" s="54"/>
      <c r="Z125" s="54"/>
      <c r="AA125" s="54" t="s">
        <v>114</v>
      </c>
      <c r="AB125" s="38" t="s">
        <v>115</v>
      </c>
      <c r="AC125" s="38"/>
      <c r="AD125" s="39">
        <v>49230.96</v>
      </c>
      <c r="AE125" s="39">
        <v>20219.46576</v>
      </c>
      <c r="AF125" s="39">
        <v>29011.49424</v>
      </c>
      <c r="AG125" s="57" t="s">
        <v>941</v>
      </c>
      <c r="AH125" s="42" t="s">
        <v>938</v>
      </c>
      <c r="AI125" s="42" t="str">
        <f>IFERROR(__xludf.DUMMYFUNCTION("vLOOKUP(A125,IMPORTRANGE(""https://docs.google.com/spreadsheets/d/1Rawwwdh8wntXGy8isdYNHxsNQS4n_rC8JSdPfj6vEq4"",""'500 объектов перенос на 2026'!A3:AB502""),13,0)"),"#REF!")</f>
        <v>#REF!</v>
      </c>
      <c r="AJ125" s="42" t="str">
        <f>IFERROR(__xludf.DUMMYFUNCTION("vLOOKUP(A125,IMPORTRANGE(""https://docs.google.com/spreadsheets/d/1Rawwwdh8wntXGy8isdYNHxsNQS4n_rC8JSdPfj6vEq4"",""'500 объектов перенос на 2026'!A3:AB502""),14,0)"),"#REF!")</f>
        <v>#REF!</v>
      </c>
      <c r="AK125" s="76" t="s">
        <v>114</v>
      </c>
      <c r="AL125" s="70"/>
      <c r="AM125" s="70"/>
      <c r="AN125" s="43"/>
      <c r="AO125" s="43"/>
      <c r="AP125" s="43"/>
      <c r="AQ125" s="43"/>
      <c r="AR125" s="43"/>
      <c r="AS125" s="43"/>
      <c r="AT125" s="43"/>
      <c r="AU125" s="43"/>
      <c r="AV125" s="43"/>
      <c r="AW125" s="43"/>
      <c r="AX125" s="43"/>
      <c r="AY125" s="43"/>
      <c r="AZ125" s="43"/>
    </row>
    <row r="126" ht="257.25" customHeight="1">
      <c r="A126" s="62" t="s">
        <v>942</v>
      </c>
      <c r="B126" s="63" t="s">
        <v>82</v>
      </c>
      <c r="C126" s="64" t="s">
        <v>943</v>
      </c>
      <c r="D126" s="47" t="s">
        <v>227</v>
      </c>
      <c r="E126" s="64" t="s">
        <v>39</v>
      </c>
      <c r="F126" s="31" t="s">
        <v>60</v>
      </c>
      <c r="G126" s="31"/>
      <c r="H126" s="141"/>
      <c r="I126" s="31" t="s">
        <v>40</v>
      </c>
      <c r="J126" s="31" t="s">
        <v>43</v>
      </c>
      <c r="K126" s="31" t="s">
        <v>44</v>
      </c>
      <c r="L126" s="32">
        <f>IFERROR(__xludf.DUMMYFUNCTION("VLOOKUP($A126,IMPORTRANGE(""1PQtfbQLqBUP-rjYRznmgNFBLOjvAnhGzpIx7BJWq8rk"",""'Worksheet'!$B$2:$H""),7,FALSE)"),0.72)</f>
        <v>0.72</v>
      </c>
      <c r="M126" s="31" t="s">
        <v>40</v>
      </c>
      <c r="N126" s="49">
        <v>1.1423479E8</v>
      </c>
      <c r="O126" s="49">
        <v>5.7117395E7</v>
      </c>
      <c r="P126" s="49">
        <f t="shared" ref="P126:P128" si="24">N126-O126</f>
        <v>57117395</v>
      </c>
      <c r="Q126" s="34">
        <f t="shared" si="7"/>
        <v>0.5</v>
      </c>
      <c r="R126" s="31"/>
      <c r="S126" s="31" t="s">
        <v>40</v>
      </c>
      <c r="T126" s="50" t="s">
        <v>944</v>
      </c>
      <c r="U126" s="51">
        <v>0.0</v>
      </c>
      <c r="V126" s="51" t="s">
        <v>944</v>
      </c>
      <c r="W126" s="31"/>
      <c r="X126" s="52" t="s">
        <v>945</v>
      </c>
      <c r="Y126" s="54" t="s">
        <v>946</v>
      </c>
      <c r="AA126" s="100">
        <v>46244.0</v>
      </c>
      <c r="AB126" s="56"/>
      <c r="AC126" s="38" t="s">
        <v>103</v>
      </c>
      <c r="AD126" s="39">
        <v>114234.79</v>
      </c>
      <c r="AE126" s="39">
        <v>57117.395</v>
      </c>
      <c r="AF126" s="40">
        <v>57117.395</v>
      </c>
      <c r="AG126" s="57" t="s">
        <v>947</v>
      </c>
      <c r="AH126" s="42" t="s">
        <v>948</v>
      </c>
      <c r="AI126" s="42" t="str">
        <f>IFERROR(__xludf.DUMMYFUNCTION("vLOOKUP(A126,IMPORTRANGE(""https://docs.google.com/spreadsheets/d/1Rawwwdh8wntXGy8isdYNHxsNQS4n_rC8JSdPfj6vEq4"",""'500 объектов перенос на 2026'!A3:AB502""),13,0)"),"#REF!")</f>
        <v>#REF!</v>
      </c>
      <c r="AJ126" s="42" t="str">
        <f>IFERROR(__xludf.DUMMYFUNCTION("vLOOKUP(A126,IMPORTRANGE(""https://docs.google.com/spreadsheets/d/1Rawwwdh8wntXGy8isdYNHxsNQS4n_rC8JSdPfj6vEq4"",""'500 объектов перенос на 2026'!A3:AB502""),14,0)"),"#REF!")</f>
        <v>#REF!</v>
      </c>
      <c r="AK126" s="77" t="s">
        <v>949</v>
      </c>
      <c r="AL126" s="142" t="s">
        <v>950</v>
      </c>
      <c r="AM126" s="142"/>
      <c r="AN126" s="43"/>
      <c r="AO126" s="43"/>
      <c r="AP126" s="43"/>
      <c r="AQ126" s="43"/>
      <c r="AR126" s="43"/>
      <c r="AS126" s="43"/>
      <c r="AT126" s="43"/>
      <c r="AU126" s="43"/>
      <c r="AV126" s="43"/>
      <c r="AW126" s="43"/>
      <c r="AX126" s="43"/>
      <c r="AY126" s="43"/>
      <c r="AZ126" s="43"/>
    </row>
    <row r="127">
      <c r="A127" s="78" t="s">
        <v>951</v>
      </c>
      <c r="B127" s="63" t="s">
        <v>503</v>
      </c>
      <c r="C127" s="64" t="s">
        <v>952</v>
      </c>
      <c r="D127" s="47" t="s">
        <v>953</v>
      </c>
      <c r="E127" s="64" t="s">
        <v>85</v>
      </c>
      <c r="F127" s="31" t="s">
        <v>60</v>
      </c>
      <c r="G127" s="31"/>
      <c r="H127" s="31"/>
      <c r="I127" s="31" t="s">
        <v>60</v>
      </c>
      <c r="J127" s="31"/>
      <c r="K127" s="31"/>
      <c r="L127" s="32" t="str">
        <f>IFERROR(__xludf.DUMMYFUNCTION("VLOOKUP($A127,IMPORTRANGE(""1PQtfbQLqBUP-rjYRznmgNFBLOjvAnhGzpIx7BJWq8rk"",""'Worksheet'!$B$2:$H""),7,FALSE)"),"#N/A")</f>
        <v>#N/A</v>
      </c>
      <c r="M127" s="31" t="s">
        <v>60</v>
      </c>
      <c r="N127" s="49">
        <v>3.357860029E7</v>
      </c>
      <c r="O127" s="49">
        <v>3.357860029E7</v>
      </c>
      <c r="P127" s="49">
        <f t="shared" si="24"/>
        <v>0</v>
      </c>
      <c r="Q127" s="34">
        <f t="shared" si="7"/>
        <v>0</v>
      </c>
      <c r="R127" s="31"/>
      <c r="S127" s="31" t="s">
        <v>60</v>
      </c>
      <c r="T127" s="91"/>
      <c r="U127" s="51"/>
      <c r="V127" s="51"/>
      <c r="W127" s="31"/>
      <c r="X127" s="52" t="s">
        <v>113</v>
      </c>
      <c r="Y127" s="54"/>
      <c r="Z127" s="54"/>
      <c r="AA127" s="54" t="s">
        <v>114</v>
      </c>
      <c r="AB127" s="38" t="s">
        <v>115</v>
      </c>
      <c r="AC127" s="38"/>
      <c r="AD127" s="39">
        <v>64500.0</v>
      </c>
      <c r="AE127" s="39">
        <v>33578.60029</v>
      </c>
      <c r="AF127" s="39">
        <v>30921.39971</v>
      </c>
      <c r="AG127" s="57" t="s">
        <v>954</v>
      </c>
      <c r="AH127" s="85" t="s">
        <v>11</v>
      </c>
      <c r="AI127" s="85" t="s">
        <v>11</v>
      </c>
      <c r="AJ127" s="85" t="s">
        <v>11</v>
      </c>
      <c r="AK127" s="76" t="s">
        <v>114</v>
      </c>
      <c r="AL127" s="70"/>
      <c r="AM127" s="70"/>
      <c r="AN127" s="43"/>
      <c r="AO127" s="43"/>
      <c r="AP127" s="43"/>
      <c r="AQ127" s="43"/>
      <c r="AR127" s="43"/>
      <c r="AS127" s="43"/>
      <c r="AT127" s="43"/>
      <c r="AU127" s="43"/>
      <c r="AV127" s="43"/>
      <c r="AW127" s="43"/>
      <c r="AX127" s="43"/>
      <c r="AY127" s="43"/>
      <c r="AZ127" s="43"/>
    </row>
    <row r="128">
      <c r="A128" s="62" t="s">
        <v>955</v>
      </c>
      <c r="B128" s="63" t="s">
        <v>56</v>
      </c>
      <c r="C128" s="64" t="s">
        <v>956</v>
      </c>
      <c r="D128" s="47" t="s">
        <v>957</v>
      </c>
      <c r="E128" s="64" t="s">
        <v>59</v>
      </c>
      <c r="F128" s="31" t="s">
        <v>60</v>
      </c>
      <c r="G128" s="31"/>
      <c r="H128" s="31"/>
      <c r="I128" s="31" t="s">
        <v>40</v>
      </c>
      <c r="J128" s="31" t="s">
        <v>43</v>
      </c>
      <c r="K128" s="31" t="s">
        <v>713</v>
      </c>
      <c r="L128" s="32">
        <f>IFERROR(__xludf.DUMMYFUNCTION("VLOOKUP($A128,IMPORTRANGE(""1PQtfbQLqBUP-rjYRznmgNFBLOjvAnhGzpIx7BJWq8rk"",""'Worksheet'!$B$2:$H""),7,FALSE)"),0.88)</f>
        <v>0.88</v>
      </c>
      <c r="M128" s="31" t="s">
        <v>45</v>
      </c>
      <c r="N128" s="49">
        <v>2.2714518E8</v>
      </c>
      <c r="O128" s="49">
        <v>1.7221920973E8</v>
      </c>
      <c r="P128" s="49">
        <f t="shared" si="24"/>
        <v>54925970.27</v>
      </c>
      <c r="Q128" s="34">
        <f t="shared" si="7"/>
        <v>0.2418099749</v>
      </c>
      <c r="R128" s="31"/>
      <c r="S128" s="31" t="s">
        <v>45</v>
      </c>
      <c r="T128" s="72" t="s">
        <v>958</v>
      </c>
      <c r="U128" s="67" t="s">
        <v>959</v>
      </c>
      <c r="V128" s="67" t="s">
        <v>960</v>
      </c>
      <c r="W128" s="31"/>
      <c r="X128" s="52" t="s">
        <v>961</v>
      </c>
      <c r="Y128" s="54" t="s">
        <v>962</v>
      </c>
      <c r="Z128" s="68"/>
      <c r="AA128" s="68">
        <v>46249.0</v>
      </c>
      <c r="AB128" s="56"/>
      <c r="AC128" s="38" t="s">
        <v>963</v>
      </c>
      <c r="AD128" s="39">
        <v>227145.18</v>
      </c>
      <c r="AE128" s="39">
        <v>117569.2097</v>
      </c>
      <c r="AF128" s="40">
        <v>109575.9703</v>
      </c>
      <c r="AG128" s="57" t="s">
        <v>964</v>
      </c>
      <c r="AH128" s="69" t="s">
        <v>66</v>
      </c>
      <c r="AI128" s="42" t="str">
        <f>IFERROR(__xludf.DUMMYFUNCTION("vLOOKUP(A128,IMPORTRANGE(""https://docs.google.com/spreadsheets/d/1Rawwwdh8wntXGy8isdYNHxsNQS4n_rC8JSdPfj6vEq4"",""'500 объектов перенос на 2026'!A3:AB502""),13,0)"),"#REF!")</f>
        <v>#REF!</v>
      </c>
      <c r="AJ128" s="42" t="str">
        <f>IFERROR(__xludf.DUMMYFUNCTION("vLOOKUP(A128,IMPORTRANGE(""https://docs.google.com/spreadsheets/d/1Rawwwdh8wntXGy8isdYNHxsNQS4n_rC8JSdPfj6vEq4"",""'500 объектов перенос на 2026'!A3:AB502""),14,0)"),"#REF!")</f>
        <v>#REF!</v>
      </c>
      <c r="AK128" s="76" t="s">
        <v>965</v>
      </c>
      <c r="AL128" s="70"/>
      <c r="AM128" s="70"/>
      <c r="AN128" s="43"/>
      <c r="AO128" s="43"/>
      <c r="AP128" s="43"/>
      <c r="AQ128" s="43"/>
      <c r="AR128" s="43"/>
      <c r="AS128" s="43"/>
      <c r="AT128" s="43"/>
      <c r="AU128" s="43"/>
      <c r="AV128" s="43"/>
      <c r="AW128" s="43"/>
      <c r="AX128" s="43"/>
      <c r="AY128" s="43"/>
      <c r="AZ128" s="43"/>
    </row>
    <row r="129">
      <c r="A129" s="78" t="s">
        <v>966</v>
      </c>
      <c r="B129" s="63" t="s">
        <v>967</v>
      </c>
      <c r="C129" s="64" t="s">
        <v>968</v>
      </c>
      <c r="D129" s="47" t="s">
        <v>969</v>
      </c>
      <c r="E129" s="64" t="s">
        <v>85</v>
      </c>
      <c r="F129" s="31" t="s">
        <v>60</v>
      </c>
      <c r="G129" s="31"/>
      <c r="H129" s="31"/>
      <c r="I129" s="31" t="s">
        <v>60</v>
      </c>
      <c r="J129" s="31"/>
      <c r="K129" s="31"/>
      <c r="L129" s="32" t="str">
        <f>IFERROR(__xludf.DUMMYFUNCTION("VLOOKUP($A129,IMPORTRANGE(""1PQtfbQLqBUP-rjYRznmgNFBLOjvAnhGzpIx7BJWq8rk"",""'Worksheet'!$B$2:$H""),7,FALSE)"),"#N/A")</f>
        <v>#N/A</v>
      </c>
      <c r="M129" s="31" t="s">
        <v>60</v>
      </c>
      <c r="N129" s="49">
        <v>2.2411893E8</v>
      </c>
      <c r="O129" s="49">
        <v>1.6318185252E8</v>
      </c>
      <c r="P129" s="49">
        <v>0.0</v>
      </c>
      <c r="Q129" s="34">
        <f t="shared" si="7"/>
        <v>0.2718961646</v>
      </c>
      <c r="R129" s="31"/>
      <c r="S129" s="31" t="s">
        <v>60</v>
      </c>
      <c r="T129" s="50"/>
      <c r="U129" s="51"/>
      <c r="V129" s="51"/>
      <c r="W129" s="31"/>
      <c r="X129" s="52" t="s">
        <v>113</v>
      </c>
      <c r="Y129" s="54"/>
      <c r="Z129" s="54"/>
      <c r="AA129" s="54" t="s">
        <v>114</v>
      </c>
      <c r="AB129" s="38" t="s">
        <v>115</v>
      </c>
      <c r="AC129" s="38"/>
      <c r="AD129" s="39">
        <v>114458.5</v>
      </c>
      <c r="AE129" s="39">
        <v>163181.8525</v>
      </c>
      <c r="AF129" s="39">
        <v>-48723.35252</v>
      </c>
      <c r="AG129" s="57" t="s">
        <v>970</v>
      </c>
      <c r="AH129" s="42" t="s">
        <v>971</v>
      </c>
      <c r="AI129" s="42" t="str">
        <f>IFERROR(__xludf.DUMMYFUNCTION("vLOOKUP(A129,IMPORTRANGE(""https://docs.google.com/spreadsheets/d/1Rawwwdh8wntXGy8isdYNHxsNQS4n_rC8JSdPfj6vEq4"",""'500 объектов перенос на 2026'!A3:AB502""),13,0)"),"#REF!")</f>
        <v>#REF!</v>
      </c>
      <c r="AJ129" s="42" t="str">
        <f>IFERROR(__xludf.DUMMYFUNCTION("vLOOKUP(A129,IMPORTRANGE(""https://docs.google.com/spreadsheets/d/1Rawwwdh8wntXGy8isdYNHxsNQS4n_rC8JSdPfj6vEq4"",""'500 объектов перенос на 2026'!A3:AB502""),14,0)"),"#REF!")</f>
        <v>#REF!</v>
      </c>
      <c r="AK129" s="76" t="s">
        <v>114</v>
      </c>
      <c r="AL129" s="76"/>
      <c r="AM129" s="70"/>
      <c r="AN129" s="43"/>
      <c r="AO129" s="43"/>
      <c r="AP129" s="43"/>
      <c r="AQ129" s="43"/>
      <c r="AR129" s="43"/>
      <c r="AS129" s="43"/>
      <c r="AT129" s="43"/>
      <c r="AU129" s="43"/>
      <c r="AV129" s="43"/>
      <c r="AW129" s="43"/>
      <c r="AX129" s="43"/>
      <c r="AY129" s="43"/>
      <c r="AZ129" s="43"/>
    </row>
    <row r="130">
      <c r="A130" s="62" t="s">
        <v>972</v>
      </c>
      <c r="B130" s="63" t="s">
        <v>653</v>
      </c>
      <c r="C130" s="64" t="s">
        <v>973</v>
      </c>
      <c r="D130" s="47" t="s">
        <v>848</v>
      </c>
      <c r="E130" s="64" t="s">
        <v>85</v>
      </c>
      <c r="F130" s="31" t="s">
        <v>40</v>
      </c>
      <c r="G130" s="31" t="s">
        <v>156</v>
      </c>
      <c r="H130" s="31" t="s">
        <v>974</v>
      </c>
      <c r="I130" s="31" t="s">
        <v>40</v>
      </c>
      <c r="J130" s="31" t="s">
        <v>102</v>
      </c>
      <c r="K130" s="31"/>
      <c r="L130" s="32">
        <f>IFERROR(__xludf.DUMMYFUNCTION("VLOOKUP($A130,IMPORTRANGE(""1PQtfbQLqBUP-rjYRznmgNFBLOjvAnhGzpIx7BJWq8rk"",""'Worksheet'!$B$2:$H""),7,FALSE)"),0.7)</f>
        <v>0.7</v>
      </c>
      <c r="M130" s="31" t="s">
        <v>40</v>
      </c>
      <c r="N130" s="49">
        <v>1.073149E8</v>
      </c>
      <c r="O130" s="127">
        <v>5.365745E7</v>
      </c>
      <c r="P130" s="49">
        <f t="shared" ref="P130:P132" si="25">N130-O130</f>
        <v>53657450</v>
      </c>
      <c r="Q130" s="34">
        <f t="shared" si="7"/>
        <v>0.5</v>
      </c>
      <c r="R130" s="31"/>
      <c r="S130" s="31" t="s">
        <v>40</v>
      </c>
      <c r="T130" s="91" t="s">
        <v>975</v>
      </c>
      <c r="U130" s="117">
        <v>0.0</v>
      </c>
      <c r="V130" s="51" t="s">
        <v>975</v>
      </c>
      <c r="W130" s="31"/>
      <c r="X130" s="52" t="s">
        <v>976</v>
      </c>
      <c r="Y130" s="54" t="s">
        <v>977</v>
      </c>
      <c r="Z130" s="74"/>
      <c r="AA130" s="74">
        <v>46295.0</v>
      </c>
      <c r="AB130" s="143"/>
      <c r="AC130" s="35" t="s">
        <v>978</v>
      </c>
      <c r="AD130" s="39">
        <v>107414.9</v>
      </c>
      <c r="AE130" s="39">
        <v>53657.45</v>
      </c>
      <c r="AF130" s="40">
        <v>53757.45</v>
      </c>
      <c r="AG130" s="57" t="s">
        <v>979</v>
      </c>
      <c r="AH130" s="42" t="s">
        <v>980</v>
      </c>
      <c r="AI130" s="42" t="str">
        <f>IFERROR(__xludf.DUMMYFUNCTION("vLOOKUP(A130,IMPORTRANGE(""https://docs.google.com/spreadsheets/d/1Rawwwdh8wntXGy8isdYNHxsNQS4n_rC8JSdPfj6vEq4"",""'500 объектов перенос на 2026'!A3:AB502""),13,0)"),"#REF!")</f>
        <v>#REF!</v>
      </c>
      <c r="AJ130" s="42" t="str">
        <f>IFERROR(__xludf.DUMMYFUNCTION("vLOOKUP(A130,IMPORTRANGE(""https://docs.google.com/spreadsheets/d/1Rawwwdh8wntXGy8isdYNHxsNQS4n_rC8JSdPfj6vEq4"",""'500 объектов перенос на 2026'!A3:AB502""),14,0)"),"#REF!")</f>
        <v>#REF!</v>
      </c>
      <c r="AK130" s="70" t="s">
        <v>981</v>
      </c>
      <c r="AL130" s="70"/>
      <c r="AM130" s="70"/>
      <c r="AN130" s="43"/>
      <c r="AO130" s="43"/>
      <c r="AP130" s="43"/>
      <c r="AQ130" s="43"/>
      <c r="AR130" s="43"/>
      <c r="AS130" s="43"/>
      <c r="AT130" s="43"/>
      <c r="AU130" s="43"/>
      <c r="AV130" s="43"/>
      <c r="AW130" s="43"/>
      <c r="AX130" s="43"/>
      <c r="AY130" s="43"/>
      <c r="AZ130" s="43"/>
    </row>
    <row r="131">
      <c r="A131" s="62" t="s">
        <v>982</v>
      </c>
      <c r="B131" s="63" t="s">
        <v>736</v>
      </c>
      <c r="C131" s="64" t="s">
        <v>983</v>
      </c>
      <c r="D131" s="47" t="s">
        <v>101</v>
      </c>
      <c r="E131" s="64" t="s">
        <v>59</v>
      </c>
      <c r="F131" s="31" t="s">
        <v>60</v>
      </c>
      <c r="G131" s="31"/>
      <c r="H131" s="31"/>
      <c r="I131" s="31" t="s">
        <v>60</v>
      </c>
      <c r="J131" s="31"/>
      <c r="K131" s="31"/>
      <c r="L131" s="32">
        <f>IFERROR(__xludf.DUMMYFUNCTION("VLOOKUP($A131,IMPORTRANGE(""1PQtfbQLqBUP-rjYRznmgNFBLOjvAnhGzpIx7BJWq8rk"",""'Worksheet'!$B$2:$H""),7,FALSE)"),0.94)</f>
        <v>0.94</v>
      </c>
      <c r="M131" s="31" t="s">
        <v>45</v>
      </c>
      <c r="N131" s="49">
        <v>9.312277772E7</v>
      </c>
      <c r="O131" s="49">
        <v>3.971907122E7</v>
      </c>
      <c r="P131" s="49">
        <f t="shared" si="25"/>
        <v>53403706.5</v>
      </c>
      <c r="Q131" s="34">
        <f t="shared" si="7"/>
        <v>0.5734763052</v>
      </c>
      <c r="R131" s="31"/>
      <c r="S131" s="31" t="s">
        <v>45</v>
      </c>
      <c r="T131" s="84" t="s">
        <v>984</v>
      </c>
      <c r="U131" s="51" t="s">
        <v>985</v>
      </c>
      <c r="V131" s="84" t="s">
        <v>986</v>
      </c>
      <c r="W131" s="31" t="s">
        <v>183</v>
      </c>
      <c r="X131" s="52" t="s">
        <v>507</v>
      </c>
      <c r="Y131" s="54" t="s">
        <v>987</v>
      </c>
      <c r="Z131" s="54" t="s">
        <v>774</v>
      </c>
      <c r="AA131" s="74">
        <v>46188.0</v>
      </c>
      <c r="AB131" s="56"/>
      <c r="AC131" s="38"/>
      <c r="AD131" s="39">
        <v>75419.38</v>
      </c>
      <c r="AE131" s="39">
        <v>39719.07122</v>
      </c>
      <c r="AF131" s="40">
        <v>35700.30878</v>
      </c>
      <c r="AG131" s="57" t="s">
        <v>988</v>
      </c>
      <c r="AH131" s="42" t="s">
        <v>776</v>
      </c>
      <c r="AI131" s="42" t="str">
        <f>IFERROR(__xludf.DUMMYFUNCTION("vLOOKUP(A131,IMPORTRANGE(""https://docs.google.com/spreadsheets/d/1Rawwwdh8wntXGy8isdYNHxsNQS4n_rC8JSdPfj6vEq4"",""'500 объектов перенос на 2026'!A3:AB502""),13,0)"),"#REF!")</f>
        <v>#REF!</v>
      </c>
      <c r="AJ131" s="42" t="str">
        <f>IFERROR(__xludf.DUMMYFUNCTION("vLOOKUP(A131,IMPORTRANGE(""https://docs.google.com/spreadsheets/d/1Rawwwdh8wntXGy8isdYNHxsNQS4n_rC8JSdPfj6vEq4"",""'500 объектов перенос на 2026'!A3:AB502""),14,0)"),"#REF!")</f>
        <v>#REF!</v>
      </c>
      <c r="AK131" s="75" t="s">
        <v>989</v>
      </c>
      <c r="AL131" s="70" t="s">
        <v>990</v>
      </c>
      <c r="AM131" s="70"/>
      <c r="AN131" s="43"/>
      <c r="AO131" s="43"/>
      <c r="AP131" s="43"/>
      <c r="AQ131" s="43"/>
      <c r="AR131" s="43"/>
      <c r="AS131" s="43"/>
      <c r="AT131" s="43"/>
      <c r="AU131" s="43"/>
      <c r="AV131" s="43"/>
      <c r="AW131" s="43"/>
      <c r="AX131" s="43"/>
      <c r="AY131" s="43"/>
      <c r="AZ131" s="43"/>
    </row>
    <row r="132">
      <c r="A132" s="78" t="s">
        <v>991</v>
      </c>
      <c r="B132" s="63" t="s">
        <v>992</v>
      </c>
      <c r="C132" s="64" t="s">
        <v>993</v>
      </c>
      <c r="D132" s="47" t="s">
        <v>365</v>
      </c>
      <c r="E132" s="64" t="s">
        <v>85</v>
      </c>
      <c r="F132" s="31" t="s">
        <v>60</v>
      </c>
      <c r="G132" s="31"/>
      <c r="H132" s="31"/>
      <c r="I132" s="31" t="s">
        <v>60</v>
      </c>
      <c r="J132" s="31"/>
      <c r="K132" s="31"/>
      <c r="L132" s="32" t="str">
        <f>IFERROR(__xludf.DUMMYFUNCTION("VLOOKUP($A132,IMPORTRANGE(""1PQtfbQLqBUP-rjYRznmgNFBLOjvAnhGzpIx7BJWq8rk"",""'Worksheet'!$B$2:$H""),7,FALSE)"),"#N/A")</f>
        <v>#N/A</v>
      </c>
      <c r="M132" s="31" t="s">
        <v>60</v>
      </c>
      <c r="N132" s="49">
        <v>8.804401217E7</v>
      </c>
      <c r="O132" s="49">
        <v>8.804401217E7</v>
      </c>
      <c r="P132" s="49">
        <f t="shared" si="25"/>
        <v>0</v>
      </c>
      <c r="Q132" s="34">
        <f t="shared" si="7"/>
        <v>0</v>
      </c>
      <c r="R132" s="31"/>
      <c r="S132" s="31" t="s">
        <v>60</v>
      </c>
      <c r="T132" s="50" t="s">
        <v>994</v>
      </c>
      <c r="U132" s="50" t="s">
        <v>994</v>
      </c>
      <c r="V132" s="51">
        <v>0.0</v>
      </c>
      <c r="W132" s="31"/>
      <c r="X132" s="92" t="s">
        <v>113</v>
      </c>
      <c r="Y132" s="54"/>
      <c r="Z132" s="54"/>
      <c r="AA132" s="54" t="s">
        <v>114</v>
      </c>
      <c r="AB132" s="38" t="s">
        <v>115</v>
      </c>
      <c r="AC132" s="38"/>
      <c r="AD132" s="39">
        <v>233283.57</v>
      </c>
      <c r="AE132" s="39">
        <v>88044.01217</v>
      </c>
      <c r="AF132" s="39">
        <v>145239.5578</v>
      </c>
      <c r="AG132" s="57" t="s">
        <v>995</v>
      </c>
      <c r="AH132" s="42" t="s">
        <v>996</v>
      </c>
      <c r="AI132" s="42" t="str">
        <f>IFERROR(__xludf.DUMMYFUNCTION("vLOOKUP(A132,IMPORTRANGE(""https://docs.google.com/spreadsheets/d/1Rawwwdh8wntXGy8isdYNHxsNQS4n_rC8JSdPfj6vEq4"",""'500 объектов перенос на 2026'!A3:AB502""),13,0)"),"#REF!")</f>
        <v>#REF!</v>
      </c>
      <c r="AJ132" s="42" t="str">
        <f>IFERROR(__xludf.DUMMYFUNCTION("vLOOKUP(A132,IMPORTRANGE(""https://docs.google.com/spreadsheets/d/1Rawwwdh8wntXGy8isdYNHxsNQS4n_rC8JSdPfj6vEq4"",""'500 объектов перенос на 2026'!A3:AB502""),14,0)"),"#REF!")</f>
        <v>#REF!</v>
      </c>
      <c r="AK132" s="76" t="s">
        <v>114</v>
      </c>
      <c r="AL132" s="70"/>
      <c r="AM132" s="70"/>
      <c r="AN132" s="43"/>
      <c r="AO132" s="43"/>
      <c r="AP132" s="43"/>
      <c r="AQ132" s="43"/>
      <c r="AR132" s="43"/>
      <c r="AS132" s="43"/>
      <c r="AT132" s="43"/>
      <c r="AU132" s="43"/>
      <c r="AV132" s="43"/>
      <c r="AW132" s="43"/>
      <c r="AX132" s="43"/>
      <c r="AY132" s="43"/>
      <c r="AZ132" s="43"/>
    </row>
    <row r="133">
      <c r="A133" s="78" t="s">
        <v>997</v>
      </c>
      <c r="B133" s="63" t="s">
        <v>998</v>
      </c>
      <c r="C133" s="64" t="s">
        <v>999</v>
      </c>
      <c r="D133" s="47" t="s">
        <v>1000</v>
      </c>
      <c r="E133" s="64" t="s">
        <v>85</v>
      </c>
      <c r="F133" s="31" t="s">
        <v>60</v>
      </c>
      <c r="G133" s="31"/>
      <c r="H133" s="31"/>
      <c r="I133" s="31" t="s">
        <v>60</v>
      </c>
      <c r="J133" s="31"/>
      <c r="K133" s="31"/>
      <c r="L133" s="32" t="str">
        <f>IFERROR(__xludf.DUMMYFUNCTION("VLOOKUP($A133,IMPORTRANGE(""1PQtfbQLqBUP-rjYRznmgNFBLOjvAnhGzpIx7BJWq8rk"",""'Worksheet'!$B$2:$H""),7,FALSE)"),"#N/A")</f>
        <v>#N/A</v>
      </c>
      <c r="M133" s="31" t="s">
        <v>60</v>
      </c>
      <c r="N133" s="49">
        <v>2.1443612463E8</v>
      </c>
      <c r="O133" s="49">
        <v>2.1418317046E8</v>
      </c>
      <c r="P133" s="49">
        <v>0.0</v>
      </c>
      <c r="Q133" s="34">
        <f t="shared" si="7"/>
        <v>0.001179624797</v>
      </c>
      <c r="R133" s="31"/>
      <c r="S133" s="31" t="s">
        <v>60</v>
      </c>
      <c r="T133" s="91">
        <v>2.037143184E8</v>
      </c>
      <c r="U133" s="51">
        <v>2.0347401194E8</v>
      </c>
      <c r="V133" s="51">
        <v>240306.46</v>
      </c>
      <c r="W133" s="31"/>
      <c r="X133" s="52" t="s">
        <v>113</v>
      </c>
      <c r="Y133" s="54"/>
      <c r="Z133" s="54"/>
      <c r="AA133" s="54" t="s">
        <v>114</v>
      </c>
      <c r="AB133" s="38" t="s">
        <v>115</v>
      </c>
      <c r="AC133" s="38" t="s">
        <v>284</v>
      </c>
      <c r="AD133" s="39">
        <v>233912.2</v>
      </c>
      <c r="AE133" s="39">
        <v>214183.1705</v>
      </c>
      <c r="AF133" s="39">
        <v>19729.02954</v>
      </c>
      <c r="AG133" s="57" t="s">
        <v>1001</v>
      </c>
      <c r="AH133" s="42" t="s">
        <v>284</v>
      </c>
      <c r="AI133" s="42" t="str">
        <f>IFERROR(__xludf.DUMMYFUNCTION("vLOOKUP(A133,IMPORTRANGE(""https://docs.google.com/spreadsheets/d/1Rawwwdh8wntXGy8isdYNHxsNQS4n_rC8JSdPfj6vEq4"",""'500 объектов перенос на 2026'!A3:AB502""),13,0)"),"#REF!")</f>
        <v>#REF!</v>
      </c>
      <c r="AJ133" s="42" t="str">
        <f>IFERROR(__xludf.DUMMYFUNCTION("vLOOKUP(A133,IMPORTRANGE(""https://docs.google.com/spreadsheets/d/1Rawwwdh8wntXGy8isdYNHxsNQS4n_rC8JSdPfj6vEq4"",""'500 объектов перенос на 2026'!A3:AB502""),14,0)"),"#REF!")</f>
        <v>#REF!</v>
      </c>
      <c r="AK133" s="76" t="s">
        <v>114</v>
      </c>
      <c r="AL133" s="70"/>
      <c r="AM133" s="70"/>
      <c r="AN133" s="43"/>
      <c r="AO133" s="43"/>
      <c r="AP133" s="43"/>
      <c r="AQ133" s="43"/>
      <c r="AR133" s="43"/>
      <c r="AS133" s="43"/>
      <c r="AT133" s="43"/>
      <c r="AU133" s="43"/>
      <c r="AV133" s="43"/>
      <c r="AW133" s="43"/>
      <c r="AX133" s="43"/>
      <c r="AY133" s="43"/>
      <c r="AZ133" s="43"/>
    </row>
    <row r="134">
      <c r="A134" s="78" t="s">
        <v>1002</v>
      </c>
      <c r="B134" s="63" t="s">
        <v>998</v>
      </c>
      <c r="C134" s="64" t="s">
        <v>1003</v>
      </c>
      <c r="D134" s="47" t="s">
        <v>1000</v>
      </c>
      <c r="E134" s="64" t="s">
        <v>85</v>
      </c>
      <c r="F134" s="31" t="s">
        <v>60</v>
      </c>
      <c r="G134" s="31"/>
      <c r="H134" s="31"/>
      <c r="I134" s="31" t="s">
        <v>60</v>
      </c>
      <c r="J134" s="31"/>
      <c r="K134" s="31"/>
      <c r="L134" s="32" t="str">
        <f>IFERROR(__xludf.DUMMYFUNCTION("VLOOKUP($A134,IMPORTRANGE(""1PQtfbQLqBUP-rjYRznmgNFBLOjvAnhGzpIx7BJWq8rk"",""'Worksheet'!$B$2:$H""),7,FALSE)"),"#N/A")</f>
        <v>#N/A</v>
      </c>
      <c r="M134" s="31" t="s">
        <v>60</v>
      </c>
      <c r="N134" s="49">
        <v>1.0951812E8</v>
      </c>
      <c r="O134" s="49">
        <v>1.0951367772E8</v>
      </c>
      <c r="P134" s="49">
        <v>0.0</v>
      </c>
      <c r="Q134" s="34">
        <f t="shared" si="7"/>
        <v>0.00004056205494</v>
      </c>
      <c r="R134" s="31"/>
      <c r="S134" s="31" t="s">
        <v>60</v>
      </c>
      <c r="T134" s="50">
        <v>1.04042214E8</v>
      </c>
      <c r="U134" s="51">
        <v>1.0403799383E8</v>
      </c>
      <c r="V134" s="51">
        <v>4220.17</v>
      </c>
      <c r="W134" s="31"/>
      <c r="X134" s="52" t="s">
        <v>113</v>
      </c>
      <c r="Y134" s="54"/>
      <c r="Z134" s="54"/>
      <c r="AA134" s="54" t="s">
        <v>114</v>
      </c>
      <c r="AB134" s="38" t="s">
        <v>115</v>
      </c>
      <c r="AC134" s="38" t="s">
        <v>284</v>
      </c>
      <c r="AD134" s="39">
        <v>109518.12</v>
      </c>
      <c r="AE134" s="39">
        <v>109513.6777</v>
      </c>
      <c r="AF134" s="39">
        <v>4.44228</v>
      </c>
      <c r="AG134" s="57" t="s">
        <v>1004</v>
      </c>
      <c r="AH134" s="42" t="s">
        <v>284</v>
      </c>
      <c r="AI134" s="42" t="str">
        <f>IFERROR(__xludf.DUMMYFUNCTION("vLOOKUP(A134,IMPORTRANGE(""https://docs.google.com/spreadsheets/d/1Rawwwdh8wntXGy8isdYNHxsNQS4n_rC8JSdPfj6vEq4"",""'500 объектов перенос на 2026'!A3:AB502""),13,0)"),"#REF!")</f>
        <v>#REF!</v>
      </c>
      <c r="AJ134" s="42" t="str">
        <f>IFERROR(__xludf.DUMMYFUNCTION("vLOOKUP(A134,IMPORTRANGE(""https://docs.google.com/spreadsheets/d/1Rawwwdh8wntXGy8isdYNHxsNQS4n_rC8JSdPfj6vEq4"",""'500 объектов перенос на 2026'!A3:AB502""),14,0)"),"#REF!")</f>
        <v>#REF!</v>
      </c>
      <c r="AK134" s="76" t="s">
        <v>114</v>
      </c>
      <c r="AL134" s="70"/>
      <c r="AM134" s="70"/>
      <c r="AN134" s="43"/>
      <c r="AO134" s="43"/>
      <c r="AP134" s="43"/>
      <c r="AQ134" s="43"/>
      <c r="AR134" s="43"/>
      <c r="AS134" s="43"/>
      <c r="AT134" s="43"/>
      <c r="AU134" s="43"/>
      <c r="AV134" s="43"/>
      <c r="AW134" s="43"/>
      <c r="AX134" s="43"/>
      <c r="AY134" s="43"/>
      <c r="AZ134" s="43"/>
    </row>
    <row r="135">
      <c r="A135" s="122" t="s">
        <v>1005</v>
      </c>
      <c r="B135" s="63" t="s">
        <v>998</v>
      </c>
      <c r="C135" s="64" t="s">
        <v>1006</v>
      </c>
      <c r="D135" s="47" t="s">
        <v>1000</v>
      </c>
      <c r="E135" s="64" t="s">
        <v>85</v>
      </c>
      <c r="F135" s="31" t="s">
        <v>60</v>
      </c>
      <c r="G135" s="31"/>
      <c r="H135" s="31"/>
      <c r="I135" s="31" t="s">
        <v>60</v>
      </c>
      <c r="J135" s="31"/>
      <c r="K135" s="31"/>
      <c r="L135" s="32" t="str">
        <f>IFERROR(__xludf.DUMMYFUNCTION("VLOOKUP($A135,IMPORTRANGE(""1PQtfbQLqBUP-rjYRznmgNFBLOjvAnhGzpIx7BJWq8rk"",""'Worksheet'!$B$2:$H""),7,FALSE)"),"#N/A")</f>
        <v>#N/A</v>
      </c>
      <c r="M135" s="31" t="s">
        <v>60</v>
      </c>
      <c r="N135" s="49">
        <v>9.42528E7</v>
      </c>
      <c r="O135" s="49">
        <v>9.425148856E7</v>
      </c>
      <c r="P135" s="49">
        <v>0.0</v>
      </c>
      <c r="Q135" s="34">
        <f t="shared" si="7"/>
        <v>0.0000139140694</v>
      </c>
      <c r="R135" s="31"/>
      <c r="S135" s="31" t="s">
        <v>60</v>
      </c>
      <c r="T135" s="50">
        <v>8.954016E7</v>
      </c>
      <c r="U135" s="51">
        <v>8.953891413E7</v>
      </c>
      <c r="V135" s="51">
        <v>1245.87</v>
      </c>
      <c r="W135" s="31"/>
      <c r="X135" s="52" t="s">
        <v>113</v>
      </c>
      <c r="Y135" s="54"/>
      <c r="Z135" s="54"/>
      <c r="AA135" s="54" t="s">
        <v>114</v>
      </c>
      <c r="AB135" s="38" t="s">
        <v>115</v>
      </c>
      <c r="AC135" s="38" t="s">
        <v>284</v>
      </c>
      <c r="AD135" s="39">
        <v>177296.0</v>
      </c>
      <c r="AE135" s="39">
        <v>94251.48856</v>
      </c>
      <c r="AF135" s="39">
        <v>83044.51144</v>
      </c>
      <c r="AG135" s="57" t="s">
        <v>1007</v>
      </c>
      <c r="AH135" s="42" t="s">
        <v>284</v>
      </c>
      <c r="AI135" s="42" t="str">
        <f>IFERROR(__xludf.DUMMYFUNCTION("vLOOKUP(A135,IMPORTRANGE(""https://docs.google.com/spreadsheets/d/1Rawwwdh8wntXGy8isdYNHxsNQS4n_rC8JSdPfj6vEq4"",""'500 объектов перенос на 2026'!A3:AB502""),13,0)"),"#REF!")</f>
        <v>#REF!</v>
      </c>
      <c r="AJ135" s="42" t="str">
        <f>IFERROR(__xludf.DUMMYFUNCTION("vLOOKUP(A135,IMPORTRANGE(""https://docs.google.com/spreadsheets/d/1Rawwwdh8wntXGy8isdYNHxsNQS4n_rC8JSdPfj6vEq4"",""'500 объектов перенос на 2026'!A3:AB502""),14,0)"),"#REF!")</f>
        <v>#REF!</v>
      </c>
      <c r="AK135" s="76" t="s">
        <v>114</v>
      </c>
      <c r="AL135" s="70"/>
      <c r="AM135" s="70"/>
      <c r="AN135" s="43"/>
      <c r="AO135" s="43"/>
      <c r="AP135" s="43"/>
      <c r="AQ135" s="43"/>
      <c r="AR135" s="43"/>
      <c r="AS135" s="43"/>
      <c r="AT135" s="43"/>
      <c r="AU135" s="43"/>
      <c r="AV135" s="43"/>
      <c r="AW135" s="43"/>
      <c r="AX135" s="43"/>
      <c r="AY135" s="43"/>
      <c r="AZ135" s="43"/>
    </row>
    <row r="136">
      <c r="A136" s="78" t="s">
        <v>1008</v>
      </c>
      <c r="B136" s="63" t="s">
        <v>998</v>
      </c>
      <c r="C136" s="64" t="s">
        <v>1009</v>
      </c>
      <c r="D136" s="47" t="s">
        <v>1000</v>
      </c>
      <c r="E136" s="64" t="s">
        <v>85</v>
      </c>
      <c r="F136" s="31" t="s">
        <v>60</v>
      </c>
      <c r="G136" s="31"/>
      <c r="H136" s="31"/>
      <c r="I136" s="31" t="s">
        <v>60</v>
      </c>
      <c r="J136" s="31"/>
      <c r="K136" s="31"/>
      <c r="L136" s="32" t="str">
        <f>IFERROR(__xludf.DUMMYFUNCTION("VLOOKUP($A136,IMPORTRANGE(""1PQtfbQLqBUP-rjYRznmgNFBLOjvAnhGzpIx7BJWq8rk"",""'Worksheet'!$B$2:$H""),7,FALSE)"),"#N/A")</f>
        <v>#N/A</v>
      </c>
      <c r="M136" s="31" t="s">
        <v>60</v>
      </c>
      <c r="N136" s="49">
        <v>1.9543566E8</v>
      </c>
      <c r="O136" s="49">
        <v>1.9543566E8</v>
      </c>
      <c r="P136" s="49">
        <f>N136-O136</f>
        <v>0</v>
      </c>
      <c r="Q136" s="34">
        <f t="shared" si="7"/>
        <v>0</v>
      </c>
      <c r="R136" s="31"/>
      <c r="S136" s="31" t="s">
        <v>60</v>
      </c>
      <c r="T136" s="97">
        <v>2.4710867E8</v>
      </c>
      <c r="U136" s="88">
        <v>9.42880781E7</v>
      </c>
      <c r="V136" s="88">
        <v>1.528205919E8</v>
      </c>
      <c r="W136" s="31"/>
      <c r="X136" s="52" t="s">
        <v>113</v>
      </c>
      <c r="Y136" s="54"/>
      <c r="Z136" s="54"/>
      <c r="AA136" s="54" t="s">
        <v>114</v>
      </c>
      <c r="AB136" s="38" t="s">
        <v>115</v>
      </c>
      <c r="AC136" s="38" t="s">
        <v>1010</v>
      </c>
      <c r="AD136" s="39">
        <v>195435.66</v>
      </c>
      <c r="AE136" s="39">
        <v>195435.6545</v>
      </c>
      <c r="AF136" s="39">
        <v>0.00546</v>
      </c>
      <c r="AG136" s="57" t="s">
        <v>1011</v>
      </c>
      <c r="AH136" s="42" t="s">
        <v>1010</v>
      </c>
      <c r="AI136" s="42" t="str">
        <f>IFERROR(__xludf.DUMMYFUNCTION("vLOOKUP(A136,IMPORTRANGE(""https://docs.google.com/spreadsheets/d/1Rawwwdh8wntXGy8isdYNHxsNQS4n_rC8JSdPfj6vEq4"",""'500 объектов перенос на 2026'!A3:AB502""),13,0)"),"#REF!")</f>
        <v>#REF!</v>
      </c>
      <c r="AJ136" s="42" t="str">
        <f>IFERROR(__xludf.DUMMYFUNCTION("vLOOKUP(A136,IMPORTRANGE(""https://docs.google.com/spreadsheets/d/1Rawwwdh8wntXGy8isdYNHxsNQS4n_rC8JSdPfj6vEq4"",""'500 объектов перенос на 2026'!A3:AB502""),14,0)"),"#REF!")</f>
        <v>#REF!</v>
      </c>
      <c r="AK136" s="76" t="s">
        <v>114</v>
      </c>
      <c r="AL136" s="70"/>
      <c r="AM136" s="70"/>
      <c r="AN136" s="43"/>
      <c r="AO136" s="43"/>
      <c r="AP136" s="43"/>
      <c r="AQ136" s="43"/>
      <c r="AR136" s="43"/>
      <c r="AS136" s="43"/>
      <c r="AT136" s="43"/>
      <c r="AU136" s="43"/>
      <c r="AV136" s="43"/>
      <c r="AW136" s="43"/>
      <c r="AX136" s="43"/>
      <c r="AY136" s="43"/>
      <c r="AZ136" s="43"/>
    </row>
    <row r="137">
      <c r="A137" s="78" t="s">
        <v>1012</v>
      </c>
      <c r="B137" s="63" t="s">
        <v>998</v>
      </c>
      <c r="C137" s="64" t="s">
        <v>1013</v>
      </c>
      <c r="D137" s="47" t="s">
        <v>1014</v>
      </c>
      <c r="E137" s="64" t="s">
        <v>59</v>
      </c>
      <c r="F137" s="31" t="s">
        <v>60</v>
      </c>
      <c r="G137" s="31"/>
      <c r="H137" s="31"/>
      <c r="I137" s="31" t="s">
        <v>60</v>
      </c>
      <c r="J137" s="31"/>
      <c r="K137" s="31"/>
      <c r="L137" s="32" t="str">
        <f>IFERROR(__xludf.DUMMYFUNCTION("VLOOKUP($A137,IMPORTRANGE(""1PQtfbQLqBUP-rjYRznmgNFBLOjvAnhGzpIx7BJWq8rk"",""'Worksheet'!$B$2:$H""),7,FALSE)"),"#N/A")</f>
        <v>#N/A</v>
      </c>
      <c r="M137" s="31" t="s">
        <v>60</v>
      </c>
      <c r="N137" s="49">
        <v>1.11559023E8</v>
      </c>
      <c r="O137" s="49">
        <v>1.0647879557E8</v>
      </c>
      <c r="P137" s="49">
        <v>0.0</v>
      </c>
      <c r="Q137" s="34">
        <f t="shared" si="7"/>
        <v>0.04553847186</v>
      </c>
      <c r="R137" s="31"/>
      <c r="S137" s="31" t="s">
        <v>60</v>
      </c>
      <c r="T137" s="50">
        <v>1.0598107185E8</v>
      </c>
      <c r="U137" s="51">
        <v>1.0115485579E8</v>
      </c>
      <c r="V137" s="51">
        <v>4826216.11</v>
      </c>
      <c r="W137" s="31"/>
      <c r="X137" s="52" t="s">
        <v>113</v>
      </c>
      <c r="Y137" s="54"/>
      <c r="Z137" s="54"/>
      <c r="AA137" s="54" t="s">
        <v>114</v>
      </c>
      <c r="AB137" s="38" t="s">
        <v>115</v>
      </c>
      <c r="AC137" s="38" t="s">
        <v>284</v>
      </c>
      <c r="AD137" s="39">
        <v>111559.023</v>
      </c>
      <c r="AE137" s="39">
        <v>106478.7956</v>
      </c>
      <c r="AF137" s="39">
        <v>5080.22744</v>
      </c>
      <c r="AG137" s="57" t="s">
        <v>1015</v>
      </c>
      <c r="AH137" s="42" t="s">
        <v>284</v>
      </c>
      <c r="AI137" s="42" t="str">
        <f>IFERROR(__xludf.DUMMYFUNCTION("vLOOKUP(A137,IMPORTRANGE(""https://docs.google.com/spreadsheets/d/1Rawwwdh8wntXGy8isdYNHxsNQS4n_rC8JSdPfj6vEq4"",""'500 объектов перенос на 2026'!A3:AB502""),13,0)"),"#REF!")</f>
        <v>#REF!</v>
      </c>
      <c r="AJ137" s="42" t="str">
        <f>IFERROR(__xludf.DUMMYFUNCTION("vLOOKUP(A137,IMPORTRANGE(""https://docs.google.com/spreadsheets/d/1Rawwwdh8wntXGy8isdYNHxsNQS4n_rC8JSdPfj6vEq4"",""'500 объектов перенос на 2026'!A3:AB502""),14,0)"),"#REF!")</f>
        <v>#REF!</v>
      </c>
      <c r="AK137" s="76" t="s">
        <v>114</v>
      </c>
      <c r="AL137" s="76"/>
      <c r="AM137" s="70"/>
      <c r="AN137" s="43"/>
      <c r="AO137" s="43"/>
      <c r="AP137" s="43"/>
      <c r="AQ137" s="43"/>
      <c r="AR137" s="43"/>
      <c r="AS137" s="43"/>
      <c r="AT137" s="43"/>
      <c r="AU137" s="43"/>
      <c r="AV137" s="43"/>
      <c r="AW137" s="43"/>
      <c r="AX137" s="43"/>
      <c r="AY137" s="43"/>
      <c r="AZ137" s="43"/>
    </row>
    <row r="138">
      <c r="A138" s="62" t="s">
        <v>1016</v>
      </c>
      <c r="B138" s="63" t="s">
        <v>605</v>
      </c>
      <c r="C138" s="64" t="s">
        <v>1017</v>
      </c>
      <c r="D138" s="47" t="s">
        <v>38</v>
      </c>
      <c r="E138" s="64" t="s">
        <v>85</v>
      </c>
      <c r="F138" s="31" t="s">
        <v>60</v>
      </c>
      <c r="G138" s="31"/>
      <c r="H138" s="31"/>
      <c r="I138" s="31" t="s">
        <v>60</v>
      </c>
      <c r="J138" s="31"/>
      <c r="K138" s="31"/>
      <c r="L138" s="32">
        <f>IFERROR(__xludf.DUMMYFUNCTION("VLOOKUP($A138,IMPORTRANGE(""1PQtfbQLqBUP-rjYRznmgNFBLOjvAnhGzpIx7BJWq8rk"",""'Worksheet'!$B$2:$H""),7,FALSE)"),1.0)</f>
        <v>1</v>
      </c>
      <c r="M138" s="31" t="s">
        <v>60</v>
      </c>
      <c r="N138" s="49">
        <v>5.879569787E8</v>
      </c>
      <c r="O138" s="49">
        <v>5.7762662937E8</v>
      </c>
      <c r="P138" s="49">
        <v>0.0</v>
      </c>
      <c r="Q138" s="34">
        <f t="shared" si="7"/>
        <v>0.01756990682</v>
      </c>
      <c r="R138" s="31"/>
      <c r="S138" s="31" t="s">
        <v>60</v>
      </c>
      <c r="T138" s="88" t="s">
        <v>1018</v>
      </c>
      <c r="U138" s="88" t="s">
        <v>1019</v>
      </c>
      <c r="V138" s="88" t="s">
        <v>1020</v>
      </c>
      <c r="W138" s="31"/>
      <c r="X138" s="54" t="s">
        <v>114</v>
      </c>
      <c r="Y138" s="54" t="s">
        <v>114</v>
      </c>
      <c r="Z138" s="54"/>
      <c r="AA138" s="54" t="s">
        <v>114</v>
      </c>
      <c r="AB138" s="56"/>
      <c r="AC138" s="38" t="s">
        <v>8</v>
      </c>
      <c r="AD138" s="39">
        <v>640326.85</v>
      </c>
      <c r="AE138" s="39">
        <v>452023.6057</v>
      </c>
      <c r="AF138" s="40">
        <v>188303.2444</v>
      </c>
      <c r="AG138" s="99" t="s">
        <v>1021</v>
      </c>
      <c r="AH138" s="85"/>
      <c r="AI138" s="42" t="str">
        <f>IFERROR(__xludf.DUMMYFUNCTION("vLOOKUP(A138,IMPORTRANGE(""https://docs.google.com/spreadsheets/d/1Rawwwdh8wntXGy8isdYNHxsNQS4n_rC8JSdPfj6vEq4"",""'500 объектов перенос на 2026'!A3:AB502""),13,0)"),"#REF!")</f>
        <v>#REF!</v>
      </c>
      <c r="AJ138" s="42" t="str">
        <f>IFERROR(__xludf.DUMMYFUNCTION("vLOOKUP(A138,IMPORTRANGE(""https://docs.google.com/spreadsheets/d/1Rawwwdh8wntXGy8isdYNHxsNQS4n_rC8JSdPfj6vEq4"",""'500 объектов перенос на 2026'!A3:AB502""),14,0)"),"#REF!")</f>
        <v>#REF!</v>
      </c>
      <c r="AK138" s="76" t="s">
        <v>114</v>
      </c>
      <c r="AL138" s="76" t="s">
        <v>114</v>
      </c>
      <c r="AM138" s="76"/>
      <c r="AN138" s="76"/>
      <c r="AO138" s="43"/>
      <c r="AP138" s="43"/>
      <c r="AQ138" s="43"/>
      <c r="AR138" s="43"/>
      <c r="AS138" s="43"/>
      <c r="AT138" s="43"/>
      <c r="AU138" s="43"/>
      <c r="AV138" s="43"/>
      <c r="AW138" s="43"/>
      <c r="AX138" s="43"/>
      <c r="AY138" s="43"/>
      <c r="AZ138" s="43"/>
    </row>
    <row r="139">
      <c r="A139" s="62" t="s">
        <v>1022</v>
      </c>
      <c r="B139" s="63" t="s">
        <v>56</v>
      </c>
      <c r="C139" s="64" t="s">
        <v>1023</v>
      </c>
      <c r="D139" s="47" t="s">
        <v>492</v>
      </c>
      <c r="E139" s="64" t="s">
        <v>85</v>
      </c>
      <c r="F139" s="31" t="s">
        <v>60</v>
      </c>
      <c r="G139" s="31"/>
      <c r="H139" s="31"/>
      <c r="I139" s="31" t="s">
        <v>40</v>
      </c>
      <c r="J139" s="31" t="s">
        <v>102</v>
      </c>
      <c r="K139" s="31" t="s">
        <v>713</v>
      </c>
      <c r="L139" s="32">
        <f>IFERROR(__xludf.DUMMYFUNCTION("VLOOKUP($A139,IMPORTRANGE(""1PQtfbQLqBUP-rjYRznmgNFBLOjvAnhGzpIx7BJWq8rk"",""'Worksheet'!$B$2:$H""),7,FALSE)"),0.97)</f>
        <v>0.97</v>
      </c>
      <c r="M139" s="31" t="s">
        <v>45</v>
      </c>
      <c r="N139" s="49">
        <v>6.0285821E7</v>
      </c>
      <c r="O139" s="49">
        <v>7447641.0</v>
      </c>
      <c r="P139" s="49">
        <f t="shared" ref="P139:P151" si="26">N139-O139</f>
        <v>52838180</v>
      </c>
      <c r="Q139" s="34">
        <f t="shared" si="7"/>
        <v>0.87646115</v>
      </c>
      <c r="R139" s="31"/>
      <c r="S139" s="31" t="s">
        <v>45</v>
      </c>
      <c r="T139" s="88" t="s">
        <v>1024</v>
      </c>
      <c r="U139" s="88" t="s">
        <v>1025</v>
      </c>
      <c r="V139" s="88" t="s">
        <v>1026</v>
      </c>
      <c r="W139" s="31"/>
      <c r="X139" s="52"/>
      <c r="Y139" s="54" t="s">
        <v>1027</v>
      </c>
      <c r="Z139" s="68"/>
      <c r="AA139" s="68">
        <v>46233.0</v>
      </c>
      <c r="AB139" s="56"/>
      <c r="AC139" s="38"/>
      <c r="AD139" s="39">
        <v>24825.48</v>
      </c>
      <c r="AE139" s="39">
        <v>7447.641</v>
      </c>
      <c r="AF139" s="40">
        <v>17377.839</v>
      </c>
      <c r="AG139" s="57" t="s">
        <v>1028</v>
      </c>
      <c r="AH139" s="69" t="s">
        <v>66</v>
      </c>
      <c r="AI139" s="42" t="str">
        <f>IFERROR(__xludf.DUMMYFUNCTION("vLOOKUP(A139,IMPORTRANGE(""https://docs.google.com/spreadsheets/d/1Rawwwdh8wntXGy8isdYNHxsNQS4n_rC8JSdPfj6vEq4"",""'500 объектов перенос на 2026'!A3:AB502""),13,0)"),"#REF!")</f>
        <v>#REF!</v>
      </c>
      <c r="AJ139" s="42" t="str">
        <f>IFERROR(__xludf.DUMMYFUNCTION("vLOOKUP(A139,IMPORTRANGE(""https://docs.google.com/spreadsheets/d/1Rawwwdh8wntXGy8isdYNHxsNQS4n_rC8JSdPfj6vEq4"",""'500 объектов перенос на 2026'!A3:AB502""),14,0)"),"#REF!")</f>
        <v>#REF!</v>
      </c>
      <c r="AK139" s="76" t="s">
        <v>1029</v>
      </c>
      <c r="AL139" s="70"/>
      <c r="AM139" s="70"/>
      <c r="AN139" s="43"/>
      <c r="AO139" s="43"/>
      <c r="AP139" s="43"/>
      <c r="AQ139" s="43"/>
      <c r="AR139" s="43"/>
      <c r="AS139" s="43"/>
      <c r="AT139" s="43"/>
      <c r="AU139" s="43"/>
      <c r="AV139" s="43"/>
      <c r="AW139" s="43"/>
      <c r="AX139" s="43"/>
      <c r="AY139" s="43"/>
      <c r="AZ139" s="43"/>
    </row>
    <row r="140">
      <c r="A140" s="62" t="s">
        <v>1030</v>
      </c>
      <c r="B140" s="63" t="s">
        <v>133</v>
      </c>
      <c r="C140" s="144" t="s">
        <v>1031</v>
      </c>
      <c r="D140" s="47" t="s">
        <v>246</v>
      </c>
      <c r="E140" s="64" t="s">
        <v>59</v>
      </c>
      <c r="F140" s="31" t="s">
        <v>60</v>
      </c>
      <c r="G140" s="31"/>
      <c r="H140" s="31"/>
      <c r="I140" s="31" t="s">
        <v>60</v>
      </c>
      <c r="J140" s="31"/>
      <c r="K140" s="31"/>
      <c r="L140" s="32">
        <f>IFERROR(__xludf.DUMMYFUNCTION("VLOOKUP($A140,IMPORTRANGE(""1PQtfbQLqBUP-rjYRznmgNFBLOjvAnhGzpIx7BJWq8rk"",""'Worksheet'!$B$2:$H""),7,FALSE)"),0.97)</f>
        <v>0.97</v>
      </c>
      <c r="M140" s="31" t="s">
        <v>40</v>
      </c>
      <c r="N140" s="49">
        <v>6.299126714E7</v>
      </c>
      <c r="O140" s="49">
        <v>2.023457649E7</v>
      </c>
      <c r="P140" s="49">
        <f t="shared" si="26"/>
        <v>42756690.65</v>
      </c>
      <c r="Q140" s="34">
        <f t="shared" si="7"/>
        <v>0.6787717185</v>
      </c>
      <c r="R140" s="31" t="s">
        <v>1032</v>
      </c>
      <c r="S140" s="31" t="s">
        <v>45</v>
      </c>
      <c r="T140" s="84">
        <f>N140*0.95</f>
        <v>59841703.78</v>
      </c>
      <c r="U140" s="84">
        <v>0.0</v>
      </c>
      <c r="V140" s="84">
        <v>5.9841703783E7</v>
      </c>
      <c r="W140" s="31"/>
      <c r="X140" s="52" t="s">
        <v>507</v>
      </c>
      <c r="Y140" s="73" t="s">
        <v>1033</v>
      </c>
      <c r="Z140" s="54" t="s">
        <v>1034</v>
      </c>
      <c r="AA140" s="74">
        <v>46218.0</v>
      </c>
      <c r="AB140" s="56"/>
      <c r="AC140" s="38"/>
      <c r="AD140" s="39">
        <v>39300.0</v>
      </c>
      <c r="AE140" s="39">
        <v>11200.50089</v>
      </c>
      <c r="AF140" s="40">
        <v>28099.49911</v>
      </c>
      <c r="AG140" s="57" t="s">
        <v>1035</v>
      </c>
      <c r="AH140" s="42" t="s">
        <v>1036</v>
      </c>
      <c r="AI140" s="42" t="str">
        <f>IFERROR(__xludf.DUMMYFUNCTION("vLOOKUP(A140,IMPORTRANGE(""https://docs.google.com/spreadsheets/d/1Rawwwdh8wntXGy8isdYNHxsNQS4n_rC8JSdPfj6vEq4"",""'500 объектов перенос на 2026'!A3:AB502""),13,0)"),"#REF!")</f>
        <v>#REF!</v>
      </c>
      <c r="AJ140" s="42" t="str">
        <f>IFERROR(__xludf.DUMMYFUNCTION("vLOOKUP(A140,IMPORTRANGE(""https://docs.google.com/spreadsheets/d/1Rawwwdh8wntXGy8isdYNHxsNQS4n_rC8JSdPfj6vEq4"",""'500 объектов перенос на 2026'!A3:AB502""),14,0)"),"#REF!")</f>
        <v>#REF!</v>
      </c>
      <c r="AK140" s="76" t="s">
        <v>1037</v>
      </c>
      <c r="AL140" s="70"/>
      <c r="AM140" s="70"/>
      <c r="AN140" s="43"/>
      <c r="AO140" s="43"/>
      <c r="AP140" s="43"/>
      <c r="AQ140" s="43"/>
      <c r="AR140" s="43"/>
      <c r="AS140" s="43"/>
      <c r="AT140" s="43"/>
      <c r="AU140" s="43"/>
      <c r="AV140" s="43"/>
      <c r="AW140" s="43"/>
      <c r="AX140" s="43"/>
      <c r="AY140" s="43"/>
      <c r="AZ140" s="43"/>
    </row>
    <row r="141">
      <c r="A141" s="62" t="s">
        <v>1038</v>
      </c>
      <c r="B141" s="63" t="s">
        <v>1039</v>
      </c>
      <c r="C141" s="90" t="s">
        <v>1040</v>
      </c>
      <c r="D141" s="47" t="s">
        <v>1041</v>
      </c>
      <c r="E141" s="64" t="s">
        <v>85</v>
      </c>
      <c r="F141" s="31" t="s">
        <v>60</v>
      </c>
      <c r="G141" s="31"/>
      <c r="H141" s="31"/>
      <c r="I141" s="31" t="s">
        <v>40</v>
      </c>
      <c r="J141" s="31" t="s">
        <v>102</v>
      </c>
      <c r="K141" s="31" t="s">
        <v>72</v>
      </c>
      <c r="L141" s="32">
        <f>IFERROR(__xludf.DUMMYFUNCTION("VLOOKUP($A141,IMPORTRANGE(""1PQtfbQLqBUP-rjYRznmgNFBLOjvAnhGzpIx7BJWq8rk"",""'Worksheet'!$B$2:$H""),7,FALSE)"),0.15)</f>
        <v>0.15</v>
      </c>
      <c r="M141" s="31" t="s">
        <v>40</v>
      </c>
      <c r="N141" s="49">
        <v>7.632129298E7</v>
      </c>
      <c r="O141" s="49">
        <v>2.476501585E7</v>
      </c>
      <c r="P141" s="49">
        <f t="shared" si="26"/>
        <v>51556277.13</v>
      </c>
      <c r="Q141" s="34">
        <f t="shared" si="7"/>
        <v>0.6755162959</v>
      </c>
      <c r="R141" s="31"/>
      <c r="S141" s="31" t="s">
        <v>45</v>
      </c>
      <c r="T141" s="88">
        <v>7.250522833E7</v>
      </c>
      <c r="U141" s="88">
        <v>2.352676506E7</v>
      </c>
      <c r="V141" s="88">
        <f>T141-U141</f>
        <v>48978463.27</v>
      </c>
      <c r="W141" s="31"/>
      <c r="X141" s="52" t="s">
        <v>46</v>
      </c>
      <c r="Y141" s="54" t="s">
        <v>1042</v>
      </c>
      <c r="Z141" s="74"/>
      <c r="AA141" s="74">
        <v>46296.0</v>
      </c>
      <c r="AB141" s="56"/>
      <c r="AC141" s="38"/>
      <c r="AD141" s="39">
        <v>70757.19</v>
      </c>
      <c r="AE141" s="39">
        <v>24765.01585</v>
      </c>
      <c r="AF141" s="40">
        <v>45992.17415</v>
      </c>
      <c r="AG141" s="57" t="s">
        <v>1043</v>
      </c>
      <c r="AH141" s="42" t="s">
        <v>46</v>
      </c>
      <c r="AI141" s="42" t="str">
        <f>IFERROR(__xludf.DUMMYFUNCTION("vLOOKUP(A141,IMPORTRANGE(""https://docs.google.com/spreadsheets/d/1Rawwwdh8wntXGy8isdYNHxsNQS4n_rC8JSdPfj6vEq4"",""'500 объектов перенос на 2026'!A3:AB502""),13,0)"),"#REF!")</f>
        <v>#REF!</v>
      </c>
      <c r="AJ141" s="42" t="str">
        <f>IFERROR(__xludf.DUMMYFUNCTION("vLOOKUP(A141,IMPORTRANGE(""https://docs.google.com/spreadsheets/d/1Rawwwdh8wntXGy8isdYNHxsNQS4n_rC8JSdPfj6vEq4"",""'500 объектов перенос на 2026'!A3:AB502""),14,0)"),"#REF!")</f>
        <v>#REF!</v>
      </c>
      <c r="AK141" s="76" t="s">
        <v>1044</v>
      </c>
      <c r="AL141" s="76" t="s">
        <v>1045</v>
      </c>
      <c r="AM141" s="70"/>
      <c r="AN141" s="43"/>
      <c r="AO141" s="43"/>
      <c r="AP141" s="43"/>
      <c r="AQ141" s="43"/>
      <c r="AR141" s="43"/>
      <c r="AS141" s="43"/>
      <c r="AT141" s="43"/>
      <c r="AU141" s="43"/>
      <c r="AV141" s="43"/>
      <c r="AW141" s="43"/>
      <c r="AX141" s="43"/>
      <c r="AY141" s="43"/>
      <c r="AZ141" s="43"/>
    </row>
    <row r="142">
      <c r="A142" s="62" t="s">
        <v>1046</v>
      </c>
      <c r="B142" s="63" t="s">
        <v>400</v>
      </c>
      <c r="C142" s="64" t="s">
        <v>1047</v>
      </c>
      <c r="D142" s="47" t="s">
        <v>1048</v>
      </c>
      <c r="E142" s="64" t="s">
        <v>324</v>
      </c>
      <c r="F142" s="31" t="s">
        <v>60</v>
      </c>
      <c r="G142" s="31"/>
      <c r="H142" s="31"/>
      <c r="I142" s="31" t="s">
        <v>40</v>
      </c>
      <c r="J142" s="31" t="s">
        <v>102</v>
      </c>
      <c r="K142" s="31" t="s">
        <v>72</v>
      </c>
      <c r="L142" s="32">
        <f>IFERROR(__xludf.DUMMYFUNCTION("VLOOKUP($A142,IMPORTRANGE(""1PQtfbQLqBUP-rjYRznmgNFBLOjvAnhGzpIx7BJWq8rk"",""'Worksheet'!$B$2:$H""),7,FALSE)"),0.74)</f>
        <v>0.74</v>
      </c>
      <c r="M142" s="31" t="s">
        <v>45</v>
      </c>
      <c r="N142" s="49">
        <v>7.2257526E7</v>
      </c>
      <c r="O142" s="49">
        <v>6.111680183E7</v>
      </c>
      <c r="P142" s="49">
        <f t="shared" si="26"/>
        <v>11140724.17</v>
      </c>
      <c r="Q142" s="34">
        <f t="shared" si="7"/>
        <v>0.1541808139</v>
      </c>
      <c r="R142" s="31"/>
      <c r="S142" s="31" t="s">
        <v>45</v>
      </c>
      <c r="T142" s="84"/>
      <c r="U142" s="84" t="s">
        <v>1049</v>
      </c>
      <c r="V142" s="84" t="s">
        <v>1050</v>
      </c>
      <c r="W142" s="31"/>
      <c r="X142" s="52" t="s">
        <v>803</v>
      </c>
      <c r="Y142" s="54" t="s">
        <v>1051</v>
      </c>
      <c r="Z142" s="54" t="s">
        <v>1052</v>
      </c>
      <c r="AA142" s="74">
        <v>46218.0</v>
      </c>
      <c r="AB142" s="56"/>
      <c r="AC142" s="38"/>
      <c r="AD142" s="39">
        <v>65688.66</v>
      </c>
      <c r="AE142" s="39">
        <v>20818.88094</v>
      </c>
      <c r="AF142" s="40">
        <v>44869.77906</v>
      </c>
      <c r="AG142" s="57" t="s">
        <v>1053</v>
      </c>
      <c r="AH142" s="42" t="s">
        <v>1054</v>
      </c>
      <c r="AI142" s="42" t="str">
        <f>IFERROR(__xludf.DUMMYFUNCTION("vLOOKUP(A142,IMPORTRANGE(""https://docs.google.com/spreadsheets/d/1Rawwwdh8wntXGy8isdYNHxsNQS4n_rC8JSdPfj6vEq4"",""'500 объектов перенос на 2026'!A3:AB502""),13,0)"),"#REF!")</f>
        <v>#REF!</v>
      </c>
      <c r="AJ142" s="42" t="str">
        <f>IFERROR(__xludf.DUMMYFUNCTION("vLOOKUP(A142,IMPORTRANGE(""https://docs.google.com/spreadsheets/d/1Rawwwdh8wntXGy8isdYNHxsNQS4n_rC8JSdPfj6vEq4"",""'500 объектов перенос на 2026'!A3:AB502""),14,0)"),"#REF!")</f>
        <v>#REF!</v>
      </c>
      <c r="AK142" s="76" t="s">
        <v>1055</v>
      </c>
      <c r="AL142" s="76"/>
      <c r="AM142" s="70"/>
      <c r="AN142" s="43"/>
      <c r="AO142" s="43"/>
      <c r="AP142" s="43"/>
      <c r="AQ142" s="43"/>
      <c r="AR142" s="43"/>
      <c r="AS142" s="43"/>
      <c r="AT142" s="43"/>
      <c r="AU142" s="43"/>
      <c r="AV142" s="43"/>
      <c r="AW142" s="43"/>
      <c r="AX142" s="43"/>
      <c r="AY142" s="43"/>
      <c r="AZ142" s="43"/>
    </row>
    <row r="143">
      <c r="A143" s="62" t="s">
        <v>1056</v>
      </c>
      <c r="B143" s="63" t="s">
        <v>653</v>
      </c>
      <c r="C143" s="64" t="s">
        <v>1057</v>
      </c>
      <c r="D143" s="47" t="s">
        <v>1058</v>
      </c>
      <c r="E143" s="64" t="s">
        <v>59</v>
      </c>
      <c r="F143" s="31" t="s">
        <v>60</v>
      </c>
      <c r="G143" s="31"/>
      <c r="H143" s="31"/>
      <c r="I143" s="31" t="s">
        <v>60</v>
      </c>
      <c r="J143" s="31"/>
      <c r="K143" s="31"/>
      <c r="L143" s="32">
        <f>IFERROR(__xludf.DUMMYFUNCTION("VLOOKUP($A143,IMPORTRANGE(""1PQtfbQLqBUP-rjYRznmgNFBLOjvAnhGzpIx7BJWq8rk"",""'Worksheet'!$B$2:$H""),7,FALSE)"),1.0)</f>
        <v>1</v>
      </c>
      <c r="M143" s="31" t="s">
        <v>40</v>
      </c>
      <c r="N143" s="49">
        <v>1.0287544E8</v>
      </c>
      <c r="O143" s="127">
        <v>5.143772E7</v>
      </c>
      <c r="P143" s="49">
        <f t="shared" si="26"/>
        <v>51437720</v>
      </c>
      <c r="Q143" s="34">
        <f t="shared" si="7"/>
        <v>0.5</v>
      </c>
      <c r="R143" s="31" t="s">
        <v>1059</v>
      </c>
      <c r="S143" s="31" t="s">
        <v>60</v>
      </c>
      <c r="T143" s="145" t="s">
        <v>1060</v>
      </c>
      <c r="U143" s="145">
        <v>0.0</v>
      </c>
      <c r="V143" s="84" t="s">
        <v>1060</v>
      </c>
      <c r="W143" s="31"/>
      <c r="X143" s="52" t="s">
        <v>8</v>
      </c>
      <c r="Y143" s="54" t="s">
        <v>1061</v>
      </c>
      <c r="Z143" s="74"/>
      <c r="AA143" s="74">
        <v>46203.0</v>
      </c>
      <c r="AB143" s="56"/>
      <c r="AC143" s="38" t="s">
        <v>1062</v>
      </c>
      <c r="AD143" s="39">
        <v>102875.44</v>
      </c>
      <c r="AE143" s="39">
        <v>51437.72</v>
      </c>
      <c r="AF143" s="40">
        <v>51437.72</v>
      </c>
      <c r="AG143" s="57" t="s">
        <v>1063</v>
      </c>
      <c r="AH143" s="42" t="s">
        <v>1064</v>
      </c>
      <c r="AI143" s="42"/>
      <c r="AJ143" s="42"/>
      <c r="AK143" s="70" t="s">
        <v>1065</v>
      </c>
      <c r="AL143" s="76"/>
      <c r="AM143" s="70"/>
      <c r="AN143" s="43"/>
      <c r="AO143" s="43"/>
      <c r="AP143" s="43"/>
      <c r="AQ143" s="43"/>
      <c r="AR143" s="43"/>
      <c r="AS143" s="43"/>
      <c r="AT143" s="43"/>
      <c r="AU143" s="43"/>
      <c r="AV143" s="43"/>
      <c r="AW143" s="43"/>
      <c r="AX143" s="43"/>
      <c r="AY143" s="43"/>
      <c r="AZ143" s="43"/>
    </row>
    <row r="144">
      <c r="A144" s="62" t="s">
        <v>1066</v>
      </c>
      <c r="B144" s="63" t="s">
        <v>70</v>
      </c>
      <c r="C144" s="64" t="s">
        <v>1067</v>
      </c>
      <c r="D144" s="47" t="s">
        <v>227</v>
      </c>
      <c r="E144" s="64" t="s">
        <v>59</v>
      </c>
      <c r="F144" s="31" t="s">
        <v>60</v>
      </c>
      <c r="G144" s="31"/>
      <c r="H144" s="31"/>
      <c r="I144" s="31" t="s">
        <v>40</v>
      </c>
      <c r="J144" s="31" t="s">
        <v>102</v>
      </c>
      <c r="K144" s="31" t="s">
        <v>586</v>
      </c>
      <c r="L144" s="32">
        <f>IFERROR(__xludf.DUMMYFUNCTION("VLOOKUP($A144,IMPORTRANGE(""1PQtfbQLqBUP-rjYRznmgNFBLOjvAnhGzpIx7BJWq8rk"",""'Worksheet'!$B$2:$H""),7,FALSE)"),0.78)</f>
        <v>0.78</v>
      </c>
      <c r="M144" s="31" t="s">
        <v>45</v>
      </c>
      <c r="N144" s="49">
        <v>1.9020036E8</v>
      </c>
      <c r="O144" s="49">
        <v>1.3900707415E8</v>
      </c>
      <c r="P144" s="49">
        <f t="shared" si="26"/>
        <v>51193285.85</v>
      </c>
      <c r="Q144" s="34">
        <f t="shared" si="7"/>
        <v>0.2691545161</v>
      </c>
      <c r="R144" s="31"/>
      <c r="S144" s="31" t="s">
        <v>45</v>
      </c>
      <c r="T144" s="88" t="s">
        <v>1068</v>
      </c>
      <c r="U144" s="88">
        <v>5.441274522E7</v>
      </c>
      <c r="V144" s="88">
        <v>1.0238657172E8</v>
      </c>
      <c r="W144" s="31"/>
      <c r="X144" s="52" t="s">
        <v>73</v>
      </c>
      <c r="Y144" s="73" t="s">
        <v>1069</v>
      </c>
      <c r="Z144" s="54" t="s">
        <v>75</v>
      </c>
      <c r="AA144" s="100">
        <v>46356.0</v>
      </c>
      <c r="AB144" s="56"/>
      <c r="AC144" s="38"/>
      <c r="AD144" s="39">
        <v>190200.36</v>
      </c>
      <c r="AE144" s="39">
        <v>139007.0742</v>
      </c>
      <c r="AF144" s="40">
        <v>51193.28585</v>
      </c>
      <c r="AG144" s="57" t="s">
        <v>1070</v>
      </c>
      <c r="AH144" s="42" t="s">
        <v>66</v>
      </c>
      <c r="AI144" s="42" t="str">
        <f>IFERROR(__xludf.DUMMYFUNCTION("vLOOKUP(A144,IMPORTRANGE(""https://docs.google.com/spreadsheets/d/1Rawwwdh8wntXGy8isdYNHxsNQS4n_rC8JSdPfj6vEq4"",""'500 объектов перенос на 2026'!A3:AB502""),13,0)"),"#REF!")</f>
        <v>#REF!</v>
      </c>
      <c r="AJ144" s="42" t="str">
        <f>IFERROR(__xludf.DUMMYFUNCTION("vLOOKUP(A144,IMPORTRANGE(""https://docs.google.com/spreadsheets/d/1Rawwwdh8wntXGy8isdYNHxsNQS4n_rC8JSdPfj6vEq4"",""'500 объектов перенос на 2026'!A3:AB502""),14,0)"),"#REF!")</f>
        <v>#REF!</v>
      </c>
      <c r="AK144" s="146" t="s">
        <v>1071</v>
      </c>
      <c r="AL144" s="86" t="s">
        <v>1072</v>
      </c>
      <c r="AM144" s="87"/>
      <c r="AN144" s="43"/>
      <c r="AO144" s="43"/>
      <c r="AP144" s="43"/>
      <c r="AQ144" s="43"/>
      <c r="AR144" s="43"/>
      <c r="AS144" s="43"/>
      <c r="AT144" s="43"/>
      <c r="AU144" s="43"/>
      <c r="AV144" s="43"/>
      <c r="AW144" s="43"/>
      <c r="AX144" s="43"/>
      <c r="AY144" s="43"/>
      <c r="AZ144" s="43"/>
    </row>
    <row r="145">
      <c r="A145" s="62" t="s">
        <v>1073</v>
      </c>
      <c r="B145" s="63" t="s">
        <v>56</v>
      </c>
      <c r="C145" s="64" t="s">
        <v>1074</v>
      </c>
      <c r="D145" s="47" t="s">
        <v>957</v>
      </c>
      <c r="E145" s="64" t="s">
        <v>39</v>
      </c>
      <c r="F145" s="31" t="s">
        <v>60</v>
      </c>
      <c r="G145" s="31" t="s">
        <v>156</v>
      </c>
      <c r="H145" s="31" t="s">
        <v>343</v>
      </c>
      <c r="I145" s="31" t="s">
        <v>40</v>
      </c>
      <c r="J145" s="31" t="s">
        <v>1075</v>
      </c>
      <c r="K145" s="31"/>
      <c r="L145" s="32">
        <f>IFERROR(__xludf.DUMMYFUNCTION("VLOOKUP($A145,IMPORTRANGE(""1PQtfbQLqBUP-rjYRznmgNFBLOjvAnhGzpIx7BJWq8rk"",""'Worksheet'!$B$2:$H""),7,FALSE)"),0.68)</f>
        <v>0.68</v>
      </c>
      <c r="M145" s="31" t="s">
        <v>45</v>
      </c>
      <c r="N145" s="49">
        <v>7.15256047E7</v>
      </c>
      <c r="O145" s="49">
        <v>2.145768141E7</v>
      </c>
      <c r="P145" s="49">
        <f t="shared" si="26"/>
        <v>50067923.29</v>
      </c>
      <c r="Q145" s="34">
        <f t="shared" si="7"/>
        <v>0.7</v>
      </c>
      <c r="R145" s="31"/>
      <c r="S145" s="31" t="s">
        <v>40</v>
      </c>
      <c r="T145" s="88" t="s">
        <v>1076</v>
      </c>
      <c r="U145" s="88">
        <v>0.0</v>
      </c>
      <c r="V145" s="88" t="s">
        <v>1076</v>
      </c>
      <c r="W145" s="31"/>
      <c r="X145" s="52" t="s">
        <v>46</v>
      </c>
      <c r="Y145" s="54" t="s">
        <v>1077</v>
      </c>
      <c r="Z145" s="68"/>
      <c r="AA145" s="68">
        <v>46356.0</v>
      </c>
      <c r="AB145" s="56"/>
      <c r="AC145" s="38"/>
      <c r="AD145" s="39">
        <v>71525.6</v>
      </c>
      <c r="AE145" s="39">
        <v>21457.68141</v>
      </c>
      <c r="AF145" s="40">
        <v>50067.91859</v>
      </c>
      <c r="AG145" s="57" t="s">
        <v>1078</v>
      </c>
      <c r="AH145" s="42" t="s">
        <v>49</v>
      </c>
      <c r="AI145" s="42" t="str">
        <f>IFERROR(__xludf.DUMMYFUNCTION("vLOOKUP(A145,IMPORTRANGE(""https://docs.google.com/spreadsheets/d/1Rawwwdh8wntXGy8isdYNHxsNQS4n_rC8JSdPfj6vEq4"",""'500 объектов перенос на 2026'!A3:AB502""),13,0)"),"#REF!")</f>
        <v>#REF!</v>
      </c>
      <c r="AJ145" s="42" t="str">
        <f>IFERROR(__xludf.DUMMYFUNCTION("vLOOKUP(A145,IMPORTRANGE(""https://docs.google.com/spreadsheets/d/1Rawwwdh8wntXGy8isdYNHxsNQS4n_rC8JSdPfj6vEq4"",""'500 объектов перенос на 2026'!A3:AB502""),14,0)"),"#REF!")</f>
        <v>#REF!</v>
      </c>
      <c r="AK145" s="76" t="s">
        <v>1079</v>
      </c>
      <c r="AL145" s="76"/>
      <c r="AM145" s="70"/>
      <c r="AN145" s="43"/>
      <c r="AO145" s="43"/>
      <c r="AP145" s="43"/>
      <c r="AQ145" s="43"/>
      <c r="AR145" s="43"/>
      <c r="AS145" s="43"/>
      <c r="AT145" s="43"/>
      <c r="AU145" s="43"/>
      <c r="AV145" s="43"/>
      <c r="AW145" s="43"/>
      <c r="AX145" s="43"/>
      <c r="AY145" s="43"/>
      <c r="AZ145" s="43"/>
    </row>
    <row r="146">
      <c r="A146" s="62" t="s">
        <v>1080</v>
      </c>
      <c r="B146" s="63" t="s">
        <v>82</v>
      </c>
      <c r="C146" s="64" t="s">
        <v>1081</v>
      </c>
      <c r="D146" s="47" t="s">
        <v>227</v>
      </c>
      <c r="E146" s="64" t="s">
        <v>59</v>
      </c>
      <c r="F146" s="31" t="s">
        <v>40</v>
      </c>
      <c r="G146" s="31" t="s">
        <v>41</v>
      </c>
      <c r="H146" s="31" t="s">
        <v>343</v>
      </c>
      <c r="I146" s="31" t="s">
        <v>40</v>
      </c>
      <c r="J146" s="31" t="s">
        <v>102</v>
      </c>
      <c r="K146" s="31"/>
      <c r="L146" s="32">
        <f>IFERROR(__xludf.DUMMYFUNCTION("VLOOKUP($A146,IMPORTRANGE(""1PQtfbQLqBUP-rjYRznmgNFBLOjvAnhGzpIx7BJWq8rk"",""'Worksheet'!$B$2:$H""),7,FALSE)"),0.82)</f>
        <v>0.82</v>
      </c>
      <c r="M146" s="31" t="s">
        <v>40</v>
      </c>
      <c r="N146" s="49">
        <v>9.951865E7</v>
      </c>
      <c r="O146" s="49">
        <v>4.9759325E7</v>
      </c>
      <c r="P146" s="49">
        <f t="shared" si="26"/>
        <v>49759325</v>
      </c>
      <c r="Q146" s="34">
        <f t="shared" si="7"/>
        <v>0.5</v>
      </c>
      <c r="R146" s="31"/>
      <c r="S146" s="31" t="s">
        <v>40</v>
      </c>
      <c r="T146" s="84" t="s">
        <v>1082</v>
      </c>
      <c r="U146" s="84">
        <v>0.0</v>
      </c>
      <c r="V146" s="84" t="s">
        <v>1082</v>
      </c>
      <c r="W146" s="31"/>
      <c r="X146" s="52" t="s">
        <v>1083</v>
      </c>
      <c r="Y146" s="54" t="s">
        <v>1084</v>
      </c>
      <c r="Z146" s="54" t="s">
        <v>92</v>
      </c>
      <c r="AA146" s="74">
        <v>46249.0</v>
      </c>
      <c r="AB146" s="56"/>
      <c r="AC146" s="38" t="s">
        <v>103</v>
      </c>
      <c r="AD146" s="39">
        <v>99518.65</v>
      </c>
      <c r="AE146" s="39">
        <v>49759.325</v>
      </c>
      <c r="AF146" s="40">
        <v>49759.325</v>
      </c>
      <c r="AG146" s="57" t="s">
        <v>1085</v>
      </c>
      <c r="AH146" s="42" t="s">
        <v>948</v>
      </c>
      <c r="AI146" s="42" t="str">
        <f>IFERROR(__xludf.DUMMYFUNCTION("vLOOKUP(A146,IMPORTRANGE(""https://docs.google.com/spreadsheets/d/1Rawwwdh8wntXGy8isdYNHxsNQS4n_rC8JSdPfj6vEq4"",""'500 объектов перенос на 2026'!A3:AB502""),13,0)"),"#REF!")</f>
        <v>#REF!</v>
      </c>
      <c r="AJ146" s="42" t="str">
        <f>IFERROR(__xludf.DUMMYFUNCTION("vLOOKUP(A146,IMPORTRANGE(""https://docs.google.com/spreadsheets/d/1Rawwwdh8wntXGy8isdYNHxsNQS4n_rC8JSdPfj6vEq4"",""'500 объектов перенос на 2026'!A3:AB502""),14,0)"),"#REF!")</f>
        <v>#REF!</v>
      </c>
      <c r="AK146" s="58" t="s">
        <v>1086</v>
      </c>
      <c r="AL146" s="76" t="s">
        <v>1087</v>
      </c>
      <c r="AM146" s="70"/>
      <c r="AN146" s="43"/>
      <c r="AO146" s="43"/>
      <c r="AP146" s="43"/>
      <c r="AQ146" s="43"/>
      <c r="AR146" s="43"/>
      <c r="AS146" s="43"/>
      <c r="AT146" s="43"/>
      <c r="AU146" s="43"/>
      <c r="AV146" s="43"/>
      <c r="AW146" s="43"/>
      <c r="AX146" s="43"/>
      <c r="AY146" s="43"/>
      <c r="AZ146" s="43"/>
    </row>
    <row r="147">
      <c r="A147" s="62" t="s">
        <v>1088</v>
      </c>
      <c r="B147" s="63" t="s">
        <v>967</v>
      </c>
      <c r="C147" s="64" t="s">
        <v>1089</v>
      </c>
      <c r="D147" s="47" t="s">
        <v>969</v>
      </c>
      <c r="E147" s="64" t="s">
        <v>59</v>
      </c>
      <c r="F147" s="31" t="s">
        <v>40</v>
      </c>
      <c r="G147" s="31" t="s">
        <v>156</v>
      </c>
      <c r="H147" s="31" t="s">
        <v>157</v>
      </c>
      <c r="I147" s="31" t="s">
        <v>40</v>
      </c>
      <c r="J147" s="31" t="s">
        <v>43</v>
      </c>
      <c r="K147" s="31"/>
      <c r="L147" s="32">
        <f>IFERROR(__xludf.DUMMYFUNCTION("VLOOKUP($A147,IMPORTRANGE(""1PQtfbQLqBUP-rjYRznmgNFBLOjvAnhGzpIx7BJWq8rk"",""'Worksheet'!$B$2:$H""),7,FALSE)"),0.9)</f>
        <v>0.9</v>
      </c>
      <c r="M147" s="31" t="s">
        <v>45</v>
      </c>
      <c r="N147" s="49">
        <v>9.85669312E7</v>
      </c>
      <c r="O147" s="49">
        <v>4.92834656E7</v>
      </c>
      <c r="P147" s="49">
        <f t="shared" si="26"/>
        <v>49283465.6</v>
      </c>
      <c r="Q147" s="34">
        <f t="shared" si="7"/>
        <v>0.5</v>
      </c>
      <c r="R147" s="31"/>
      <c r="S147" s="31" t="s">
        <v>40</v>
      </c>
      <c r="T147" s="84"/>
      <c r="U147" s="84"/>
      <c r="V147" s="84"/>
      <c r="W147" s="31"/>
      <c r="X147" s="52" t="s">
        <v>49</v>
      </c>
      <c r="Y147" s="89" t="s">
        <v>1090</v>
      </c>
      <c r="Z147" s="54" t="s">
        <v>1091</v>
      </c>
      <c r="AA147" s="74">
        <v>46235.0</v>
      </c>
      <c r="AB147" s="56"/>
      <c r="AC147" s="38"/>
      <c r="AD147" s="39">
        <v>95286.9312</v>
      </c>
      <c r="AE147" s="39">
        <v>47643.4656</v>
      </c>
      <c r="AF147" s="40">
        <v>47643.4656</v>
      </c>
      <c r="AG147" s="57" t="s">
        <v>1092</v>
      </c>
      <c r="AH147" s="85" t="s">
        <v>1093</v>
      </c>
      <c r="AI147" s="42" t="str">
        <f>IFERROR(__xludf.DUMMYFUNCTION("vLOOKUP(A147,IMPORTRANGE(""https://docs.google.com/spreadsheets/d/1Rawwwdh8wntXGy8isdYNHxsNQS4n_rC8JSdPfj6vEq4"",""'500 объектов перенос на 2026'!A3:AB502""),13,0)"),"#REF!")</f>
        <v>#REF!</v>
      </c>
      <c r="AJ147" s="42" t="str">
        <f>IFERROR(__xludf.DUMMYFUNCTION("vLOOKUP(A147,IMPORTRANGE(""https://docs.google.com/spreadsheets/d/1Rawwwdh8wntXGy8isdYNHxsNQS4n_rC8JSdPfj6vEq4"",""'500 объектов перенос на 2026'!A3:AB502""),14,0)"),"#REF!")</f>
        <v>#REF!</v>
      </c>
      <c r="AK147" s="138" t="s">
        <v>1090</v>
      </c>
      <c r="AL147" s="138"/>
      <c r="AM147" s="110"/>
      <c r="AN147" s="43"/>
      <c r="AO147" s="43"/>
      <c r="AP147" s="43"/>
      <c r="AQ147" s="43"/>
      <c r="AR147" s="43"/>
      <c r="AS147" s="43"/>
      <c r="AT147" s="43"/>
      <c r="AU147" s="43"/>
      <c r="AV147" s="43"/>
      <c r="AW147" s="43"/>
      <c r="AX147" s="43"/>
      <c r="AY147" s="43"/>
      <c r="AZ147" s="43"/>
    </row>
    <row r="148">
      <c r="A148" s="62" t="s">
        <v>1094</v>
      </c>
      <c r="B148" s="63" t="s">
        <v>110</v>
      </c>
      <c r="C148" s="144" t="s">
        <v>1095</v>
      </c>
      <c r="D148" s="47" t="s">
        <v>112</v>
      </c>
      <c r="E148" s="64" t="s">
        <v>85</v>
      </c>
      <c r="F148" s="31" t="s">
        <v>60</v>
      </c>
      <c r="G148" s="31"/>
      <c r="H148" s="31"/>
      <c r="I148" s="31" t="s">
        <v>60</v>
      </c>
      <c r="J148" s="31"/>
      <c r="K148" s="31"/>
      <c r="L148" s="32">
        <f>IFERROR(__xludf.DUMMYFUNCTION("VLOOKUP($A148,IMPORTRANGE(""1PQtfbQLqBUP-rjYRznmgNFBLOjvAnhGzpIx7BJWq8rk"",""'Worksheet'!$B$2:$H""),7,FALSE)"),1.0)</f>
        <v>1</v>
      </c>
      <c r="M148" s="31" t="s">
        <v>45</v>
      </c>
      <c r="N148" s="49">
        <v>5.811714472E7</v>
      </c>
      <c r="O148" s="49">
        <v>1.123588609E7</v>
      </c>
      <c r="P148" s="49">
        <f t="shared" si="26"/>
        <v>46881258.63</v>
      </c>
      <c r="Q148" s="34">
        <f t="shared" si="7"/>
        <v>0.8066683051</v>
      </c>
      <c r="R148" s="31"/>
      <c r="S148" s="31" t="s">
        <v>40</v>
      </c>
      <c r="T148" s="84">
        <v>1.878575027E7</v>
      </c>
      <c r="U148" s="84">
        <v>0.0</v>
      </c>
      <c r="V148" s="84">
        <v>1.878575027E7</v>
      </c>
      <c r="W148" s="31" t="s">
        <v>183</v>
      </c>
      <c r="X148" s="52" t="s">
        <v>1096</v>
      </c>
      <c r="Y148" s="54" t="s">
        <v>1097</v>
      </c>
      <c r="Z148" s="68"/>
      <c r="AA148" s="68">
        <v>46193.0</v>
      </c>
      <c r="AB148" s="56"/>
      <c r="AC148" s="38"/>
      <c r="AD148" s="39">
        <v>19758.72</v>
      </c>
      <c r="AE148" s="39">
        <v>9684.76606</v>
      </c>
      <c r="AF148" s="40">
        <v>10073.95394</v>
      </c>
      <c r="AG148" s="57"/>
      <c r="AH148" s="42" t="s">
        <v>1098</v>
      </c>
      <c r="AI148" s="42" t="str">
        <f>IFERROR(__xludf.DUMMYFUNCTION("vLOOKUP(A148,IMPORTRANGE(""https://docs.google.com/spreadsheets/d/1Rawwwdh8wntXGy8isdYNHxsNQS4n_rC8JSdPfj6vEq4"",""'500 объектов перенос на 2026'!A3:AB502""),13,0)"),"#REF!")</f>
        <v>#REF!</v>
      </c>
      <c r="AJ148" s="42" t="str">
        <f>IFERROR(__xludf.DUMMYFUNCTION("vLOOKUP(A148,IMPORTRANGE(""https://docs.google.com/spreadsheets/d/1Rawwwdh8wntXGy8isdYNHxsNQS4n_rC8JSdPfj6vEq4"",""'500 объектов перенос на 2026'!A3:AB502""),14,0)"),"#REF!")</f>
        <v>#REF!</v>
      </c>
      <c r="AK148" s="77" t="s">
        <v>1099</v>
      </c>
      <c r="AL148" s="76" t="s">
        <v>1100</v>
      </c>
      <c r="AM148" s="70"/>
      <c r="AN148" s="43"/>
      <c r="AO148" s="43"/>
      <c r="AP148" s="43"/>
      <c r="AQ148" s="43"/>
      <c r="AR148" s="43"/>
      <c r="AS148" s="43"/>
      <c r="AT148" s="43"/>
      <c r="AU148" s="43"/>
      <c r="AV148" s="43"/>
      <c r="AW148" s="43"/>
      <c r="AX148" s="43"/>
      <c r="AY148" s="43"/>
      <c r="AZ148" s="43"/>
    </row>
    <row r="149">
      <c r="A149" s="62" t="s">
        <v>1101</v>
      </c>
      <c r="B149" s="63" t="s">
        <v>894</v>
      </c>
      <c r="C149" s="64" t="s">
        <v>1102</v>
      </c>
      <c r="D149" s="47" t="s">
        <v>885</v>
      </c>
      <c r="E149" s="64" t="s">
        <v>85</v>
      </c>
      <c r="F149" s="31" t="s">
        <v>60</v>
      </c>
      <c r="G149" s="31"/>
      <c r="H149" s="31"/>
      <c r="I149" s="31" t="s">
        <v>40</v>
      </c>
      <c r="J149" s="31" t="s">
        <v>61</v>
      </c>
      <c r="K149" s="31" t="s">
        <v>72</v>
      </c>
      <c r="L149" s="32">
        <f>IFERROR(__xludf.DUMMYFUNCTION("VLOOKUP($A149,IMPORTRANGE(""1PQtfbQLqBUP-rjYRznmgNFBLOjvAnhGzpIx7BJWq8rk"",""'Worksheet'!$B$2:$H""),7,FALSE)"),0.89)</f>
        <v>0.89</v>
      </c>
      <c r="M149" s="31" t="s">
        <v>45</v>
      </c>
      <c r="N149" s="49">
        <v>3.2566240714E8</v>
      </c>
      <c r="O149" s="127">
        <v>2.7839570898E8</v>
      </c>
      <c r="P149" s="49">
        <f t="shared" si="26"/>
        <v>47266698.16</v>
      </c>
      <c r="Q149" s="34">
        <f t="shared" si="7"/>
        <v>0.1451401731</v>
      </c>
      <c r="R149" s="31"/>
      <c r="S149" s="31" t="s">
        <v>45</v>
      </c>
      <c r="T149" s="84" t="s">
        <v>1103</v>
      </c>
      <c r="U149" s="84" t="s">
        <v>1104</v>
      </c>
      <c r="V149" s="84" t="s">
        <v>1105</v>
      </c>
      <c r="W149" s="31"/>
      <c r="X149" s="52" t="s">
        <v>899</v>
      </c>
      <c r="Y149" s="54" t="s">
        <v>900</v>
      </c>
      <c r="Z149" s="74"/>
      <c r="AA149" s="74">
        <v>46233.0</v>
      </c>
      <c r="AB149" s="56"/>
      <c r="AC149" s="38" t="s">
        <v>901</v>
      </c>
      <c r="AD149" s="39">
        <v>325662.41</v>
      </c>
      <c r="AE149" s="39">
        <v>279156.2548</v>
      </c>
      <c r="AF149" s="40">
        <v>46506.15522</v>
      </c>
      <c r="AG149" s="57" t="s">
        <v>1106</v>
      </c>
      <c r="AH149" s="42" t="s">
        <v>1107</v>
      </c>
      <c r="AI149" s="42" t="str">
        <f>IFERROR(__xludf.DUMMYFUNCTION("vLOOKUP(A149,IMPORTRANGE(""https://docs.google.com/spreadsheets/d/1Rawwwdh8wntXGy8isdYNHxsNQS4n_rC8JSdPfj6vEq4"",""'500 объектов перенос на 2026'!A3:AB502""),13,0)"),"#REF!")</f>
        <v>#REF!</v>
      </c>
      <c r="AJ149" s="42" t="str">
        <f>IFERROR(__xludf.DUMMYFUNCTION("vLOOKUP(A149,IMPORTRANGE(""https://docs.google.com/spreadsheets/d/1Rawwwdh8wntXGy8isdYNHxsNQS4n_rC8JSdPfj6vEq4"",""'500 объектов перенос на 2026'!A3:AB502""),14,0)"),"#REF!")</f>
        <v>#REF!</v>
      </c>
      <c r="AK149" s="70" t="s">
        <v>904</v>
      </c>
      <c r="AL149" s="76"/>
      <c r="AM149" s="70"/>
      <c r="AN149" s="43"/>
      <c r="AO149" s="43"/>
      <c r="AP149" s="43"/>
      <c r="AQ149" s="43"/>
      <c r="AR149" s="43"/>
      <c r="AS149" s="43"/>
      <c r="AT149" s="43"/>
      <c r="AU149" s="43"/>
      <c r="AV149" s="43"/>
      <c r="AW149" s="43"/>
      <c r="AX149" s="43"/>
      <c r="AY149" s="43"/>
      <c r="AZ149" s="43"/>
    </row>
    <row r="150">
      <c r="A150" s="62" t="s">
        <v>1108</v>
      </c>
      <c r="B150" s="63" t="s">
        <v>126</v>
      </c>
      <c r="C150" s="90" t="s">
        <v>1109</v>
      </c>
      <c r="D150" s="47" t="s">
        <v>614</v>
      </c>
      <c r="E150" s="64" t="s">
        <v>39</v>
      </c>
      <c r="F150" s="31" t="s">
        <v>60</v>
      </c>
      <c r="G150" s="31"/>
      <c r="H150" s="31"/>
      <c r="I150" s="31" t="s">
        <v>60</v>
      </c>
      <c r="J150" s="31"/>
      <c r="K150" s="31"/>
      <c r="L150" s="32">
        <f>IFERROR(__xludf.DUMMYFUNCTION("VLOOKUP($A150,IMPORTRANGE(""1PQtfbQLqBUP-rjYRznmgNFBLOjvAnhGzpIx7BJWq8rk"",""'Worksheet'!$B$2:$H""),7,FALSE)"),1.0)</f>
        <v>1</v>
      </c>
      <c r="M150" s="31" t="s">
        <v>60</v>
      </c>
      <c r="N150" s="49">
        <v>8.595222587E7</v>
      </c>
      <c r="O150" s="49">
        <v>8.587039882E7</v>
      </c>
      <c r="P150" s="49">
        <f t="shared" si="26"/>
        <v>81827.05</v>
      </c>
      <c r="Q150" s="34">
        <f t="shared" si="7"/>
        <v>0.0009520061775</v>
      </c>
      <c r="R150" s="31"/>
      <c r="S150" s="31" t="s">
        <v>60</v>
      </c>
      <c r="T150" s="97" t="s">
        <v>1110</v>
      </c>
      <c r="U150" s="88" t="s">
        <v>1110</v>
      </c>
      <c r="V150" s="88">
        <v>0.0</v>
      </c>
      <c r="W150" s="31"/>
      <c r="X150" s="52" t="s">
        <v>1111</v>
      </c>
      <c r="Y150" s="125" t="s">
        <v>1112</v>
      </c>
      <c r="Z150" s="74"/>
      <c r="AA150" s="74"/>
      <c r="AB150" s="56"/>
      <c r="AC150" s="38" t="s">
        <v>620</v>
      </c>
      <c r="AD150" s="39">
        <v>66240.0</v>
      </c>
      <c r="AE150" s="39">
        <v>39052.04666</v>
      </c>
      <c r="AF150" s="40">
        <v>27187.95334</v>
      </c>
      <c r="AG150" s="57" t="s">
        <v>1113</v>
      </c>
      <c r="AH150" s="42" t="s">
        <v>1114</v>
      </c>
      <c r="AI150" s="42" t="str">
        <f>IFERROR(__xludf.DUMMYFUNCTION("vLOOKUP(A150,IMPORTRANGE(""https://docs.google.com/spreadsheets/d/1Rawwwdh8wntXGy8isdYNHxsNQS4n_rC8JSdPfj6vEq4"",""'500 объектов перенос на 2026'!A3:AB502""),13,0)"),"#REF!")</f>
        <v>#REF!</v>
      </c>
      <c r="AJ150" s="42" t="str">
        <f>IFERROR(__xludf.DUMMYFUNCTION("vLOOKUP(A150,IMPORTRANGE(""https://docs.google.com/spreadsheets/d/1Rawwwdh8wntXGy8isdYNHxsNQS4n_rC8JSdPfj6vEq4"",""'500 объектов перенос на 2026'!A3:AB502""),14,0)"),"#REF!")</f>
        <v>#REF!</v>
      </c>
      <c r="AK150" s="76" t="s">
        <v>1115</v>
      </c>
      <c r="AL150" s="76"/>
      <c r="AM150" s="70"/>
      <c r="AN150" s="43"/>
      <c r="AO150" s="43"/>
      <c r="AP150" s="43"/>
      <c r="AQ150" s="43"/>
      <c r="AR150" s="43"/>
      <c r="AS150" s="43"/>
      <c r="AT150" s="43"/>
      <c r="AU150" s="43"/>
      <c r="AV150" s="43"/>
      <c r="AW150" s="43"/>
      <c r="AX150" s="43"/>
      <c r="AY150" s="43"/>
      <c r="AZ150" s="43"/>
    </row>
    <row r="151" ht="253.5" customHeight="1">
      <c r="A151" s="62" t="s">
        <v>1116</v>
      </c>
      <c r="B151" s="63" t="s">
        <v>826</v>
      </c>
      <c r="C151" s="104" t="s">
        <v>1117</v>
      </c>
      <c r="D151" s="47" t="s">
        <v>727</v>
      </c>
      <c r="E151" s="64" t="s">
        <v>85</v>
      </c>
      <c r="F151" s="31" t="s">
        <v>60</v>
      </c>
      <c r="G151" s="31"/>
      <c r="H151" s="31"/>
      <c r="I151" s="31" t="s">
        <v>60</v>
      </c>
      <c r="J151" s="31"/>
      <c r="K151" s="31"/>
      <c r="L151" s="32">
        <f>IFERROR(__xludf.DUMMYFUNCTION("VLOOKUP($A151,IMPORTRANGE(""1PQtfbQLqBUP-rjYRznmgNFBLOjvAnhGzpIx7BJWq8rk"",""'Worksheet'!$B$2:$H""),7,FALSE)"),0.9)</f>
        <v>0.9</v>
      </c>
      <c r="M151" s="31" t="s">
        <v>40</v>
      </c>
      <c r="N151" s="49">
        <v>6.325717E7</v>
      </c>
      <c r="O151" s="49">
        <v>1.83356238E7</v>
      </c>
      <c r="P151" s="49">
        <f t="shared" si="26"/>
        <v>44921546.2</v>
      </c>
      <c r="Q151" s="34">
        <f t="shared" si="7"/>
        <v>0.7101415729</v>
      </c>
      <c r="R151" s="31"/>
      <c r="S151" s="31" t="s">
        <v>45</v>
      </c>
      <c r="T151" s="84">
        <v>6.00943115E7</v>
      </c>
      <c r="U151" s="84">
        <v>1.741884261E7</v>
      </c>
      <c r="V151" s="84">
        <f>T151-U151</f>
        <v>42675468.89</v>
      </c>
      <c r="W151" s="31" t="s">
        <v>183</v>
      </c>
      <c r="X151" s="52">
        <v>1.741884261E7</v>
      </c>
      <c r="Y151" s="54" t="s">
        <v>1118</v>
      </c>
      <c r="Z151" s="54" t="s">
        <v>830</v>
      </c>
      <c r="AA151" s="74">
        <v>46235.0</v>
      </c>
      <c r="AB151" s="56"/>
      <c r="AC151" s="38"/>
      <c r="AD151" s="39">
        <v>63257.17</v>
      </c>
      <c r="AE151" s="39">
        <v>18335.6238</v>
      </c>
      <c r="AF151" s="40">
        <v>44921.5462</v>
      </c>
      <c r="AG151" s="57" t="s">
        <v>1119</v>
      </c>
      <c r="AH151" s="42" t="s">
        <v>1120</v>
      </c>
      <c r="AI151" s="42" t="str">
        <f>IFERROR(__xludf.DUMMYFUNCTION("vLOOKUP(A151,IMPORTRANGE(""https://docs.google.com/spreadsheets/d/1Rawwwdh8wntXGy8isdYNHxsNQS4n_rC8JSdPfj6vEq4"",""'500 объектов перенос на 2026'!A3:AB502""),13,0)"),"#REF!")</f>
        <v>#REF!</v>
      </c>
      <c r="AJ151" s="42" t="str">
        <f>IFERROR(__xludf.DUMMYFUNCTION("vLOOKUP(A151,IMPORTRANGE(""https://docs.google.com/spreadsheets/d/1Rawwwdh8wntXGy8isdYNHxsNQS4n_rC8JSdPfj6vEq4"",""'500 объектов перенос на 2026'!A3:AB502""),14,0)"),"#REF!")</f>
        <v>#REF!</v>
      </c>
      <c r="AK151" s="76" t="s">
        <v>1121</v>
      </c>
      <c r="AL151" s="76" t="s">
        <v>1122</v>
      </c>
      <c r="AM151" s="70"/>
      <c r="AN151" s="43"/>
      <c r="AO151" s="43"/>
      <c r="AP151" s="43"/>
      <c r="AQ151" s="43"/>
      <c r="AR151" s="43"/>
      <c r="AS151" s="43"/>
      <c r="AT151" s="43"/>
      <c r="AU151" s="43"/>
      <c r="AV151" s="43"/>
      <c r="AW151" s="43"/>
      <c r="AX151" s="43"/>
      <c r="AY151" s="43"/>
      <c r="AZ151" s="43"/>
    </row>
    <row r="152">
      <c r="A152" s="62" t="s">
        <v>1123</v>
      </c>
      <c r="B152" s="63" t="s">
        <v>605</v>
      </c>
      <c r="C152" s="90" t="s">
        <v>1124</v>
      </c>
      <c r="D152" s="47" t="s">
        <v>1125</v>
      </c>
      <c r="E152" s="64" t="s">
        <v>39</v>
      </c>
      <c r="F152" s="31" t="s">
        <v>60</v>
      </c>
      <c r="G152" s="31"/>
      <c r="H152" s="31"/>
      <c r="I152" s="31" t="s">
        <v>60</v>
      </c>
      <c r="J152" s="31"/>
      <c r="K152" s="31"/>
      <c r="L152" s="32">
        <f>IFERROR(__xludf.DUMMYFUNCTION("VLOOKUP($A152,IMPORTRANGE(""1PQtfbQLqBUP-rjYRznmgNFBLOjvAnhGzpIx7BJWq8rk"",""'Worksheet'!$B$2:$H""),7,FALSE)"),1.0)</f>
        <v>1</v>
      </c>
      <c r="M152" s="31" t="s">
        <v>60</v>
      </c>
      <c r="N152" s="49">
        <v>9.456559034E7</v>
      </c>
      <c r="O152" s="49">
        <v>9.230179089E7</v>
      </c>
      <c r="P152" s="49">
        <v>0.0</v>
      </c>
      <c r="Q152" s="34">
        <f t="shared" si="7"/>
        <v>0.02393893426</v>
      </c>
      <c r="R152" s="31"/>
      <c r="S152" s="31" t="s">
        <v>60</v>
      </c>
      <c r="T152" s="97" t="s">
        <v>1126</v>
      </c>
      <c r="U152" s="88" t="s">
        <v>1127</v>
      </c>
      <c r="V152" s="88" t="s">
        <v>1128</v>
      </c>
      <c r="W152" s="31"/>
      <c r="X152" s="52" t="s">
        <v>113</v>
      </c>
      <c r="Y152" s="54" t="s">
        <v>114</v>
      </c>
      <c r="Z152" s="54"/>
      <c r="AA152" s="54" t="s">
        <v>114</v>
      </c>
      <c r="AB152" s="56"/>
      <c r="AC152" s="38"/>
      <c r="AD152" s="39">
        <v>94565.59</v>
      </c>
      <c r="AE152" s="39">
        <v>92301.79089</v>
      </c>
      <c r="AF152" s="39">
        <v>2263.79911</v>
      </c>
      <c r="AG152" s="99" t="s">
        <v>1129</v>
      </c>
      <c r="AH152" s="85"/>
      <c r="AI152" s="42" t="str">
        <f>IFERROR(__xludf.DUMMYFUNCTION("vLOOKUP(A152,IMPORTRANGE(""https://docs.google.com/spreadsheets/d/1Rawwwdh8wntXGy8isdYNHxsNQS4n_rC8JSdPfj6vEq4"",""'500 объектов перенос на 2026'!A3:AB502""),13,0)"),"#REF!")</f>
        <v>#REF!</v>
      </c>
      <c r="AJ152" s="42" t="str">
        <f>IFERROR(__xludf.DUMMYFUNCTION("vLOOKUP(A152,IMPORTRANGE(""https://docs.google.com/spreadsheets/d/1Rawwwdh8wntXGy8isdYNHxsNQS4n_rC8JSdPfj6vEq4"",""'500 объектов перенос на 2026'!A3:AB502""),14,0)"),"#REF!")</f>
        <v>#REF!</v>
      </c>
      <c r="AK152" s="76" t="s">
        <v>114</v>
      </c>
      <c r="AL152" s="76"/>
      <c r="AM152" s="70"/>
      <c r="AN152" s="96"/>
      <c r="AO152" s="96"/>
      <c r="AP152" s="96"/>
      <c r="AQ152" s="96"/>
      <c r="AR152" s="96"/>
      <c r="AS152" s="96"/>
      <c r="AT152" s="96"/>
      <c r="AU152" s="96"/>
      <c r="AV152" s="96"/>
      <c r="AW152" s="96"/>
      <c r="AX152" s="96"/>
      <c r="AY152" s="96"/>
      <c r="AZ152" s="96"/>
    </row>
    <row r="153">
      <c r="A153" s="62" t="s">
        <v>1130</v>
      </c>
      <c r="B153" s="63" t="s">
        <v>296</v>
      </c>
      <c r="C153" s="64" t="s">
        <v>1131</v>
      </c>
      <c r="D153" s="47" t="s">
        <v>1132</v>
      </c>
      <c r="E153" s="64" t="s">
        <v>39</v>
      </c>
      <c r="F153" s="31" t="s">
        <v>40</v>
      </c>
      <c r="G153" s="31" t="s">
        <v>156</v>
      </c>
      <c r="H153" s="31" t="s">
        <v>325</v>
      </c>
      <c r="I153" s="31" t="s">
        <v>40</v>
      </c>
      <c r="J153" s="31" t="s">
        <v>102</v>
      </c>
      <c r="K153" s="31" t="s">
        <v>72</v>
      </c>
      <c r="L153" s="32">
        <f>IFERROR(__xludf.DUMMYFUNCTION("VLOOKUP($A153,IMPORTRANGE(""1PQtfbQLqBUP-rjYRznmgNFBLOjvAnhGzpIx7BJWq8rk"",""'Worksheet'!$B$2:$H""),7,FALSE)"),0.25)</f>
        <v>0.25</v>
      </c>
      <c r="M153" s="31" t="s">
        <v>40</v>
      </c>
      <c r="N153" s="49">
        <v>6.406675273E7</v>
      </c>
      <c r="O153" s="49">
        <v>1.922002582E7</v>
      </c>
      <c r="P153" s="49">
        <f t="shared" ref="P153:P157" si="27">N153-O153</f>
        <v>44846726.91</v>
      </c>
      <c r="Q153" s="34">
        <f t="shared" si="7"/>
        <v>0.7</v>
      </c>
      <c r="R153" s="31"/>
      <c r="S153" s="31" t="s">
        <v>40</v>
      </c>
      <c r="T153" s="107">
        <v>6.0863415093499996E7</v>
      </c>
      <c r="U153" s="84">
        <v>0.0</v>
      </c>
      <c r="V153" s="147">
        <f>P153-P153*0.05</f>
        <v>42604390.56</v>
      </c>
      <c r="W153" s="31"/>
      <c r="X153" s="52" t="s">
        <v>302</v>
      </c>
      <c r="Y153" s="73" t="s">
        <v>1133</v>
      </c>
      <c r="Z153" s="54" t="s">
        <v>1134</v>
      </c>
      <c r="AA153" s="100">
        <v>46384.0</v>
      </c>
      <c r="AB153" s="56"/>
      <c r="AC153" s="38" t="s">
        <v>1135</v>
      </c>
      <c r="AD153" s="39">
        <v>64066.75273</v>
      </c>
      <c r="AE153" s="39">
        <v>0.0</v>
      </c>
      <c r="AF153" s="40">
        <v>64066.75273</v>
      </c>
      <c r="AG153" s="57" t="s">
        <v>1136</v>
      </c>
      <c r="AH153" s="57" t="s">
        <v>880</v>
      </c>
      <c r="AI153" s="42" t="str">
        <f>IFERROR(__xludf.DUMMYFUNCTION("vLOOKUP(A153,IMPORTRANGE(""https://docs.google.com/spreadsheets/d/1Rawwwdh8wntXGy8isdYNHxsNQS4n_rC8JSdPfj6vEq4"",""'500 объектов перенос на 2026'!A3:AB502""),13,0)"),"#REF!")</f>
        <v>#REF!</v>
      </c>
      <c r="AJ153" s="42" t="str">
        <f>IFERROR(__xludf.DUMMYFUNCTION("vLOOKUP(A153,IMPORTRANGE(""https://docs.google.com/spreadsheets/d/1Rawwwdh8wntXGy8isdYNHxsNQS4n_rC8JSdPfj6vEq4"",""'500 объектов перенос на 2026'!A3:AB502""),14,0)"),"#REF!")</f>
        <v>#REF!</v>
      </c>
      <c r="AK153" s="76" t="s">
        <v>1137</v>
      </c>
      <c r="AL153" s="70"/>
      <c r="AM153" s="70"/>
      <c r="AN153" s="43"/>
      <c r="AO153" s="43"/>
      <c r="AP153" s="43"/>
      <c r="AQ153" s="43"/>
      <c r="AR153" s="43"/>
      <c r="AS153" s="43"/>
      <c r="AT153" s="43"/>
      <c r="AU153" s="43"/>
      <c r="AV153" s="43"/>
      <c r="AW153" s="43"/>
      <c r="AX153" s="43"/>
      <c r="AY153" s="43"/>
      <c r="AZ153" s="43"/>
    </row>
    <row r="154">
      <c r="A154" s="62" t="s">
        <v>1138</v>
      </c>
      <c r="B154" s="63" t="s">
        <v>250</v>
      </c>
      <c r="C154" s="64" t="s">
        <v>1139</v>
      </c>
      <c r="D154" s="47" t="s">
        <v>333</v>
      </c>
      <c r="E154" s="64" t="s">
        <v>85</v>
      </c>
      <c r="F154" s="31" t="s">
        <v>60</v>
      </c>
      <c r="G154" s="31"/>
      <c r="H154" s="31"/>
      <c r="I154" s="31" t="s">
        <v>60</v>
      </c>
      <c r="J154" s="31"/>
      <c r="K154" s="31"/>
      <c r="L154" s="32">
        <f>IFERROR(__xludf.DUMMYFUNCTION("VLOOKUP($A154,IMPORTRANGE(""1PQtfbQLqBUP-rjYRznmgNFBLOjvAnhGzpIx7BJWq8rk"",""'Worksheet'!$B$2:$H""),7,FALSE)"),0.89)</f>
        <v>0.89</v>
      </c>
      <c r="M154" s="31" t="s">
        <v>45</v>
      </c>
      <c r="N154" s="49">
        <v>9.175936198E7</v>
      </c>
      <c r="O154" s="49">
        <v>7.047001713E7</v>
      </c>
      <c r="P154" s="49">
        <f t="shared" si="27"/>
        <v>21289344.85</v>
      </c>
      <c r="Q154" s="34">
        <f t="shared" si="7"/>
        <v>0.232012782</v>
      </c>
      <c r="R154" s="31"/>
      <c r="S154" s="31" t="s">
        <v>45</v>
      </c>
      <c r="T154" s="72">
        <v>7.116317E7</v>
      </c>
      <c r="U154" s="148" t="s">
        <v>1140</v>
      </c>
      <c r="V154" s="67">
        <v>1.766416185E7</v>
      </c>
      <c r="W154" s="31" t="s">
        <v>183</v>
      </c>
      <c r="X154" s="52" t="s">
        <v>1141</v>
      </c>
      <c r="Y154" s="54" t="s">
        <v>1142</v>
      </c>
      <c r="Z154" s="54" t="s">
        <v>75</v>
      </c>
      <c r="AA154" s="74">
        <v>46203.0</v>
      </c>
      <c r="AB154" s="56"/>
      <c r="AC154" s="38" t="s">
        <v>1143</v>
      </c>
      <c r="AD154" s="39">
        <v>74908.6</v>
      </c>
      <c r="AE154" s="39">
        <v>37454.3</v>
      </c>
      <c r="AF154" s="40">
        <v>37454.3</v>
      </c>
      <c r="AG154" s="57" t="s">
        <v>1144</v>
      </c>
      <c r="AH154" s="85" t="s">
        <v>789</v>
      </c>
      <c r="AI154" s="42" t="str">
        <f>IFERROR(__xludf.DUMMYFUNCTION("vLOOKUP(A154,IMPORTRANGE(""https://docs.google.com/spreadsheets/d/1Rawwwdh8wntXGy8isdYNHxsNQS4n_rC8JSdPfj6vEq4"",""'500 объектов перенос на 2026'!A3:AB502""),13,0)"),"#REF!")</f>
        <v>#REF!</v>
      </c>
      <c r="AJ154" s="42" t="str">
        <f>IFERROR(__xludf.DUMMYFUNCTION("vLOOKUP(A154,IMPORTRANGE(""https://docs.google.com/spreadsheets/d/1Rawwwdh8wntXGy8isdYNHxsNQS4n_rC8JSdPfj6vEq4"",""'500 объектов перенос на 2026'!A3:AB502""),14,0)"),"#REF!")</f>
        <v>#REF!</v>
      </c>
      <c r="AK154" s="70" t="s">
        <v>1145</v>
      </c>
      <c r="AL154" s="70" t="s">
        <v>1146</v>
      </c>
      <c r="AM154" s="70"/>
      <c r="AN154" s="43"/>
      <c r="AO154" s="43"/>
      <c r="AP154" s="43"/>
      <c r="AQ154" s="43"/>
      <c r="AR154" s="43"/>
      <c r="AS154" s="43"/>
      <c r="AT154" s="43"/>
      <c r="AU154" s="43"/>
      <c r="AV154" s="43"/>
      <c r="AW154" s="43"/>
      <c r="AX154" s="43"/>
      <c r="AY154" s="43"/>
      <c r="AZ154" s="43"/>
    </row>
    <row r="155">
      <c r="A155" s="62" t="s">
        <v>1147</v>
      </c>
      <c r="B155" s="63" t="s">
        <v>99</v>
      </c>
      <c r="C155" s="64" t="s">
        <v>1148</v>
      </c>
      <c r="D155" s="47" t="s">
        <v>1149</v>
      </c>
      <c r="E155" s="64" t="s">
        <v>59</v>
      </c>
      <c r="F155" s="31" t="s">
        <v>60</v>
      </c>
      <c r="G155" s="31"/>
      <c r="H155" s="31"/>
      <c r="I155" s="31" t="s">
        <v>60</v>
      </c>
      <c r="J155" s="31"/>
      <c r="K155" s="31"/>
      <c r="L155" s="32">
        <f>IFERROR(__xludf.DUMMYFUNCTION("VLOOKUP($A155,IMPORTRANGE(""1PQtfbQLqBUP-rjYRznmgNFBLOjvAnhGzpIx7BJWq8rk"",""'Worksheet'!$B$2:$H""),7,FALSE)"),1.0)</f>
        <v>1</v>
      </c>
      <c r="M155" s="31" t="s">
        <v>40</v>
      </c>
      <c r="N155" s="49">
        <v>6.24942E7</v>
      </c>
      <c r="O155" s="49">
        <v>1.874826E7</v>
      </c>
      <c r="P155" s="49">
        <f t="shared" si="27"/>
        <v>43745940</v>
      </c>
      <c r="Q155" s="34">
        <f t="shared" si="7"/>
        <v>0.7</v>
      </c>
      <c r="R155" s="31" t="s">
        <v>1059</v>
      </c>
      <c r="S155" s="31" t="s">
        <v>60</v>
      </c>
      <c r="T155" s="50">
        <f>N155*0.95</f>
        <v>59369490</v>
      </c>
      <c r="U155" s="51">
        <v>0.0</v>
      </c>
      <c r="V155" s="51">
        <v>5.936949E7</v>
      </c>
      <c r="W155" s="31"/>
      <c r="X155" s="52" t="s">
        <v>1150</v>
      </c>
      <c r="Y155" s="54" t="s">
        <v>1151</v>
      </c>
      <c r="Z155" s="54" t="s">
        <v>1152</v>
      </c>
      <c r="AA155" s="74">
        <v>46233.0</v>
      </c>
      <c r="AB155" s="56"/>
      <c r="AC155" s="38" t="s">
        <v>1153</v>
      </c>
      <c r="AD155" s="39">
        <v>62494.2</v>
      </c>
      <c r="AE155" s="39">
        <v>18748.26</v>
      </c>
      <c r="AF155" s="40">
        <v>43745.94</v>
      </c>
      <c r="AG155" s="57" t="s">
        <v>1154</v>
      </c>
      <c r="AH155" s="42" t="s">
        <v>1155</v>
      </c>
      <c r="AI155" s="42" t="str">
        <f>IFERROR(__xludf.DUMMYFUNCTION("vLOOKUP(A155,IMPORTRANGE(""https://docs.google.com/spreadsheets/d/1Rawwwdh8wntXGy8isdYNHxsNQS4n_rC8JSdPfj6vEq4"",""'500 объектов перенос на 2026'!A3:AB502""),13,0)"),"#REF!")</f>
        <v>#REF!</v>
      </c>
      <c r="AJ155" s="42" t="str">
        <f>IFERROR(__xludf.DUMMYFUNCTION("vLOOKUP(A155,IMPORTRANGE(""https://docs.google.com/spreadsheets/d/1Rawwwdh8wntXGy8isdYNHxsNQS4n_rC8JSdPfj6vEq4"",""'500 объектов перенос на 2026'!A3:AB502""),14,0)"),"#REF!")</f>
        <v>#REF!</v>
      </c>
      <c r="AK155" s="76" t="s">
        <v>1156</v>
      </c>
      <c r="AL155" s="70"/>
      <c r="AM155" s="70"/>
      <c r="AN155" s="43"/>
      <c r="AO155" s="43"/>
      <c r="AP155" s="43"/>
      <c r="AQ155" s="43"/>
      <c r="AR155" s="43"/>
      <c r="AS155" s="43"/>
      <c r="AT155" s="43"/>
      <c r="AU155" s="43"/>
      <c r="AV155" s="43"/>
      <c r="AW155" s="43"/>
      <c r="AX155" s="43"/>
      <c r="AY155" s="43"/>
      <c r="AZ155" s="43"/>
    </row>
    <row r="156">
      <c r="A156" s="62" t="s">
        <v>1157</v>
      </c>
      <c r="B156" s="63" t="s">
        <v>826</v>
      </c>
      <c r="C156" s="104" t="s">
        <v>1158</v>
      </c>
      <c r="D156" s="47" t="s">
        <v>727</v>
      </c>
      <c r="E156" s="64" t="s">
        <v>85</v>
      </c>
      <c r="F156" s="31" t="s">
        <v>60</v>
      </c>
      <c r="G156" s="31"/>
      <c r="H156" s="31"/>
      <c r="I156" s="31" t="s">
        <v>60</v>
      </c>
      <c r="J156" s="31"/>
      <c r="K156" s="31"/>
      <c r="L156" s="32">
        <f>IFERROR(__xludf.DUMMYFUNCTION("VLOOKUP($A156,IMPORTRANGE(""1PQtfbQLqBUP-rjYRznmgNFBLOjvAnhGzpIx7BJWq8rk"",""'Worksheet'!$B$2:$H""),7,FALSE)"),0.85)</f>
        <v>0.85</v>
      </c>
      <c r="M156" s="31" t="s">
        <v>40</v>
      </c>
      <c r="N156" s="49">
        <v>6.1135E7</v>
      </c>
      <c r="O156" s="49">
        <v>1.742040895E7</v>
      </c>
      <c r="P156" s="49">
        <f t="shared" si="27"/>
        <v>43714591.05</v>
      </c>
      <c r="Q156" s="34">
        <f t="shared" si="7"/>
        <v>0.7150501521</v>
      </c>
      <c r="R156" s="31"/>
      <c r="S156" s="31" t="s">
        <v>45</v>
      </c>
      <c r="T156" s="50">
        <v>5.807825E7</v>
      </c>
      <c r="U156" s="51">
        <v>1.65493885E7</v>
      </c>
      <c r="V156" s="51">
        <f>T156-U156</f>
        <v>41528861.5</v>
      </c>
      <c r="W156" s="31" t="s">
        <v>183</v>
      </c>
      <c r="X156" s="52">
        <v>1.65493885E7</v>
      </c>
      <c r="Y156" s="54" t="s">
        <v>1159</v>
      </c>
      <c r="Z156" s="54" t="s">
        <v>830</v>
      </c>
      <c r="AA156" s="74">
        <v>46235.0</v>
      </c>
      <c r="AB156" s="56"/>
      <c r="AC156" s="38"/>
      <c r="AD156" s="39">
        <v>61135.0</v>
      </c>
      <c r="AE156" s="39">
        <v>17420.40895</v>
      </c>
      <c r="AF156" s="40">
        <v>43714.59105</v>
      </c>
      <c r="AG156" s="57" t="s">
        <v>1160</v>
      </c>
      <c r="AH156" s="42" t="s">
        <v>1161</v>
      </c>
      <c r="AI156" s="42" t="str">
        <f>IFERROR(__xludf.DUMMYFUNCTION("vLOOKUP(A156,IMPORTRANGE(""https://docs.google.com/spreadsheets/d/1Rawwwdh8wntXGy8isdYNHxsNQS4n_rC8JSdPfj6vEq4"",""'500 объектов перенос на 2026'!A3:AB502""),13,0)"),"#REF!")</f>
        <v>#REF!</v>
      </c>
      <c r="AJ156" s="42" t="str">
        <f>IFERROR(__xludf.DUMMYFUNCTION("vLOOKUP(A156,IMPORTRANGE(""https://docs.google.com/spreadsheets/d/1Rawwwdh8wntXGy8isdYNHxsNQS4n_rC8JSdPfj6vEq4"",""'500 объектов перенос на 2026'!A3:AB502""),14,0)"),"#REF!")</f>
        <v>#REF!</v>
      </c>
      <c r="AK156" s="76" t="s">
        <v>1162</v>
      </c>
      <c r="AL156" s="70" t="s">
        <v>1163</v>
      </c>
      <c r="AM156" s="70"/>
      <c r="AN156" s="43"/>
      <c r="AO156" s="43"/>
      <c r="AP156" s="43"/>
      <c r="AQ156" s="43"/>
      <c r="AR156" s="43"/>
      <c r="AS156" s="43"/>
      <c r="AT156" s="43"/>
      <c r="AU156" s="43"/>
      <c r="AV156" s="43"/>
      <c r="AW156" s="43"/>
      <c r="AX156" s="43"/>
      <c r="AY156" s="43"/>
      <c r="AZ156" s="43"/>
    </row>
    <row r="157">
      <c r="A157" s="62" t="s">
        <v>1164</v>
      </c>
      <c r="B157" s="63" t="s">
        <v>56</v>
      </c>
      <c r="C157" s="149" t="s">
        <v>1165</v>
      </c>
      <c r="D157" s="47" t="s">
        <v>311</v>
      </c>
      <c r="E157" s="64" t="s">
        <v>85</v>
      </c>
      <c r="F157" s="31" t="s">
        <v>60</v>
      </c>
      <c r="G157" s="31"/>
      <c r="H157" s="31"/>
      <c r="I157" s="31" t="s">
        <v>40</v>
      </c>
      <c r="J157" s="31" t="s">
        <v>61</v>
      </c>
      <c r="K157" s="31" t="s">
        <v>72</v>
      </c>
      <c r="L157" s="32">
        <f>IFERROR(__xludf.DUMMYFUNCTION("VLOOKUP($A157,IMPORTRANGE(""1PQtfbQLqBUP-rjYRznmgNFBLOjvAnhGzpIx7BJWq8rk"",""'Worksheet'!$B$2:$H""),7,FALSE)"),0.76)</f>
        <v>0.76</v>
      </c>
      <c r="M157" s="31" t="s">
        <v>45</v>
      </c>
      <c r="N157" s="49">
        <v>1.2349323824E8</v>
      </c>
      <c r="O157" s="49">
        <v>9.131876847E7</v>
      </c>
      <c r="P157" s="49">
        <f t="shared" si="27"/>
        <v>32174469.77</v>
      </c>
      <c r="Q157" s="34">
        <f t="shared" si="7"/>
        <v>0.2605362871</v>
      </c>
      <c r="R157" s="31"/>
      <c r="S157" s="31" t="s">
        <v>45</v>
      </c>
      <c r="T157" s="72" t="s">
        <v>1166</v>
      </c>
      <c r="U157" s="67" t="s">
        <v>1167</v>
      </c>
      <c r="V157" s="67" t="s">
        <v>1168</v>
      </c>
      <c r="W157" s="31"/>
      <c r="X157" s="52" t="s">
        <v>1169</v>
      </c>
      <c r="Y157" s="54" t="s">
        <v>1170</v>
      </c>
      <c r="Z157" s="74"/>
      <c r="AA157" s="68">
        <v>46233.0</v>
      </c>
      <c r="AB157" s="56"/>
      <c r="AC157" s="38"/>
      <c r="AD157" s="39">
        <v>99210.26</v>
      </c>
      <c r="AE157" s="39">
        <v>29763.07824</v>
      </c>
      <c r="AF157" s="40">
        <v>69447.18176</v>
      </c>
      <c r="AG157" s="99" t="s">
        <v>1171</v>
      </c>
      <c r="AH157" s="69" t="s">
        <v>66</v>
      </c>
      <c r="AI157" s="42" t="str">
        <f>IFERROR(__xludf.DUMMYFUNCTION("vLOOKUP(A157,IMPORTRANGE(""https://docs.google.com/spreadsheets/d/1Rawwwdh8wntXGy8isdYNHxsNQS4n_rC8JSdPfj6vEq4"",""'500 объектов перенос на 2026'!A3:AB502""),13,0)"),"#REF!")</f>
        <v>#REF!</v>
      </c>
      <c r="AJ157" s="42" t="str">
        <f>IFERROR(__xludf.DUMMYFUNCTION("vLOOKUP(A157,IMPORTRANGE(""https://docs.google.com/spreadsheets/d/1Rawwwdh8wntXGy8isdYNHxsNQS4n_rC8JSdPfj6vEq4"",""'500 объектов перенос на 2026'!A3:AB502""),14,0)"),"#REF!")</f>
        <v>#REF!</v>
      </c>
      <c r="AK157" s="58" t="s">
        <v>1172</v>
      </c>
      <c r="AL157" s="70" t="s">
        <v>1173</v>
      </c>
      <c r="AM157" s="70"/>
      <c r="AN157" s="43"/>
      <c r="AO157" s="43"/>
      <c r="AP157" s="43"/>
      <c r="AQ157" s="43"/>
      <c r="AR157" s="43"/>
      <c r="AS157" s="43"/>
      <c r="AT157" s="43"/>
      <c r="AU157" s="43"/>
      <c r="AV157" s="43"/>
      <c r="AW157" s="43"/>
      <c r="AX157" s="43"/>
      <c r="AY157" s="43"/>
      <c r="AZ157" s="43"/>
    </row>
    <row r="158">
      <c r="A158" s="78" t="s">
        <v>1174</v>
      </c>
      <c r="B158" s="63" t="s">
        <v>133</v>
      </c>
      <c r="C158" s="150" t="s">
        <v>1175</v>
      </c>
      <c r="D158" s="47" t="s">
        <v>953</v>
      </c>
      <c r="E158" s="64" t="s">
        <v>85</v>
      </c>
      <c r="F158" s="31" t="s">
        <v>60</v>
      </c>
      <c r="G158" s="31"/>
      <c r="H158" s="31"/>
      <c r="I158" s="31" t="s">
        <v>60</v>
      </c>
      <c r="J158" s="31"/>
      <c r="K158" s="31"/>
      <c r="L158" s="32" t="str">
        <f>IFERROR(__xludf.DUMMYFUNCTION("VLOOKUP($A158,IMPORTRANGE(""1PQtfbQLqBUP-rjYRznmgNFBLOjvAnhGzpIx7BJWq8rk"",""'Worksheet'!$B$2:$H""),7,FALSE)"),"#N/A")</f>
        <v>#N/A</v>
      </c>
      <c r="M158" s="31" t="s">
        <v>60</v>
      </c>
      <c r="N158" s="49">
        <v>2.526384877E7</v>
      </c>
      <c r="O158" s="49">
        <v>1.42570496E7</v>
      </c>
      <c r="P158" s="49">
        <v>0.0</v>
      </c>
      <c r="Q158" s="34">
        <f t="shared" si="7"/>
        <v>0.435673886</v>
      </c>
      <c r="R158" s="31"/>
      <c r="S158" s="31" t="s">
        <v>60</v>
      </c>
      <c r="T158" s="50">
        <v>2.138686829E7</v>
      </c>
      <c r="U158" s="51">
        <v>2.138686829E7</v>
      </c>
      <c r="V158" s="51">
        <v>0.0</v>
      </c>
      <c r="W158" s="31"/>
      <c r="X158" s="52" t="s">
        <v>113</v>
      </c>
      <c r="Y158" s="54"/>
      <c r="Z158" s="54"/>
      <c r="AA158" s="54" t="s">
        <v>114</v>
      </c>
      <c r="AB158" s="38" t="s">
        <v>115</v>
      </c>
      <c r="AC158" s="38"/>
      <c r="AD158" s="39">
        <v>34675.76</v>
      </c>
      <c r="AE158" s="39">
        <v>22088.84271</v>
      </c>
      <c r="AF158" s="39">
        <v>12586.91729</v>
      </c>
      <c r="AG158" s="57" t="s">
        <v>1176</v>
      </c>
      <c r="AH158" s="42" t="s">
        <v>1177</v>
      </c>
      <c r="AI158" s="42" t="str">
        <f>IFERROR(__xludf.DUMMYFUNCTION("vLOOKUP(A158,IMPORTRANGE(""https://docs.google.com/spreadsheets/d/1Rawwwdh8wntXGy8isdYNHxsNQS4n_rC8JSdPfj6vEq4"",""'500 объектов перенос на 2026'!A3:AB502""),13,0)"),"#REF!")</f>
        <v>#REF!</v>
      </c>
      <c r="AJ158" s="42" t="str">
        <f>IFERROR(__xludf.DUMMYFUNCTION("vLOOKUP(A158,IMPORTRANGE(""https://docs.google.com/spreadsheets/d/1Rawwwdh8wntXGy8isdYNHxsNQS4n_rC8JSdPfj6vEq4"",""'500 объектов перенос на 2026'!A3:AB502""),14,0)"),"#REF!")</f>
        <v>#REF!</v>
      </c>
      <c r="AK158" s="76" t="s">
        <v>114</v>
      </c>
      <c r="AL158" s="70"/>
      <c r="AM158" s="70"/>
      <c r="AN158" s="43"/>
      <c r="AO158" s="43"/>
      <c r="AP158" s="43"/>
      <c r="AQ158" s="43"/>
      <c r="AR158" s="43"/>
      <c r="AS158" s="43"/>
      <c r="AT158" s="43"/>
      <c r="AU158" s="43"/>
      <c r="AV158" s="43"/>
      <c r="AW158" s="43"/>
      <c r="AX158" s="43"/>
      <c r="AY158" s="43"/>
      <c r="AZ158" s="43"/>
    </row>
    <row r="159">
      <c r="A159" s="78" t="s">
        <v>1178</v>
      </c>
      <c r="B159" s="63" t="s">
        <v>133</v>
      </c>
      <c r="C159" s="150" t="s">
        <v>1179</v>
      </c>
      <c r="D159" s="47" t="s">
        <v>1180</v>
      </c>
      <c r="E159" s="64" t="s">
        <v>85</v>
      </c>
      <c r="F159" s="31" t="s">
        <v>60</v>
      </c>
      <c r="G159" s="31"/>
      <c r="H159" s="31"/>
      <c r="I159" s="31" t="s">
        <v>60</v>
      </c>
      <c r="J159" s="31"/>
      <c r="K159" s="31"/>
      <c r="L159" s="32" t="str">
        <f>IFERROR(__xludf.DUMMYFUNCTION("VLOOKUP($A159,IMPORTRANGE(""1PQtfbQLqBUP-rjYRznmgNFBLOjvAnhGzpIx7BJWq8rk"",""'Worksheet'!$B$2:$H""),7,FALSE)"),"#N/A")</f>
        <v>#N/A</v>
      </c>
      <c r="M159" s="31" t="s">
        <v>60</v>
      </c>
      <c r="N159" s="49">
        <v>3.699478212E7</v>
      </c>
      <c r="O159" s="49">
        <v>3.400147483E7</v>
      </c>
      <c r="P159" s="49">
        <v>0.0</v>
      </c>
      <c r="Q159" s="34">
        <f t="shared" si="7"/>
        <v>0.08091160749</v>
      </c>
      <c r="R159" s="31"/>
      <c r="S159" s="31" t="s">
        <v>60</v>
      </c>
      <c r="T159" s="50">
        <f>N159*0.95</f>
        <v>35145043.01</v>
      </c>
      <c r="U159" s="50">
        <v>3.5145043014E7</v>
      </c>
      <c r="V159" s="51">
        <v>0.0</v>
      </c>
      <c r="W159" s="31"/>
      <c r="X159" s="52" t="s">
        <v>113</v>
      </c>
      <c r="Y159" s="54"/>
      <c r="Z159" s="54"/>
      <c r="AA159" s="54" t="s">
        <v>114</v>
      </c>
      <c r="AB159" s="38" t="s">
        <v>115</v>
      </c>
      <c r="AC159" s="38"/>
      <c r="AD159" s="39">
        <v>34001.47</v>
      </c>
      <c r="AE159" s="39">
        <v>34001.47483</v>
      </c>
      <c r="AF159" s="39">
        <v>-0.00483</v>
      </c>
      <c r="AG159" s="57" t="s">
        <v>1181</v>
      </c>
      <c r="AH159" s="42" t="s">
        <v>1177</v>
      </c>
      <c r="AI159" s="42" t="str">
        <f>IFERROR(__xludf.DUMMYFUNCTION("vLOOKUP(A159,IMPORTRANGE(""https://docs.google.com/spreadsheets/d/1Rawwwdh8wntXGy8isdYNHxsNQS4n_rC8JSdPfj6vEq4"",""'500 объектов перенос на 2026'!A3:AB502""),13,0)"),"#REF!")</f>
        <v>#REF!</v>
      </c>
      <c r="AJ159" s="42" t="str">
        <f>IFERROR(__xludf.DUMMYFUNCTION("vLOOKUP(A159,IMPORTRANGE(""https://docs.google.com/spreadsheets/d/1Rawwwdh8wntXGy8isdYNHxsNQS4n_rC8JSdPfj6vEq4"",""'500 объектов перенос на 2026'!A3:AB502""),14,0)"),"#REF!")</f>
        <v>#REF!</v>
      </c>
      <c r="AK159" s="76" t="s">
        <v>114</v>
      </c>
      <c r="AL159" s="70"/>
      <c r="AM159" s="70"/>
      <c r="AN159" s="43"/>
      <c r="AO159" s="43"/>
      <c r="AP159" s="43"/>
      <c r="AQ159" s="43"/>
      <c r="AR159" s="43"/>
      <c r="AS159" s="43"/>
      <c r="AT159" s="43"/>
      <c r="AU159" s="43"/>
      <c r="AV159" s="43"/>
      <c r="AW159" s="43"/>
      <c r="AX159" s="43"/>
      <c r="AY159" s="43"/>
      <c r="AZ159" s="43"/>
    </row>
    <row r="160">
      <c r="A160" s="78" t="s">
        <v>1182</v>
      </c>
      <c r="B160" s="63" t="s">
        <v>133</v>
      </c>
      <c r="C160" s="150" t="s">
        <v>1183</v>
      </c>
      <c r="D160" s="47" t="s">
        <v>1184</v>
      </c>
      <c r="E160" s="64" t="s">
        <v>85</v>
      </c>
      <c r="F160" s="31" t="s">
        <v>60</v>
      </c>
      <c r="G160" s="31"/>
      <c r="H160" s="31"/>
      <c r="I160" s="31" t="s">
        <v>60</v>
      </c>
      <c r="J160" s="31"/>
      <c r="K160" s="31"/>
      <c r="L160" s="32" t="str">
        <f>IFERROR(__xludf.DUMMYFUNCTION("VLOOKUP($A160,IMPORTRANGE(""1PQtfbQLqBUP-rjYRznmgNFBLOjvAnhGzpIx7BJWq8rk"",""'Worksheet'!$B$2:$H""),7,FALSE)"),"#N/A")</f>
        <v>#N/A</v>
      </c>
      <c r="M160" s="31" t="s">
        <v>60</v>
      </c>
      <c r="N160" s="49">
        <v>6.97536E7</v>
      </c>
      <c r="O160" s="49">
        <v>4.738180963E7</v>
      </c>
      <c r="P160" s="49">
        <v>0.0</v>
      </c>
      <c r="Q160" s="34">
        <f t="shared" si="7"/>
        <v>0.3207259607</v>
      </c>
      <c r="R160" s="31"/>
      <c r="S160" s="31" t="s">
        <v>60</v>
      </c>
      <c r="T160" s="50">
        <v>4.420000782E7</v>
      </c>
      <c r="U160" s="50">
        <v>4.420000782E7</v>
      </c>
      <c r="V160" s="51">
        <v>0.0</v>
      </c>
      <c r="W160" s="31"/>
      <c r="X160" s="52" t="s">
        <v>113</v>
      </c>
      <c r="Y160" s="54"/>
      <c r="Z160" s="54"/>
      <c r="AA160" s="54" t="s">
        <v>114</v>
      </c>
      <c r="AB160" s="38" t="s">
        <v>115</v>
      </c>
      <c r="AC160" s="38"/>
      <c r="AD160" s="39">
        <v>69753.6</v>
      </c>
      <c r="AE160" s="39">
        <v>47381.80963</v>
      </c>
      <c r="AF160" s="39">
        <v>22371.79037</v>
      </c>
      <c r="AG160" s="57" t="s">
        <v>1185</v>
      </c>
      <c r="AH160" s="42" t="s">
        <v>1177</v>
      </c>
      <c r="AI160" s="42" t="str">
        <f>IFERROR(__xludf.DUMMYFUNCTION("vLOOKUP(A160,IMPORTRANGE(""https://docs.google.com/spreadsheets/d/1Rawwwdh8wntXGy8isdYNHxsNQS4n_rC8JSdPfj6vEq4"",""'500 объектов перенос на 2026'!A3:AB502""),13,0)"),"#REF!")</f>
        <v>#REF!</v>
      </c>
      <c r="AJ160" s="42" t="str">
        <f>IFERROR(__xludf.DUMMYFUNCTION("vLOOKUP(A160,IMPORTRANGE(""https://docs.google.com/spreadsheets/d/1Rawwwdh8wntXGy8isdYNHxsNQS4n_rC8JSdPfj6vEq4"",""'500 объектов перенос на 2026'!A3:AB502""),14,0)"),"#REF!")</f>
        <v>#REF!</v>
      </c>
      <c r="AK160" s="76" t="s">
        <v>114</v>
      </c>
      <c r="AL160" s="70"/>
      <c r="AM160" s="70"/>
      <c r="AN160" s="43"/>
      <c r="AO160" s="43"/>
      <c r="AP160" s="43"/>
      <c r="AQ160" s="43"/>
      <c r="AR160" s="43"/>
      <c r="AS160" s="43"/>
      <c r="AT160" s="43"/>
      <c r="AU160" s="43"/>
      <c r="AV160" s="43"/>
      <c r="AW160" s="43"/>
      <c r="AX160" s="43"/>
      <c r="AY160" s="43"/>
      <c r="AZ160" s="43"/>
    </row>
    <row r="161">
      <c r="A161" s="78" t="s">
        <v>1186</v>
      </c>
      <c r="B161" s="63" t="s">
        <v>1187</v>
      </c>
      <c r="C161" s="64" t="s">
        <v>1188</v>
      </c>
      <c r="D161" s="47" t="s">
        <v>1189</v>
      </c>
      <c r="E161" s="64" t="s">
        <v>85</v>
      </c>
      <c r="F161" s="31" t="s">
        <v>60</v>
      </c>
      <c r="G161" s="31"/>
      <c r="H161" s="31"/>
      <c r="I161" s="31" t="s">
        <v>60</v>
      </c>
      <c r="J161" s="31"/>
      <c r="K161" s="31"/>
      <c r="L161" s="32" t="str">
        <f>IFERROR(__xludf.DUMMYFUNCTION("VLOOKUP($A161,IMPORTRANGE(""1PQtfbQLqBUP-rjYRznmgNFBLOjvAnhGzpIx7BJWq8rk"",""'Worksheet'!$B$2:$H""),7,FALSE)"),"#N/A")</f>
        <v>#N/A</v>
      </c>
      <c r="M161" s="31" t="s">
        <v>60</v>
      </c>
      <c r="N161" s="49">
        <v>4.33459656E8</v>
      </c>
      <c r="O161" s="49">
        <v>4.33459656E8</v>
      </c>
      <c r="P161" s="49">
        <v>0.0</v>
      </c>
      <c r="Q161" s="34">
        <f t="shared" si="7"/>
        <v>0</v>
      </c>
      <c r="R161" s="31"/>
      <c r="S161" s="31" t="s">
        <v>60</v>
      </c>
      <c r="T161" s="50">
        <f>0.95*N161</f>
        <v>411786673.2</v>
      </c>
      <c r="U161" s="51">
        <f>T161</f>
        <v>411786673.2</v>
      </c>
      <c r="V161" s="51">
        <v>0.0</v>
      </c>
      <c r="W161" s="31"/>
      <c r="X161" s="52" t="s">
        <v>113</v>
      </c>
      <c r="Y161" s="54"/>
      <c r="Z161" s="54"/>
      <c r="AA161" s="54" t="s">
        <v>114</v>
      </c>
      <c r="AB161" s="38" t="s">
        <v>115</v>
      </c>
      <c r="AC161" s="38"/>
      <c r="AD161" s="39">
        <v>433459.66</v>
      </c>
      <c r="AE161" s="39">
        <v>433459.656</v>
      </c>
      <c r="AF161" s="39">
        <v>0.004</v>
      </c>
      <c r="AG161" s="57" t="s">
        <v>1190</v>
      </c>
      <c r="AH161" s="42" t="s">
        <v>1191</v>
      </c>
      <c r="AI161" s="42" t="s">
        <v>1191</v>
      </c>
      <c r="AJ161" s="42" t="s">
        <v>1191</v>
      </c>
      <c r="AK161" s="76" t="s">
        <v>114</v>
      </c>
      <c r="AL161" s="70"/>
      <c r="AM161" s="70"/>
      <c r="AN161" s="43"/>
      <c r="AO161" s="43"/>
      <c r="AP161" s="43"/>
      <c r="AQ161" s="43"/>
      <c r="AR161" s="43"/>
      <c r="AS161" s="43"/>
      <c r="AT161" s="43"/>
      <c r="AU161" s="43"/>
      <c r="AV161" s="43"/>
      <c r="AW161" s="43"/>
      <c r="AX161" s="43"/>
      <c r="AY161" s="43"/>
      <c r="AZ161" s="43"/>
    </row>
    <row r="162">
      <c r="A162" s="62" t="s">
        <v>1192</v>
      </c>
      <c r="B162" s="63" t="s">
        <v>126</v>
      </c>
      <c r="C162" s="64" t="s">
        <v>1193</v>
      </c>
      <c r="D162" s="47" t="s">
        <v>166</v>
      </c>
      <c r="E162" s="64" t="s">
        <v>85</v>
      </c>
      <c r="F162" s="31" t="s">
        <v>60</v>
      </c>
      <c r="G162" s="31"/>
      <c r="H162" s="31"/>
      <c r="I162" s="31" t="s">
        <v>60</v>
      </c>
      <c r="J162" s="31"/>
      <c r="K162" s="31"/>
      <c r="L162" s="32">
        <f>IFERROR(__xludf.DUMMYFUNCTION("VLOOKUP($A162,IMPORTRANGE(""1PQtfbQLqBUP-rjYRznmgNFBLOjvAnhGzpIx7BJWq8rk"",""'Worksheet'!$B$2:$H""),7,FALSE)"),0.96)</f>
        <v>0.96</v>
      </c>
      <c r="M162" s="31" t="s">
        <v>40</v>
      </c>
      <c r="N162" s="49">
        <v>8.599336E7</v>
      </c>
      <c r="O162" s="49">
        <v>4.299668E7</v>
      </c>
      <c r="P162" s="49">
        <f t="shared" ref="P162:P164" si="28">N162-O162</f>
        <v>42996680</v>
      </c>
      <c r="Q162" s="34">
        <f t="shared" si="7"/>
        <v>0.5</v>
      </c>
      <c r="R162" s="31" t="s">
        <v>1059</v>
      </c>
      <c r="S162" s="31" t="s">
        <v>40</v>
      </c>
      <c r="T162" s="72" t="s">
        <v>1194</v>
      </c>
      <c r="U162" s="50">
        <v>0.0</v>
      </c>
      <c r="V162" s="67" t="s">
        <v>1194</v>
      </c>
      <c r="W162" s="31" t="s">
        <v>1195</v>
      </c>
      <c r="X162" s="36" t="s">
        <v>1196</v>
      </c>
      <c r="Y162" s="54" t="s">
        <v>1197</v>
      </c>
      <c r="Z162" s="74"/>
      <c r="AA162" s="74">
        <v>46295.0</v>
      </c>
      <c r="AB162" s="56"/>
      <c r="AC162" s="38" t="s">
        <v>1198</v>
      </c>
      <c r="AD162" s="39">
        <v>85993.36</v>
      </c>
      <c r="AE162" s="39">
        <v>42996.68</v>
      </c>
      <c r="AF162" s="40">
        <v>42996.68</v>
      </c>
      <c r="AG162" s="57" t="s">
        <v>1199</v>
      </c>
      <c r="AH162" s="42" t="s">
        <v>1200</v>
      </c>
      <c r="AI162" s="42" t="str">
        <f>IFERROR(__xludf.DUMMYFUNCTION("vLOOKUP(A162,IMPORTRANGE(""https://docs.google.com/spreadsheets/d/1Rawwwdh8wntXGy8isdYNHxsNQS4n_rC8JSdPfj6vEq4"",""'500 объектов перенос на 2026'!A3:AB502""),13,0)"),"#REF!")</f>
        <v>#REF!</v>
      </c>
      <c r="AJ162" s="42" t="str">
        <f>IFERROR(__xludf.DUMMYFUNCTION("vLOOKUP(A162,IMPORTRANGE(""https://docs.google.com/spreadsheets/d/1Rawwwdh8wntXGy8isdYNHxsNQS4n_rC8JSdPfj6vEq4"",""'500 объектов перенос на 2026'!A3:AB502""),14,0)"),"#REF!")</f>
        <v>#REF!</v>
      </c>
      <c r="AK162" s="76" t="s">
        <v>1201</v>
      </c>
      <c r="AL162" s="70"/>
      <c r="AM162" s="70"/>
      <c r="AN162" s="43"/>
      <c r="AO162" s="43"/>
      <c r="AP162" s="43"/>
      <c r="AQ162" s="43"/>
      <c r="AR162" s="43"/>
      <c r="AS162" s="43"/>
      <c r="AT162" s="43"/>
      <c r="AU162" s="43"/>
      <c r="AV162" s="43"/>
      <c r="AW162" s="43"/>
      <c r="AX162" s="43"/>
      <c r="AY162" s="43"/>
      <c r="AZ162" s="43"/>
    </row>
    <row r="163">
      <c r="A163" s="62" t="s">
        <v>1202</v>
      </c>
      <c r="B163" s="111" t="s">
        <v>133</v>
      </c>
      <c r="C163" s="64" t="s">
        <v>1203</v>
      </c>
      <c r="D163" s="47" t="s">
        <v>1204</v>
      </c>
      <c r="E163" s="64" t="s">
        <v>39</v>
      </c>
      <c r="F163" s="31" t="s">
        <v>60</v>
      </c>
      <c r="G163" s="31"/>
      <c r="H163" s="31"/>
      <c r="I163" s="31" t="s">
        <v>40</v>
      </c>
      <c r="J163" s="31" t="s">
        <v>102</v>
      </c>
      <c r="K163" s="31" t="s">
        <v>280</v>
      </c>
      <c r="L163" s="32">
        <f>IFERROR(__xludf.DUMMYFUNCTION("VLOOKUP($A163,IMPORTRANGE(""1PQtfbQLqBUP-rjYRznmgNFBLOjvAnhGzpIx7BJWq8rk"",""'Worksheet'!$B$2:$H""),7,FALSE)"),0.29)</f>
        <v>0.29</v>
      </c>
      <c r="M163" s="31" t="s">
        <v>40</v>
      </c>
      <c r="N163" s="49">
        <v>5.32894756E7</v>
      </c>
      <c r="O163" s="49">
        <v>0.0</v>
      </c>
      <c r="P163" s="49">
        <f t="shared" si="28"/>
        <v>53289475.6</v>
      </c>
      <c r="Q163" s="34">
        <f t="shared" si="7"/>
        <v>1</v>
      </c>
      <c r="R163" s="31"/>
      <c r="S163" s="31" t="s">
        <v>40</v>
      </c>
      <c r="T163" s="50">
        <f>N163*0.95</f>
        <v>50625001.82</v>
      </c>
      <c r="U163" s="51">
        <v>0.0</v>
      </c>
      <c r="V163" s="51">
        <v>5.062500182E7</v>
      </c>
      <c r="W163" s="31"/>
      <c r="X163" s="52" t="s">
        <v>409</v>
      </c>
      <c r="Y163" s="54" t="s">
        <v>284</v>
      </c>
      <c r="Z163" s="54"/>
      <c r="AA163" s="54" t="s">
        <v>114</v>
      </c>
      <c r="AB163" s="56"/>
      <c r="AC163" s="38" t="s">
        <v>1205</v>
      </c>
      <c r="AD163" s="39">
        <v>154740.1178</v>
      </c>
      <c r="AE163" s="39">
        <v>82435.32444</v>
      </c>
      <c r="AF163" s="40">
        <v>72304.79336</v>
      </c>
      <c r="AG163" s="57" t="s">
        <v>1206</v>
      </c>
      <c r="AH163" s="42" t="s">
        <v>284</v>
      </c>
      <c r="AI163" s="42" t="str">
        <f>IFERROR(__xludf.DUMMYFUNCTION("vLOOKUP(A163,IMPORTRANGE(""https://docs.google.com/spreadsheets/d/1Rawwwdh8wntXGy8isdYNHxsNQS4n_rC8JSdPfj6vEq4"",""'500 объектов перенос на 2026'!A3:AB502""),13,0)"),"#REF!")</f>
        <v>#REF!</v>
      </c>
      <c r="AJ163" s="42" t="str">
        <f>IFERROR(__xludf.DUMMYFUNCTION("vLOOKUP(A163,IMPORTRANGE(""https://docs.google.com/spreadsheets/d/1Rawwwdh8wntXGy8isdYNHxsNQS4n_rC8JSdPfj6vEq4"",""'500 объектов перенос на 2026'!A3:AB502""),14,0)"),"#REF!")</f>
        <v>#REF!</v>
      </c>
      <c r="AK163" s="76" t="s">
        <v>1207</v>
      </c>
      <c r="AL163" s="70"/>
      <c r="AM163" s="70"/>
      <c r="AN163" s="43"/>
      <c r="AO163" s="43"/>
      <c r="AP163" s="43"/>
      <c r="AQ163" s="43"/>
      <c r="AR163" s="43"/>
      <c r="AS163" s="43"/>
      <c r="AT163" s="43"/>
      <c r="AU163" s="43"/>
      <c r="AV163" s="43"/>
      <c r="AW163" s="43"/>
      <c r="AX163" s="43"/>
      <c r="AY163" s="43"/>
      <c r="AZ163" s="43"/>
    </row>
    <row r="164">
      <c r="A164" s="62" t="s">
        <v>1208</v>
      </c>
      <c r="B164" s="63" t="s">
        <v>605</v>
      </c>
      <c r="C164" s="64" t="s">
        <v>1209</v>
      </c>
      <c r="D164" s="47" t="s">
        <v>1210</v>
      </c>
      <c r="E164" s="64" t="s">
        <v>85</v>
      </c>
      <c r="F164" s="31" t="s">
        <v>40</v>
      </c>
      <c r="G164" s="31" t="s">
        <v>156</v>
      </c>
      <c r="H164" s="31" t="s">
        <v>260</v>
      </c>
      <c r="I164" s="31" t="s">
        <v>40</v>
      </c>
      <c r="J164" s="31" t="s">
        <v>61</v>
      </c>
      <c r="K164" s="31"/>
      <c r="L164" s="32">
        <f>IFERROR(__xludf.DUMMYFUNCTION("VLOOKUP($A164,IMPORTRANGE(""1PQtfbQLqBUP-rjYRznmgNFBLOjvAnhGzpIx7BJWq8rk"",""'Worksheet'!$B$2:$H""),7,FALSE)"),0.97)</f>
        <v>0.97</v>
      </c>
      <c r="M164" s="31" t="s">
        <v>40</v>
      </c>
      <c r="N164" s="49">
        <v>5.955E7</v>
      </c>
      <c r="O164" s="49">
        <v>1.7865E7</v>
      </c>
      <c r="P164" s="49">
        <f t="shared" si="28"/>
        <v>41685000</v>
      </c>
      <c r="Q164" s="34">
        <f t="shared" si="7"/>
        <v>0.7</v>
      </c>
      <c r="R164" s="31"/>
      <c r="S164" s="31" t="s">
        <v>40</v>
      </c>
      <c r="T164" s="72" t="s">
        <v>1211</v>
      </c>
      <c r="U164" s="67">
        <v>0.0</v>
      </c>
      <c r="V164" s="67" t="s">
        <v>1211</v>
      </c>
      <c r="W164" s="31"/>
      <c r="X164" s="52" t="s">
        <v>49</v>
      </c>
      <c r="Y164" s="124" t="s">
        <v>1212</v>
      </c>
      <c r="Z164" s="54" t="s">
        <v>1213</v>
      </c>
      <c r="AA164" s="74">
        <v>46280.0</v>
      </c>
      <c r="AB164" s="56"/>
      <c r="AC164" s="38" t="s">
        <v>1214</v>
      </c>
      <c r="AD164" s="39">
        <v>59550.0</v>
      </c>
      <c r="AE164" s="39">
        <v>17865.0</v>
      </c>
      <c r="AF164" s="40">
        <v>41685.0</v>
      </c>
      <c r="AG164" s="99" t="s">
        <v>1215</v>
      </c>
      <c r="AH164" s="85"/>
      <c r="AI164" s="42" t="str">
        <f>IFERROR(__xludf.DUMMYFUNCTION("vLOOKUP(A164,IMPORTRANGE(""https://docs.google.com/spreadsheets/d/1Rawwwdh8wntXGy8isdYNHxsNQS4n_rC8JSdPfj6vEq4"",""'500 объектов перенос на 2026'!A3:AB502""),13,0)"),"#REF!")</f>
        <v>#REF!</v>
      </c>
      <c r="AJ164" s="42" t="str">
        <f>IFERROR(__xludf.DUMMYFUNCTION("vLOOKUP(A164,IMPORTRANGE(""https://docs.google.com/spreadsheets/d/1Rawwwdh8wntXGy8isdYNHxsNQS4n_rC8JSdPfj6vEq4"",""'500 объектов перенос на 2026'!A3:AB502""),14,0)"),"#REF!")</f>
        <v>#REF!</v>
      </c>
      <c r="AK164" s="58" t="s">
        <v>1216</v>
      </c>
      <c r="AL164" s="151"/>
      <c r="AM164" s="151"/>
      <c r="AN164" s="151"/>
      <c r="AO164" s="152"/>
      <c r="AP164" s="152"/>
      <c r="AQ164" s="152"/>
      <c r="AR164" s="152"/>
      <c r="AS164" s="152"/>
      <c r="AT164" s="152"/>
      <c r="AU164" s="152"/>
      <c r="AV164" s="152"/>
      <c r="AW164" s="152"/>
      <c r="AX164" s="152"/>
      <c r="AY164" s="152"/>
      <c r="AZ164" s="152"/>
    </row>
    <row r="165">
      <c r="A165" s="62" t="s">
        <v>1217</v>
      </c>
      <c r="B165" s="63" t="s">
        <v>757</v>
      </c>
      <c r="C165" s="64" t="s">
        <v>1218</v>
      </c>
      <c r="D165" s="47" t="s">
        <v>812</v>
      </c>
      <c r="E165" s="64" t="s">
        <v>85</v>
      </c>
      <c r="F165" s="31" t="s">
        <v>60</v>
      </c>
      <c r="G165" s="31"/>
      <c r="H165" s="31"/>
      <c r="I165" s="31" t="s">
        <v>60</v>
      </c>
      <c r="J165" s="31"/>
      <c r="K165" s="31"/>
      <c r="L165" s="32" t="str">
        <f>IFERROR(__xludf.DUMMYFUNCTION("VLOOKUP($A165,IMPORTRANGE(""1PQtfbQLqBUP-rjYRznmgNFBLOjvAnhGzpIx7BJWq8rk"",""'Worksheet'!$B$2:$H""),7,FALSE)"),"#N/A")</f>
        <v>#N/A</v>
      </c>
      <c r="M165" s="31" t="s">
        <v>60</v>
      </c>
      <c r="N165" s="49">
        <v>1.7340380691E8</v>
      </c>
      <c r="O165" s="49">
        <v>1.5243748544E8</v>
      </c>
      <c r="P165" s="49">
        <v>0.0</v>
      </c>
      <c r="Q165" s="34">
        <f t="shared" si="7"/>
        <v>0.1209103874</v>
      </c>
      <c r="R165" s="31"/>
      <c r="S165" s="31" t="s">
        <v>60</v>
      </c>
      <c r="T165" s="50">
        <v>1.486183792E8</v>
      </c>
      <c r="U165" s="51">
        <v>1.486183792E8</v>
      </c>
      <c r="V165" s="51"/>
      <c r="W165" s="31"/>
      <c r="X165" s="52" t="s">
        <v>1219</v>
      </c>
      <c r="Y165" s="54"/>
      <c r="Z165" s="74"/>
      <c r="AA165" s="54" t="s">
        <v>114</v>
      </c>
      <c r="AB165" s="38" t="s">
        <v>115</v>
      </c>
      <c r="AC165" s="38"/>
      <c r="AD165" s="39">
        <v>142969.66</v>
      </c>
      <c r="AE165" s="39">
        <v>152437.4854</v>
      </c>
      <c r="AF165" s="40">
        <v>-9467.82544</v>
      </c>
      <c r="AG165" s="57" t="s">
        <v>1220</v>
      </c>
      <c r="AH165" s="85" t="s">
        <v>762</v>
      </c>
      <c r="AI165" s="42" t="str">
        <f>IFERROR(__xludf.DUMMYFUNCTION("vLOOKUP(A165,IMPORTRANGE(""https://docs.google.com/spreadsheets/d/1Rawwwdh8wntXGy8isdYNHxsNQS4n_rC8JSdPfj6vEq4"",""'500 объектов перенос на 2026'!A3:AB502""),13,0)"),"#REF!")</f>
        <v>#REF!</v>
      </c>
      <c r="AJ165" s="42" t="str">
        <f>IFERROR(__xludf.DUMMYFUNCTION("vLOOKUP(A165,IMPORTRANGE(""https://docs.google.com/spreadsheets/d/1Rawwwdh8wntXGy8isdYNHxsNQS4n_rC8JSdPfj6vEq4"",""'500 объектов перенос на 2026'!A3:AB502""),14,0)"),"#REF!")</f>
        <v>#REF!</v>
      </c>
      <c r="AK165" s="76" t="s">
        <v>114</v>
      </c>
      <c r="AL165" s="70"/>
      <c r="AM165" s="70"/>
      <c r="AN165" s="43"/>
      <c r="AO165" s="43"/>
      <c r="AP165" s="43"/>
      <c r="AQ165" s="43"/>
      <c r="AR165" s="43"/>
      <c r="AS165" s="43"/>
      <c r="AT165" s="43"/>
      <c r="AU165" s="43"/>
      <c r="AV165" s="43"/>
      <c r="AW165" s="43"/>
      <c r="AX165" s="43"/>
      <c r="AY165" s="43"/>
      <c r="AZ165" s="43"/>
    </row>
    <row r="166">
      <c r="A166" s="62" t="s">
        <v>1221</v>
      </c>
      <c r="B166" s="63" t="s">
        <v>126</v>
      </c>
      <c r="C166" s="64" t="s">
        <v>1222</v>
      </c>
      <c r="D166" s="47" t="s">
        <v>585</v>
      </c>
      <c r="E166" s="64" t="s">
        <v>85</v>
      </c>
      <c r="F166" s="31" t="s">
        <v>60</v>
      </c>
      <c r="G166" s="31"/>
      <c r="H166" s="31"/>
      <c r="I166" s="31" t="s">
        <v>40</v>
      </c>
      <c r="J166" s="31" t="s">
        <v>61</v>
      </c>
      <c r="K166" s="31" t="s">
        <v>586</v>
      </c>
      <c r="L166" s="32">
        <f>IFERROR(__xludf.DUMMYFUNCTION("VLOOKUP($A166,IMPORTRANGE(""1PQtfbQLqBUP-rjYRznmgNFBLOjvAnhGzpIx7BJWq8rk"",""'Worksheet'!$B$2:$H""),7,FALSE)"),0.6)</f>
        <v>0.6</v>
      </c>
      <c r="M166" s="31" t="s">
        <v>45</v>
      </c>
      <c r="N166" s="49">
        <v>6.615295214E7</v>
      </c>
      <c r="O166" s="49">
        <v>2.120355857E7</v>
      </c>
      <c r="P166" s="49">
        <f>N166-O166</f>
        <v>44949393.57</v>
      </c>
      <c r="Q166" s="34">
        <f t="shared" si="7"/>
        <v>0.6794767598</v>
      </c>
      <c r="R166" s="31"/>
      <c r="S166" s="31" t="s">
        <v>45</v>
      </c>
      <c r="T166" s="72" t="s">
        <v>1223</v>
      </c>
      <c r="U166" s="67" t="s">
        <v>1224</v>
      </c>
      <c r="V166" s="67" t="s">
        <v>1225</v>
      </c>
      <c r="W166" s="31"/>
      <c r="X166" s="52" t="s">
        <v>1226</v>
      </c>
      <c r="Y166" s="125" t="s">
        <v>1227</v>
      </c>
      <c r="Z166" s="74"/>
      <c r="AA166" s="74">
        <v>46264.0</v>
      </c>
      <c r="AB166" s="56"/>
      <c r="AC166" s="38" t="s">
        <v>1228</v>
      </c>
      <c r="AD166" s="39">
        <v>66152.95</v>
      </c>
      <c r="AE166" s="39">
        <v>22526.26017</v>
      </c>
      <c r="AF166" s="40">
        <v>43626.68983</v>
      </c>
      <c r="AG166" s="57" t="s">
        <v>1229</v>
      </c>
      <c r="AH166" s="42" t="s">
        <v>1230</v>
      </c>
      <c r="AI166" s="42" t="str">
        <f>IFERROR(__xludf.DUMMYFUNCTION("vLOOKUP(A166,IMPORTRANGE(""https://docs.google.com/spreadsheets/d/1Rawwwdh8wntXGy8isdYNHxsNQS4n_rC8JSdPfj6vEq4"",""'500 объектов перенос на 2026'!A3:AB502""),13,0)"),"#REF!")</f>
        <v>#REF!</v>
      </c>
      <c r="AJ166" s="42" t="str">
        <f>IFERROR(__xludf.DUMMYFUNCTION("vLOOKUP(A166,IMPORTRANGE(""https://docs.google.com/spreadsheets/d/1Rawwwdh8wntXGy8isdYNHxsNQS4n_rC8JSdPfj6vEq4"",""'500 объектов перенос на 2026'!A3:AB502""),14,0)"),"#REF!")</f>
        <v>#REF!</v>
      </c>
      <c r="AK166" s="76" t="s">
        <v>1227</v>
      </c>
      <c r="AL166" s="70"/>
      <c r="AM166" s="70"/>
      <c r="AN166" s="43"/>
      <c r="AO166" s="43"/>
      <c r="AP166" s="43"/>
      <c r="AQ166" s="43"/>
      <c r="AR166" s="43"/>
      <c r="AS166" s="43"/>
      <c r="AT166" s="43"/>
      <c r="AU166" s="43"/>
      <c r="AV166" s="43"/>
      <c r="AW166" s="43"/>
      <c r="AX166" s="43"/>
      <c r="AY166" s="43"/>
      <c r="AZ166" s="43"/>
    </row>
    <row r="167">
      <c r="A167" s="62" t="s">
        <v>1231</v>
      </c>
      <c r="B167" s="63" t="s">
        <v>1039</v>
      </c>
      <c r="C167" s="104" t="s">
        <v>1232</v>
      </c>
      <c r="D167" s="47" t="s">
        <v>1233</v>
      </c>
      <c r="E167" s="64" t="s">
        <v>59</v>
      </c>
      <c r="F167" s="31" t="s">
        <v>60</v>
      </c>
      <c r="G167" s="31"/>
      <c r="H167" s="31"/>
      <c r="I167" s="31" t="s">
        <v>60</v>
      </c>
      <c r="J167" s="31"/>
      <c r="K167" s="31"/>
      <c r="L167" s="32">
        <f>IFERROR(__xludf.DUMMYFUNCTION("VLOOKUP($A167,IMPORTRANGE(""1PQtfbQLqBUP-rjYRznmgNFBLOjvAnhGzpIx7BJWq8rk"",""'Worksheet'!$B$2:$H""),7,FALSE)"),0.98)</f>
        <v>0.98</v>
      </c>
      <c r="M167" s="31" t="s">
        <v>60</v>
      </c>
      <c r="N167" s="49">
        <v>2.6595931092E8</v>
      </c>
      <c r="O167" s="49">
        <v>2.5570705668E8</v>
      </c>
      <c r="P167" s="49">
        <v>0.0</v>
      </c>
      <c r="Q167" s="34">
        <f t="shared" si="7"/>
        <v>0.03854820576</v>
      </c>
      <c r="R167" s="31"/>
      <c r="S167" s="31" t="s">
        <v>60</v>
      </c>
      <c r="T167" s="88">
        <v>2.5266134537E8</v>
      </c>
      <c r="U167" s="88">
        <v>2.4292170385E8</v>
      </c>
      <c r="V167" s="88">
        <f>T167-U167</f>
        <v>9739641.52</v>
      </c>
      <c r="W167" s="31"/>
      <c r="X167" s="52" t="s">
        <v>209</v>
      </c>
      <c r="Y167" s="54"/>
      <c r="Z167" s="54"/>
      <c r="AA167" s="54" t="s">
        <v>114</v>
      </c>
      <c r="AB167" s="38" t="s">
        <v>1234</v>
      </c>
      <c r="AC167" s="38"/>
      <c r="AD167" s="39">
        <v>265959.3109</v>
      </c>
      <c r="AE167" s="39">
        <v>41525.18973</v>
      </c>
      <c r="AF167" s="39">
        <v>224434.1212</v>
      </c>
      <c r="AG167" s="57" t="s">
        <v>1235</v>
      </c>
      <c r="AH167" s="42" t="s">
        <v>362</v>
      </c>
      <c r="AI167" s="42" t="str">
        <f>IFERROR(__xludf.DUMMYFUNCTION("vLOOKUP(A167,IMPORTRANGE(""https://docs.google.com/spreadsheets/d/1Rawwwdh8wntXGy8isdYNHxsNQS4n_rC8JSdPfj6vEq4"",""'500 объектов перенос на 2026'!A3:AB502""),13,0)"),"#REF!")</f>
        <v>#REF!</v>
      </c>
      <c r="AJ167" s="42" t="str">
        <f>IFERROR(__xludf.DUMMYFUNCTION("vLOOKUP(A167,IMPORTRANGE(""https://docs.google.com/spreadsheets/d/1Rawwwdh8wntXGy8isdYNHxsNQS4n_rC8JSdPfj6vEq4"",""'500 объектов перенос на 2026'!A3:AB502""),14,0)"),"#REF!")</f>
        <v>#REF!</v>
      </c>
      <c r="AK167" s="76" t="s">
        <v>114</v>
      </c>
      <c r="AL167" s="70"/>
      <c r="AM167" s="70"/>
      <c r="AN167" s="96"/>
      <c r="AO167" s="96"/>
      <c r="AP167" s="96"/>
      <c r="AQ167" s="96"/>
      <c r="AR167" s="96"/>
      <c r="AS167" s="96"/>
      <c r="AT167" s="96"/>
      <c r="AU167" s="96"/>
      <c r="AV167" s="96"/>
      <c r="AW167" s="96"/>
      <c r="AX167" s="96"/>
      <c r="AY167" s="96"/>
      <c r="AZ167" s="96"/>
    </row>
    <row r="168">
      <c r="A168" s="78" t="s">
        <v>1236</v>
      </c>
      <c r="B168" s="63" t="s">
        <v>1039</v>
      </c>
      <c r="C168" s="64" t="s">
        <v>1237</v>
      </c>
      <c r="D168" s="47" t="s">
        <v>1041</v>
      </c>
      <c r="E168" s="64" t="s">
        <v>85</v>
      </c>
      <c r="F168" s="31" t="s">
        <v>60</v>
      </c>
      <c r="G168" s="31"/>
      <c r="H168" s="31"/>
      <c r="I168" s="31" t="s">
        <v>60</v>
      </c>
      <c r="J168" s="31"/>
      <c r="K168" s="31"/>
      <c r="L168" s="32" t="str">
        <f>IFERROR(__xludf.DUMMYFUNCTION("VLOOKUP($A168,IMPORTRANGE(""1PQtfbQLqBUP-rjYRznmgNFBLOjvAnhGzpIx7BJWq8rk"",""'Worksheet'!$B$2:$H""),7,FALSE)"),"#N/A")</f>
        <v>#N/A</v>
      </c>
      <c r="M168" s="31" t="s">
        <v>60</v>
      </c>
      <c r="N168" s="49">
        <v>8.86444E7</v>
      </c>
      <c r="O168" s="49">
        <v>8.404780399E7</v>
      </c>
      <c r="P168" s="49">
        <v>0.0</v>
      </c>
      <c r="Q168" s="34">
        <f t="shared" si="7"/>
        <v>0.05185433045</v>
      </c>
      <c r="R168" s="31"/>
      <c r="S168" s="31" t="s">
        <v>60</v>
      </c>
      <c r="T168" s="88">
        <v>7.913456622E7</v>
      </c>
      <c r="U168" s="88">
        <v>7.913456622E7</v>
      </c>
      <c r="V168" s="88">
        <v>0.0</v>
      </c>
      <c r="W168" s="31"/>
      <c r="X168" s="52" t="s">
        <v>113</v>
      </c>
      <c r="Y168" s="54"/>
      <c r="Z168" s="54"/>
      <c r="AA168" s="54" t="s">
        <v>114</v>
      </c>
      <c r="AB168" s="38" t="s">
        <v>115</v>
      </c>
      <c r="AC168" s="38"/>
      <c r="AD168" s="39">
        <v>88644.4</v>
      </c>
      <c r="AE168" s="39">
        <v>84047.80399</v>
      </c>
      <c r="AF168" s="39">
        <v>4596.59601</v>
      </c>
      <c r="AG168" s="57" t="s">
        <v>1238</v>
      </c>
      <c r="AH168" s="42" t="s">
        <v>362</v>
      </c>
      <c r="AI168" s="42" t="str">
        <f>IFERROR(__xludf.DUMMYFUNCTION("vLOOKUP(A168,IMPORTRANGE(""https://docs.google.com/spreadsheets/d/1Rawwwdh8wntXGy8isdYNHxsNQS4n_rC8JSdPfj6vEq4"",""'500 объектов перенос на 2026'!A3:AB502""),13,0)"),"#REF!")</f>
        <v>#REF!</v>
      </c>
      <c r="AJ168" s="42" t="str">
        <f>IFERROR(__xludf.DUMMYFUNCTION("vLOOKUP(A168,IMPORTRANGE(""https://docs.google.com/spreadsheets/d/1Rawwwdh8wntXGy8isdYNHxsNQS4n_rC8JSdPfj6vEq4"",""'500 объектов перенос на 2026'!A3:AB502""),14,0)"),"#REF!")</f>
        <v>#REF!</v>
      </c>
      <c r="AK168" s="76" t="s">
        <v>114</v>
      </c>
      <c r="AL168" s="70"/>
      <c r="AM168" s="70"/>
      <c r="AN168" s="43"/>
      <c r="AO168" s="43"/>
      <c r="AP168" s="43"/>
      <c r="AQ168" s="43"/>
      <c r="AR168" s="43"/>
      <c r="AS168" s="43"/>
      <c r="AT168" s="43"/>
      <c r="AU168" s="43"/>
      <c r="AV168" s="43"/>
      <c r="AW168" s="43"/>
      <c r="AX168" s="43"/>
      <c r="AY168" s="43"/>
      <c r="AZ168" s="43"/>
    </row>
    <row r="169">
      <c r="A169" s="62" t="s">
        <v>1239</v>
      </c>
      <c r="B169" s="63" t="s">
        <v>635</v>
      </c>
      <c r="C169" s="144" t="s">
        <v>1240</v>
      </c>
      <c r="D169" s="47" t="s">
        <v>1210</v>
      </c>
      <c r="E169" s="64" t="s">
        <v>85</v>
      </c>
      <c r="F169" s="31" t="s">
        <v>60</v>
      </c>
      <c r="G169" s="31"/>
      <c r="H169" s="31"/>
      <c r="I169" s="31" t="s">
        <v>60</v>
      </c>
      <c r="J169" s="31"/>
      <c r="K169" s="31"/>
      <c r="L169" s="32">
        <f>IFERROR(__xludf.DUMMYFUNCTION("VLOOKUP($A169,IMPORTRANGE(""1PQtfbQLqBUP-rjYRznmgNFBLOjvAnhGzpIx7BJWq8rk"",""'Worksheet'!$B$2:$H""),7,FALSE)"),0.99)</f>
        <v>0.99</v>
      </c>
      <c r="M169" s="31" t="s">
        <v>60</v>
      </c>
      <c r="N169" s="49">
        <v>5.777215E7</v>
      </c>
      <c r="O169" s="49">
        <v>4.4052461E7</v>
      </c>
      <c r="P169" s="49">
        <f t="shared" ref="P169:P172" si="29">N169-O169</f>
        <v>13719689</v>
      </c>
      <c r="Q169" s="34">
        <f t="shared" si="7"/>
        <v>0.2374792872</v>
      </c>
      <c r="R169" s="31"/>
      <c r="S169" s="31" t="s">
        <v>60</v>
      </c>
      <c r="T169" s="84" t="s">
        <v>1241</v>
      </c>
      <c r="U169" s="148" t="s">
        <v>1242</v>
      </c>
      <c r="V169" s="84">
        <v>0.0</v>
      </c>
      <c r="W169" s="31"/>
      <c r="X169" s="52" t="s">
        <v>1243</v>
      </c>
      <c r="Y169" s="54" t="s">
        <v>1244</v>
      </c>
      <c r="Z169" s="54" t="s">
        <v>1245</v>
      </c>
      <c r="AA169" s="68">
        <v>46203.0</v>
      </c>
      <c r="AB169" s="56"/>
      <c r="AC169" s="38" t="s">
        <v>1246</v>
      </c>
      <c r="AD169" s="39">
        <v>57772.15</v>
      </c>
      <c r="AE169" s="39">
        <v>16970.69925</v>
      </c>
      <c r="AF169" s="40">
        <v>40801.45075</v>
      </c>
      <c r="AG169" s="99" t="s">
        <v>1247</v>
      </c>
      <c r="AH169" s="85" t="s">
        <v>1248</v>
      </c>
      <c r="AI169" s="42" t="str">
        <f>IFERROR(__xludf.DUMMYFUNCTION("vLOOKUP(A169,IMPORTRANGE(""https://docs.google.com/spreadsheets/d/1Rawwwdh8wntXGy8isdYNHxsNQS4n_rC8JSdPfj6vEq4"",""'500 объектов перенос на 2026'!A3:AB502""),13,0)"),"#REF!")</f>
        <v>#REF!</v>
      </c>
      <c r="AJ169" s="42" t="str">
        <f>IFERROR(__xludf.DUMMYFUNCTION("vLOOKUP(A169,IMPORTRANGE(""https://docs.google.com/spreadsheets/d/1Rawwwdh8wntXGy8isdYNHxsNQS4n_rC8JSdPfj6vEq4"",""'500 объектов перенос на 2026'!A3:AB502""),14,0)"),"#REF!")</f>
        <v>#REF!</v>
      </c>
      <c r="AK169" s="75" t="s">
        <v>1249</v>
      </c>
      <c r="AL169" s="70" t="s">
        <v>1250</v>
      </c>
      <c r="AM169" s="70"/>
      <c r="AN169" s="43"/>
      <c r="AO169" s="43"/>
      <c r="AP169" s="43"/>
      <c r="AQ169" s="43"/>
      <c r="AR169" s="43"/>
      <c r="AS169" s="43"/>
      <c r="AT169" s="43"/>
      <c r="AU169" s="43"/>
      <c r="AV169" s="43"/>
      <c r="AW169" s="43"/>
      <c r="AX169" s="43"/>
      <c r="AY169" s="43"/>
      <c r="AZ169" s="43"/>
    </row>
    <row r="170">
      <c r="A170" s="78" t="s">
        <v>1251</v>
      </c>
      <c r="B170" s="63" t="s">
        <v>1039</v>
      </c>
      <c r="C170" s="64" t="s">
        <v>1252</v>
      </c>
      <c r="D170" s="47" t="s">
        <v>1253</v>
      </c>
      <c r="E170" s="64" t="s">
        <v>59</v>
      </c>
      <c r="F170" s="31" t="s">
        <v>60</v>
      </c>
      <c r="G170" s="31"/>
      <c r="H170" s="31"/>
      <c r="I170" s="31" t="s">
        <v>60</v>
      </c>
      <c r="J170" s="31"/>
      <c r="K170" s="31"/>
      <c r="L170" s="32" t="str">
        <f>IFERROR(__xludf.DUMMYFUNCTION("VLOOKUP($A170,IMPORTRANGE(""1PQtfbQLqBUP-rjYRznmgNFBLOjvAnhGzpIx7BJWq8rk"",""'Worksheet'!$B$2:$H""),7,FALSE)"),"#N/A")</f>
        <v>#N/A</v>
      </c>
      <c r="M170" s="31" t="s">
        <v>60</v>
      </c>
      <c r="N170" s="49">
        <v>1.543347854E7</v>
      </c>
      <c r="O170" s="49">
        <v>1.543347854E7</v>
      </c>
      <c r="P170" s="49">
        <f t="shared" si="29"/>
        <v>0</v>
      </c>
      <c r="Q170" s="34">
        <f t="shared" si="7"/>
        <v>0</v>
      </c>
      <c r="R170" s="31"/>
      <c r="S170" s="31" t="s">
        <v>60</v>
      </c>
      <c r="T170" s="88">
        <v>1.466180461E7</v>
      </c>
      <c r="U170" s="88">
        <v>1.466180461E7</v>
      </c>
      <c r="V170" s="88">
        <f>T170-U170</f>
        <v>0</v>
      </c>
      <c r="W170" s="31"/>
      <c r="X170" s="52" t="s">
        <v>113</v>
      </c>
      <c r="Y170" s="54"/>
      <c r="Z170" s="54"/>
      <c r="AA170" s="54" t="s">
        <v>114</v>
      </c>
      <c r="AB170" s="38" t="s">
        <v>115</v>
      </c>
      <c r="AC170" s="38"/>
      <c r="AD170" s="39">
        <v>15600.0</v>
      </c>
      <c r="AE170" s="39">
        <v>15433.47854</v>
      </c>
      <c r="AF170" s="39">
        <v>166.52146</v>
      </c>
      <c r="AG170" s="57" t="s">
        <v>1254</v>
      </c>
      <c r="AH170" s="42" t="s">
        <v>1191</v>
      </c>
      <c r="AI170" s="42" t="str">
        <f>IFERROR(__xludf.DUMMYFUNCTION("vLOOKUP(A170,IMPORTRANGE(""https://docs.google.com/spreadsheets/d/1Rawwwdh8wntXGy8isdYNHxsNQS4n_rC8JSdPfj6vEq4"",""'500 объектов перенос на 2026'!A3:AB502""),13,0)"),"#REF!")</f>
        <v>#REF!</v>
      </c>
      <c r="AJ170" s="42" t="str">
        <f>IFERROR(__xludf.DUMMYFUNCTION("vLOOKUP(A170,IMPORTRANGE(""https://docs.google.com/spreadsheets/d/1Rawwwdh8wntXGy8isdYNHxsNQS4n_rC8JSdPfj6vEq4"",""'500 объектов перенос на 2026'!A3:AB502""),14,0)"),"#REF!")</f>
        <v>#REF!</v>
      </c>
      <c r="AK170" s="76" t="s">
        <v>114</v>
      </c>
      <c r="AL170" s="70"/>
      <c r="AM170" s="70"/>
      <c r="AN170" s="43"/>
      <c r="AO170" s="43"/>
      <c r="AP170" s="43"/>
      <c r="AQ170" s="43"/>
      <c r="AR170" s="43"/>
      <c r="AS170" s="43"/>
      <c r="AT170" s="43"/>
      <c r="AU170" s="43"/>
      <c r="AV170" s="43"/>
      <c r="AW170" s="43"/>
      <c r="AX170" s="43"/>
      <c r="AY170" s="43"/>
      <c r="AZ170" s="43"/>
    </row>
    <row r="171">
      <c r="A171" s="62" t="s">
        <v>1255</v>
      </c>
      <c r="B171" s="63" t="s">
        <v>736</v>
      </c>
      <c r="C171" s="64" t="s">
        <v>1256</v>
      </c>
      <c r="D171" s="47" t="s">
        <v>101</v>
      </c>
      <c r="E171" s="64" t="s">
        <v>59</v>
      </c>
      <c r="F171" s="31" t="s">
        <v>60</v>
      </c>
      <c r="G171" s="31"/>
      <c r="H171" s="31"/>
      <c r="I171" s="31" t="s">
        <v>60</v>
      </c>
      <c r="J171" s="31"/>
      <c r="K171" s="31"/>
      <c r="L171" s="32">
        <f>IFERROR(__xludf.DUMMYFUNCTION("VLOOKUP($A171,IMPORTRANGE(""1PQtfbQLqBUP-rjYRznmgNFBLOjvAnhGzpIx7BJWq8rk"",""'Worksheet'!$B$2:$H""),7,FALSE)"),1.0)</f>
        <v>1</v>
      </c>
      <c r="M171" s="31" t="s">
        <v>45</v>
      </c>
      <c r="N171" s="49">
        <v>1.9233486089E8</v>
      </c>
      <c r="O171" s="49">
        <v>1.2158925844E8</v>
      </c>
      <c r="P171" s="49">
        <f t="shared" si="29"/>
        <v>70745602.45</v>
      </c>
      <c r="Q171" s="34">
        <f t="shared" si="7"/>
        <v>0.3678251676</v>
      </c>
      <c r="R171" s="31"/>
      <c r="S171" s="31" t="s">
        <v>45</v>
      </c>
      <c r="T171" s="84" t="s">
        <v>1257</v>
      </c>
      <c r="U171" s="84" t="s">
        <v>1258</v>
      </c>
      <c r="V171" s="84" t="s">
        <v>1259</v>
      </c>
      <c r="W171" s="31" t="s">
        <v>148</v>
      </c>
      <c r="X171" s="52" t="s">
        <v>741</v>
      </c>
      <c r="Y171" s="54" t="s">
        <v>1260</v>
      </c>
      <c r="Z171" s="54" t="s">
        <v>774</v>
      </c>
      <c r="AA171" s="68">
        <v>46185.0</v>
      </c>
      <c r="AB171" s="56"/>
      <c r="AC171" s="38"/>
      <c r="AD171" s="39">
        <v>303726.38</v>
      </c>
      <c r="AE171" s="39">
        <v>151863.0</v>
      </c>
      <c r="AF171" s="40">
        <v>151863.38</v>
      </c>
      <c r="AG171" s="57" t="s">
        <v>1261</v>
      </c>
      <c r="AH171" s="42" t="s">
        <v>1262</v>
      </c>
      <c r="AI171" s="42" t="str">
        <f>IFERROR(__xludf.DUMMYFUNCTION("vLOOKUP(A171,IMPORTRANGE(""https://docs.google.com/spreadsheets/d/1Rawwwdh8wntXGy8isdYNHxsNQS4n_rC8JSdPfj6vEq4"",""'500 объектов перенос на 2026'!A3:AB502""),13,0)"),"#REF!")</f>
        <v>#REF!</v>
      </c>
      <c r="AJ171" s="42" t="str">
        <f>IFERROR(__xludf.DUMMYFUNCTION("vLOOKUP(A171,IMPORTRANGE(""https://docs.google.com/spreadsheets/d/1Rawwwdh8wntXGy8isdYNHxsNQS4n_rC8JSdPfj6vEq4"",""'500 объектов перенос на 2026'!A3:AB502""),14,0)"),"#REF!")</f>
        <v>#REF!</v>
      </c>
      <c r="AK171" s="75" t="s">
        <v>1263</v>
      </c>
      <c r="AL171" s="70" t="s">
        <v>1264</v>
      </c>
      <c r="AM171" s="70"/>
      <c r="AN171" s="43"/>
      <c r="AO171" s="43"/>
      <c r="AP171" s="43"/>
      <c r="AQ171" s="43"/>
      <c r="AR171" s="43"/>
      <c r="AS171" s="43"/>
      <c r="AT171" s="43"/>
      <c r="AU171" s="43"/>
      <c r="AV171" s="43"/>
      <c r="AW171" s="43"/>
      <c r="AX171" s="43"/>
      <c r="AY171" s="43"/>
      <c r="AZ171" s="43"/>
    </row>
    <row r="172">
      <c r="A172" s="62" t="s">
        <v>1265</v>
      </c>
      <c r="B172" s="63" t="s">
        <v>268</v>
      </c>
      <c r="C172" s="64" t="s">
        <v>1266</v>
      </c>
      <c r="D172" s="47" t="s">
        <v>1041</v>
      </c>
      <c r="E172" s="64" t="s">
        <v>85</v>
      </c>
      <c r="F172" s="31" t="s">
        <v>60</v>
      </c>
      <c r="G172" s="31"/>
      <c r="H172" s="31"/>
      <c r="I172" s="31" t="s">
        <v>40</v>
      </c>
      <c r="J172" s="31" t="s">
        <v>61</v>
      </c>
      <c r="K172" s="31" t="s">
        <v>72</v>
      </c>
      <c r="L172" s="32">
        <f>IFERROR(__xludf.DUMMYFUNCTION("VLOOKUP($A172,IMPORTRANGE(""1PQtfbQLqBUP-rjYRznmgNFBLOjvAnhGzpIx7BJWq8rk"",""'Worksheet'!$B$2:$H""),7,FALSE)"),0.98)</f>
        <v>0.98</v>
      </c>
      <c r="M172" s="31" t="s">
        <v>40</v>
      </c>
      <c r="N172" s="49">
        <v>5.7067164E7</v>
      </c>
      <c r="O172" s="49">
        <v>1.71201492E7</v>
      </c>
      <c r="P172" s="49">
        <f t="shared" si="29"/>
        <v>39947014.8</v>
      </c>
      <c r="Q172" s="34">
        <f t="shared" si="7"/>
        <v>0.7</v>
      </c>
      <c r="R172" s="31"/>
      <c r="S172" s="31" t="s">
        <v>40</v>
      </c>
      <c r="T172" s="84" t="s">
        <v>1267</v>
      </c>
      <c r="U172" s="84">
        <v>0.0</v>
      </c>
      <c r="V172" s="84" t="s">
        <v>1267</v>
      </c>
      <c r="W172" s="31"/>
      <c r="X172" s="52" t="s">
        <v>1268</v>
      </c>
      <c r="Y172" s="54" t="s">
        <v>1269</v>
      </c>
      <c r="Z172" s="54" t="s">
        <v>851</v>
      </c>
      <c r="AA172" s="68">
        <v>46251.0</v>
      </c>
      <c r="AB172" s="56"/>
      <c r="AC172" s="38"/>
      <c r="AD172" s="39">
        <v>57067.16</v>
      </c>
      <c r="AE172" s="39">
        <v>17120.1492</v>
      </c>
      <c r="AF172" s="40">
        <v>39947.0108</v>
      </c>
      <c r="AG172" s="57" t="s">
        <v>1270</v>
      </c>
      <c r="AH172" s="42" t="s">
        <v>49</v>
      </c>
      <c r="AI172" s="42" t="str">
        <f>IFERROR(__xludf.DUMMYFUNCTION("vLOOKUP(A172,IMPORTRANGE(""https://docs.google.com/spreadsheets/d/1Rawwwdh8wntXGy8isdYNHxsNQS4n_rC8JSdPfj6vEq4"",""'500 объектов перенос на 2026'!A3:AB502""),13,0)"),"#REF!")</f>
        <v>#REF!</v>
      </c>
      <c r="AJ172" s="42" t="str">
        <f>IFERROR(__xludf.DUMMYFUNCTION("vLOOKUP(A172,IMPORTRANGE(""https://docs.google.com/spreadsheets/d/1Rawwwdh8wntXGy8isdYNHxsNQS4n_rC8JSdPfj6vEq4"",""'500 объектов перенос на 2026'!A3:AB502""),14,0)"),"#REF!")</f>
        <v>#REF!</v>
      </c>
      <c r="AK172" s="75" t="s">
        <v>1271</v>
      </c>
      <c r="AL172" s="70" t="s">
        <v>1272</v>
      </c>
      <c r="AM172" s="70"/>
      <c r="AN172" s="43"/>
      <c r="AO172" s="43"/>
      <c r="AP172" s="43"/>
      <c r="AQ172" s="43"/>
      <c r="AR172" s="43"/>
      <c r="AS172" s="43"/>
      <c r="AT172" s="43"/>
      <c r="AU172" s="43"/>
      <c r="AV172" s="43"/>
      <c r="AW172" s="43"/>
      <c r="AX172" s="43"/>
      <c r="AY172" s="43"/>
      <c r="AZ172" s="43"/>
    </row>
    <row r="173">
      <c r="A173" s="78" t="s">
        <v>1273</v>
      </c>
      <c r="B173" s="63" t="s">
        <v>1274</v>
      </c>
      <c r="C173" s="64" t="s">
        <v>1275</v>
      </c>
      <c r="D173" s="47" t="s">
        <v>1276</v>
      </c>
      <c r="E173" s="64" t="s">
        <v>85</v>
      </c>
      <c r="F173" s="31" t="s">
        <v>60</v>
      </c>
      <c r="G173" s="31"/>
      <c r="H173" s="31"/>
      <c r="I173" s="31" t="s">
        <v>60</v>
      </c>
      <c r="J173" s="31"/>
      <c r="K173" s="31"/>
      <c r="L173" s="32" t="str">
        <f>IFERROR(__xludf.DUMMYFUNCTION("VLOOKUP($A173,IMPORTRANGE(""1PQtfbQLqBUP-rjYRznmgNFBLOjvAnhGzpIx7BJWq8rk"",""'Worksheet'!$B$2:$H""),7,FALSE)"),"#N/A")</f>
        <v>#N/A</v>
      </c>
      <c r="M173" s="31" t="s">
        <v>60</v>
      </c>
      <c r="N173" s="49">
        <v>6.0686698E7</v>
      </c>
      <c r="O173" s="49">
        <v>4.763543801E7</v>
      </c>
      <c r="P173" s="49">
        <v>0.0</v>
      </c>
      <c r="Q173" s="34">
        <f t="shared" si="7"/>
        <v>0.2150596493</v>
      </c>
      <c r="R173" s="31"/>
      <c r="S173" s="31" t="s">
        <v>60</v>
      </c>
      <c r="T173" s="91">
        <v>0.0</v>
      </c>
      <c r="U173" s="91">
        <v>0.0</v>
      </c>
      <c r="V173" s="91">
        <v>0.0</v>
      </c>
      <c r="W173" s="31"/>
      <c r="X173" s="52" t="s">
        <v>113</v>
      </c>
      <c r="Y173" s="54" t="s">
        <v>114</v>
      </c>
      <c r="Z173" s="54"/>
      <c r="AA173" s="54" t="s">
        <v>114</v>
      </c>
      <c r="AB173" s="38" t="s">
        <v>115</v>
      </c>
      <c r="AC173" s="38"/>
      <c r="AD173" s="39">
        <v>60686.6983</v>
      </c>
      <c r="AE173" s="39">
        <v>47635.43801</v>
      </c>
      <c r="AF173" s="39">
        <v>13051.26029</v>
      </c>
      <c r="AG173" s="57" t="s">
        <v>1277</v>
      </c>
      <c r="AH173" s="42" t="s">
        <v>1278</v>
      </c>
      <c r="AI173" s="42" t="str">
        <f>IFERROR(__xludf.DUMMYFUNCTION("vLOOKUP(A173,IMPORTRANGE(""https://docs.google.com/spreadsheets/d/1Rawwwdh8wntXGy8isdYNHxsNQS4n_rC8JSdPfj6vEq4"",""'500 объектов перенос на 2026'!A3:AB502""),13,0)"),"#REF!")</f>
        <v>#REF!</v>
      </c>
      <c r="AJ173" s="42" t="str">
        <f>IFERROR(__xludf.DUMMYFUNCTION("vLOOKUP(A173,IMPORTRANGE(""https://docs.google.com/spreadsheets/d/1Rawwwdh8wntXGy8isdYNHxsNQS4n_rC8JSdPfj6vEq4"",""'500 объектов перенос на 2026'!A3:AB502""),14,0)"),"#REF!")</f>
        <v>#REF!</v>
      </c>
      <c r="AK173" s="76" t="s">
        <v>114</v>
      </c>
      <c r="AL173" s="70"/>
      <c r="AM173" s="70"/>
      <c r="AN173" s="43"/>
      <c r="AO173" s="43"/>
      <c r="AP173" s="43"/>
      <c r="AQ173" s="43"/>
      <c r="AR173" s="43"/>
      <c r="AS173" s="43"/>
      <c r="AT173" s="43"/>
      <c r="AU173" s="43"/>
      <c r="AV173" s="43"/>
      <c r="AW173" s="43"/>
      <c r="AX173" s="43"/>
      <c r="AY173" s="43"/>
      <c r="AZ173" s="43"/>
    </row>
    <row r="174">
      <c r="A174" s="78" t="s">
        <v>1279</v>
      </c>
      <c r="B174" s="63" t="s">
        <v>1274</v>
      </c>
      <c r="C174" s="150" t="s">
        <v>1280</v>
      </c>
      <c r="D174" s="47" t="s">
        <v>1276</v>
      </c>
      <c r="E174" s="64" t="s">
        <v>85</v>
      </c>
      <c r="F174" s="31" t="s">
        <v>60</v>
      </c>
      <c r="G174" s="31"/>
      <c r="H174" s="31"/>
      <c r="I174" s="31" t="s">
        <v>60</v>
      </c>
      <c r="J174" s="31"/>
      <c r="K174" s="31"/>
      <c r="L174" s="32">
        <f>IFERROR(__xludf.DUMMYFUNCTION("VLOOKUP($A174,IMPORTRANGE(""1PQtfbQLqBUP-rjYRznmgNFBLOjvAnhGzpIx7BJWq8rk"",""'Worksheet'!$B$2:$H""),7,FALSE)"),1.0)</f>
        <v>1</v>
      </c>
      <c r="M174" s="31" t="s">
        <v>60</v>
      </c>
      <c r="N174" s="49">
        <v>3.657120722E7</v>
      </c>
      <c r="O174" s="49">
        <v>2.882576682E7</v>
      </c>
      <c r="P174" s="49">
        <v>0.0</v>
      </c>
      <c r="Q174" s="34">
        <f t="shared" si="7"/>
        <v>0.2117906678</v>
      </c>
      <c r="R174" s="31"/>
      <c r="S174" s="31" t="s">
        <v>60</v>
      </c>
      <c r="T174" s="50" t="s">
        <v>1281</v>
      </c>
      <c r="U174" s="51" t="s">
        <v>1282</v>
      </c>
      <c r="V174" s="51" t="s">
        <v>1283</v>
      </c>
      <c r="W174" s="31"/>
      <c r="X174" s="52" t="s">
        <v>113</v>
      </c>
      <c r="Y174" s="54" t="s">
        <v>114</v>
      </c>
      <c r="Z174" s="54"/>
      <c r="AA174" s="54" t="s">
        <v>114</v>
      </c>
      <c r="AB174" s="38" t="s">
        <v>115</v>
      </c>
      <c r="AC174" s="38"/>
      <c r="AD174" s="39">
        <v>36571.21</v>
      </c>
      <c r="AE174" s="39">
        <v>28825.56983</v>
      </c>
      <c r="AF174" s="39">
        <v>7745.64017</v>
      </c>
      <c r="AG174" s="57" t="s">
        <v>1284</v>
      </c>
      <c r="AH174" s="42" t="s">
        <v>1285</v>
      </c>
      <c r="AI174" s="42" t="str">
        <f>IFERROR(__xludf.DUMMYFUNCTION("vLOOKUP(A174,IMPORTRANGE(""https://docs.google.com/spreadsheets/d/1Rawwwdh8wntXGy8isdYNHxsNQS4n_rC8JSdPfj6vEq4"",""'500 объектов перенос на 2026'!A3:AB502""),13,0)"),"#REF!")</f>
        <v>#REF!</v>
      </c>
      <c r="AJ174" s="42" t="str">
        <f>IFERROR(__xludf.DUMMYFUNCTION("vLOOKUP(A174,IMPORTRANGE(""https://docs.google.com/spreadsheets/d/1Rawwwdh8wntXGy8isdYNHxsNQS4n_rC8JSdPfj6vEq4"",""'500 объектов перенос на 2026'!A3:AB502""),14,0)"),"#REF!")</f>
        <v>#REF!</v>
      </c>
      <c r="AK174" s="76" t="s">
        <v>114</v>
      </c>
      <c r="AL174" s="70"/>
      <c r="AM174" s="70"/>
      <c r="AN174" s="43"/>
      <c r="AO174" s="43"/>
      <c r="AP174" s="43"/>
      <c r="AQ174" s="43"/>
      <c r="AR174" s="43"/>
      <c r="AS174" s="43"/>
      <c r="AT174" s="43"/>
      <c r="AU174" s="43"/>
      <c r="AV174" s="43"/>
      <c r="AW174" s="43"/>
      <c r="AX174" s="43"/>
      <c r="AY174" s="43"/>
      <c r="AZ174" s="43"/>
    </row>
    <row r="175">
      <c r="A175" s="62" t="s">
        <v>1286</v>
      </c>
      <c r="B175" s="63" t="s">
        <v>1287</v>
      </c>
      <c r="C175" s="64" t="s">
        <v>1288</v>
      </c>
      <c r="D175" s="47" t="s">
        <v>1210</v>
      </c>
      <c r="E175" s="64" t="s">
        <v>85</v>
      </c>
      <c r="F175" s="31" t="s">
        <v>60</v>
      </c>
      <c r="G175" s="31"/>
      <c r="H175" s="31"/>
      <c r="I175" s="31" t="s">
        <v>40</v>
      </c>
      <c r="J175" s="31" t="s">
        <v>61</v>
      </c>
      <c r="K175" s="31" t="s">
        <v>62</v>
      </c>
      <c r="L175" s="32">
        <f>IFERROR(__xludf.DUMMYFUNCTION("VLOOKUP($A175,IMPORTRANGE(""1PQtfbQLqBUP-rjYRznmgNFBLOjvAnhGzpIx7BJWq8rk"",""'Worksheet'!$B$2:$H""),7,FALSE)"),0.95)</f>
        <v>0.95</v>
      </c>
      <c r="M175" s="31" t="s">
        <v>40</v>
      </c>
      <c r="N175" s="49">
        <v>5.6856463E7</v>
      </c>
      <c r="O175" s="49">
        <v>1.70569389E7</v>
      </c>
      <c r="P175" s="49">
        <f t="shared" ref="P175:P179" si="30">N175-O175</f>
        <v>39799524.1</v>
      </c>
      <c r="Q175" s="34">
        <f t="shared" si="7"/>
        <v>0.7</v>
      </c>
      <c r="R175" s="31"/>
      <c r="S175" s="31" t="s">
        <v>40</v>
      </c>
      <c r="T175" s="50" t="s">
        <v>1289</v>
      </c>
      <c r="U175" s="51">
        <v>0.0</v>
      </c>
      <c r="V175" s="51" t="s">
        <v>1289</v>
      </c>
      <c r="W175" s="31"/>
      <c r="X175" s="52" t="s">
        <v>1290</v>
      </c>
      <c r="Y175" s="54" t="s">
        <v>1291</v>
      </c>
      <c r="Z175" s="54" t="s">
        <v>1292</v>
      </c>
      <c r="AA175" s="74">
        <v>46295.0</v>
      </c>
      <c r="AB175" s="56"/>
      <c r="AC175" s="38" t="s">
        <v>1293</v>
      </c>
      <c r="AD175" s="39">
        <v>56856.46</v>
      </c>
      <c r="AE175" s="39">
        <v>17056.9389</v>
      </c>
      <c r="AF175" s="40">
        <v>39799.5211</v>
      </c>
      <c r="AG175" s="57" t="s">
        <v>1294</v>
      </c>
      <c r="AH175" s="42" t="s">
        <v>1295</v>
      </c>
      <c r="AI175" s="42" t="str">
        <f>IFERROR(__xludf.DUMMYFUNCTION("vLOOKUP(A175,IMPORTRANGE(""https://docs.google.com/spreadsheets/d/1Rawwwdh8wntXGy8isdYNHxsNQS4n_rC8JSdPfj6vEq4"",""'500 объектов перенос на 2026'!A3:AB502""),13,0)"),"#REF!")</f>
        <v>#REF!</v>
      </c>
      <c r="AJ175" s="42" t="str">
        <f>IFERROR(__xludf.DUMMYFUNCTION("vLOOKUP(A175,IMPORTRANGE(""https://docs.google.com/spreadsheets/d/1Rawwwdh8wntXGy8isdYNHxsNQS4n_rC8JSdPfj6vEq4"",""'500 объектов перенос на 2026'!A3:AB502""),14,0)"),"#REF!")</f>
        <v>#REF!</v>
      </c>
      <c r="AK175" s="75" t="s">
        <v>1296</v>
      </c>
      <c r="AL175" s="153" t="s">
        <v>1297</v>
      </c>
      <c r="AM175" s="153"/>
      <c r="AN175" s="43"/>
      <c r="AO175" s="43"/>
      <c r="AP175" s="43"/>
      <c r="AQ175" s="43"/>
      <c r="AR175" s="43"/>
      <c r="AS175" s="43"/>
      <c r="AT175" s="43"/>
      <c r="AU175" s="43"/>
      <c r="AV175" s="43"/>
      <c r="AW175" s="43"/>
      <c r="AX175" s="43"/>
      <c r="AY175" s="43"/>
      <c r="AZ175" s="43"/>
    </row>
    <row r="176">
      <c r="A176" s="62" t="s">
        <v>1298</v>
      </c>
      <c r="B176" s="63" t="s">
        <v>1299</v>
      </c>
      <c r="C176" s="64" t="s">
        <v>1300</v>
      </c>
      <c r="D176" s="47" t="s">
        <v>585</v>
      </c>
      <c r="E176" s="64" t="s">
        <v>85</v>
      </c>
      <c r="F176" s="31" t="s">
        <v>60</v>
      </c>
      <c r="G176" s="31"/>
      <c r="H176" s="31"/>
      <c r="I176" s="31" t="s">
        <v>40</v>
      </c>
      <c r="J176" s="31" t="s">
        <v>102</v>
      </c>
      <c r="K176" s="31" t="s">
        <v>62</v>
      </c>
      <c r="L176" s="32">
        <f>IFERROR(__xludf.DUMMYFUNCTION("VLOOKUP($A176,IMPORTRANGE(""1PQtfbQLqBUP-rjYRznmgNFBLOjvAnhGzpIx7BJWq8rk"",""'Worksheet'!$B$2:$H""),7,FALSE)"),0.71)</f>
        <v>0.71</v>
      </c>
      <c r="M176" s="31" t="s">
        <v>45</v>
      </c>
      <c r="N176" s="49">
        <v>5.89E7</v>
      </c>
      <c r="O176" s="49">
        <v>2.005998027E7</v>
      </c>
      <c r="P176" s="49">
        <f t="shared" si="30"/>
        <v>38840019.73</v>
      </c>
      <c r="Q176" s="34">
        <f t="shared" si="7"/>
        <v>0.6594230854</v>
      </c>
      <c r="R176" s="31"/>
      <c r="S176" s="31" t="s">
        <v>45</v>
      </c>
      <c r="T176" s="72" t="s">
        <v>1301</v>
      </c>
      <c r="U176" s="67" t="s">
        <v>1302</v>
      </c>
      <c r="V176" s="67" t="s">
        <v>1303</v>
      </c>
      <c r="W176" s="31"/>
      <c r="X176" s="52" t="s">
        <v>1304</v>
      </c>
      <c r="Y176" s="54" t="s">
        <v>1305</v>
      </c>
      <c r="Z176" s="54" t="s">
        <v>1306</v>
      </c>
      <c r="AA176" s="74">
        <v>46203.0</v>
      </c>
      <c r="AB176" s="56"/>
      <c r="AC176" s="38"/>
      <c r="AD176" s="39">
        <v>58900.0</v>
      </c>
      <c r="AE176" s="39">
        <v>20059.98027</v>
      </c>
      <c r="AF176" s="40">
        <v>38840.01973</v>
      </c>
      <c r="AG176" s="57" t="s">
        <v>1307</v>
      </c>
      <c r="AH176" s="42" t="s">
        <v>1308</v>
      </c>
      <c r="AI176" s="42" t="str">
        <f>IFERROR(__xludf.DUMMYFUNCTION("vLOOKUP(A176,IMPORTRANGE(""https://docs.google.com/spreadsheets/d/1Rawwwdh8wntXGy8isdYNHxsNQS4n_rC8JSdPfj6vEq4"",""'500 объектов перенос на 2026'!A3:AB502""),13,0)"),"#REF!")</f>
        <v>#REF!</v>
      </c>
      <c r="AJ176" s="42" t="str">
        <f>IFERROR(__xludf.DUMMYFUNCTION("vLOOKUP(A176,IMPORTRANGE(""https://docs.google.com/spreadsheets/d/1Rawwwdh8wntXGy8isdYNHxsNQS4n_rC8JSdPfj6vEq4"",""'500 объектов перенос на 2026'!A3:AB502""),14,0)"),"#REF!")</f>
        <v>#REF!</v>
      </c>
      <c r="AK176" s="76" t="s">
        <v>1309</v>
      </c>
      <c r="AL176" s="70"/>
      <c r="AM176" s="70"/>
      <c r="AN176" s="43"/>
      <c r="AO176" s="43"/>
      <c r="AP176" s="43"/>
      <c r="AQ176" s="43"/>
      <c r="AR176" s="43"/>
      <c r="AS176" s="43"/>
      <c r="AT176" s="43"/>
      <c r="AU176" s="43"/>
      <c r="AV176" s="43"/>
      <c r="AW176" s="43"/>
      <c r="AX176" s="43"/>
      <c r="AY176" s="43"/>
      <c r="AZ176" s="43"/>
    </row>
    <row r="177">
      <c r="A177" s="62" t="s">
        <v>1310</v>
      </c>
      <c r="B177" s="63" t="s">
        <v>392</v>
      </c>
      <c r="C177" s="104" t="s">
        <v>1311</v>
      </c>
      <c r="D177" s="47" t="s">
        <v>727</v>
      </c>
      <c r="E177" s="64" t="s">
        <v>39</v>
      </c>
      <c r="F177" s="31" t="s">
        <v>60</v>
      </c>
      <c r="G177" s="31"/>
      <c r="H177" s="31"/>
      <c r="I177" s="31" t="s">
        <v>40</v>
      </c>
      <c r="J177" s="31" t="s">
        <v>61</v>
      </c>
      <c r="K177" s="31" t="s">
        <v>72</v>
      </c>
      <c r="L177" s="32">
        <f>IFERROR(__xludf.DUMMYFUNCTION("VLOOKUP($A177,IMPORTRANGE(""1PQtfbQLqBUP-rjYRznmgNFBLOjvAnhGzpIx7BJWq8rk"",""'Worksheet'!$B$2:$H""),7,FALSE)"),0.95)</f>
        <v>0.95</v>
      </c>
      <c r="M177" s="31" t="s">
        <v>45</v>
      </c>
      <c r="N177" s="49">
        <v>9.107843348E7</v>
      </c>
      <c r="O177" s="49">
        <v>5.247305399E7</v>
      </c>
      <c r="P177" s="49">
        <f t="shared" si="30"/>
        <v>38605379.49</v>
      </c>
      <c r="Q177" s="34">
        <f t="shared" si="7"/>
        <v>0.4238696035</v>
      </c>
      <c r="R177" s="31"/>
      <c r="S177" s="31" t="s">
        <v>40</v>
      </c>
      <c r="T177" s="50">
        <f>N177*0.95</f>
        <v>86524511.81</v>
      </c>
      <c r="U177" s="51">
        <v>0.0</v>
      </c>
      <c r="V177" s="51">
        <v>8.6524511806E7</v>
      </c>
      <c r="W177" s="31"/>
      <c r="X177" s="52" t="s">
        <v>46</v>
      </c>
      <c r="Y177" s="73" t="s">
        <v>46</v>
      </c>
      <c r="Z177" s="68"/>
      <c r="AA177" s="68">
        <v>46244.0</v>
      </c>
      <c r="AB177" s="56"/>
      <c r="AC177" s="38" t="s">
        <v>1312</v>
      </c>
      <c r="AD177" s="39" t="s">
        <v>1313</v>
      </c>
      <c r="AE177" s="39">
        <v>3078.8</v>
      </c>
      <c r="AF177" s="40">
        <v>89913.71</v>
      </c>
      <c r="AG177" s="57" t="s">
        <v>1314</v>
      </c>
      <c r="AH177" s="42" t="s">
        <v>1315</v>
      </c>
      <c r="AI177" s="42" t="str">
        <f>IFERROR(__xludf.DUMMYFUNCTION("vLOOKUP(A177,IMPORTRANGE(""https://docs.google.com/spreadsheets/d/1Rawwwdh8wntXGy8isdYNHxsNQS4n_rC8JSdPfj6vEq4"",""'500 объектов перенос на 2026'!A3:AB502""),13,0)"),"#REF!")</f>
        <v>#REF!</v>
      </c>
      <c r="AJ177" s="42" t="str">
        <f>IFERROR(__xludf.DUMMYFUNCTION("vLOOKUP(A177,IMPORTRANGE(""https://docs.google.com/spreadsheets/d/1Rawwwdh8wntXGy8isdYNHxsNQS4n_rC8JSdPfj6vEq4"",""'500 объектов перенос на 2026'!A3:AB502""),14,0)"),"#REF!")</f>
        <v>#REF!</v>
      </c>
      <c r="AK177" s="58" t="s">
        <v>1316</v>
      </c>
      <c r="AL177" s="76" t="s">
        <v>1317</v>
      </c>
      <c r="AM177" s="70"/>
      <c r="AN177" s="43"/>
      <c r="AO177" s="43"/>
      <c r="AP177" s="43"/>
      <c r="AQ177" s="43"/>
      <c r="AR177" s="43"/>
      <c r="AS177" s="43"/>
      <c r="AT177" s="43"/>
      <c r="AU177" s="43"/>
      <c r="AV177" s="43"/>
      <c r="AW177" s="43"/>
      <c r="AX177" s="43"/>
      <c r="AY177" s="43"/>
      <c r="AZ177" s="43"/>
    </row>
    <row r="178">
      <c r="A178" s="62" t="s">
        <v>1318</v>
      </c>
      <c r="B178" s="63" t="s">
        <v>56</v>
      </c>
      <c r="C178" s="90" t="s">
        <v>1319</v>
      </c>
      <c r="D178" s="105" t="s">
        <v>1320</v>
      </c>
      <c r="E178" s="64" t="s">
        <v>324</v>
      </c>
      <c r="F178" s="31" t="s">
        <v>60</v>
      </c>
      <c r="G178" s="31"/>
      <c r="H178" s="31"/>
      <c r="I178" s="31" t="s">
        <v>40</v>
      </c>
      <c r="J178" s="31" t="s">
        <v>61</v>
      </c>
      <c r="K178" s="31" t="s">
        <v>72</v>
      </c>
      <c r="L178" s="32">
        <f>IFERROR(__xludf.DUMMYFUNCTION("VLOOKUP($A178,IMPORTRANGE(""1PQtfbQLqBUP-rjYRznmgNFBLOjvAnhGzpIx7BJWq8rk"",""'Worksheet'!$B$2:$H""),7,FALSE)"),0.8)</f>
        <v>0.8</v>
      </c>
      <c r="M178" s="31" t="s">
        <v>40</v>
      </c>
      <c r="N178" s="49">
        <v>5.455015E7</v>
      </c>
      <c r="O178" s="49">
        <v>1.6365045E7</v>
      </c>
      <c r="P178" s="49">
        <f t="shared" si="30"/>
        <v>38185105</v>
      </c>
      <c r="Q178" s="34">
        <f t="shared" si="7"/>
        <v>0.7</v>
      </c>
      <c r="R178" s="31"/>
      <c r="S178" s="31" t="s">
        <v>45</v>
      </c>
      <c r="T178" s="72" t="s">
        <v>1321</v>
      </c>
      <c r="U178" s="67" t="s">
        <v>1322</v>
      </c>
      <c r="V178" s="67" t="s">
        <v>1323</v>
      </c>
      <c r="W178" s="31"/>
      <c r="X178" s="52" t="s">
        <v>1324</v>
      </c>
      <c r="Y178" s="54" t="s">
        <v>1325</v>
      </c>
      <c r="Z178" s="54"/>
      <c r="AA178" s="74">
        <v>46264.0</v>
      </c>
      <c r="AB178" s="56"/>
      <c r="AC178" s="38"/>
      <c r="AD178" s="39">
        <v>54550.15</v>
      </c>
      <c r="AE178" s="39">
        <v>16365.045</v>
      </c>
      <c r="AF178" s="40">
        <v>38185.105</v>
      </c>
      <c r="AG178" s="57" t="s">
        <v>1326</v>
      </c>
      <c r="AH178" s="69" t="s">
        <v>49</v>
      </c>
      <c r="AI178" s="42" t="str">
        <f>IFERROR(__xludf.DUMMYFUNCTION("vLOOKUP(A178,IMPORTRANGE(""https://docs.google.com/spreadsheets/d/1Rawwwdh8wntXGy8isdYNHxsNQS4n_rC8JSdPfj6vEq4"",""'500 объектов перенос на 2026'!A3:AB502""),13,0)"),"#REF!")</f>
        <v>#REF!</v>
      </c>
      <c r="AJ178" s="42" t="str">
        <f>IFERROR(__xludf.DUMMYFUNCTION("vLOOKUP(A178,IMPORTRANGE(""https://docs.google.com/spreadsheets/d/1Rawwwdh8wntXGy8isdYNHxsNQS4n_rC8JSdPfj6vEq4"",""'500 объектов перенос на 2026'!A3:AB502""),14,0)"),"#REF!")</f>
        <v>#REF!</v>
      </c>
      <c r="AK178" s="76" t="s">
        <v>1327</v>
      </c>
      <c r="AL178" s="70"/>
      <c r="AM178" s="70"/>
      <c r="AN178" s="43"/>
      <c r="AO178" s="43"/>
      <c r="AP178" s="43"/>
      <c r="AQ178" s="43"/>
      <c r="AR178" s="43"/>
      <c r="AS178" s="43"/>
      <c r="AT178" s="43"/>
      <c r="AU178" s="43"/>
      <c r="AV178" s="43"/>
      <c r="AW178" s="43"/>
      <c r="AX178" s="43"/>
      <c r="AY178" s="43"/>
      <c r="AZ178" s="43"/>
    </row>
    <row r="179">
      <c r="A179" s="62" t="s">
        <v>1328</v>
      </c>
      <c r="B179" s="63" t="s">
        <v>1329</v>
      </c>
      <c r="C179" s="64" t="s">
        <v>1330</v>
      </c>
      <c r="D179" s="47" t="s">
        <v>1331</v>
      </c>
      <c r="E179" s="64" t="s">
        <v>39</v>
      </c>
      <c r="F179" s="31" t="s">
        <v>60</v>
      </c>
      <c r="G179" s="31"/>
      <c r="H179" s="31"/>
      <c r="I179" s="31" t="s">
        <v>40</v>
      </c>
      <c r="J179" s="31" t="s">
        <v>61</v>
      </c>
      <c r="K179" s="31" t="s">
        <v>72</v>
      </c>
      <c r="L179" s="32">
        <f>IFERROR(__xludf.DUMMYFUNCTION("VLOOKUP($A179,IMPORTRANGE(""1PQtfbQLqBUP-rjYRznmgNFBLOjvAnhGzpIx7BJWq8rk"",""'Worksheet'!$B$2:$H""),7,FALSE)"),0.87)</f>
        <v>0.87</v>
      </c>
      <c r="M179" s="31" t="s">
        <v>40</v>
      </c>
      <c r="N179" s="49">
        <v>7.332625478E7</v>
      </c>
      <c r="O179" s="49">
        <v>3.573666844E7</v>
      </c>
      <c r="P179" s="49">
        <f t="shared" si="30"/>
        <v>37589586.34</v>
      </c>
      <c r="Q179" s="34">
        <f t="shared" si="7"/>
        <v>0.5126347507</v>
      </c>
      <c r="R179" s="31"/>
      <c r="S179" s="31" t="s">
        <v>45</v>
      </c>
      <c r="T179" s="50" t="s">
        <v>1332</v>
      </c>
      <c r="U179" s="51" t="s">
        <v>1333</v>
      </c>
      <c r="V179" s="51" t="s">
        <v>1334</v>
      </c>
      <c r="W179" s="31"/>
      <c r="X179" s="52" t="s">
        <v>507</v>
      </c>
      <c r="Y179" s="54" t="s">
        <v>1335</v>
      </c>
      <c r="Z179" s="54" t="s">
        <v>1336</v>
      </c>
      <c r="AA179" s="74">
        <v>46223.0</v>
      </c>
      <c r="AB179" s="56"/>
      <c r="AC179" s="38"/>
      <c r="AD179" s="39">
        <v>73326.25</v>
      </c>
      <c r="AE179" s="39">
        <v>35736.66844</v>
      </c>
      <c r="AF179" s="40">
        <v>37589.58156</v>
      </c>
      <c r="AG179" s="57" t="s">
        <v>1337</v>
      </c>
      <c r="AH179" s="42" t="s">
        <v>1338</v>
      </c>
      <c r="AI179" s="42" t="str">
        <f>IFERROR(__xludf.DUMMYFUNCTION("vLOOKUP(A179,IMPORTRANGE(""https://docs.google.com/spreadsheets/d/1Rawwwdh8wntXGy8isdYNHxsNQS4n_rC8JSdPfj6vEq4"",""'500 объектов перенос на 2026'!A3:AB502""),13,0)"),"#REF!")</f>
        <v>#REF!</v>
      </c>
      <c r="AJ179" s="42" t="str">
        <f>IFERROR(__xludf.DUMMYFUNCTION("vLOOKUP(A179,IMPORTRANGE(""https://docs.google.com/spreadsheets/d/1Rawwwdh8wntXGy8isdYNHxsNQS4n_rC8JSdPfj6vEq4"",""'500 объектов перенос на 2026'!A3:AB502""),14,0)"),"#REF!")</f>
        <v>#REF!</v>
      </c>
      <c r="AK179" s="76" t="s">
        <v>1339</v>
      </c>
      <c r="AL179" s="70"/>
      <c r="AM179" s="70"/>
      <c r="AN179" s="43"/>
      <c r="AO179" s="43"/>
      <c r="AP179" s="43"/>
      <c r="AQ179" s="43"/>
      <c r="AR179" s="43"/>
      <c r="AS179" s="43"/>
      <c r="AT179" s="43"/>
      <c r="AU179" s="43"/>
      <c r="AV179" s="43"/>
      <c r="AW179" s="43"/>
      <c r="AX179" s="43"/>
      <c r="AY179" s="43"/>
      <c r="AZ179" s="43"/>
    </row>
    <row r="180">
      <c r="A180" s="78" t="s">
        <v>1340</v>
      </c>
      <c r="B180" s="63" t="s">
        <v>1274</v>
      </c>
      <c r="C180" s="90" t="s">
        <v>1341</v>
      </c>
      <c r="D180" s="47" t="s">
        <v>112</v>
      </c>
      <c r="E180" s="64" t="s">
        <v>85</v>
      </c>
      <c r="F180" s="31" t="s">
        <v>60</v>
      </c>
      <c r="G180" s="31"/>
      <c r="H180" s="31"/>
      <c r="I180" s="31" t="s">
        <v>60</v>
      </c>
      <c r="J180" s="31"/>
      <c r="K180" s="31"/>
      <c r="L180" s="32">
        <f>IFERROR(__xludf.DUMMYFUNCTION("VLOOKUP($A180,IMPORTRANGE(""1PQtfbQLqBUP-rjYRznmgNFBLOjvAnhGzpIx7BJWq8rk"",""'Worksheet'!$B$2:$H""),7,FALSE)"),1.0)</f>
        <v>1</v>
      </c>
      <c r="M180" s="31" t="s">
        <v>60</v>
      </c>
      <c r="N180" s="49">
        <v>3.384570226E7</v>
      </c>
      <c r="O180" s="49">
        <v>2.98115417E7</v>
      </c>
      <c r="P180" s="49">
        <v>0.0</v>
      </c>
      <c r="Q180" s="34">
        <f t="shared" si="7"/>
        <v>0.1191926978</v>
      </c>
      <c r="R180" s="31"/>
      <c r="S180" s="31" t="s">
        <v>60</v>
      </c>
      <c r="T180" s="91">
        <v>2.739828722E7</v>
      </c>
      <c r="U180" s="91">
        <v>2.739828722E7</v>
      </c>
      <c r="V180" s="91">
        <v>0.0</v>
      </c>
      <c r="W180" s="31"/>
      <c r="X180" s="52" t="s">
        <v>113</v>
      </c>
      <c r="Y180" s="54" t="s">
        <v>114</v>
      </c>
      <c r="Z180" s="54"/>
      <c r="AA180" s="54" t="s">
        <v>114</v>
      </c>
      <c r="AB180" s="38" t="s">
        <v>115</v>
      </c>
      <c r="AC180" s="38"/>
      <c r="AD180" s="39">
        <v>36859.18</v>
      </c>
      <c r="AE180" s="39">
        <v>29811.54448</v>
      </c>
      <c r="AF180" s="39">
        <v>7047.63552</v>
      </c>
      <c r="AG180" s="57" t="s">
        <v>1342</v>
      </c>
      <c r="AH180" s="42"/>
      <c r="AI180" s="42" t="str">
        <f>IFERROR(__xludf.DUMMYFUNCTION("vLOOKUP(A180,IMPORTRANGE(""https://docs.google.com/spreadsheets/d/1Rawwwdh8wntXGy8isdYNHxsNQS4n_rC8JSdPfj6vEq4"",""'500 объектов перенос на 2026'!A3:AB502""),13,0)"),"#REF!")</f>
        <v>#REF!</v>
      </c>
      <c r="AJ180" s="42" t="str">
        <f>IFERROR(__xludf.DUMMYFUNCTION("vLOOKUP(A180,IMPORTRANGE(""https://docs.google.com/spreadsheets/d/1Rawwwdh8wntXGy8isdYNHxsNQS4n_rC8JSdPfj6vEq4"",""'500 объектов перенос на 2026'!A3:AB502""),14,0)"),"#REF!")</f>
        <v>#REF!</v>
      </c>
      <c r="AK180" s="76" t="s">
        <v>114</v>
      </c>
      <c r="AL180" s="76" t="s">
        <v>114</v>
      </c>
      <c r="AM180" s="76"/>
      <c r="AN180" s="76" t="s">
        <v>114</v>
      </c>
      <c r="AO180" s="43"/>
      <c r="AP180" s="43"/>
      <c r="AQ180" s="43"/>
      <c r="AR180" s="43"/>
      <c r="AS180" s="43"/>
      <c r="AT180" s="43"/>
      <c r="AU180" s="43"/>
      <c r="AV180" s="43"/>
      <c r="AW180" s="43"/>
      <c r="AX180" s="43"/>
      <c r="AY180" s="43"/>
      <c r="AZ180" s="43"/>
    </row>
    <row r="181">
      <c r="A181" s="78" t="s">
        <v>1343</v>
      </c>
      <c r="B181" s="63" t="s">
        <v>1274</v>
      </c>
      <c r="C181" s="150" t="s">
        <v>1344</v>
      </c>
      <c r="D181" s="47" t="s">
        <v>112</v>
      </c>
      <c r="E181" s="64" t="s">
        <v>85</v>
      </c>
      <c r="F181" s="31" t="s">
        <v>60</v>
      </c>
      <c r="G181" s="31"/>
      <c r="H181" s="31"/>
      <c r="I181" s="31" t="s">
        <v>60</v>
      </c>
      <c r="J181" s="31"/>
      <c r="K181" s="31"/>
      <c r="L181" s="32">
        <f>IFERROR(__xludf.DUMMYFUNCTION("VLOOKUP($A181,IMPORTRANGE(""1PQtfbQLqBUP-rjYRznmgNFBLOjvAnhGzpIx7BJWq8rk"",""'Worksheet'!$B$2:$H""),7,FALSE)"),1.0)</f>
        <v>1</v>
      </c>
      <c r="M181" s="31" t="s">
        <v>60</v>
      </c>
      <c r="N181" s="49">
        <v>4.235725141E7</v>
      </c>
      <c r="O181" s="49">
        <v>2.85876201E7</v>
      </c>
      <c r="P181" s="49">
        <v>0.0</v>
      </c>
      <c r="Q181" s="34">
        <f t="shared" si="7"/>
        <v>0.3250832113</v>
      </c>
      <c r="R181" s="31"/>
      <c r="S181" s="31" t="s">
        <v>60</v>
      </c>
      <c r="T181" s="91">
        <v>2.611722431E7</v>
      </c>
      <c r="U181" s="91">
        <v>2.611722431E7</v>
      </c>
      <c r="V181" s="91">
        <v>0.0</v>
      </c>
      <c r="W181" s="31"/>
      <c r="X181" s="52" t="s">
        <v>113</v>
      </c>
      <c r="Y181" s="54" t="s">
        <v>114</v>
      </c>
      <c r="Z181" s="54"/>
      <c r="AA181" s="54" t="s">
        <v>114</v>
      </c>
      <c r="AB181" s="38" t="s">
        <v>115</v>
      </c>
      <c r="AC181" s="38"/>
      <c r="AD181" s="39">
        <v>36763.2</v>
      </c>
      <c r="AE181" s="39">
        <v>28587.61579</v>
      </c>
      <c r="AF181" s="39">
        <v>8175.58421</v>
      </c>
      <c r="AG181" s="154"/>
      <c r="AH181" s="42"/>
      <c r="AI181" s="42" t="str">
        <f>IFERROR(__xludf.DUMMYFUNCTION("vLOOKUP(A181,IMPORTRANGE(""https://docs.google.com/spreadsheets/d/1Rawwwdh8wntXGy8isdYNHxsNQS4n_rC8JSdPfj6vEq4"",""'500 объектов перенос на 2026'!A3:AB502""),13,0)"),"#REF!")</f>
        <v>#REF!</v>
      </c>
      <c r="AJ181" s="42" t="str">
        <f>IFERROR(__xludf.DUMMYFUNCTION("vLOOKUP(A181,IMPORTRANGE(""https://docs.google.com/spreadsheets/d/1Rawwwdh8wntXGy8isdYNHxsNQS4n_rC8JSdPfj6vEq4"",""'500 объектов перенос на 2026'!A3:AB502""),14,0)"),"#REF!")</f>
        <v>#REF!</v>
      </c>
      <c r="AK181" s="76" t="s">
        <v>114</v>
      </c>
      <c r="AL181" s="76" t="s">
        <v>114</v>
      </c>
      <c r="AM181" s="76"/>
      <c r="AN181" s="76" t="s">
        <v>114</v>
      </c>
      <c r="AO181" s="43"/>
      <c r="AP181" s="43"/>
      <c r="AQ181" s="43"/>
      <c r="AR181" s="43"/>
      <c r="AS181" s="43"/>
      <c r="AT181" s="43"/>
      <c r="AU181" s="43"/>
      <c r="AV181" s="43"/>
      <c r="AW181" s="43"/>
      <c r="AX181" s="43"/>
      <c r="AY181" s="43"/>
      <c r="AZ181" s="43"/>
    </row>
    <row r="182">
      <c r="A182" s="78" t="s">
        <v>1345</v>
      </c>
      <c r="B182" s="63" t="s">
        <v>1274</v>
      </c>
      <c r="C182" s="64" t="s">
        <v>1346</v>
      </c>
      <c r="D182" s="47" t="s">
        <v>112</v>
      </c>
      <c r="E182" s="64" t="s">
        <v>85</v>
      </c>
      <c r="F182" s="31" t="s">
        <v>60</v>
      </c>
      <c r="G182" s="31"/>
      <c r="H182" s="31"/>
      <c r="I182" s="31" t="s">
        <v>60</v>
      </c>
      <c r="J182" s="31"/>
      <c r="K182" s="31"/>
      <c r="L182" s="32">
        <f>IFERROR(__xludf.DUMMYFUNCTION("VLOOKUP($A182,IMPORTRANGE(""1PQtfbQLqBUP-rjYRznmgNFBLOjvAnhGzpIx7BJWq8rk"",""'Worksheet'!$B$2:$H""),7,FALSE)"),0.98)</f>
        <v>0.98</v>
      </c>
      <c r="M182" s="31" t="s">
        <v>60</v>
      </c>
      <c r="N182" s="49">
        <v>3.379705794E7</v>
      </c>
      <c r="O182" s="49">
        <v>2.959301944E7</v>
      </c>
      <c r="P182" s="49">
        <v>0.0</v>
      </c>
      <c r="Q182" s="34">
        <f t="shared" si="7"/>
        <v>0.1243906646</v>
      </c>
      <c r="R182" s="31"/>
      <c r="S182" s="31" t="s">
        <v>60</v>
      </c>
      <c r="T182" s="50">
        <v>2.786430566E7</v>
      </c>
      <c r="U182" s="51" t="s">
        <v>1347</v>
      </c>
      <c r="V182" s="91">
        <v>0.0</v>
      </c>
      <c r="W182" s="31"/>
      <c r="X182" s="52" t="s">
        <v>1348</v>
      </c>
      <c r="Y182" s="54" t="s">
        <v>114</v>
      </c>
      <c r="Z182" s="74"/>
      <c r="AA182" s="54" t="s">
        <v>114</v>
      </c>
      <c r="AB182" s="38" t="s">
        <v>115</v>
      </c>
      <c r="AC182" s="38" t="s">
        <v>1349</v>
      </c>
      <c r="AD182" s="39">
        <v>33797.06</v>
      </c>
      <c r="AE182" s="39">
        <v>29900.97149</v>
      </c>
      <c r="AF182" s="40">
        <v>3896.08851</v>
      </c>
      <c r="AG182" s="154"/>
      <c r="AH182" s="42"/>
      <c r="AI182" s="42" t="str">
        <f>IFERROR(__xludf.DUMMYFUNCTION("vLOOKUP(A182,IMPORTRANGE(""https://docs.google.com/spreadsheets/d/1Rawwwdh8wntXGy8isdYNHxsNQS4n_rC8JSdPfj6vEq4"",""'500 объектов перенос на 2026'!A3:AB502""),13,0)"),"#REF!")</f>
        <v>#REF!</v>
      </c>
      <c r="AJ182" s="42" t="str">
        <f>IFERROR(__xludf.DUMMYFUNCTION("vLOOKUP(A182,IMPORTRANGE(""https://docs.google.com/spreadsheets/d/1Rawwwdh8wntXGy8isdYNHxsNQS4n_rC8JSdPfj6vEq4"",""'500 объектов перенос на 2026'!A3:AB502""),14,0)"),"#REF!")</f>
        <v>#REF!</v>
      </c>
      <c r="AK182" s="76" t="s">
        <v>114</v>
      </c>
      <c r="AL182" s="76" t="s">
        <v>114</v>
      </c>
      <c r="AM182" s="76"/>
      <c r="AN182" s="76" t="s">
        <v>114</v>
      </c>
      <c r="AO182" s="43"/>
      <c r="AP182" s="43"/>
      <c r="AQ182" s="43"/>
      <c r="AR182" s="43"/>
      <c r="AS182" s="43"/>
      <c r="AT182" s="43"/>
      <c r="AU182" s="43"/>
      <c r="AV182" s="43"/>
      <c r="AW182" s="43"/>
      <c r="AX182" s="43"/>
      <c r="AY182" s="43"/>
      <c r="AZ182" s="43"/>
    </row>
    <row r="183">
      <c r="A183" s="62" t="s">
        <v>1350</v>
      </c>
      <c r="B183" s="63" t="s">
        <v>296</v>
      </c>
      <c r="C183" s="64" t="s">
        <v>1351</v>
      </c>
      <c r="D183" s="47" t="s">
        <v>1132</v>
      </c>
      <c r="E183" s="64" t="s">
        <v>39</v>
      </c>
      <c r="F183" s="31" t="s">
        <v>40</v>
      </c>
      <c r="G183" s="31" t="s">
        <v>156</v>
      </c>
      <c r="H183" s="31" t="s">
        <v>325</v>
      </c>
      <c r="I183" s="31" t="s">
        <v>40</v>
      </c>
      <c r="J183" s="31" t="s">
        <v>102</v>
      </c>
      <c r="K183" s="31" t="s">
        <v>72</v>
      </c>
      <c r="L183" s="32">
        <f>IFERROR(__xludf.DUMMYFUNCTION("VLOOKUP($A183,IMPORTRANGE(""1PQtfbQLqBUP-rjYRznmgNFBLOjvAnhGzpIx7BJWq8rk"",""'Worksheet'!$B$2:$H""),7,FALSE)"),0.75)</f>
        <v>0.75</v>
      </c>
      <c r="M183" s="31" t="s">
        <v>40</v>
      </c>
      <c r="N183" s="49">
        <v>5.319098759E7</v>
      </c>
      <c r="O183" s="49">
        <v>1.595729628E7</v>
      </c>
      <c r="P183" s="49">
        <f t="shared" ref="P183:P187" si="31">N183-O183</f>
        <v>37233691.31</v>
      </c>
      <c r="Q183" s="34">
        <f t="shared" si="7"/>
        <v>0.6999999999</v>
      </c>
      <c r="R183" s="31"/>
      <c r="S183" s="31" t="s">
        <v>40</v>
      </c>
      <c r="T183" s="155">
        <v>5.05314382105E7</v>
      </c>
      <c r="U183" s="51">
        <v>0.0</v>
      </c>
      <c r="V183" s="156">
        <f>P183-P183*0.05</f>
        <v>35372006.74</v>
      </c>
      <c r="W183" s="31"/>
      <c r="X183" s="52" t="s">
        <v>302</v>
      </c>
      <c r="Y183" s="54" t="s">
        <v>1352</v>
      </c>
      <c r="Z183" s="54" t="s">
        <v>1353</v>
      </c>
      <c r="AA183" s="100">
        <v>46384.0</v>
      </c>
      <c r="AB183" s="56"/>
      <c r="AC183" s="38" t="s">
        <v>1135</v>
      </c>
      <c r="AD183" s="39">
        <v>53190.99</v>
      </c>
      <c r="AE183" s="39">
        <v>0.0</v>
      </c>
      <c r="AF183" s="40">
        <v>53190.99</v>
      </c>
      <c r="AG183" s="57" t="s">
        <v>1354</v>
      </c>
      <c r="AH183" s="57" t="s">
        <v>880</v>
      </c>
      <c r="AI183" s="42" t="str">
        <f>IFERROR(__xludf.DUMMYFUNCTION("vLOOKUP(A183,IMPORTRANGE(""https://docs.google.com/spreadsheets/d/1Rawwwdh8wntXGy8isdYNHxsNQS4n_rC8JSdPfj6vEq4"",""'500 объектов перенос на 2026'!A3:AB502""),13,0)"),"#REF!")</f>
        <v>#REF!</v>
      </c>
      <c r="AJ183" s="42" t="str">
        <f>IFERROR(__xludf.DUMMYFUNCTION("vLOOKUP(A183,IMPORTRANGE(""https://docs.google.com/spreadsheets/d/1Rawwwdh8wntXGy8isdYNHxsNQS4n_rC8JSdPfj6vEq4"",""'500 объектов перенос на 2026'!A3:AB502""),14,0)"),"#REF!")</f>
        <v>#REF!</v>
      </c>
      <c r="AK183" s="76" t="s">
        <v>1355</v>
      </c>
      <c r="AL183" s="76"/>
      <c r="AM183" s="70"/>
      <c r="AN183" s="43"/>
      <c r="AO183" s="43"/>
      <c r="AP183" s="43"/>
      <c r="AQ183" s="43"/>
      <c r="AR183" s="43"/>
      <c r="AS183" s="43"/>
      <c r="AT183" s="43"/>
      <c r="AU183" s="43"/>
      <c r="AV183" s="43"/>
      <c r="AW183" s="43"/>
      <c r="AX183" s="43"/>
      <c r="AY183" s="43"/>
      <c r="AZ183" s="43"/>
    </row>
    <row r="184">
      <c r="A184" s="62" t="s">
        <v>1356</v>
      </c>
      <c r="B184" s="63" t="s">
        <v>653</v>
      </c>
      <c r="C184" s="157" t="s">
        <v>1357</v>
      </c>
      <c r="D184" s="47" t="s">
        <v>1358</v>
      </c>
      <c r="E184" s="64" t="s">
        <v>59</v>
      </c>
      <c r="F184" s="31" t="s">
        <v>40</v>
      </c>
      <c r="G184" s="31" t="s">
        <v>156</v>
      </c>
      <c r="H184" s="31" t="s">
        <v>828</v>
      </c>
      <c r="I184" s="31" t="s">
        <v>40</v>
      </c>
      <c r="J184" s="31" t="s">
        <v>102</v>
      </c>
      <c r="K184" s="31" t="s">
        <v>44</v>
      </c>
      <c r="L184" s="32">
        <f>IFERROR(__xludf.DUMMYFUNCTION("VLOOKUP($A184,IMPORTRANGE(""1PQtfbQLqBUP-rjYRznmgNFBLOjvAnhGzpIx7BJWq8rk"",""'Worksheet'!$B$2:$H""),7,FALSE)"),0.94)</f>
        <v>0.94</v>
      </c>
      <c r="M184" s="31" t="s">
        <v>40</v>
      </c>
      <c r="N184" s="49">
        <v>7.403731E7</v>
      </c>
      <c r="O184" s="127">
        <v>3.7018655E7</v>
      </c>
      <c r="P184" s="49">
        <f t="shared" si="31"/>
        <v>37018655</v>
      </c>
      <c r="Q184" s="34">
        <f t="shared" si="7"/>
        <v>0.5</v>
      </c>
      <c r="R184" s="31"/>
      <c r="S184" s="31" t="s">
        <v>40</v>
      </c>
      <c r="T184" s="91" t="s">
        <v>1359</v>
      </c>
      <c r="U184" s="91">
        <v>0.0</v>
      </c>
      <c r="V184" s="51" t="s">
        <v>1359</v>
      </c>
      <c r="W184" s="31"/>
      <c r="X184" s="52" t="s">
        <v>49</v>
      </c>
      <c r="Y184" s="54" t="s">
        <v>1360</v>
      </c>
      <c r="Z184" s="74"/>
      <c r="AA184" s="74">
        <v>46353.0</v>
      </c>
      <c r="AB184" s="56"/>
      <c r="AC184" s="38" t="s">
        <v>46</v>
      </c>
      <c r="AD184" s="39">
        <v>74037.0</v>
      </c>
      <c r="AE184" s="39">
        <v>37018.655</v>
      </c>
      <c r="AF184" s="40">
        <v>37018.345</v>
      </c>
      <c r="AG184" s="57" t="s">
        <v>1361</v>
      </c>
      <c r="AH184" s="42" t="s">
        <v>980</v>
      </c>
      <c r="AI184" s="42" t="str">
        <f>IFERROR(__xludf.DUMMYFUNCTION("vLOOKUP(A184,IMPORTRANGE(""https://docs.google.com/spreadsheets/d/1Rawwwdh8wntXGy8isdYNHxsNQS4n_rC8JSdPfj6vEq4"",""'500 объектов перенос на 2026'!A3:AB502""),13,0)"),"#REF!")</f>
        <v>#REF!</v>
      </c>
      <c r="AJ184" s="42" t="str">
        <f>IFERROR(__xludf.DUMMYFUNCTION("vLOOKUP(A184,IMPORTRANGE(""https://docs.google.com/spreadsheets/d/1Rawwwdh8wntXGy8isdYNHxsNQS4n_rC8JSdPfj6vEq4"",""'500 объектов перенос на 2026'!A3:AB502""),14,0)"),"#REF!")</f>
        <v>#REF!</v>
      </c>
      <c r="AK184" s="70" t="s">
        <v>1362</v>
      </c>
      <c r="AL184" s="70"/>
      <c r="AM184" s="70"/>
      <c r="AN184" s="43"/>
      <c r="AO184" s="43"/>
      <c r="AP184" s="43"/>
      <c r="AQ184" s="43"/>
      <c r="AR184" s="43"/>
      <c r="AS184" s="43"/>
      <c r="AT184" s="43"/>
      <c r="AU184" s="43"/>
      <c r="AV184" s="43"/>
      <c r="AW184" s="43"/>
      <c r="AX184" s="43"/>
      <c r="AY184" s="43"/>
      <c r="AZ184" s="43"/>
    </row>
    <row r="185">
      <c r="A185" s="62" t="s">
        <v>1363</v>
      </c>
      <c r="B185" s="63" t="s">
        <v>268</v>
      </c>
      <c r="C185" s="64" t="s">
        <v>1364</v>
      </c>
      <c r="D185" s="47" t="s">
        <v>1041</v>
      </c>
      <c r="E185" s="64" t="s">
        <v>85</v>
      </c>
      <c r="F185" s="31" t="s">
        <v>40</v>
      </c>
      <c r="G185" s="31" t="s">
        <v>41</v>
      </c>
      <c r="H185" s="31" t="s">
        <v>343</v>
      </c>
      <c r="I185" s="31" t="s">
        <v>40</v>
      </c>
      <c r="J185" s="31" t="s">
        <v>61</v>
      </c>
      <c r="K185" s="31"/>
      <c r="L185" s="32">
        <f>IFERROR(__xludf.DUMMYFUNCTION("VLOOKUP($A185,IMPORTRANGE(""1PQtfbQLqBUP-rjYRznmgNFBLOjvAnhGzpIx7BJWq8rk"",""'Worksheet'!$B$2:$H""),7,FALSE)"),0.96)</f>
        <v>0.96</v>
      </c>
      <c r="M185" s="31" t="s">
        <v>40</v>
      </c>
      <c r="N185" s="49">
        <v>5.2593156E7</v>
      </c>
      <c r="O185" s="49">
        <v>1.57779468E7</v>
      </c>
      <c r="P185" s="49">
        <f t="shared" si="31"/>
        <v>36815209.2</v>
      </c>
      <c r="Q185" s="34">
        <f t="shared" si="7"/>
        <v>0.7</v>
      </c>
      <c r="R185" s="31"/>
      <c r="S185" s="31" t="s">
        <v>40</v>
      </c>
      <c r="T185" s="50" t="s">
        <v>1365</v>
      </c>
      <c r="U185" s="50">
        <v>0.0</v>
      </c>
      <c r="V185" s="50" t="s">
        <v>1365</v>
      </c>
      <c r="W185" s="31"/>
      <c r="X185" s="52" t="s">
        <v>49</v>
      </c>
      <c r="Y185" s="54" t="s">
        <v>1366</v>
      </c>
      <c r="Z185" s="54" t="s">
        <v>851</v>
      </c>
      <c r="AA185" s="68">
        <v>46251.0</v>
      </c>
      <c r="AB185" s="56"/>
      <c r="AC185" s="38" t="s">
        <v>46</v>
      </c>
      <c r="AD185" s="39">
        <v>53124.4</v>
      </c>
      <c r="AE185" s="39">
        <v>15777.9468</v>
      </c>
      <c r="AF185" s="40">
        <v>37346.4532</v>
      </c>
      <c r="AG185" s="57" t="s">
        <v>1367</v>
      </c>
      <c r="AH185" s="42" t="s">
        <v>49</v>
      </c>
      <c r="AI185" s="42" t="str">
        <f>IFERROR(__xludf.DUMMYFUNCTION("vLOOKUP(A185,IMPORTRANGE(""https://docs.google.com/spreadsheets/d/1Rawwwdh8wntXGy8isdYNHxsNQS4n_rC8JSdPfj6vEq4"",""'500 объектов перенос на 2026'!A3:AB502""),13,0)"),"#REF!")</f>
        <v>#REF!</v>
      </c>
      <c r="AJ185" s="42" t="str">
        <f>IFERROR(__xludf.DUMMYFUNCTION("vLOOKUP(A185,IMPORTRANGE(""https://docs.google.com/spreadsheets/d/1Rawwwdh8wntXGy8isdYNHxsNQS4n_rC8JSdPfj6vEq4"",""'500 объектов перенос на 2026'!A3:AB502""),14,0)"),"#REF!")</f>
        <v>#REF!</v>
      </c>
      <c r="AK185" s="75" t="s">
        <v>1368</v>
      </c>
      <c r="AL185" s="87" t="s">
        <v>1369</v>
      </c>
      <c r="AM185" s="87"/>
      <c r="AN185" s="43"/>
      <c r="AO185" s="43"/>
      <c r="AP185" s="43"/>
      <c r="AQ185" s="43"/>
      <c r="AR185" s="43"/>
      <c r="AS185" s="43"/>
      <c r="AT185" s="43"/>
      <c r="AU185" s="43"/>
      <c r="AV185" s="43"/>
      <c r="AW185" s="43"/>
      <c r="AX185" s="43"/>
      <c r="AY185" s="43"/>
      <c r="AZ185" s="43"/>
    </row>
    <row r="186">
      <c r="A186" s="62" t="s">
        <v>1370</v>
      </c>
      <c r="B186" s="63" t="s">
        <v>296</v>
      </c>
      <c r="C186" s="64" t="s">
        <v>1371</v>
      </c>
      <c r="D186" s="47" t="s">
        <v>1132</v>
      </c>
      <c r="E186" s="64" t="s">
        <v>39</v>
      </c>
      <c r="F186" s="31" t="s">
        <v>40</v>
      </c>
      <c r="G186" s="31" t="s">
        <v>156</v>
      </c>
      <c r="H186" s="31" t="s">
        <v>325</v>
      </c>
      <c r="I186" s="31" t="s">
        <v>40</v>
      </c>
      <c r="J186" s="31" t="s">
        <v>102</v>
      </c>
      <c r="K186" s="31" t="s">
        <v>72</v>
      </c>
      <c r="L186" s="32">
        <f>IFERROR(__xludf.DUMMYFUNCTION("VLOOKUP($A186,IMPORTRANGE(""1PQtfbQLqBUP-rjYRznmgNFBLOjvAnhGzpIx7BJWq8rk"",""'Worksheet'!$B$2:$H""),7,FALSE)"),0.21)</f>
        <v>0.21</v>
      </c>
      <c r="M186" s="31" t="s">
        <v>40</v>
      </c>
      <c r="N186" s="49">
        <v>5.180076784E7</v>
      </c>
      <c r="O186" s="49">
        <v>1.554023035E7</v>
      </c>
      <c r="P186" s="49">
        <f t="shared" si="31"/>
        <v>36260537.49</v>
      </c>
      <c r="Q186" s="34">
        <f t="shared" si="7"/>
        <v>0.7</v>
      </c>
      <c r="R186" s="31"/>
      <c r="S186" s="31" t="s">
        <v>40</v>
      </c>
      <c r="T186" s="155">
        <v>4.921072944800001E7</v>
      </c>
      <c r="U186" s="50">
        <v>0.0</v>
      </c>
      <c r="V186" s="158">
        <f>P186-P186*0.05</f>
        <v>34447510.62</v>
      </c>
      <c r="W186" s="31"/>
      <c r="X186" s="52" t="s">
        <v>302</v>
      </c>
      <c r="Y186" s="73" t="s">
        <v>1133</v>
      </c>
      <c r="Z186" s="54" t="s">
        <v>1353</v>
      </c>
      <c r="AA186" s="100">
        <v>46384.0</v>
      </c>
      <c r="AB186" s="56"/>
      <c r="AC186" s="38" t="s">
        <v>1135</v>
      </c>
      <c r="AD186" s="39">
        <v>51800.76784</v>
      </c>
      <c r="AE186" s="39">
        <v>0.0</v>
      </c>
      <c r="AF186" s="40">
        <v>51800.76784</v>
      </c>
      <c r="AG186" s="57" t="s">
        <v>1372</v>
      </c>
      <c r="AH186" s="57" t="s">
        <v>880</v>
      </c>
      <c r="AI186" s="42" t="str">
        <f>IFERROR(__xludf.DUMMYFUNCTION("vLOOKUP(A186,IMPORTRANGE(""https://docs.google.com/spreadsheets/d/1Rawwwdh8wntXGy8isdYNHxsNQS4n_rC8JSdPfj6vEq4"",""'500 объектов перенос на 2026'!A3:AB502""),13,0)"),"#REF!")</f>
        <v>#REF!</v>
      </c>
      <c r="AJ186" s="42" t="str">
        <f>IFERROR(__xludf.DUMMYFUNCTION("vLOOKUP(A186,IMPORTRANGE(""https://docs.google.com/spreadsheets/d/1Rawwwdh8wntXGy8isdYNHxsNQS4n_rC8JSdPfj6vEq4"",""'500 объектов перенос на 2026'!A3:AB502""),14,0)"),"#REF!")</f>
        <v>#REF!</v>
      </c>
      <c r="AK186" s="76" t="s">
        <v>1373</v>
      </c>
      <c r="AL186" s="70"/>
      <c r="AM186" s="70"/>
      <c r="AN186" s="43"/>
      <c r="AO186" s="43"/>
      <c r="AP186" s="43"/>
      <c r="AQ186" s="43"/>
      <c r="AR186" s="43"/>
      <c r="AS186" s="43"/>
      <c r="AT186" s="43"/>
      <c r="AU186" s="43"/>
      <c r="AV186" s="43"/>
      <c r="AW186" s="43"/>
      <c r="AX186" s="43"/>
      <c r="AY186" s="43"/>
      <c r="AZ186" s="43"/>
    </row>
    <row r="187">
      <c r="A187" s="62" t="s">
        <v>1374</v>
      </c>
      <c r="B187" s="63" t="s">
        <v>503</v>
      </c>
      <c r="C187" s="64" t="s">
        <v>1375</v>
      </c>
      <c r="D187" s="47" t="s">
        <v>323</v>
      </c>
      <c r="E187" s="64" t="s">
        <v>59</v>
      </c>
      <c r="F187" s="31" t="s">
        <v>40</v>
      </c>
      <c r="G187" s="31" t="s">
        <v>299</v>
      </c>
      <c r="H187" s="31" t="s">
        <v>343</v>
      </c>
      <c r="I187" s="31" t="s">
        <v>40</v>
      </c>
      <c r="J187" s="31" t="s">
        <v>102</v>
      </c>
      <c r="K187" s="31"/>
      <c r="L187" s="32">
        <f>IFERROR(__xludf.DUMMYFUNCTION("VLOOKUP($A187,IMPORTRANGE(""1PQtfbQLqBUP-rjYRznmgNFBLOjvAnhGzpIx7BJWq8rk"",""'Worksheet'!$B$2:$H""),7,FALSE)"),0.85)</f>
        <v>0.85</v>
      </c>
      <c r="M187" s="31" t="s">
        <v>40</v>
      </c>
      <c r="N187" s="49">
        <v>5.0900652E7</v>
      </c>
      <c r="O187" s="49">
        <v>1.52701956E7</v>
      </c>
      <c r="P187" s="49">
        <f t="shared" si="31"/>
        <v>35630456.4</v>
      </c>
      <c r="Q187" s="34">
        <f t="shared" si="7"/>
        <v>0.7</v>
      </c>
      <c r="R187" s="31"/>
      <c r="S187" s="31" t="s">
        <v>40</v>
      </c>
      <c r="T187" s="50"/>
      <c r="U187" s="50"/>
      <c r="V187" s="51"/>
      <c r="W187" s="31"/>
      <c r="X187" s="52" t="s">
        <v>46</v>
      </c>
      <c r="Y187" s="54" t="s">
        <v>1376</v>
      </c>
      <c r="Z187" s="54" t="s">
        <v>1377</v>
      </c>
      <c r="AA187" s="74">
        <v>46280.0</v>
      </c>
      <c r="AB187" s="56"/>
      <c r="AC187" s="38"/>
      <c r="AD187" s="39">
        <v>50900.65</v>
      </c>
      <c r="AE187" s="39">
        <v>15270.1956</v>
      </c>
      <c r="AF187" s="40">
        <v>35630.4544</v>
      </c>
      <c r="AG187" s="57" t="s">
        <v>1378</v>
      </c>
      <c r="AH187" s="85" t="s">
        <v>1379</v>
      </c>
      <c r="AI187" s="42" t="str">
        <f>IFERROR(__xludf.DUMMYFUNCTION("vLOOKUP(A187,IMPORTRANGE(""https://docs.google.com/spreadsheets/d/1Rawwwdh8wntXGy8isdYNHxsNQS4n_rC8JSdPfj6vEq4"",""'500 объектов перенос на 2026'!A3:AB502""),13,0)"),"#REF!")</f>
        <v>#REF!</v>
      </c>
      <c r="AJ187" s="42" t="str">
        <f>IFERROR(__xludf.DUMMYFUNCTION("vLOOKUP(A187,IMPORTRANGE(""https://docs.google.com/spreadsheets/d/1Rawwwdh8wntXGy8isdYNHxsNQS4n_rC8JSdPfj6vEq4"",""'500 объектов перенос на 2026'!A3:AB502""),14,0)"),"#REF!")</f>
        <v>#REF!</v>
      </c>
      <c r="AK187" s="75" t="s">
        <v>1380</v>
      </c>
      <c r="AL187" s="94" t="s">
        <v>1381</v>
      </c>
      <c r="AM187" s="94"/>
      <c r="AN187" s="43"/>
      <c r="AO187" s="43"/>
      <c r="AP187" s="43"/>
      <c r="AQ187" s="43"/>
      <c r="AR187" s="43"/>
      <c r="AS187" s="43"/>
      <c r="AT187" s="43"/>
      <c r="AU187" s="43"/>
      <c r="AV187" s="43"/>
      <c r="AW187" s="43"/>
      <c r="AX187" s="43"/>
      <c r="AY187" s="43"/>
      <c r="AZ187" s="43"/>
    </row>
    <row r="188">
      <c r="A188" s="78" t="s">
        <v>1382</v>
      </c>
      <c r="B188" s="63" t="s">
        <v>711</v>
      </c>
      <c r="C188" s="64" t="s">
        <v>1383</v>
      </c>
      <c r="D188" s="47" t="s">
        <v>166</v>
      </c>
      <c r="E188" s="64" t="s">
        <v>85</v>
      </c>
      <c r="F188" s="31" t="s">
        <v>60</v>
      </c>
      <c r="G188" s="31"/>
      <c r="H188" s="31"/>
      <c r="I188" s="31" t="s">
        <v>60</v>
      </c>
      <c r="J188" s="31"/>
      <c r="K188" s="31"/>
      <c r="L188" s="32" t="str">
        <f>IFERROR(__xludf.DUMMYFUNCTION("VLOOKUP($A188,IMPORTRANGE(""1PQtfbQLqBUP-rjYRznmgNFBLOjvAnhGzpIx7BJWq8rk"",""'Worksheet'!$B$2:$H""),7,FALSE)"),"#N/A")</f>
        <v>#N/A</v>
      </c>
      <c r="M188" s="31" t="s">
        <v>60</v>
      </c>
      <c r="N188" s="49">
        <v>2.0182254617E8</v>
      </c>
      <c r="O188" s="49">
        <v>1.8980230969E8</v>
      </c>
      <c r="P188" s="49">
        <v>0.0</v>
      </c>
      <c r="Q188" s="34">
        <f t="shared" si="7"/>
        <v>0.05955844235</v>
      </c>
      <c r="R188" s="31"/>
      <c r="S188" s="31" t="s">
        <v>60</v>
      </c>
      <c r="T188" s="50"/>
      <c r="U188" s="51"/>
      <c r="V188" s="51"/>
      <c r="W188" s="31"/>
      <c r="X188" s="52" t="s">
        <v>113</v>
      </c>
      <c r="Y188" s="54"/>
      <c r="Z188" s="54"/>
      <c r="AA188" s="54" t="s">
        <v>114</v>
      </c>
      <c r="AB188" s="38" t="s">
        <v>115</v>
      </c>
      <c r="AC188" s="38"/>
      <c r="AD188" s="39">
        <v>201822.56</v>
      </c>
      <c r="AE188" s="39">
        <v>189802.3097</v>
      </c>
      <c r="AF188" s="39">
        <v>12020.25031</v>
      </c>
      <c r="AG188" s="57" t="s">
        <v>1384</v>
      </c>
      <c r="AH188" s="42" t="s">
        <v>1385</v>
      </c>
      <c r="AI188" s="42" t="str">
        <f>IFERROR(__xludf.DUMMYFUNCTION("vLOOKUP(A188,IMPORTRANGE(""https://docs.google.com/spreadsheets/d/1Rawwwdh8wntXGy8isdYNHxsNQS4n_rC8JSdPfj6vEq4"",""'500 объектов перенос на 2026'!A3:AB502""),13,0)"),"#REF!")</f>
        <v>#REF!</v>
      </c>
      <c r="AJ188" s="42" t="str">
        <f>IFERROR(__xludf.DUMMYFUNCTION("vLOOKUP(A188,IMPORTRANGE(""https://docs.google.com/spreadsheets/d/1Rawwwdh8wntXGy8isdYNHxsNQS4n_rC8JSdPfj6vEq4"",""'500 объектов перенос на 2026'!A3:AB502""),14,0)"),"#REF!")</f>
        <v>#REF!</v>
      </c>
      <c r="AK188" s="76" t="s">
        <v>114</v>
      </c>
      <c r="AL188" s="70"/>
      <c r="AM188" s="70"/>
      <c r="AN188" s="43"/>
      <c r="AO188" s="43"/>
      <c r="AP188" s="43"/>
      <c r="AQ188" s="43"/>
      <c r="AR188" s="43"/>
      <c r="AS188" s="43"/>
      <c r="AT188" s="43"/>
      <c r="AU188" s="43"/>
      <c r="AV188" s="43"/>
      <c r="AW188" s="43"/>
      <c r="AX188" s="43"/>
      <c r="AY188" s="43"/>
      <c r="AZ188" s="43"/>
    </row>
    <row r="189">
      <c r="A189" s="62" t="s">
        <v>1386</v>
      </c>
      <c r="B189" s="63" t="s">
        <v>653</v>
      </c>
      <c r="C189" s="64" t="s">
        <v>1387</v>
      </c>
      <c r="D189" s="47" t="s">
        <v>848</v>
      </c>
      <c r="E189" s="64" t="s">
        <v>85</v>
      </c>
      <c r="F189" s="31" t="s">
        <v>60</v>
      </c>
      <c r="G189" s="31"/>
      <c r="H189" s="31"/>
      <c r="I189" s="31" t="s">
        <v>60</v>
      </c>
      <c r="J189" s="31"/>
      <c r="K189" s="31"/>
      <c r="L189" s="32">
        <f>IFERROR(__xludf.DUMMYFUNCTION("VLOOKUP($A189,IMPORTRANGE(""1PQtfbQLqBUP-rjYRznmgNFBLOjvAnhGzpIx7BJWq8rk"",""'Worksheet'!$B$2:$H""),7,FALSE)"),0.7)</f>
        <v>0.7</v>
      </c>
      <c r="M189" s="31" t="s">
        <v>45</v>
      </c>
      <c r="N189" s="49">
        <v>3.992012389E7</v>
      </c>
      <c r="O189" s="127">
        <v>5746333.54</v>
      </c>
      <c r="P189" s="49">
        <f t="shared" ref="P189:P191" si="32">N189-O189</f>
        <v>34173790.35</v>
      </c>
      <c r="Q189" s="34">
        <f t="shared" si="7"/>
        <v>0.8560542158</v>
      </c>
      <c r="R189" s="31"/>
      <c r="S189" s="31" t="s">
        <v>40</v>
      </c>
      <c r="T189" s="91" t="s">
        <v>1388</v>
      </c>
      <c r="U189" s="51">
        <v>0.0</v>
      </c>
      <c r="V189" s="51" t="s">
        <v>1388</v>
      </c>
      <c r="W189" s="31"/>
      <c r="X189" s="52" t="s">
        <v>46</v>
      </c>
      <c r="Y189" s="54" t="s">
        <v>1389</v>
      </c>
      <c r="Z189" s="54" t="s">
        <v>1390</v>
      </c>
      <c r="AA189" s="74">
        <v>46266.0</v>
      </c>
      <c r="AB189" s="56"/>
      <c r="AC189" s="38" t="s">
        <v>1391</v>
      </c>
      <c r="AD189" s="39">
        <v>32644.36</v>
      </c>
      <c r="AE189" s="39">
        <v>0.0</v>
      </c>
      <c r="AF189" s="40">
        <v>32644.36</v>
      </c>
      <c r="AG189" s="57" t="s">
        <v>1392</v>
      </c>
      <c r="AH189" s="42" t="s">
        <v>1393</v>
      </c>
      <c r="AI189" s="85" t="s">
        <v>1394</v>
      </c>
      <c r="AJ189" s="85" t="s">
        <v>1394</v>
      </c>
      <c r="AK189" s="70" t="s">
        <v>1395</v>
      </c>
      <c r="AL189" s="70"/>
      <c r="AM189" s="70"/>
      <c r="AN189" s="43"/>
      <c r="AO189" s="43"/>
      <c r="AP189" s="43"/>
      <c r="AQ189" s="43"/>
      <c r="AR189" s="43"/>
      <c r="AS189" s="43"/>
      <c r="AT189" s="43"/>
      <c r="AU189" s="43"/>
      <c r="AV189" s="43"/>
      <c r="AW189" s="43"/>
      <c r="AX189" s="43"/>
      <c r="AY189" s="43"/>
      <c r="AZ189" s="43"/>
    </row>
    <row r="190">
      <c r="A190" s="78" t="s">
        <v>1396</v>
      </c>
      <c r="B190" s="63" t="s">
        <v>711</v>
      </c>
      <c r="C190" s="64" t="s">
        <v>1397</v>
      </c>
      <c r="D190" s="47" t="s">
        <v>166</v>
      </c>
      <c r="E190" s="64" t="s">
        <v>85</v>
      </c>
      <c r="F190" s="31" t="s">
        <v>60</v>
      </c>
      <c r="G190" s="31"/>
      <c r="H190" s="31"/>
      <c r="I190" s="31" t="s">
        <v>60</v>
      </c>
      <c r="J190" s="31"/>
      <c r="K190" s="31"/>
      <c r="L190" s="32" t="str">
        <f>IFERROR(__xludf.DUMMYFUNCTION("VLOOKUP($A190,IMPORTRANGE(""1PQtfbQLqBUP-rjYRznmgNFBLOjvAnhGzpIx7BJWq8rk"",""'Worksheet'!$B$2:$H""),7,FALSE)"),"#N/A")</f>
        <v>#N/A</v>
      </c>
      <c r="M190" s="31" t="s">
        <v>60</v>
      </c>
      <c r="N190" s="49">
        <v>1.8416693527E8</v>
      </c>
      <c r="O190" s="49">
        <v>1.8416693527E8</v>
      </c>
      <c r="P190" s="49">
        <f t="shared" si="32"/>
        <v>0</v>
      </c>
      <c r="Q190" s="34">
        <f t="shared" si="7"/>
        <v>0</v>
      </c>
      <c r="R190" s="31"/>
      <c r="S190" s="31" t="s">
        <v>60</v>
      </c>
      <c r="T190" s="50"/>
      <c r="U190" s="51"/>
      <c r="V190" s="51"/>
      <c r="W190" s="31"/>
      <c r="X190" s="52" t="s">
        <v>113</v>
      </c>
      <c r="Y190" s="54"/>
      <c r="Z190" s="54"/>
      <c r="AA190" s="54" t="s">
        <v>114</v>
      </c>
      <c r="AB190" s="38" t="s">
        <v>115</v>
      </c>
      <c r="AC190" s="38"/>
      <c r="AD190" s="39">
        <v>114458.5</v>
      </c>
      <c r="AE190" s="39">
        <v>184166.9353</v>
      </c>
      <c r="AF190" s="39">
        <v>-69708.43527</v>
      </c>
      <c r="AG190" s="57" t="s">
        <v>1398</v>
      </c>
      <c r="AH190" s="42" t="s">
        <v>1385</v>
      </c>
      <c r="AI190" s="42" t="str">
        <f>IFERROR(__xludf.DUMMYFUNCTION("vLOOKUP(A190,IMPORTRANGE(""https://docs.google.com/spreadsheets/d/1Rawwwdh8wntXGy8isdYNHxsNQS4n_rC8JSdPfj6vEq4"",""'500 объектов перенос на 2026'!A3:AB502""),13,0)"),"#REF!")</f>
        <v>#REF!</v>
      </c>
      <c r="AJ190" s="42" t="str">
        <f>IFERROR(__xludf.DUMMYFUNCTION("vLOOKUP(A190,IMPORTRANGE(""https://docs.google.com/spreadsheets/d/1Rawwwdh8wntXGy8isdYNHxsNQS4n_rC8JSdPfj6vEq4"",""'500 объектов перенос на 2026'!A3:AB502""),14,0)"),"#REF!")</f>
        <v>#REF!</v>
      </c>
      <c r="AK190" s="76" t="s">
        <v>114</v>
      </c>
      <c r="AL190" s="70"/>
      <c r="AM190" s="70"/>
      <c r="AN190" s="43"/>
      <c r="AO190" s="43"/>
      <c r="AP190" s="43"/>
      <c r="AQ190" s="43"/>
      <c r="AR190" s="43"/>
      <c r="AS190" s="43"/>
      <c r="AT190" s="43"/>
      <c r="AU190" s="43"/>
      <c r="AV190" s="43"/>
      <c r="AW190" s="43"/>
      <c r="AX190" s="43"/>
      <c r="AY190" s="43"/>
      <c r="AZ190" s="43"/>
    </row>
    <row r="191">
      <c r="A191" s="78" t="s">
        <v>1399</v>
      </c>
      <c r="B191" s="63" t="s">
        <v>711</v>
      </c>
      <c r="C191" s="64" t="s">
        <v>1400</v>
      </c>
      <c r="D191" s="47" t="s">
        <v>1058</v>
      </c>
      <c r="E191" s="64" t="s">
        <v>85</v>
      </c>
      <c r="F191" s="31" t="s">
        <v>60</v>
      </c>
      <c r="G191" s="31"/>
      <c r="H191" s="31"/>
      <c r="I191" s="31" t="s">
        <v>60</v>
      </c>
      <c r="J191" s="31"/>
      <c r="K191" s="31"/>
      <c r="L191" s="32" t="str">
        <f>IFERROR(__xludf.DUMMYFUNCTION("VLOOKUP($A191,IMPORTRANGE(""1PQtfbQLqBUP-rjYRznmgNFBLOjvAnhGzpIx7BJWq8rk"",""'Worksheet'!$B$2:$H""),7,FALSE)"),"#N/A")</f>
        <v>#N/A</v>
      </c>
      <c r="M191" s="31" t="s">
        <v>60</v>
      </c>
      <c r="N191" s="49">
        <v>6.583773642E7</v>
      </c>
      <c r="O191" s="49">
        <v>6.583773642E7</v>
      </c>
      <c r="P191" s="49">
        <f t="shared" si="32"/>
        <v>0</v>
      </c>
      <c r="Q191" s="34">
        <f t="shared" si="7"/>
        <v>0</v>
      </c>
      <c r="R191" s="31"/>
      <c r="S191" s="31" t="s">
        <v>60</v>
      </c>
      <c r="T191" s="50"/>
      <c r="U191" s="51"/>
      <c r="V191" s="51"/>
      <c r="W191" s="31"/>
      <c r="X191" s="52" t="s">
        <v>113</v>
      </c>
      <c r="Y191" s="54"/>
      <c r="Z191" s="54"/>
      <c r="AA191" s="54" t="s">
        <v>114</v>
      </c>
      <c r="AB191" s="38" t="s">
        <v>115</v>
      </c>
      <c r="AC191" s="38"/>
      <c r="AD191" s="39">
        <v>65837.74</v>
      </c>
      <c r="AE191" s="39">
        <v>65837.73642</v>
      </c>
      <c r="AF191" s="39">
        <v>0.00358</v>
      </c>
      <c r="AG191" s="57" t="s">
        <v>1401</v>
      </c>
      <c r="AH191" s="42" t="s">
        <v>1402</v>
      </c>
      <c r="AI191" s="42" t="str">
        <f>IFERROR(__xludf.DUMMYFUNCTION("vLOOKUP(A191,IMPORTRANGE(""https://docs.google.com/spreadsheets/d/1Rawwwdh8wntXGy8isdYNHxsNQS4n_rC8JSdPfj6vEq4"",""'500 объектов перенос на 2026'!A3:AB502""),13,0)"),"#REF!")</f>
        <v>#REF!</v>
      </c>
      <c r="AJ191" s="42" t="str">
        <f>IFERROR(__xludf.DUMMYFUNCTION("vLOOKUP(A191,IMPORTRANGE(""https://docs.google.com/spreadsheets/d/1Rawwwdh8wntXGy8isdYNHxsNQS4n_rC8JSdPfj6vEq4"",""'500 объектов перенос на 2026'!A3:AB502""),14,0)"),"#REF!")</f>
        <v>#REF!</v>
      </c>
      <c r="AK191" s="76" t="s">
        <v>114</v>
      </c>
      <c r="AL191" s="70"/>
      <c r="AM191" s="70"/>
      <c r="AN191" s="43"/>
      <c r="AO191" s="43"/>
      <c r="AP191" s="43"/>
      <c r="AQ191" s="43"/>
      <c r="AR191" s="43"/>
      <c r="AS191" s="43"/>
      <c r="AT191" s="43"/>
      <c r="AU191" s="43"/>
      <c r="AV191" s="43"/>
      <c r="AW191" s="43"/>
      <c r="AX191" s="43"/>
      <c r="AY191" s="43"/>
      <c r="AZ191" s="43"/>
    </row>
    <row r="192">
      <c r="A192" s="78" t="s">
        <v>1403</v>
      </c>
      <c r="B192" s="63" t="s">
        <v>711</v>
      </c>
      <c r="C192" s="64" t="s">
        <v>1404</v>
      </c>
      <c r="D192" s="47" t="s">
        <v>1058</v>
      </c>
      <c r="E192" s="64" t="s">
        <v>85</v>
      </c>
      <c r="F192" s="31" t="s">
        <v>60</v>
      </c>
      <c r="G192" s="31"/>
      <c r="H192" s="31"/>
      <c r="I192" s="31" t="s">
        <v>60</v>
      </c>
      <c r="J192" s="31"/>
      <c r="K192" s="31"/>
      <c r="L192" s="32" t="str">
        <f>IFERROR(__xludf.DUMMYFUNCTION("VLOOKUP($A192,IMPORTRANGE(""1PQtfbQLqBUP-rjYRznmgNFBLOjvAnhGzpIx7BJWq8rk"",""'Worksheet'!$B$2:$H""),7,FALSE)"),"#N/A")</f>
        <v>#N/A</v>
      </c>
      <c r="M192" s="31" t="s">
        <v>60</v>
      </c>
      <c r="N192" s="49">
        <v>4.351010392E7</v>
      </c>
      <c r="O192" s="49">
        <v>3.235449104E7</v>
      </c>
      <c r="P192" s="49">
        <v>0.0</v>
      </c>
      <c r="Q192" s="34">
        <f t="shared" si="7"/>
        <v>0.2563913178</v>
      </c>
      <c r="R192" s="31"/>
      <c r="S192" s="31" t="s">
        <v>60</v>
      </c>
      <c r="T192" s="50"/>
      <c r="U192" s="51"/>
      <c r="V192" s="51"/>
      <c r="W192" s="31"/>
      <c r="X192" s="52" t="s">
        <v>113</v>
      </c>
      <c r="Y192" s="54"/>
      <c r="Z192" s="54"/>
      <c r="AA192" s="54" t="s">
        <v>114</v>
      </c>
      <c r="AB192" s="38" t="s">
        <v>115</v>
      </c>
      <c r="AC192" s="38"/>
      <c r="AD192" s="39">
        <v>43510.1</v>
      </c>
      <c r="AE192" s="39">
        <v>32354.49104</v>
      </c>
      <c r="AF192" s="39">
        <v>11155.60896</v>
      </c>
      <c r="AG192" s="57" t="s">
        <v>1405</v>
      </c>
      <c r="AH192" s="42" t="s">
        <v>1385</v>
      </c>
      <c r="AI192" s="42" t="str">
        <f>IFERROR(__xludf.DUMMYFUNCTION("vLOOKUP(A192,IMPORTRANGE(""https://docs.google.com/spreadsheets/d/1Rawwwdh8wntXGy8isdYNHxsNQS4n_rC8JSdPfj6vEq4"",""'500 объектов перенос на 2026'!A3:AB502""),13,0)"),"#REF!")</f>
        <v>#REF!</v>
      </c>
      <c r="AJ192" s="42" t="str">
        <f>IFERROR(__xludf.DUMMYFUNCTION("vLOOKUP(A192,IMPORTRANGE(""https://docs.google.com/spreadsheets/d/1Rawwwdh8wntXGy8isdYNHxsNQS4n_rC8JSdPfj6vEq4"",""'500 объектов перенос на 2026'!A3:AB502""),14,0)"),"#REF!")</f>
        <v>#REF!</v>
      </c>
      <c r="AK192" s="76" t="s">
        <v>114</v>
      </c>
      <c r="AL192" s="70"/>
      <c r="AM192" s="70"/>
      <c r="AN192" s="43"/>
      <c r="AO192" s="43"/>
      <c r="AP192" s="43"/>
      <c r="AQ192" s="43"/>
      <c r="AR192" s="43"/>
      <c r="AS192" s="43"/>
      <c r="AT192" s="43"/>
      <c r="AU192" s="43"/>
      <c r="AV192" s="43"/>
      <c r="AW192" s="43"/>
      <c r="AX192" s="43"/>
      <c r="AY192" s="43"/>
      <c r="AZ192" s="43"/>
    </row>
    <row r="193">
      <c r="A193" s="78" t="s">
        <v>1406</v>
      </c>
      <c r="B193" s="63" t="s">
        <v>711</v>
      </c>
      <c r="C193" s="64" t="s">
        <v>1407</v>
      </c>
      <c r="D193" s="47" t="s">
        <v>1408</v>
      </c>
      <c r="E193" s="64" t="s">
        <v>85</v>
      </c>
      <c r="F193" s="31" t="s">
        <v>60</v>
      </c>
      <c r="G193" s="31"/>
      <c r="H193" s="31"/>
      <c r="I193" s="31" t="s">
        <v>60</v>
      </c>
      <c r="J193" s="31"/>
      <c r="K193" s="31"/>
      <c r="L193" s="32" t="str">
        <f>IFERROR(__xludf.DUMMYFUNCTION("VLOOKUP($A193,IMPORTRANGE(""1PQtfbQLqBUP-rjYRznmgNFBLOjvAnhGzpIx7BJWq8rk"",""'Worksheet'!$B$2:$H""),7,FALSE)"),"#N/A")</f>
        <v>#N/A</v>
      </c>
      <c r="M193" s="31" t="s">
        <v>60</v>
      </c>
      <c r="N193" s="49">
        <v>7.120892E7</v>
      </c>
      <c r="O193" s="49">
        <v>7.016645386E7</v>
      </c>
      <c r="P193" s="49">
        <v>0.0</v>
      </c>
      <c r="Q193" s="34">
        <f t="shared" si="7"/>
        <v>0.01463954432</v>
      </c>
      <c r="R193" s="31"/>
      <c r="S193" s="31" t="s">
        <v>60</v>
      </c>
      <c r="T193" s="91"/>
      <c r="U193" s="51"/>
      <c r="V193" s="51"/>
      <c r="W193" s="31"/>
      <c r="X193" s="52" t="s">
        <v>113</v>
      </c>
      <c r="Y193" s="54"/>
      <c r="Z193" s="54"/>
      <c r="AA193" s="54" t="s">
        <v>114</v>
      </c>
      <c r="AB193" s="38" t="s">
        <v>115</v>
      </c>
      <c r="AC193" s="38"/>
      <c r="AD193" s="39">
        <v>71208.92</v>
      </c>
      <c r="AE193" s="39">
        <v>70166.45386</v>
      </c>
      <c r="AF193" s="39">
        <v>1042.46614</v>
      </c>
      <c r="AG193" s="57" t="s">
        <v>1409</v>
      </c>
      <c r="AH193" s="42" t="s">
        <v>1385</v>
      </c>
      <c r="AI193" s="42" t="str">
        <f>IFERROR(__xludf.DUMMYFUNCTION("vLOOKUP(A193,IMPORTRANGE(""https://docs.google.com/spreadsheets/d/1Rawwwdh8wntXGy8isdYNHxsNQS4n_rC8JSdPfj6vEq4"",""'500 объектов перенос на 2026'!A3:AB502""),13,0)"),"#REF!")</f>
        <v>#REF!</v>
      </c>
      <c r="AJ193" s="42" t="str">
        <f>IFERROR(__xludf.DUMMYFUNCTION("vLOOKUP(A193,IMPORTRANGE(""https://docs.google.com/spreadsheets/d/1Rawwwdh8wntXGy8isdYNHxsNQS4n_rC8JSdPfj6vEq4"",""'500 объектов перенос на 2026'!A3:AB502""),14,0)"),"#REF!")</f>
        <v>#REF!</v>
      </c>
      <c r="AK193" s="76" t="s">
        <v>114</v>
      </c>
      <c r="AL193" s="70"/>
      <c r="AM193" s="70"/>
      <c r="AN193" s="43"/>
      <c r="AO193" s="43"/>
      <c r="AP193" s="43"/>
      <c r="AQ193" s="43"/>
      <c r="AR193" s="43"/>
      <c r="AS193" s="43"/>
      <c r="AT193" s="43"/>
      <c r="AU193" s="43"/>
      <c r="AV193" s="43"/>
      <c r="AW193" s="43"/>
      <c r="AX193" s="43"/>
      <c r="AY193" s="43"/>
      <c r="AZ193" s="43"/>
    </row>
    <row r="194">
      <c r="A194" s="78" t="s">
        <v>1410</v>
      </c>
      <c r="B194" s="63" t="s">
        <v>711</v>
      </c>
      <c r="C194" s="64" t="s">
        <v>1411</v>
      </c>
      <c r="D194" s="47" t="s">
        <v>1408</v>
      </c>
      <c r="E194" s="64" t="s">
        <v>85</v>
      </c>
      <c r="F194" s="31" t="s">
        <v>60</v>
      </c>
      <c r="G194" s="31"/>
      <c r="H194" s="31"/>
      <c r="I194" s="31" t="s">
        <v>60</v>
      </c>
      <c r="J194" s="31"/>
      <c r="K194" s="31"/>
      <c r="L194" s="32" t="str">
        <f>IFERROR(__xludf.DUMMYFUNCTION("VLOOKUP($A194,IMPORTRANGE(""1PQtfbQLqBUP-rjYRznmgNFBLOjvAnhGzpIx7BJWq8rk"",""'Worksheet'!$B$2:$H""),7,FALSE)"),"#N/A")</f>
        <v>#N/A</v>
      </c>
      <c r="M194" s="31" t="s">
        <v>60</v>
      </c>
      <c r="N194" s="49">
        <v>5.994063E7</v>
      </c>
      <c r="O194" s="49">
        <v>5.994063E7</v>
      </c>
      <c r="P194" s="49">
        <f>N194-O194</f>
        <v>0</v>
      </c>
      <c r="Q194" s="34">
        <f t="shared" si="7"/>
        <v>0</v>
      </c>
      <c r="R194" s="31"/>
      <c r="S194" s="31" t="s">
        <v>60</v>
      </c>
      <c r="T194" s="91"/>
      <c r="U194" s="51"/>
      <c r="V194" s="51"/>
      <c r="W194" s="31"/>
      <c r="X194" s="52" t="s">
        <v>113</v>
      </c>
      <c r="Y194" s="54"/>
      <c r="Z194" s="54"/>
      <c r="AA194" s="54" t="s">
        <v>114</v>
      </c>
      <c r="AB194" s="38" t="s">
        <v>115</v>
      </c>
      <c r="AC194" s="38"/>
      <c r="AD194" s="39">
        <v>59940.63</v>
      </c>
      <c r="AE194" s="39">
        <v>59940.63</v>
      </c>
      <c r="AF194" s="39">
        <v>0.0</v>
      </c>
      <c r="AG194" s="57" t="s">
        <v>1412</v>
      </c>
      <c r="AH194" s="42" t="s">
        <v>8</v>
      </c>
      <c r="AI194" s="42" t="str">
        <f>IFERROR(__xludf.DUMMYFUNCTION("vLOOKUP(A194,IMPORTRANGE(""https://docs.google.com/spreadsheets/d/1Rawwwdh8wntXGy8isdYNHxsNQS4n_rC8JSdPfj6vEq4"",""'500 объектов перенос на 2026'!A3:AB502""),13,0)"),"#REF!")</f>
        <v>#REF!</v>
      </c>
      <c r="AJ194" s="42" t="str">
        <f>IFERROR(__xludf.DUMMYFUNCTION("vLOOKUP(A194,IMPORTRANGE(""https://docs.google.com/spreadsheets/d/1Rawwwdh8wntXGy8isdYNHxsNQS4n_rC8JSdPfj6vEq4"",""'500 объектов перенос на 2026'!A3:AB502""),14,0)"),"#REF!")</f>
        <v>#REF!</v>
      </c>
      <c r="AK194" s="76" t="s">
        <v>114</v>
      </c>
      <c r="AL194" s="70"/>
      <c r="AM194" s="70"/>
      <c r="AN194" s="43"/>
      <c r="AO194" s="43"/>
      <c r="AP194" s="43"/>
      <c r="AQ194" s="43"/>
      <c r="AR194" s="43"/>
      <c r="AS194" s="43"/>
      <c r="AT194" s="43"/>
      <c r="AU194" s="43"/>
      <c r="AV194" s="43"/>
      <c r="AW194" s="43"/>
      <c r="AX194" s="43"/>
      <c r="AY194" s="43"/>
      <c r="AZ194" s="43"/>
    </row>
    <row r="195">
      <c r="A195" s="78" t="s">
        <v>1413</v>
      </c>
      <c r="B195" s="63" t="s">
        <v>711</v>
      </c>
      <c r="C195" s="64" t="s">
        <v>1414</v>
      </c>
      <c r="D195" s="47" t="s">
        <v>1058</v>
      </c>
      <c r="E195" s="64" t="s">
        <v>85</v>
      </c>
      <c r="F195" s="31" t="s">
        <v>60</v>
      </c>
      <c r="G195" s="31"/>
      <c r="H195" s="31"/>
      <c r="I195" s="31" t="s">
        <v>60</v>
      </c>
      <c r="J195" s="31"/>
      <c r="K195" s="31"/>
      <c r="L195" s="32" t="str">
        <f>IFERROR(__xludf.DUMMYFUNCTION("VLOOKUP($A195,IMPORTRANGE(""1PQtfbQLqBUP-rjYRznmgNFBLOjvAnhGzpIx7BJWq8rk"",""'Worksheet'!$B$2:$H""),7,FALSE)"),"#N/A")</f>
        <v>#N/A</v>
      </c>
      <c r="M195" s="31" t="s">
        <v>60</v>
      </c>
      <c r="N195" s="49">
        <v>3.856038E7</v>
      </c>
      <c r="O195" s="49">
        <v>3.823627751E7</v>
      </c>
      <c r="P195" s="49">
        <v>0.0</v>
      </c>
      <c r="Q195" s="34">
        <f t="shared" si="7"/>
        <v>0.008405064732</v>
      </c>
      <c r="R195" s="31"/>
      <c r="S195" s="31" t="s">
        <v>60</v>
      </c>
      <c r="T195" s="50"/>
      <c r="U195" s="51"/>
      <c r="V195" s="51"/>
      <c r="W195" s="31"/>
      <c r="X195" s="52" t="s">
        <v>113</v>
      </c>
      <c r="Y195" s="54"/>
      <c r="Z195" s="54"/>
      <c r="AA195" s="54" t="s">
        <v>114</v>
      </c>
      <c r="AB195" s="38" t="s">
        <v>115</v>
      </c>
      <c r="AC195" s="38"/>
      <c r="AD195" s="39">
        <v>38560.38</v>
      </c>
      <c r="AE195" s="39">
        <v>38236.27751</v>
      </c>
      <c r="AF195" s="39">
        <v>324.10249</v>
      </c>
      <c r="AG195" s="57" t="s">
        <v>1415</v>
      </c>
      <c r="AH195" s="42" t="s">
        <v>1385</v>
      </c>
      <c r="AI195" s="42" t="str">
        <f>IFERROR(__xludf.DUMMYFUNCTION("vLOOKUP(A195,IMPORTRANGE(""https://docs.google.com/spreadsheets/d/1Rawwwdh8wntXGy8isdYNHxsNQS4n_rC8JSdPfj6vEq4"",""'500 объектов перенос на 2026'!A3:AB502""),13,0)"),"#REF!")</f>
        <v>#REF!</v>
      </c>
      <c r="AJ195" s="42" t="str">
        <f>IFERROR(__xludf.DUMMYFUNCTION("vLOOKUP(A195,IMPORTRANGE(""https://docs.google.com/spreadsheets/d/1Rawwwdh8wntXGy8isdYNHxsNQS4n_rC8JSdPfj6vEq4"",""'500 объектов перенос на 2026'!A3:AB502""),14,0)"),"#REF!")</f>
        <v>#REF!</v>
      </c>
      <c r="AK195" s="76" t="s">
        <v>114</v>
      </c>
      <c r="AL195" s="70"/>
      <c r="AM195" s="70"/>
      <c r="AN195" s="43"/>
      <c r="AO195" s="43"/>
      <c r="AP195" s="43"/>
      <c r="AQ195" s="43"/>
      <c r="AR195" s="43"/>
      <c r="AS195" s="43"/>
      <c r="AT195" s="43"/>
      <c r="AU195" s="43"/>
      <c r="AV195" s="43"/>
      <c r="AW195" s="43"/>
      <c r="AX195" s="43"/>
      <c r="AY195" s="43"/>
      <c r="AZ195" s="43"/>
    </row>
    <row r="196">
      <c r="A196" s="62" t="s">
        <v>1416</v>
      </c>
      <c r="B196" s="63" t="s">
        <v>110</v>
      </c>
      <c r="C196" s="64" t="s">
        <v>1417</v>
      </c>
      <c r="D196" s="47" t="s">
        <v>112</v>
      </c>
      <c r="E196" s="64" t="s">
        <v>85</v>
      </c>
      <c r="F196" s="31" t="s">
        <v>40</v>
      </c>
      <c r="G196" s="31" t="s">
        <v>156</v>
      </c>
      <c r="H196" s="31" t="s">
        <v>157</v>
      </c>
      <c r="I196" s="31" t="s">
        <v>40</v>
      </c>
      <c r="J196" s="31" t="s">
        <v>61</v>
      </c>
      <c r="K196" s="31"/>
      <c r="L196" s="32">
        <f>IFERROR(__xludf.DUMMYFUNCTION("VLOOKUP($A196,IMPORTRANGE(""1PQtfbQLqBUP-rjYRznmgNFBLOjvAnhGzpIx7BJWq8rk"",""'Worksheet'!$B$2:$H""),7,FALSE)"),0.9)</f>
        <v>0.9</v>
      </c>
      <c r="M196" s="31" t="s">
        <v>40</v>
      </c>
      <c r="N196" s="49">
        <v>6.821616E7</v>
      </c>
      <c r="O196" s="49">
        <v>3.410808E7</v>
      </c>
      <c r="P196" s="49">
        <f t="shared" ref="P196:P208" si="33">N196-O196</f>
        <v>34108080</v>
      </c>
      <c r="Q196" s="34">
        <f t="shared" si="7"/>
        <v>0.5</v>
      </c>
      <c r="R196" s="31"/>
      <c r="S196" s="31" t="s">
        <v>40</v>
      </c>
      <c r="T196" s="50">
        <v>6.48573801E7</v>
      </c>
      <c r="U196" s="50">
        <v>0.0</v>
      </c>
      <c r="V196" s="50">
        <v>6.48573801E7</v>
      </c>
      <c r="W196" s="31"/>
      <c r="X196" s="159" t="s">
        <v>1418</v>
      </c>
      <c r="Y196" s="54" t="s">
        <v>1419</v>
      </c>
      <c r="Z196" s="68"/>
      <c r="AA196" s="68">
        <v>46235.0</v>
      </c>
      <c r="AB196" s="56"/>
      <c r="AC196" s="38"/>
      <c r="AD196" s="39">
        <v>68216.16</v>
      </c>
      <c r="AE196" s="39">
        <v>34108.08</v>
      </c>
      <c r="AF196" s="40">
        <v>34108.08</v>
      </c>
      <c r="AG196" s="57"/>
      <c r="AH196" s="42" t="s">
        <v>1420</v>
      </c>
      <c r="AI196" s="42" t="str">
        <f>IFERROR(__xludf.DUMMYFUNCTION("vLOOKUP(A196,IMPORTRANGE(""https://docs.google.com/spreadsheets/d/1Rawwwdh8wntXGy8isdYNHxsNQS4n_rC8JSdPfj6vEq4"",""'500 объектов перенос на 2026'!A3:AB502""),13,0)"),"#REF!")</f>
        <v>#REF!</v>
      </c>
      <c r="AJ196" s="42" t="str">
        <f>IFERROR(__xludf.DUMMYFUNCTION("vLOOKUP(A196,IMPORTRANGE(""https://docs.google.com/spreadsheets/d/1Rawwwdh8wntXGy8isdYNHxsNQS4n_rC8JSdPfj6vEq4"",""'500 объектов перенос на 2026'!A3:AB502""),14,0)"),"#REF!")</f>
        <v>#REF!</v>
      </c>
      <c r="AK196" s="77" t="s">
        <v>1421</v>
      </c>
      <c r="AL196" s="70" t="s">
        <v>1422</v>
      </c>
      <c r="AM196" s="70"/>
      <c r="AN196" s="43"/>
      <c r="AO196" s="43"/>
      <c r="AP196" s="43"/>
      <c r="AQ196" s="43"/>
      <c r="AR196" s="43"/>
      <c r="AS196" s="43"/>
      <c r="AT196" s="43"/>
      <c r="AU196" s="43"/>
      <c r="AV196" s="43"/>
      <c r="AW196" s="43"/>
      <c r="AX196" s="43"/>
      <c r="AY196" s="43"/>
      <c r="AZ196" s="43"/>
    </row>
    <row r="197">
      <c r="A197" s="62" t="s">
        <v>1423</v>
      </c>
      <c r="B197" s="63" t="s">
        <v>250</v>
      </c>
      <c r="C197" s="64" t="s">
        <v>1424</v>
      </c>
      <c r="D197" s="47" t="s">
        <v>1425</v>
      </c>
      <c r="E197" s="64" t="s">
        <v>324</v>
      </c>
      <c r="F197" s="31" t="s">
        <v>60</v>
      </c>
      <c r="G197" s="31"/>
      <c r="H197" s="31"/>
      <c r="I197" s="31" t="s">
        <v>40</v>
      </c>
      <c r="J197" s="31" t="s">
        <v>61</v>
      </c>
      <c r="K197" s="31" t="s">
        <v>72</v>
      </c>
      <c r="L197" s="32">
        <f>IFERROR(__xludf.DUMMYFUNCTION("VLOOKUP($A197,IMPORTRANGE(""1PQtfbQLqBUP-rjYRznmgNFBLOjvAnhGzpIx7BJWq8rk"",""'Worksheet'!$B$2:$H""),7,FALSE)"),0.8)</f>
        <v>0.8</v>
      </c>
      <c r="M197" s="31" t="s">
        <v>45</v>
      </c>
      <c r="N197" s="49">
        <v>7.27217966E7</v>
      </c>
      <c r="O197" s="49">
        <v>3.890700237E7</v>
      </c>
      <c r="P197" s="49">
        <f t="shared" si="33"/>
        <v>33814794.23</v>
      </c>
      <c r="Q197" s="34">
        <f t="shared" si="7"/>
        <v>0.4649884328</v>
      </c>
      <c r="R197" s="31"/>
      <c r="S197" s="31" t="s">
        <v>45</v>
      </c>
      <c r="T197" s="72">
        <v>6.762958848E7</v>
      </c>
      <c r="U197" s="50">
        <v>0.0</v>
      </c>
      <c r="V197" s="72">
        <v>6.762958848E7</v>
      </c>
      <c r="W197" s="31"/>
      <c r="X197" s="159" t="s">
        <v>803</v>
      </c>
      <c r="Y197" s="54" t="s">
        <v>1426</v>
      </c>
      <c r="Z197" s="54" t="s">
        <v>75</v>
      </c>
      <c r="AA197" s="74">
        <v>46266.0</v>
      </c>
      <c r="AB197" s="56"/>
      <c r="AC197" s="38" t="s">
        <v>1143</v>
      </c>
      <c r="AD197" s="39">
        <v>72721.8</v>
      </c>
      <c r="AE197" s="39">
        <v>38907.00237</v>
      </c>
      <c r="AF197" s="40">
        <v>33814.79763</v>
      </c>
      <c r="AG197" s="57" t="s">
        <v>1427</v>
      </c>
      <c r="AH197" s="42" t="s">
        <v>66</v>
      </c>
      <c r="AI197" s="42" t="str">
        <f>IFERROR(__xludf.DUMMYFUNCTION("vLOOKUP(A197,IMPORTRANGE(""https://docs.google.com/spreadsheets/d/1Rawwwdh8wntXGy8isdYNHxsNQS4n_rC8JSdPfj6vEq4"",""'500 объектов перенос на 2026'!A3:AB502""),13,0)"),"#REF!")</f>
        <v>#REF!</v>
      </c>
      <c r="AJ197" s="42" t="str">
        <f>IFERROR(__xludf.DUMMYFUNCTION("vLOOKUP(A197,IMPORTRANGE(""https://docs.google.com/spreadsheets/d/1Rawwwdh8wntXGy8isdYNHxsNQS4n_rC8JSdPfj6vEq4"",""'500 объектов перенос на 2026'!A3:AB502""),14,0)"),"#REF!")</f>
        <v>#REF!</v>
      </c>
      <c r="AK197" s="76" t="s">
        <v>1428</v>
      </c>
      <c r="AL197" s="70"/>
      <c r="AM197" s="70"/>
      <c r="AN197" s="43"/>
      <c r="AO197" s="43"/>
      <c r="AP197" s="43"/>
      <c r="AQ197" s="43"/>
      <c r="AR197" s="43"/>
      <c r="AS197" s="43"/>
      <c r="AT197" s="43"/>
      <c r="AU197" s="43"/>
      <c r="AV197" s="43"/>
      <c r="AW197" s="43"/>
      <c r="AX197" s="43"/>
      <c r="AY197" s="43"/>
      <c r="AZ197" s="43"/>
    </row>
    <row r="198">
      <c r="A198" s="62" t="s">
        <v>1429</v>
      </c>
      <c r="B198" s="63" t="s">
        <v>133</v>
      </c>
      <c r="C198" s="64" t="s">
        <v>1430</v>
      </c>
      <c r="D198" s="47" t="s">
        <v>727</v>
      </c>
      <c r="E198" s="64" t="s">
        <v>39</v>
      </c>
      <c r="F198" s="31" t="s">
        <v>40</v>
      </c>
      <c r="G198" s="31" t="s">
        <v>299</v>
      </c>
      <c r="H198" s="31" t="s">
        <v>260</v>
      </c>
      <c r="I198" s="31" t="s">
        <v>40</v>
      </c>
      <c r="J198" s="31" t="s">
        <v>102</v>
      </c>
      <c r="K198" s="31"/>
      <c r="L198" s="32">
        <f>IFERROR(__xludf.DUMMYFUNCTION("VLOOKUP($A198,IMPORTRANGE(""1PQtfbQLqBUP-rjYRznmgNFBLOjvAnhGzpIx7BJWq8rk"",""'Worksheet'!$B$2:$H""),7,FALSE)"),0.08)</f>
        <v>0.08</v>
      </c>
      <c r="M198" s="31" t="s">
        <v>40</v>
      </c>
      <c r="N198" s="49">
        <v>3.781745691E7</v>
      </c>
      <c r="O198" s="49">
        <v>4140270.0</v>
      </c>
      <c r="P198" s="49">
        <f t="shared" si="33"/>
        <v>33677186.91</v>
      </c>
      <c r="Q198" s="34">
        <f t="shared" si="7"/>
        <v>0.8905196082</v>
      </c>
      <c r="R198" s="31"/>
      <c r="S198" s="31" t="s">
        <v>40</v>
      </c>
      <c r="T198" s="50">
        <f>N198*0.95</f>
        <v>35926584.06</v>
      </c>
      <c r="U198" s="50">
        <v>0.0</v>
      </c>
      <c r="V198" s="50">
        <v>3.59265840645E7</v>
      </c>
      <c r="W198" s="31"/>
      <c r="X198" s="159" t="s">
        <v>46</v>
      </c>
      <c r="Y198" s="54" t="s">
        <v>1431</v>
      </c>
      <c r="Z198" s="54" t="s">
        <v>1432</v>
      </c>
      <c r="AA198" s="100">
        <v>46356.0</v>
      </c>
      <c r="AB198" s="56"/>
      <c r="AC198" s="38"/>
      <c r="AD198" s="39">
        <v>37817.45</v>
      </c>
      <c r="AE198" s="39">
        <v>4140.27</v>
      </c>
      <c r="AF198" s="40">
        <v>33677.18</v>
      </c>
      <c r="AG198" s="57" t="s">
        <v>1433</v>
      </c>
      <c r="AH198" s="42" t="s">
        <v>1434</v>
      </c>
      <c r="AI198" s="42" t="str">
        <f>IFERROR(__xludf.DUMMYFUNCTION("vLOOKUP(A198,IMPORTRANGE(""https://docs.google.com/spreadsheets/d/1Rawwwdh8wntXGy8isdYNHxsNQS4n_rC8JSdPfj6vEq4"",""'500 объектов перенос на 2026'!A3:AB502""),13,0)"),"#REF!")</f>
        <v>#REF!</v>
      </c>
      <c r="AJ198" s="42" t="str">
        <f>IFERROR(__xludf.DUMMYFUNCTION("vLOOKUP(A198,IMPORTRANGE(""https://docs.google.com/spreadsheets/d/1Rawwwdh8wntXGy8isdYNHxsNQS4n_rC8JSdPfj6vEq4"",""'500 объектов перенос на 2026'!A3:AB502""),14,0)"),"#REF!")</f>
        <v>#REF!</v>
      </c>
      <c r="AK198" s="58" t="s">
        <v>1435</v>
      </c>
      <c r="AL198" s="70" t="s">
        <v>1436</v>
      </c>
      <c r="AM198" s="70"/>
      <c r="AN198" s="43"/>
      <c r="AO198" s="43"/>
      <c r="AP198" s="43"/>
      <c r="AQ198" s="43"/>
      <c r="AR198" s="43"/>
      <c r="AS198" s="43"/>
      <c r="AT198" s="43"/>
      <c r="AU198" s="43"/>
      <c r="AV198" s="43"/>
      <c r="AW198" s="43"/>
      <c r="AX198" s="43"/>
      <c r="AY198" s="43"/>
      <c r="AZ198" s="43"/>
    </row>
    <row r="199">
      <c r="A199" s="62" t="s">
        <v>1437</v>
      </c>
      <c r="B199" s="63" t="s">
        <v>177</v>
      </c>
      <c r="C199" s="64" t="s">
        <v>1438</v>
      </c>
      <c r="D199" s="47" t="s">
        <v>179</v>
      </c>
      <c r="E199" s="64" t="s">
        <v>39</v>
      </c>
      <c r="F199" s="31" t="s">
        <v>60</v>
      </c>
      <c r="G199" s="31"/>
      <c r="H199" s="31"/>
      <c r="I199" s="31" t="s">
        <v>40</v>
      </c>
      <c r="J199" s="31" t="s">
        <v>102</v>
      </c>
      <c r="K199" s="31" t="s">
        <v>713</v>
      </c>
      <c r="L199" s="32">
        <f>IFERROR(__xludf.DUMMYFUNCTION("VLOOKUP($A199,IMPORTRANGE(""1PQtfbQLqBUP-rjYRznmgNFBLOjvAnhGzpIx7BJWq8rk"",""'Worksheet'!$B$2:$H""),7,FALSE)"),0.86)</f>
        <v>0.86</v>
      </c>
      <c r="M199" s="31" t="s">
        <v>40</v>
      </c>
      <c r="N199" s="49">
        <v>4.7199154E7</v>
      </c>
      <c r="O199" s="49">
        <v>1.41597462E7</v>
      </c>
      <c r="P199" s="49">
        <f t="shared" si="33"/>
        <v>33039407.8</v>
      </c>
      <c r="Q199" s="34">
        <f t="shared" si="7"/>
        <v>0.7</v>
      </c>
      <c r="R199" s="31"/>
      <c r="S199" s="31" t="s">
        <v>40</v>
      </c>
      <c r="T199" s="72" t="s">
        <v>1439</v>
      </c>
      <c r="U199" s="72">
        <v>0.0</v>
      </c>
      <c r="V199" s="72" t="s">
        <v>1439</v>
      </c>
      <c r="W199" s="31"/>
      <c r="X199" s="159" t="s">
        <v>46</v>
      </c>
      <c r="Y199" s="54" t="s">
        <v>1440</v>
      </c>
      <c r="Z199" s="54" t="s">
        <v>75</v>
      </c>
      <c r="AA199" s="74">
        <v>46234.0</v>
      </c>
      <c r="AB199" s="56"/>
      <c r="AC199" s="38"/>
      <c r="AD199" s="39">
        <v>47199.15</v>
      </c>
      <c r="AE199" s="39">
        <v>14159.75</v>
      </c>
      <c r="AF199" s="40">
        <v>33039.4</v>
      </c>
      <c r="AG199" s="99" t="s">
        <v>1441</v>
      </c>
      <c r="AH199" s="85"/>
      <c r="AI199" s="42" t="str">
        <f>IFERROR(__xludf.DUMMYFUNCTION("vLOOKUP(A199,IMPORTRANGE(""https://docs.google.com/spreadsheets/d/1Rawwwdh8wntXGy8isdYNHxsNQS4n_rC8JSdPfj6vEq4"",""'500 объектов перенос на 2026'!A3:AB502""),13,0)"),"#REF!")</f>
        <v>#REF!</v>
      </c>
      <c r="AJ199" s="42" t="str">
        <f>IFERROR(__xludf.DUMMYFUNCTION("vLOOKUP(A199,IMPORTRANGE(""https://docs.google.com/spreadsheets/d/1Rawwwdh8wntXGy8isdYNHxsNQS4n_rC8JSdPfj6vEq4"",""'500 объектов перенос на 2026'!A3:AB502""),14,0)"),"#REF!")</f>
        <v>#REF!</v>
      </c>
      <c r="AK199" s="75" t="s">
        <v>1442</v>
      </c>
      <c r="AL199" s="110" t="s">
        <v>1443</v>
      </c>
      <c r="AM199" s="110"/>
      <c r="AN199" s="110"/>
      <c r="AO199" s="43"/>
      <c r="AP199" s="43"/>
      <c r="AQ199" s="43"/>
      <c r="AR199" s="43"/>
      <c r="AS199" s="43"/>
      <c r="AT199" s="43"/>
      <c r="AU199" s="43"/>
      <c r="AV199" s="43"/>
      <c r="AW199" s="43"/>
      <c r="AX199" s="43"/>
      <c r="AY199" s="43"/>
      <c r="AZ199" s="43"/>
    </row>
    <row r="200">
      <c r="A200" s="62" t="s">
        <v>1444</v>
      </c>
      <c r="B200" s="63" t="s">
        <v>653</v>
      </c>
      <c r="C200" s="90" t="s">
        <v>1445</v>
      </c>
      <c r="D200" s="47" t="s">
        <v>848</v>
      </c>
      <c r="E200" s="64" t="s">
        <v>85</v>
      </c>
      <c r="F200" s="31" t="s">
        <v>40</v>
      </c>
      <c r="G200" s="31" t="s">
        <v>41</v>
      </c>
      <c r="H200" s="31" t="s">
        <v>974</v>
      </c>
      <c r="I200" s="31" t="s">
        <v>40</v>
      </c>
      <c r="J200" s="31" t="s">
        <v>102</v>
      </c>
      <c r="K200" s="31"/>
      <c r="L200" s="32">
        <f>IFERROR(__xludf.DUMMYFUNCTION("VLOOKUP($A200,IMPORTRANGE(""1PQtfbQLqBUP-rjYRznmgNFBLOjvAnhGzpIx7BJWq8rk"",""'Worksheet'!$B$2:$H""),7,FALSE)"),0.71)</f>
        <v>0.71</v>
      </c>
      <c r="M200" s="31" t="s">
        <v>40</v>
      </c>
      <c r="N200" s="49">
        <v>6.412909E7</v>
      </c>
      <c r="O200" s="127">
        <v>3.2064545E7</v>
      </c>
      <c r="P200" s="49">
        <f t="shared" si="33"/>
        <v>32064545</v>
      </c>
      <c r="Q200" s="34">
        <f t="shared" si="7"/>
        <v>0.5</v>
      </c>
      <c r="R200" s="31"/>
      <c r="S200" s="31" t="s">
        <v>40</v>
      </c>
      <c r="T200" s="91" t="s">
        <v>1446</v>
      </c>
      <c r="U200" s="91">
        <v>0.0</v>
      </c>
      <c r="V200" s="50" t="s">
        <v>1446</v>
      </c>
      <c r="W200" s="31"/>
      <c r="X200" s="159" t="s">
        <v>976</v>
      </c>
      <c r="Y200" s="73" t="s">
        <v>1447</v>
      </c>
      <c r="Z200" s="74"/>
      <c r="AA200" s="74">
        <v>46325.0</v>
      </c>
      <c r="AB200" s="56"/>
      <c r="AC200" s="38" t="s">
        <v>978</v>
      </c>
      <c r="AD200" s="39">
        <v>64139.1</v>
      </c>
      <c r="AE200" s="39">
        <v>32064.545</v>
      </c>
      <c r="AF200" s="40">
        <v>32074.555</v>
      </c>
      <c r="AG200" s="57" t="s">
        <v>1448</v>
      </c>
      <c r="AH200" s="42" t="s">
        <v>980</v>
      </c>
      <c r="AI200" s="42" t="str">
        <f>IFERROR(__xludf.DUMMYFUNCTION("vLOOKUP(A200,IMPORTRANGE(""https://docs.google.com/spreadsheets/d/1Rawwwdh8wntXGy8isdYNHxsNQS4n_rC8JSdPfj6vEq4"",""'500 объектов перенос на 2026'!A3:AB502""),13,0)"),"#REF!")</f>
        <v>#REF!</v>
      </c>
      <c r="AJ200" s="42" t="str">
        <f>IFERROR(__xludf.DUMMYFUNCTION("vLOOKUP(A200,IMPORTRANGE(""https://docs.google.com/spreadsheets/d/1Rawwwdh8wntXGy8isdYNHxsNQS4n_rC8JSdPfj6vEq4"",""'500 объектов перенос на 2026'!A3:AB502""),14,0)"),"#REF!")</f>
        <v>#REF!</v>
      </c>
      <c r="AK200" s="70" t="s">
        <v>1449</v>
      </c>
      <c r="AL200" s="70"/>
      <c r="AM200" s="70"/>
      <c r="AN200" s="43"/>
      <c r="AO200" s="43"/>
      <c r="AP200" s="43"/>
      <c r="AQ200" s="43"/>
      <c r="AR200" s="43"/>
      <c r="AS200" s="43"/>
      <c r="AT200" s="43"/>
      <c r="AU200" s="43"/>
      <c r="AV200" s="43"/>
      <c r="AW200" s="43"/>
      <c r="AX200" s="43"/>
      <c r="AY200" s="43"/>
      <c r="AZ200" s="43"/>
    </row>
    <row r="201">
      <c r="A201" s="62" t="s">
        <v>1450</v>
      </c>
      <c r="B201" s="63" t="s">
        <v>1274</v>
      </c>
      <c r="C201" s="64" t="s">
        <v>1451</v>
      </c>
      <c r="D201" s="47" t="s">
        <v>112</v>
      </c>
      <c r="E201" s="64" t="s">
        <v>85</v>
      </c>
      <c r="F201" s="31" t="s">
        <v>60</v>
      </c>
      <c r="G201" s="31"/>
      <c r="H201" s="31"/>
      <c r="I201" s="31" t="s">
        <v>40</v>
      </c>
      <c r="J201" s="31" t="s">
        <v>61</v>
      </c>
      <c r="K201" s="31" t="s">
        <v>72</v>
      </c>
      <c r="L201" s="32">
        <f>IFERROR(__xludf.DUMMYFUNCTION("VLOOKUP($A201,IMPORTRANGE(""1PQtfbQLqBUP-rjYRznmgNFBLOjvAnhGzpIx7BJWq8rk"",""'Worksheet'!$B$2:$H""),7,FALSE)"),0.73)</f>
        <v>0.73</v>
      </c>
      <c r="M201" s="31" t="s">
        <v>45</v>
      </c>
      <c r="N201" s="49">
        <v>5.740083E7</v>
      </c>
      <c r="O201" s="49">
        <v>2.558545571E7</v>
      </c>
      <c r="P201" s="49">
        <f t="shared" si="33"/>
        <v>31815374.29</v>
      </c>
      <c r="Q201" s="34">
        <f t="shared" si="7"/>
        <v>0.5542667988</v>
      </c>
      <c r="R201" s="31"/>
      <c r="S201" s="31" t="s">
        <v>40</v>
      </c>
      <c r="T201" s="91" t="s">
        <v>1452</v>
      </c>
      <c r="U201" s="91">
        <v>0.0</v>
      </c>
      <c r="V201" s="91" t="s">
        <v>1452</v>
      </c>
      <c r="W201" s="31"/>
      <c r="X201" s="159" t="s">
        <v>1453</v>
      </c>
      <c r="Y201" s="54" t="s">
        <v>1454</v>
      </c>
      <c r="Z201" s="54" t="s">
        <v>1455</v>
      </c>
      <c r="AA201" s="74">
        <v>46234.0</v>
      </c>
      <c r="AB201" s="56"/>
      <c r="AC201" s="38" t="s">
        <v>1456</v>
      </c>
      <c r="AD201" s="39">
        <v>57400.83</v>
      </c>
      <c r="AE201" s="39">
        <v>25585.45571</v>
      </c>
      <c r="AF201" s="40">
        <v>31815.37429</v>
      </c>
      <c r="AG201" s="99" t="s">
        <v>1457</v>
      </c>
      <c r="AH201" s="42"/>
      <c r="AI201" s="42" t="str">
        <f>IFERROR(__xludf.DUMMYFUNCTION("vLOOKUP(A201,IMPORTRANGE(""https://docs.google.com/spreadsheets/d/1Rawwwdh8wntXGy8isdYNHxsNQS4n_rC8JSdPfj6vEq4"",""'500 объектов перенос на 2026'!A3:AB502""),13,0)"),"#REF!")</f>
        <v>#REF!</v>
      </c>
      <c r="AJ201" s="42" t="str">
        <f>IFERROR(__xludf.DUMMYFUNCTION("vLOOKUP(A201,IMPORTRANGE(""https://docs.google.com/spreadsheets/d/1Rawwwdh8wntXGy8isdYNHxsNQS4n_rC8JSdPfj6vEq4"",""'500 объектов перенос на 2026'!A3:AB502""),14,0)"),"#REF!")</f>
        <v>#REF!</v>
      </c>
      <c r="AK201" s="58" t="s">
        <v>1458</v>
      </c>
      <c r="AL201" s="87" t="s">
        <v>1459</v>
      </c>
      <c r="AM201" s="87"/>
      <c r="AN201" s="94"/>
      <c r="AO201" s="96"/>
      <c r="AP201" s="96"/>
      <c r="AQ201" s="96"/>
      <c r="AR201" s="96"/>
      <c r="AS201" s="96"/>
      <c r="AT201" s="96"/>
      <c r="AU201" s="96"/>
      <c r="AV201" s="96"/>
      <c r="AW201" s="96"/>
      <c r="AX201" s="96"/>
      <c r="AY201" s="96"/>
      <c r="AZ201" s="96"/>
    </row>
    <row r="202">
      <c r="A202" s="62" t="s">
        <v>1460</v>
      </c>
      <c r="B202" s="63" t="s">
        <v>110</v>
      </c>
      <c r="C202" s="64" t="s">
        <v>1461</v>
      </c>
      <c r="D202" s="47" t="s">
        <v>112</v>
      </c>
      <c r="E202" s="64" t="s">
        <v>85</v>
      </c>
      <c r="F202" s="31" t="s">
        <v>60</v>
      </c>
      <c r="G202" s="31"/>
      <c r="H202" s="31"/>
      <c r="I202" s="31" t="s">
        <v>40</v>
      </c>
      <c r="J202" s="31" t="s">
        <v>61</v>
      </c>
      <c r="K202" s="31" t="s">
        <v>72</v>
      </c>
      <c r="L202" s="32">
        <f>IFERROR(__xludf.DUMMYFUNCTION("VLOOKUP($A202,IMPORTRANGE(""1PQtfbQLqBUP-rjYRznmgNFBLOjvAnhGzpIx7BJWq8rk"",""'Worksheet'!$B$2:$H""),7,FALSE)"),0.89)</f>
        <v>0.89</v>
      </c>
      <c r="M202" s="31" t="s">
        <v>45</v>
      </c>
      <c r="N202" s="49">
        <v>1.2566123159E8</v>
      </c>
      <c r="O202" s="49">
        <v>9.385757086E7</v>
      </c>
      <c r="P202" s="49">
        <f t="shared" si="33"/>
        <v>31803660.73</v>
      </c>
      <c r="Q202" s="34">
        <f t="shared" si="7"/>
        <v>0.2530904745</v>
      </c>
      <c r="R202" s="31"/>
      <c r="S202" s="31" t="s">
        <v>45</v>
      </c>
      <c r="T202" s="50">
        <v>1.2195733903E8</v>
      </c>
      <c r="U202" s="50">
        <v>8.934754065E7</v>
      </c>
      <c r="V202" s="50">
        <v>3.260979838E7</v>
      </c>
      <c r="W202" s="31"/>
      <c r="X202" s="159" t="s">
        <v>557</v>
      </c>
      <c r="Y202" s="54" t="s">
        <v>558</v>
      </c>
      <c r="Z202" s="54"/>
      <c r="AA202" s="74">
        <v>46223.0</v>
      </c>
      <c r="AB202" s="37">
        <v>46132.0</v>
      </c>
      <c r="AC202" s="38" t="s">
        <v>559</v>
      </c>
      <c r="AD202" s="39">
        <v>125661.6</v>
      </c>
      <c r="AE202" s="39">
        <v>78704.36028</v>
      </c>
      <c r="AF202" s="40">
        <v>46957.23972</v>
      </c>
      <c r="AG202" s="57" t="s">
        <v>1462</v>
      </c>
      <c r="AH202" s="42" t="s">
        <v>187</v>
      </c>
      <c r="AI202" s="42" t="str">
        <f>IFERROR(__xludf.DUMMYFUNCTION("vLOOKUP(A202,IMPORTRANGE(""https://docs.google.com/spreadsheets/d/1Rawwwdh8wntXGy8isdYNHxsNQS4n_rC8JSdPfj6vEq4"",""'500 объектов перенос на 2026'!A3:AB502""),13,0)"),"#REF!")</f>
        <v>#REF!</v>
      </c>
      <c r="AJ202" s="42" t="str">
        <f>IFERROR(__xludf.DUMMYFUNCTION("vLOOKUP(A202,IMPORTRANGE(""https://docs.google.com/spreadsheets/d/1Rawwwdh8wntXGy8isdYNHxsNQS4n_rC8JSdPfj6vEq4"",""'500 объектов перенос на 2026'!A3:AB502""),14,0)"),"#REF!")</f>
        <v>#REF!</v>
      </c>
      <c r="AK202" s="77" t="s">
        <v>1463</v>
      </c>
      <c r="AL202" s="76" t="s">
        <v>1464</v>
      </c>
      <c r="AM202" s="70"/>
      <c r="AN202" s="43"/>
      <c r="AO202" s="43"/>
      <c r="AP202" s="43"/>
      <c r="AQ202" s="43"/>
      <c r="AR202" s="43"/>
      <c r="AS202" s="43"/>
      <c r="AT202" s="43"/>
      <c r="AU202" s="43"/>
      <c r="AV202" s="43"/>
      <c r="AW202" s="43"/>
      <c r="AX202" s="43"/>
      <c r="AY202" s="43"/>
      <c r="AZ202" s="43"/>
    </row>
    <row r="203">
      <c r="A203" s="62" t="s">
        <v>1465</v>
      </c>
      <c r="B203" s="63" t="s">
        <v>653</v>
      </c>
      <c r="C203" s="64" t="s">
        <v>1466</v>
      </c>
      <c r="D203" s="47" t="s">
        <v>1467</v>
      </c>
      <c r="E203" s="64" t="s">
        <v>59</v>
      </c>
      <c r="F203" s="31" t="s">
        <v>40</v>
      </c>
      <c r="G203" s="31" t="s">
        <v>41</v>
      </c>
      <c r="H203" s="31" t="s">
        <v>260</v>
      </c>
      <c r="I203" s="31" t="s">
        <v>40</v>
      </c>
      <c r="J203" s="31" t="s">
        <v>102</v>
      </c>
      <c r="K203" s="31" t="s">
        <v>72</v>
      </c>
      <c r="L203" s="32">
        <f>IFERROR(__xludf.DUMMYFUNCTION("VLOOKUP($A203,IMPORTRANGE(""1PQtfbQLqBUP-rjYRznmgNFBLOjvAnhGzpIx7BJWq8rk"",""'Worksheet'!$B$2:$H""),7,FALSE)"),0.5)</f>
        <v>0.5</v>
      </c>
      <c r="M203" s="31" t="s">
        <v>40</v>
      </c>
      <c r="N203" s="49">
        <v>6.034040928E7</v>
      </c>
      <c r="O203" s="127">
        <v>2.866169441E7</v>
      </c>
      <c r="P203" s="49">
        <f t="shared" si="33"/>
        <v>31678714.87</v>
      </c>
      <c r="Q203" s="34">
        <f t="shared" si="7"/>
        <v>0.525</v>
      </c>
      <c r="R203" s="31"/>
      <c r="S203" s="31" t="s">
        <v>40</v>
      </c>
      <c r="T203" s="91" t="s">
        <v>1468</v>
      </c>
      <c r="U203" s="50">
        <v>0.0</v>
      </c>
      <c r="V203" s="50" t="s">
        <v>1468</v>
      </c>
      <c r="W203" s="31"/>
      <c r="X203" s="159" t="s">
        <v>1469</v>
      </c>
      <c r="Y203" s="54" t="s">
        <v>1470</v>
      </c>
      <c r="Z203" s="54"/>
      <c r="AA203" s="74">
        <v>46290.0</v>
      </c>
      <c r="AB203" s="56"/>
      <c r="AC203" s="38"/>
      <c r="AD203" s="39">
        <v>60340.40928</v>
      </c>
      <c r="AE203" s="39">
        <v>28661.69441</v>
      </c>
      <c r="AF203" s="40">
        <v>31678.71487</v>
      </c>
      <c r="AG203" s="57" t="s">
        <v>1471</v>
      </c>
      <c r="AH203" s="42" t="s">
        <v>980</v>
      </c>
      <c r="AI203" s="42" t="str">
        <f>IFERROR(__xludf.DUMMYFUNCTION("vLOOKUP(A203,IMPORTRANGE(""https://docs.google.com/spreadsheets/d/1Rawwwdh8wntXGy8isdYNHxsNQS4n_rC8JSdPfj6vEq4"",""'500 объектов перенос на 2026'!A3:AB502""),13,0)"),"#REF!")</f>
        <v>#REF!</v>
      </c>
      <c r="AJ203" s="42" t="str">
        <f>IFERROR(__xludf.DUMMYFUNCTION("vLOOKUP(A203,IMPORTRANGE(""https://docs.google.com/spreadsheets/d/1Rawwwdh8wntXGy8isdYNHxsNQS4n_rC8JSdPfj6vEq4"",""'500 объектов перенос на 2026'!A3:AB502""),14,0)"),"#REF!")</f>
        <v>#REF!</v>
      </c>
      <c r="AK203" s="70" t="s">
        <v>1472</v>
      </c>
      <c r="AL203" s="70"/>
      <c r="AM203" s="70"/>
      <c r="AN203" s="43"/>
      <c r="AO203" s="43"/>
      <c r="AP203" s="43"/>
      <c r="AQ203" s="43"/>
      <c r="AR203" s="43"/>
      <c r="AS203" s="43"/>
      <c r="AT203" s="43"/>
      <c r="AU203" s="43"/>
      <c r="AV203" s="43"/>
      <c r="AW203" s="43"/>
      <c r="AX203" s="43"/>
      <c r="AY203" s="43"/>
      <c r="AZ203" s="43"/>
    </row>
    <row r="204">
      <c r="A204" s="62" t="s">
        <v>1473</v>
      </c>
      <c r="B204" s="63" t="s">
        <v>268</v>
      </c>
      <c r="C204" s="64" t="s">
        <v>1474</v>
      </c>
      <c r="D204" s="47" t="s">
        <v>1475</v>
      </c>
      <c r="E204" s="64" t="s">
        <v>324</v>
      </c>
      <c r="F204" s="31" t="s">
        <v>60</v>
      </c>
      <c r="G204" s="31"/>
      <c r="H204" s="31"/>
      <c r="I204" s="31" t="s">
        <v>40</v>
      </c>
      <c r="J204" s="31" t="s">
        <v>102</v>
      </c>
      <c r="K204" s="31" t="s">
        <v>62</v>
      </c>
      <c r="L204" s="32">
        <f>IFERROR(__xludf.DUMMYFUNCTION("VLOOKUP($A204,IMPORTRANGE(""1PQtfbQLqBUP-rjYRznmgNFBLOjvAnhGzpIx7BJWq8rk"",""'Worksheet'!$B$2:$H""),7,FALSE)"),0.21)</f>
        <v>0.21</v>
      </c>
      <c r="M204" s="31" t="s">
        <v>40</v>
      </c>
      <c r="N204" s="49">
        <v>4.5E7</v>
      </c>
      <c r="O204" s="49">
        <v>1.35E7</v>
      </c>
      <c r="P204" s="49">
        <f t="shared" si="33"/>
        <v>31500000</v>
      </c>
      <c r="Q204" s="34">
        <f t="shared" si="7"/>
        <v>0.7</v>
      </c>
      <c r="R204" s="31"/>
      <c r="S204" s="31" t="s">
        <v>40</v>
      </c>
      <c r="T204" s="50" t="s">
        <v>1476</v>
      </c>
      <c r="U204" s="50">
        <v>0.0</v>
      </c>
      <c r="V204" s="50" t="s">
        <v>1476</v>
      </c>
      <c r="W204" s="31"/>
      <c r="X204" s="159" t="s">
        <v>507</v>
      </c>
      <c r="Y204" s="54" t="s">
        <v>1477</v>
      </c>
      <c r="Z204" s="54" t="s">
        <v>1478</v>
      </c>
      <c r="AA204" s="74">
        <v>46280.0</v>
      </c>
      <c r="AB204" s="56"/>
      <c r="AC204" s="38" t="s">
        <v>1479</v>
      </c>
      <c r="AD204" s="39">
        <v>45000.0</v>
      </c>
      <c r="AE204" s="39">
        <v>13500.0</v>
      </c>
      <c r="AF204" s="40">
        <v>31500.0</v>
      </c>
      <c r="AG204" s="57" t="s">
        <v>1480</v>
      </c>
      <c r="AH204" s="42" t="s">
        <v>1481</v>
      </c>
      <c r="AI204" s="42" t="str">
        <f>IFERROR(__xludf.DUMMYFUNCTION("vLOOKUP(A204,IMPORTRANGE(""https://docs.google.com/spreadsheets/d/1Rawwwdh8wntXGy8isdYNHxsNQS4n_rC8JSdPfj6vEq4"",""'500 объектов перенос на 2026'!A3:AB502""),13,0)"),"#REF!")</f>
        <v>#REF!</v>
      </c>
      <c r="AJ204" s="42" t="str">
        <f>IFERROR(__xludf.DUMMYFUNCTION("vLOOKUP(A204,IMPORTRANGE(""https://docs.google.com/spreadsheets/d/1Rawwwdh8wntXGy8isdYNHxsNQS4n_rC8JSdPfj6vEq4"",""'500 объектов перенос на 2026'!A3:AB502""),14,0)"),"#REF!")</f>
        <v>#REF!</v>
      </c>
      <c r="AK204" s="70" t="s">
        <v>1482</v>
      </c>
      <c r="AL204" s="76"/>
      <c r="AM204" s="70"/>
      <c r="AN204" s="43"/>
      <c r="AO204" s="43"/>
      <c r="AP204" s="43"/>
      <c r="AQ204" s="43"/>
      <c r="AR204" s="43"/>
      <c r="AS204" s="43"/>
      <c r="AT204" s="43"/>
      <c r="AU204" s="43"/>
      <c r="AV204" s="43"/>
      <c r="AW204" s="43"/>
      <c r="AX204" s="43"/>
      <c r="AY204" s="43"/>
      <c r="AZ204" s="43"/>
    </row>
    <row r="205">
      <c r="A205" s="62" t="s">
        <v>1483</v>
      </c>
      <c r="B205" s="63" t="s">
        <v>268</v>
      </c>
      <c r="C205" s="64" t="s">
        <v>1484</v>
      </c>
      <c r="D205" s="47" t="s">
        <v>505</v>
      </c>
      <c r="E205" s="64" t="s">
        <v>59</v>
      </c>
      <c r="F205" s="31" t="s">
        <v>60</v>
      </c>
      <c r="G205" s="31"/>
      <c r="H205" s="31"/>
      <c r="I205" s="31" t="s">
        <v>60</v>
      </c>
      <c r="J205" s="31"/>
      <c r="K205" s="31"/>
      <c r="L205" s="32">
        <f>IFERROR(__xludf.DUMMYFUNCTION("VLOOKUP($A205,IMPORTRANGE(""1PQtfbQLqBUP-rjYRznmgNFBLOjvAnhGzpIx7BJWq8rk"",""'Worksheet'!$B$2:$H""),7,FALSE)"),1.0)</f>
        <v>1</v>
      </c>
      <c r="M205" s="31" t="s">
        <v>40</v>
      </c>
      <c r="N205" s="49">
        <v>4.472381E7</v>
      </c>
      <c r="O205" s="49">
        <v>1.3417143E7</v>
      </c>
      <c r="P205" s="49">
        <f t="shared" si="33"/>
        <v>31306667</v>
      </c>
      <c r="Q205" s="34">
        <f t="shared" si="7"/>
        <v>0.7</v>
      </c>
      <c r="R205" s="31" t="s">
        <v>1485</v>
      </c>
      <c r="S205" s="31" t="s">
        <v>60</v>
      </c>
      <c r="T205" s="91" t="s">
        <v>1486</v>
      </c>
      <c r="U205" s="50" t="s">
        <v>1486</v>
      </c>
      <c r="V205" s="50">
        <v>0.0</v>
      </c>
      <c r="W205" s="31"/>
      <c r="X205" s="159" t="s">
        <v>600</v>
      </c>
      <c r="Y205" s="160" t="s">
        <v>1487</v>
      </c>
      <c r="Z205" s="54" t="s">
        <v>1488</v>
      </c>
      <c r="AA205" s="74">
        <v>46235.0</v>
      </c>
      <c r="AB205" s="38" t="s">
        <v>1489</v>
      </c>
      <c r="AC205" s="38" t="s">
        <v>438</v>
      </c>
      <c r="AD205" s="39">
        <v>44723.81</v>
      </c>
      <c r="AE205" s="39">
        <v>13417.143</v>
      </c>
      <c r="AF205" s="40">
        <v>31306.667</v>
      </c>
      <c r="AG205" s="57" t="s">
        <v>1490</v>
      </c>
      <c r="AH205" s="85" t="s">
        <v>1491</v>
      </c>
      <c r="AI205" s="42" t="str">
        <f>IFERROR(__xludf.DUMMYFUNCTION("vLOOKUP(A205,IMPORTRANGE(""https://docs.google.com/spreadsheets/d/1Rawwwdh8wntXGy8isdYNHxsNQS4n_rC8JSdPfj6vEq4"",""'500 объектов перенос на 2026'!A3:AB502""),13,0)"),"#REF!")</f>
        <v>#REF!</v>
      </c>
      <c r="AJ205" s="42" t="str">
        <f>IFERROR(__xludf.DUMMYFUNCTION("vLOOKUP(A205,IMPORTRANGE(""https://docs.google.com/spreadsheets/d/1Rawwwdh8wntXGy8isdYNHxsNQS4n_rC8JSdPfj6vEq4"",""'500 объектов перенос на 2026'!A3:AB502""),14,0)"),"#REF!")</f>
        <v>#REF!</v>
      </c>
      <c r="AK205" s="161" t="s">
        <v>1492</v>
      </c>
      <c r="AL205" s="151"/>
      <c r="AM205" s="94"/>
      <c r="AN205" s="43"/>
      <c r="AO205" s="43"/>
      <c r="AP205" s="43"/>
      <c r="AQ205" s="43"/>
      <c r="AR205" s="43"/>
      <c r="AS205" s="43"/>
      <c r="AT205" s="43"/>
      <c r="AU205" s="43"/>
      <c r="AV205" s="43"/>
      <c r="AW205" s="43"/>
      <c r="AX205" s="43"/>
      <c r="AY205" s="43"/>
      <c r="AZ205" s="43"/>
    </row>
    <row r="206">
      <c r="A206" s="62" t="s">
        <v>1493</v>
      </c>
      <c r="B206" s="63" t="s">
        <v>605</v>
      </c>
      <c r="C206" s="64" t="s">
        <v>1494</v>
      </c>
      <c r="D206" s="47" t="s">
        <v>1210</v>
      </c>
      <c r="E206" s="64" t="s">
        <v>85</v>
      </c>
      <c r="F206" s="31" t="s">
        <v>40</v>
      </c>
      <c r="G206" s="31" t="s">
        <v>299</v>
      </c>
      <c r="H206" s="31" t="s">
        <v>260</v>
      </c>
      <c r="I206" s="31" t="s">
        <v>40</v>
      </c>
      <c r="J206" s="31" t="s">
        <v>102</v>
      </c>
      <c r="K206" s="31"/>
      <c r="L206" s="32">
        <f>IFERROR(__xludf.DUMMYFUNCTION("VLOOKUP($A206,IMPORTRANGE(""1PQtfbQLqBUP-rjYRznmgNFBLOjvAnhGzpIx7BJWq8rk"",""'Worksheet'!$B$2:$H""),7,FALSE)"),0.85)</f>
        <v>0.85</v>
      </c>
      <c r="M206" s="31" t="s">
        <v>40</v>
      </c>
      <c r="N206" s="49">
        <v>4.298478E7</v>
      </c>
      <c r="O206" s="49">
        <v>1.20983004E7</v>
      </c>
      <c r="P206" s="49">
        <f t="shared" si="33"/>
        <v>30886479.6</v>
      </c>
      <c r="Q206" s="34">
        <f t="shared" si="7"/>
        <v>0.7185445546</v>
      </c>
      <c r="R206" s="31"/>
      <c r="S206" s="31" t="s">
        <v>40</v>
      </c>
      <c r="T206" s="72" t="s">
        <v>1495</v>
      </c>
      <c r="U206" s="72">
        <v>0.0</v>
      </c>
      <c r="V206" s="72" t="s">
        <v>1495</v>
      </c>
      <c r="W206" s="31"/>
      <c r="X206" s="159" t="s">
        <v>46</v>
      </c>
      <c r="Y206" s="124" t="s">
        <v>1496</v>
      </c>
      <c r="Z206" s="54" t="s">
        <v>1497</v>
      </c>
      <c r="AA206" s="74">
        <v>46265.0</v>
      </c>
      <c r="AB206" s="56"/>
      <c r="AC206" s="38" t="s">
        <v>49</v>
      </c>
      <c r="AD206" s="39">
        <v>42984.78</v>
      </c>
      <c r="AE206" s="39">
        <v>12098.3004</v>
      </c>
      <c r="AF206" s="40">
        <v>30886.4796</v>
      </c>
      <c r="AG206" s="162" t="s">
        <v>1498</v>
      </c>
      <c r="AH206" s="85"/>
      <c r="AI206" s="42" t="str">
        <f>IFERROR(__xludf.DUMMYFUNCTION("vLOOKUP(A206,IMPORTRANGE(""https://docs.google.com/spreadsheets/d/1Rawwwdh8wntXGy8isdYNHxsNQS4n_rC8JSdPfj6vEq4"",""'500 объектов перенос на 2026'!A3:AB502""),13,0)"),"#REF!")</f>
        <v>#REF!</v>
      </c>
      <c r="AJ206" s="42" t="str">
        <f>IFERROR(__xludf.DUMMYFUNCTION("vLOOKUP(A206,IMPORTRANGE(""https://docs.google.com/spreadsheets/d/1Rawwwdh8wntXGy8isdYNHxsNQS4n_rC8JSdPfj6vEq4"",""'500 объектов перенос на 2026'!A3:AB502""),14,0)"),"#REF!")</f>
        <v>#REF!</v>
      </c>
      <c r="AK206" s="58" t="s">
        <v>1499</v>
      </c>
      <c r="AL206" s="70"/>
      <c r="AM206" s="70"/>
      <c r="AN206" s="151"/>
      <c r="AO206" s="43"/>
      <c r="AP206" s="43"/>
      <c r="AQ206" s="43"/>
      <c r="AR206" s="43"/>
      <c r="AS206" s="43"/>
      <c r="AT206" s="43"/>
      <c r="AU206" s="43"/>
      <c r="AV206" s="43"/>
      <c r="AW206" s="43"/>
      <c r="AX206" s="43"/>
      <c r="AY206" s="43"/>
      <c r="AZ206" s="43"/>
    </row>
    <row r="207">
      <c r="A207" s="62" t="s">
        <v>1500</v>
      </c>
      <c r="B207" s="63" t="s">
        <v>653</v>
      </c>
      <c r="C207" s="64" t="s">
        <v>1501</v>
      </c>
      <c r="D207" s="47" t="s">
        <v>1210</v>
      </c>
      <c r="E207" s="64" t="s">
        <v>85</v>
      </c>
      <c r="F207" s="31" t="s">
        <v>60</v>
      </c>
      <c r="G207" s="31" t="s">
        <v>41</v>
      </c>
      <c r="H207" s="31"/>
      <c r="I207" s="31" t="s">
        <v>40</v>
      </c>
      <c r="J207" s="31" t="s">
        <v>61</v>
      </c>
      <c r="K207" s="31" t="s">
        <v>62</v>
      </c>
      <c r="L207" s="32">
        <f>IFERROR(__xludf.DUMMYFUNCTION("VLOOKUP($A207,IMPORTRANGE(""1PQtfbQLqBUP-rjYRznmgNFBLOjvAnhGzpIx7BJWq8rk"",""'Worksheet'!$B$2:$H""),7,FALSE)"),0.88)</f>
        <v>0.88</v>
      </c>
      <c r="M207" s="31" t="s">
        <v>40</v>
      </c>
      <c r="N207" s="49">
        <v>4.295E7</v>
      </c>
      <c r="O207" s="127">
        <v>1.224075E7</v>
      </c>
      <c r="P207" s="49">
        <f t="shared" si="33"/>
        <v>30709250</v>
      </c>
      <c r="Q207" s="34">
        <f t="shared" si="7"/>
        <v>0.715</v>
      </c>
      <c r="R207" s="31" t="s">
        <v>555</v>
      </c>
      <c r="S207" s="31" t="s">
        <v>40</v>
      </c>
      <c r="T207" s="91" t="s">
        <v>1502</v>
      </c>
      <c r="U207" s="91">
        <v>0.0</v>
      </c>
      <c r="V207" s="51" t="s">
        <v>1502</v>
      </c>
      <c r="W207" s="31" t="s">
        <v>1503</v>
      </c>
      <c r="X207" s="159" t="s">
        <v>46</v>
      </c>
      <c r="Y207" s="54" t="s">
        <v>1504</v>
      </c>
      <c r="Z207" s="74"/>
      <c r="AA207" s="74">
        <v>46227.0</v>
      </c>
      <c r="AB207" s="56"/>
      <c r="AC207" s="38" t="s">
        <v>1505</v>
      </c>
      <c r="AD207" s="39">
        <v>42950.0</v>
      </c>
      <c r="AE207" s="39">
        <v>12240.75</v>
      </c>
      <c r="AF207" s="40">
        <v>30709.25</v>
      </c>
      <c r="AG207" s="57" t="s">
        <v>1506</v>
      </c>
      <c r="AH207" s="42" t="s">
        <v>903</v>
      </c>
      <c r="AI207" s="42" t="str">
        <f>IFERROR(__xludf.DUMMYFUNCTION("vLOOKUP(A207,IMPORTRANGE(""https://docs.google.com/spreadsheets/d/1Rawwwdh8wntXGy8isdYNHxsNQS4n_rC8JSdPfj6vEq4"",""'500 объектов перенос на 2026'!A3:AB502""),13,0)"),"#REF!")</f>
        <v>#REF!</v>
      </c>
      <c r="AJ207" s="42" t="str">
        <f>IFERROR(__xludf.DUMMYFUNCTION("vLOOKUP(A207,IMPORTRANGE(""https://docs.google.com/spreadsheets/d/1Rawwwdh8wntXGy8isdYNHxsNQS4n_rC8JSdPfj6vEq4"",""'500 объектов перенос на 2026'!A3:AB502""),14,0)"),"#REF!")</f>
        <v>#REF!</v>
      </c>
      <c r="AK207" s="75" t="s">
        <v>1507</v>
      </c>
      <c r="AL207" s="77" t="s">
        <v>1508</v>
      </c>
      <c r="AM207" s="153"/>
      <c r="AN207" s="43"/>
      <c r="AO207" s="43"/>
      <c r="AP207" s="43"/>
      <c r="AQ207" s="43"/>
      <c r="AR207" s="43"/>
      <c r="AS207" s="43"/>
      <c r="AT207" s="43"/>
      <c r="AU207" s="43"/>
      <c r="AV207" s="43"/>
      <c r="AW207" s="43"/>
      <c r="AX207" s="43"/>
      <c r="AY207" s="43"/>
      <c r="AZ207" s="43"/>
    </row>
    <row r="208">
      <c r="A208" s="62" t="s">
        <v>1509</v>
      </c>
      <c r="B208" s="63" t="s">
        <v>296</v>
      </c>
      <c r="C208" s="64" t="s">
        <v>1510</v>
      </c>
      <c r="D208" s="47" t="s">
        <v>246</v>
      </c>
      <c r="E208" s="64" t="s">
        <v>59</v>
      </c>
      <c r="F208" s="31" t="s">
        <v>60</v>
      </c>
      <c r="G208" s="31"/>
      <c r="H208" s="31"/>
      <c r="I208" s="31" t="s">
        <v>60</v>
      </c>
      <c r="J208" s="31"/>
      <c r="K208" s="31"/>
      <c r="L208" s="32" t="str">
        <f>IFERROR(__xludf.DUMMYFUNCTION("VLOOKUP($A208,IMPORTRANGE(""1PQtfbQLqBUP-rjYRznmgNFBLOjvAnhGzpIx7BJWq8rk"",""'Worksheet'!$B$2:$H""),7,FALSE)"),"#N/A")</f>
        <v>#N/A</v>
      </c>
      <c r="M208" s="31" t="s">
        <v>45</v>
      </c>
      <c r="N208" s="49">
        <v>4.50322278E7</v>
      </c>
      <c r="O208" s="49">
        <v>1.489975173E7</v>
      </c>
      <c r="P208" s="49">
        <f t="shared" si="33"/>
        <v>30132476.07</v>
      </c>
      <c r="Q208" s="34">
        <f t="shared" si="7"/>
        <v>0.6691313653</v>
      </c>
      <c r="R208" s="31" t="s">
        <v>1059</v>
      </c>
      <c r="S208" s="31" t="s">
        <v>40</v>
      </c>
      <c r="T208" s="155">
        <v>4.278061641E7</v>
      </c>
      <c r="U208" s="50">
        <v>0.0</v>
      </c>
      <c r="V208" s="158">
        <f>P208-P208*0.05</f>
        <v>28625852.27</v>
      </c>
      <c r="W208" s="31" t="s">
        <v>1511</v>
      </c>
      <c r="X208" s="159" t="s">
        <v>73</v>
      </c>
      <c r="Y208" s="73" t="s">
        <v>1512</v>
      </c>
      <c r="Z208" s="54" t="s">
        <v>1513</v>
      </c>
      <c r="AA208" s="68">
        <v>46232.0</v>
      </c>
      <c r="AB208" s="56"/>
      <c r="AC208" s="38"/>
      <c r="AD208" s="39">
        <v>46202.96</v>
      </c>
      <c r="AE208" s="39">
        <v>0.0</v>
      </c>
      <c r="AF208" s="40">
        <v>46202.96</v>
      </c>
      <c r="AG208" s="57" t="s">
        <v>1514</v>
      </c>
      <c r="AH208" s="57" t="s">
        <v>1515</v>
      </c>
      <c r="AI208" s="42" t="str">
        <f>IFERROR(__xludf.DUMMYFUNCTION("vLOOKUP(A208,IMPORTRANGE(""https://docs.google.com/spreadsheets/d/1Rawwwdh8wntXGy8isdYNHxsNQS4n_rC8JSdPfj6vEq4"",""'500 объектов перенос на 2026'!A3:AB502""),13,0)"),"#REF!")</f>
        <v>#REF!</v>
      </c>
      <c r="AJ208" s="42" t="str">
        <f>IFERROR(__xludf.DUMMYFUNCTION("vLOOKUP(A208,IMPORTRANGE(""https://docs.google.com/spreadsheets/d/1Rawwwdh8wntXGy8isdYNHxsNQS4n_rC8JSdPfj6vEq4"",""'500 объектов перенос на 2026'!A3:AB502""),14,0)"),"#REF!")</f>
        <v>#REF!</v>
      </c>
      <c r="AK208" s="76" t="s">
        <v>1516</v>
      </c>
      <c r="AL208" s="76"/>
      <c r="AM208" s="70"/>
      <c r="AN208" s="43"/>
      <c r="AO208" s="43"/>
      <c r="AP208" s="43"/>
      <c r="AQ208" s="43"/>
      <c r="AR208" s="43"/>
      <c r="AS208" s="43"/>
      <c r="AT208" s="43"/>
      <c r="AU208" s="43"/>
      <c r="AV208" s="43"/>
      <c r="AW208" s="43"/>
      <c r="AX208" s="43"/>
      <c r="AY208" s="43"/>
      <c r="AZ208" s="43"/>
    </row>
    <row r="209">
      <c r="A209" s="122" t="s">
        <v>1517</v>
      </c>
      <c r="B209" s="63" t="s">
        <v>826</v>
      </c>
      <c r="C209" s="64" t="s">
        <v>1518</v>
      </c>
      <c r="D209" s="47" t="s">
        <v>1519</v>
      </c>
      <c r="E209" s="64" t="s">
        <v>85</v>
      </c>
      <c r="F209" s="31" t="s">
        <v>60</v>
      </c>
      <c r="G209" s="31"/>
      <c r="H209" s="31"/>
      <c r="I209" s="31" t="s">
        <v>60</v>
      </c>
      <c r="J209" s="31"/>
      <c r="K209" s="31"/>
      <c r="L209" s="32" t="str">
        <f>IFERROR(__xludf.DUMMYFUNCTION("VLOOKUP($A209,IMPORTRANGE(""1PQtfbQLqBUP-rjYRznmgNFBLOjvAnhGzpIx7BJWq8rk"",""'Worksheet'!$B$2:$H""),7,FALSE)"),"#N/A")</f>
        <v>#N/A</v>
      </c>
      <c r="M209" s="31" t="s">
        <v>60</v>
      </c>
      <c r="N209" s="49">
        <v>1.228977E7</v>
      </c>
      <c r="O209" s="49">
        <v>5978074.45</v>
      </c>
      <c r="P209" s="49">
        <v>0.0</v>
      </c>
      <c r="Q209" s="34">
        <f t="shared" si="7"/>
        <v>0.5135731222</v>
      </c>
      <c r="R209" s="31"/>
      <c r="S209" s="31" t="s">
        <v>60</v>
      </c>
      <c r="T209" s="50">
        <v>5641278.89</v>
      </c>
      <c r="U209" s="50">
        <v>5641278.89</v>
      </c>
      <c r="V209" s="50">
        <f>T209-U209</f>
        <v>0</v>
      </c>
      <c r="W209" s="31"/>
      <c r="X209" s="159">
        <v>5679170.73</v>
      </c>
      <c r="Y209" s="54"/>
      <c r="Z209" s="54"/>
      <c r="AA209" s="54" t="s">
        <v>114</v>
      </c>
      <c r="AB209" s="38" t="s">
        <v>115</v>
      </c>
      <c r="AC209" s="38"/>
      <c r="AD209" s="39">
        <v>10258.15</v>
      </c>
      <c r="AE209" s="39">
        <v>5978.07445</v>
      </c>
      <c r="AF209" s="39">
        <v>4280.07555</v>
      </c>
      <c r="AG209" s="57" t="s">
        <v>1520</v>
      </c>
      <c r="AH209" s="42" t="s">
        <v>362</v>
      </c>
      <c r="AI209" s="42" t="str">
        <f>IFERROR(__xludf.DUMMYFUNCTION("vLOOKUP(A209,IMPORTRANGE(""https://docs.google.com/spreadsheets/d/1Rawwwdh8wntXGy8isdYNHxsNQS4n_rC8JSdPfj6vEq4"",""'500 объектов перенос на 2026'!A3:AB502""),13,0)"),"#REF!")</f>
        <v>#REF!</v>
      </c>
      <c r="AJ209" s="42" t="str">
        <f>IFERROR(__xludf.DUMMYFUNCTION("vLOOKUP(A209,IMPORTRANGE(""https://docs.google.com/spreadsheets/d/1Rawwwdh8wntXGy8isdYNHxsNQS4n_rC8JSdPfj6vEq4"",""'500 объектов перенос на 2026'!A3:AB502""),14,0)"),"#REF!")</f>
        <v>#REF!</v>
      </c>
      <c r="AK209" s="76" t="s">
        <v>114</v>
      </c>
      <c r="AL209" s="70"/>
      <c r="AM209" s="70"/>
      <c r="AN209" s="43"/>
      <c r="AO209" s="43"/>
      <c r="AP209" s="43"/>
      <c r="AQ209" s="43"/>
      <c r="AR209" s="43"/>
      <c r="AS209" s="43"/>
      <c r="AT209" s="43"/>
      <c r="AU209" s="43"/>
      <c r="AV209" s="43"/>
      <c r="AW209" s="43"/>
      <c r="AX209" s="43"/>
      <c r="AY209" s="43"/>
      <c r="AZ209" s="43"/>
    </row>
    <row r="210">
      <c r="A210" s="62" t="s">
        <v>1521</v>
      </c>
      <c r="B210" s="63" t="s">
        <v>703</v>
      </c>
      <c r="C210" s="64" t="s">
        <v>1522</v>
      </c>
      <c r="D210" s="47" t="s">
        <v>1523</v>
      </c>
      <c r="E210" s="64" t="s">
        <v>85</v>
      </c>
      <c r="F210" s="31" t="s">
        <v>40</v>
      </c>
      <c r="G210" s="31" t="s">
        <v>41</v>
      </c>
      <c r="H210" s="31" t="s">
        <v>779</v>
      </c>
      <c r="I210" s="31" t="s">
        <v>60</v>
      </c>
      <c r="J210" s="31"/>
      <c r="K210" s="31"/>
      <c r="L210" s="32">
        <f>IFERROR(__xludf.DUMMYFUNCTION("VLOOKUP($A210,IMPORTRANGE(""1PQtfbQLqBUP-rjYRznmgNFBLOjvAnhGzpIx7BJWq8rk"",""'Worksheet'!$B$2:$H""),7,FALSE)"),0.98)</f>
        <v>0.98</v>
      </c>
      <c r="M210" s="31" t="s">
        <v>45</v>
      </c>
      <c r="N210" s="49">
        <v>7.218918349E7</v>
      </c>
      <c r="O210" s="49">
        <v>4.275233469E7</v>
      </c>
      <c r="P210" s="49">
        <f t="shared" ref="P210:P228" si="34">N210-O210</f>
        <v>29436848.8</v>
      </c>
      <c r="Q210" s="34">
        <f t="shared" si="7"/>
        <v>0.4077736771</v>
      </c>
      <c r="R210" s="31"/>
      <c r="S210" s="31" t="s">
        <v>45</v>
      </c>
      <c r="T210" s="145"/>
      <c r="U210" s="51"/>
      <c r="V210" s="51"/>
      <c r="W210" s="31"/>
      <c r="X210" s="52" t="s">
        <v>507</v>
      </c>
      <c r="Y210" s="128" t="s">
        <v>1524</v>
      </c>
      <c r="Z210" s="54" t="s">
        <v>707</v>
      </c>
      <c r="AA210" s="54" t="s">
        <v>114</v>
      </c>
      <c r="AB210" s="38" t="s">
        <v>115</v>
      </c>
      <c r="AC210" s="38"/>
      <c r="AD210" s="39">
        <v>72189.18</v>
      </c>
      <c r="AE210" s="39">
        <v>44357.90589</v>
      </c>
      <c r="AF210" s="40">
        <v>27831.27411</v>
      </c>
      <c r="AG210" s="99" t="s">
        <v>1525</v>
      </c>
      <c r="AH210" s="42"/>
      <c r="AI210" s="42" t="str">
        <f>IFERROR(__xludf.DUMMYFUNCTION("vLOOKUP(A210,IMPORTRANGE(""https://docs.google.com/spreadsheets/d/1Rawwwdh8wntXGy8isdYNHxsNQS4n_rC8JSdPfj6vEq4"",""'500 объектов перенос на 2026'!A3:AB502""),13,0)"),"#REF!")</f>
        <v>#REF!</v>
      </c>
      <c r="AJ210" s="42" t="str">
        <f>IFERROR(__xludf.DUMMYFUNCTION("vLOOKUP(A210,IMPORTRANGE(""https://docs.google.com/spreadsheets/d/1Rawwwdh8wntXGy8isdYNHxsNQS4n_rC8JSdPfj6vEq4"",""'500 объектов перенос на 2026'!A3:AB502""),14,0)"),"#REF!")</f>
        <v>#REF!</v>
      </c>
      <c r="AK210" s="163" t="s">
        <v>115</v>
      </c>
      <c r="AL210" s="110"/>
      <c r="AM210" s="110"/>
      <c r="AN210" s="43"/>
      <c r="AO210" s="43"/>
      <c r="AP210" s="43"/>
      <c r="AQ210" s="43"/>
      <c r="AR210" s="43"/>
      <c r="AS210" s="43"/>
      <c r="AT210" s="43"/>
      <c r="AU210" s="43"/>
      <c r="AV210" s="43"/>
      <c r="AW210" s="43"/>
      <c r="AX210" s="43"/>
      <c r="AY210" s="43"/>
      <c r="AZ210" s="43"/>
    </row>
    <row r="211">
      <c r="A211" s="62" t="s">
        <v>1526</v>
      </c>
      <c r="B211" s="63" t="s">
        <v>1329</v>
      </c>
      <c r="C211" s="64" t="s">
        <v>1527</v>
      </c>
      <c r="D211" s="47" t="s">
        <v>1331</v>
      </c>
      <c r="E211" s="64" t="s">
        <v>39</v>
      </c>
      <c r="F211" s="31" t="s">
        <v>60</v>
      </c>
      <c r="G211" s="31"/>
      <c r="H211" s="31"/>
      <c r="I211" s="31" t="s">
        <v>40</v>
      </c>
      <c r="J211" s="31" t="s">
        <v>61</v>
      </c>
      <c r="K211" s="31" t="s">
        <v>72</v>
      </c>
      <c r="L211" s="32">
        <f>IFERROR(__xludf.DUMMYFUNCTION("VLOOKUP($A211,IMPORTRANGE(""1PQtfbQLqBUP-rjYRznmgNFBLOjvAnhGzpIx7BJWq8rk"",""'Worksheet'!$B$2:$H""),7,FALSE)"),0.69)</f>
        <v>0.69</v>
      </c>
      <c r="M211" s="31" t="s">
        <v>40</v>
      </c>
      <c r="N211" s="49">
        <v>5.369353024E7</v>
      </c>
      <c r="O211" s="49">
        <v>2.435521638E7</v>
      </c>
      <c r="P211" s="49">
        <f t="shared" si="34"/>
        <v>29338313.86</v>
      </c>
      <c r="Q211" s="34">
        <f t="shared" si="7"/>
        <v>0.5464031463</v>
      </c>
      <c r="R211" s="31"/>
      <c r="S211" s="31" t="s">
        <v>45</v>
      </c>
      <c r="T211" s="50" t="s">
        <v>1528</v>
      </c>
      <c r="U211" s="51" t="s">
        <v>1529</v>
      </c>
      <c r="V211" s="51" t="s">
        <v>1530</v>
      </c>
      <c r="W211" s="31"/>
      <c r="X211" s="52" t="s">
        <v>46</v>
      </c>
      <c r="Y211" s="54" t="s">
        <v>1531</v>
      </c>
      <c r="Z211" s="54" t="s">
        <v>1532</v>
      </c>
      <c r="AA211" s="74">
        <v>46223.0</v>
      </c>
      <c r="AB211" s="56"/>
      <c r="AC211" s="38"/>
      <c r="AD211" s="39">
        <v>53679.03167</v>
      </c>
      <c r="AE211" s="39">
        <v>24355.21638</v>
      </c>
      <c r="AF211" s="40">
        <v>29323.81529</v>
      </c>
      <c r="AG211" s="57" t="s">
        <v>1533</v>
      </c>
      <c r="AH211" s="42" t="s">
        <v>1338</v>
      </c>
      <c r="AI211" s="42" t="str">
        <f>IFERROR(__xludf.DUMMYFUNCTION("vLOOKUP(A211,IMPORTRANGE(""https://docs.google.com/spreadsheets/d/1Rawwwdh8wntXGy8isdYNHxsNQS4n_rC8JSdPfj6vEq4"",""'500 объектов перенос на 2026'!A3:AB502""),13,0)"),"#REF!")</f>
        <v>#REF!</v>
      </c>
      <c r="AJ211" s="42" t="str">
        <f>IFERROR(__xludf.DUMMYFUNCTION("vLOOKUP(A211,IMPORTRANGE(""https://docs.google.com/spreadsheets/d/1Rawwwdh8wntXGy8isdYNHxsNQS4n_rC8JSdPfj6vEq4"",""'500 объектов перенос на 2026'!A3:AB502""),14,0)"),"#REF!")</f>
        <v>#REF!</v>
      </c>
      <c r="AK211" s="76" t="s">
        <v>1534</v>
      </c>
      <c r="AL211" s="70"/>
      <c r="AM211" s="70"/>
      <c r="AN211" s="43"/>
      <c r="AO211" s="43"/>
      <c r="AP211" s="43"/>
      <c r="AQ211" s="43"/>
      <c r="AR211" s="43"/>
      <c r="AS211" s="43"/>
      <c r="AT211" s="43"/>
      <c r="AU211" s="43"/>
      <c r="AV211" s="43"/>
      <c r="AW211" s="43"/>
      <c r="AX211" s="43"/>
      <c r="AY211" s="43"/>
      <c r="AZ211" s="43"/>
    </row>
    <row r="212">
      <c r="A212" s="62" t="s">
        <v>1535</v>
      </c>
      <c r="B212" s="63" t="s">
        <v>1274</v>
      </c>
      <c r="C212" s="90" t="s">
        <v>1536</v>
      </c>
      <c r="D212" s="47" t="s">
        <v>1276</v>
      </c>
      <c r="E212" s="64" t="s">
        <v>85</v>
      </c>
      <c r="F212" s="31" t="s">
        <v>60</v>
      </c>
      <c r="G212" s="31"/>
      <c r="H212" s="31"/>
      <c r="I212" s="31" t="s">
        <v>60</v>
      </c>
      <c r="J212" s="31"/>
      <c r="K212" s="31"/>
      <c r="L212" s="32">
        <f>IFERROR(__xludf.DUMMYFUNCTION("VLOOKUP($A212,IMPORTRANGE(""1PQtfbQLqBUP-rjYRznmgNFBLOjvAnhGzpIx7BJWq8rk"",""'Worksheet'!$B$2:$H""),7,FALSE)"),0.91)</f>
        <v>0.91</v>
      </c>
      <c r="M212" s="31" t="s">
        <v>45</v>
      </c>
      <c r="N212" s="49">
        <v>9.760695511E7</v>
      </c>
      <c r="O212" s="49">
        <v>6.870694511E7</v>
      </c>
      <c r="P212" s="49">
        <f t="shared" si="34"/>
        <v>28900010</v>
      </c>
      <c r="Q212" s="34">
        <f t="shared" si="7"/>
        <v>0.2960855604</v>
      </c>
      <c r="R212" s="31"/>
      <c r="S212" s="31" t="s">
        <v>45</v>
      </c>
      <c r="T212" s="84" t="s">
        <v>1537</v>
      </c>
      <c r="U212" s="84" t="s">
        <v>1538</v>
      </c>
      <c r="V212" s="84" t="s">
        <v>1539</v>
      </c>
      <c r="W212" s="31" t="s">
        <v>506</v>
      </c>
      <c r="X212" s="52" t="s">
        <v>1540</v>
      </c>
      <c r="Y212" s="54" t="s">
        <v>1541</v>
      </c>
      <c r="Z212" s="54" t="s">
        <v>1455</v>
      </c>
      <c r="AA212" s="68">
        <v>46266.0</v>
      </c>
      <c r="AB212" s="56"/>
      <c r="AC212" s="38" t="s">
        <v>1349</v>
      </c>
      <c r="AD212" s="39">
        <v>101364.18</v>
      </c>
      <c r="AE212" s="39">
        <v>68706.94511</v>
      </c>
      <c r="AF212" s="40">
        <v>32657.23489</v>
      </c>
      <c r="AG212" s="99" t="s">
        <v>1542</v>
      </c>
      <c r="AH212" s="42"/>
      <c r="AI212" s="42" t="str">
        <f>IFERROR(__xludf.DUMMYFUNCTION("vLOOKUP(A212,IMPORTRANGE(""https://docs.google.com/spreadsheets/d/1Rawwwdh8wntXGy8isdYNHxsNQS4n_rC8JSdPfj6vEq4"",""'500 объектов перенос на 2026'!A3:AB502""),13,0)"),"#REF!")</f>
        <v>#REF!</v>
      </c>
      <c r="AJ212" s="42" t="str">
        <f>IFERROR(__xludf.DUMMYFUNCTION("vLOOKUP(A212,IMPORTRANGE(""https://docs.google.com/spreadsheets/d/1Rawwwdh8wntXGy8isdYNHxsNQS4n_rC8JSdPfj6vEq4"",""'500 объектов перенос на 2026'!A3:AB502""),14,0)"),"#REF!")</f>
        <v>#REF!</v>
      </c>
      <c r="AK212" s="76" t="s">
        <v>1543</v>
      </c>
      <c r="AL212" s="70"/>
      <c r="AM212" s="70"/>
      <c r="AN212" s="96"/>
      <c r="AO212" s="96"/>
      <c r="AP212" s="96"/>
      <c r="AQ212" s="96"/>
      <c r="AR212" s="96"/>
      <c r="AS212" s="96"/>
      <c r="AT212" s="96"/>
      <c r="AU212" s="96"/>
      <c r="AV212" s="96"/>
      <c r="AW212" s="96"/>
      <c r="AX212" s="96"/>
      <c r="AY212" s="96"/>
      <c r="AZ212" s="96"/>
    </row>
    <row r="213">
      <c r="A213" s="62" t="s">
        <v>1544</v>
      </c>
      <c r="B213" s="63" t="s">
        <v>1299</v>
      </c>
      <c r="C213" s="90" t="s">
        <v>1545</v>
      </c>
      <c r="D213" s="47" t="s">
        <v>1546</v>
      </c>
      <c r="E213" s="64" t="s">
        <v>85</v>
      </c>
      <c r="F213" s="31" t="s">
        <v>60</v>
      </c>
      <c r="G213" s="31"/>
      <c r="H213" s="31"/>
      <c r="I213" s="31" t="s">
        <v>60</v>
      </c>
      <c r="J213" s="31"/>
      <c r="K213" s="31"/>
      <c r="L213" s="32">
        <f>IFERROR(__xludf.DUMMYFUNCTION("VLOOKUP($A213,IMPORTRANGE(""1PQtfbQLqBUP-rjYRznmgNFBLOjvAnhGzpIx7BJWq8rk"",""'Worksheet'!$B$2:$H""),7,FALSE)"),0.98)</f>
        <v>0.98</v>
      </c>
      <c r="M213" s="31" t="s">
        <v>40</v>
      </c>
      <c r="N213" s="49">
        <v>5.460733E7</v>
      </c>
      <c r="O213" s="49">
        <v>2.6351855E7</v>
      </c>
      <c r="P213" s="49">
        <f t="shared" si="34"/>
        <v>28255475</v>
      </c>
      <c r="Q213" s="34">
        <f t="shared" si="7"/>
        <v>0.5174300776</v>
      </c>
      <c r="R213" s="31"/>
      <c r="S213" s="31" t="s">
        <v>45</v>
      </c>
      <c r="T213" s="88" t="s">
        <v>1547</v>
      </c>
      <c r="U213" s="84">
        <v>0.0</v>
      </c>
      <c r="V213" s="88" t="s">
        <v>1547</v>
      </c>
      <c r="W213" s="31" t="s">
        <v>183</v>
      </c>
      <c r="X213" s="52" t="s">
        <v>1548</v>
      </c>
      <c r="Y213" s="54" t="s">
        <v>1549</v>
      </c>
      <c r="Z213" s="74"/>
      <c r="AA213" s="74">
        <v>46203.0</v>
      </c>
      <c r="AB213" s="56"/>
      <c r="AC213" s="38"/>
      <c r="AD213" s="39">
        <v>54607.0</v>
      </c>
      <c r="AE213" s="39">
        <v>26351.855</v>
      </c>
      <c r="AF213" s="40">
        <v>28255.145</v>
      </c>
      <c r="AG213" s="57" t="s">
        <v>1550</v>
      </c>
      <c r="AH213" s="42" t="s">
        <v>1551</v>
      </c>
      <c r="AI213" s="42" t="str">
        <f>IFERROR(__xludf.DUMMYFUNCTION("vLOOKUP(A213,IMPORTRANGE(""https://docs.google.com/spreadsheets/d/1Rawwwdh8wntXGy8isdYNHxsNQS4n_rC8JSdPfj6vEq4"",""'500 объектов перенос на 2026'!A3:AB502""),13,0)"),"#REF!")</f>
        <v>#REF!</v>
      </c>
      <c r="AJ213" s="42" t="str">
        <f>IFERROR(__xludf.DUMMYFUNCTION("vLOOKUP(A213,IMPORTRANGE(""https://docs.google.com/spreadsheets/d/1Rawwwdh8wntXGy8isdYNHxsNQS4n_rC8JSdPfj6vEq4"",""'500 объектов перенос на 2026'!A3:AB502""),14,0)"),"#REF!")</f>
        <v>#REF!</v>
      </c>
      <c r="AK213" s="76" t="s">
        <v>1552</v>
      </c>
      <c r="AL213" s="70"/>
      <c r="AM213" s="70"/>
      <c r="AN213" s="43"/>
      <c r="AO213" s="43"/>
      <c r="AP213" s="43"/>
      <c r="AQ213" s="43"/>
      <c r="AR213" s="43"/>
      <c r="AS213" s="43"/>
      <c r="AT213" s="43"/>
      <c r="AU213" s="43"/>
      <c r="AV213" s="43"/>
      <c r="AW213" s="43"/>
      <c r="AX213" s="43"/>
      <c r="AY213" s="43"/>
      <c r="AZ213" s="43"/>
    </row>
    <row r="214">
      <c r="A214" s="62" t="s">
        <v>1553</v>
      </c>
      <c r="B214" s="63" t="s">
        <v>605</v>
      </c>
      <c r="C214" s="64" t="s">
        <v>1554</v>
      </c>
      <c r="D214" s="47" t="s">
        <v>1210</v>
      </c>
      <c r="E214" s="64" t="s">
        <v>85</v>
      </c>
      <c r="F214" s="31" t="s">
        <v>40</v>
      </c>
      <c r="G214" s="31" t="s">
        <v>41</v>
      </c>
      <c r="H214" s="31" t="s">
        <v>260</v>
      </c>
      <c r="I214" s="31" t="s">
        <v>40</v>
      </c>
      <c r="J214" s="31" t="s">
        <v>61</v>
      </c>
      <c r="K214" s="31"/>
      <c r="L214" s="32">
        <f>IFERROR(__xludf.DUMMYFUNCTION("VLOOKUP($A214,IMPORTRANGE(""1PQtfbQLqBUP-rjYRznmgNFBLOjvAnhGzpIx7BJWq8rk"",""'Worksheet'!$B$2:$H""),7,FALSE)"),0.9)</f>
        <v>0.9</v>
      </c>
      <c r="M214" s="31" t="s">
        <v>40</v>
      </c>
      <c r="N214" s="49">
        <v>3.906428426E7</v>
      </c>
      <c r="O214" s="49">
        <v>1.113332E7</v>
      </c>
      <c r="P214" s="49">
        <f t="shared" si="34"/>
        <v>27930964.26</v>
      </c>
      <c r="Q214" s="34">
        <f t="shared" si="7"/>
        <v>0.715000026</v>
      </c>
      <c r="R214" s="31"/>
      <c r="S214" s="31" t="s">
        <v>40</v>
      </c>
      <c r="T214" s="88" t="s">
        <v>1555</v>
      </c>
      <c r="U214" s="88">
        <v>0.0</v>
      </c>
      <c r="V214" s="88" t="s">
        <v>1555</v>
      </c>
      <c r="W214" s="31"/>
      <c r="X214" s="52" t="s">
        <v>49</v>
      </c>
      <c r="Y214" s="54" t="s">
        <v>1556</v>
      </c>
      <c r="Z214" s="54" t="s">
        <v>75</v>
      </c>
      <c r="AA214" s="74">
        <v>46280.0</v>
      </c>
      <c r="AB214" s="56"/>
      <c r="AC214" s="38" t="s">
        <v>1557</v>
      </c>
      <c r="AD214" s="39">
        <v>39064.28</v>
      </c>
      <c r="AE214" s="39">
        <v>11133.32</v>
      </c>
      <c r="AF214" s="40">
        <v>27930.96</v>
      </c>
      <c r="AG214" s="99" t="s">
        <v>1558</v>
      </c>
      <c r="AH214" s="85"/>
      <c r="AI214" s="42" t="str">
        <f>IFERROR(__xludf.DUMMYFUNCTION("vLOOKUP(A214,IMPORTRANGE(""https://docs.google.com/spreadsheets/d/1Rawwwdh8wntXGy8isdYNHxsNQS4n_rC8JSdPfj6vEq4"",""'500 объектов перенос на 2026'!A3:AB502""),13,0)"),"#REF!")</f>
        <v>#REF!</v>
      </c>
      <c r="AJ214" s="42" t="str">
        <f>IFERROR(__xludf.DUMMYFUNCTION("vLOOKUP(A214,IMPORTRANGE(""https://docs.google.com/spreadsheets/d/1Rawwwdh8wntXGy8isdYNHxsNQS4n_rC8JSdPfj6vEq4"",""'500 объектов перенос на 2026'!A3:AB502""),14,0)"),"#REF!")</f>
        <v>#REF!</v>
      </c>
      <c r="AK214" s="58" t="s">
        <v>1559</v>
      </c>
      <c r="AL214" s="70"/>
      <c r="AM214" s="70"/>
      <c r="AN214" s="76"/>
      <c r="AO214" s="43"/>
      <c r="AP214" s="43"/>
      <c r="AQ214" s="43"/>
      <c r="AR214" s="43"/>
      <c r="AS214" s="43"/>
      <c r="AT214" s="43"/>
      <c r="AU214" s="43"/>
      <c r="AV214" s="43"/>
      <c r="AW214" s="43"/>
      <c r="AX214" s="43"/>
      <c r="AY214" s="43"/>
      <c r="AZ214" s="43"/>
    </row>
    <row r="215">
      <c r="A215" s="62" t="s">
        <v>1560</v>
      </c>
      <c r="B215" s="63" t="s">
        <v>1274</v>
      </c>
      <c r="C215" s="64" t="s">
        <v>1561</v>
      </c>
      <c r="D215" s="47" t="s">
        <v>1276</v>
      </c>
      <c r="E215" s="64" t="s">
        <v>85</v>
      </c>
      <c r="F215" s="31" t="s">
        <v>60</v>
      </c>
      <c r="G215" s="31"/>
      <c r="H215" s="31"/>
      <c r="I215" s="31" t="s">
        <v>40</v>
      </c>
      <c r="J215" s="31" t="s">
        <v>61</v>
      </c>
      <c r="K215" s="31" t="s">
        <v>72</v>
      </c>
      <c r="L215" s="32">
        <f>IFERROR(__xludf.DUMMYFUNCTION("VLOOKUP($A215,IMPORTRANGE(""1PQtfbQLqBUP-rjYRznmgNFBLOjvAnhGzpIx7BJWq8rk"",""'Worksheet'!$B$2:$H""),7,FALSE)"),0.95)</f>
        <v>0.95</v>
      </c>
      <c r="M215" s="31" t="s">
        <v>45</v>
      </c>
      <c r="N215" s="49">
        <v>8.315098894E7</v>
      </c>
      <c r="O215" s="49">
        <v>5.555234064E7</v>
      </c>
      <c r="P215" s="49">
        <f t="shared" si="34"/>
        <v>27598648.3</v>
      </c>
      <c r="Q215" s="34">
        <f t="shared" si="7"/>
        <v>0.3319100428</v>
      </c>
      <c r="R215" s="31"/>
      <c r="S215" s="31" t="s">
        <v>40</v>
      </c>
      <c r="T215" s="84" t="s">
        <v>1562</v>
      </c>
      <c r="U215" s="145">
        <v>0.0</v>
      </c>
      <c r="V215" s="84" t="s">
        <v>1562</v>
      </c>
      <c r="W215" s="31"/>
      <c r="X215" s="52" t="s">
        <v>1453</v>
      </c>
      <c r="Y215" s="54" t="s">
        <v>1563</v>
      </c>
      <c r="Z215" s="54" t="s">
        <v>1455</v>
      </c>
      <c r="AA215" s="74">
        <v>46235.0</v>
      </c>
      <c r="AB215" s="56"/>
      <c r="AC215" s="38" t="s">
        <v>1349</v>
      </c>
      <c r="AD215" s="39">
        <v>95774.56</v>
      </c>
      <c r="AE215" s="39">
        <v>55552.34064</v>
      </c>
      <c r="AF215" s="40">
        <v>40222.21936</v>
      </c>
      <c r="AG215" s="99" t="s">
        <v>1564</v>
      </c>
      <c r="AH215" s="42"/>
      <c r="AI215" s="42" t="str">
        <f>IFERROR(__xludf.DUMMYFUNCTION("vLOOKUP(A215,IMPORTRANGE(""https://docs.google.com/spreadsheets/d/1Rawwwdh8wntXGy8isdYNHxsNQS4n_rC8JSdPfj6vEq4"",""'500 объектов перенос на 2026'!A3:AB502""),13,0)"),"#REF!")</f>
        <v>#REF!</v>
      </c>
      <c r="AJ215" s="42" t="str">
        <f>IFERROR(__xludf.DUMMYFUNCTION("vLOOKUP(A215,IMPORTRANGE(""https://docs.google.com/spreadsheets/d/1Rawwwdh8wntXGy8isdYNHxsNQS4n_rC8JSdPfj6vEq4"",""'500 объектов перенос на 2026'!A3:AB502""),14,0)"),"#REF!")</f>
        <v>#REF!</v>
      </c>
      <c r="AK215" s="76" t="s">
        <v>1565</v>
      </c>
      <c r="AL215" s="70"/>
      <c r="AM215" s="70"/>
      <c r="AN215" s="96"/>
      <c r="AO215" s="96"/>
      <c r="AP215" s="96"/>
      <c r="AQ215" s="96"/>
      <c r="AR215" s="96"/>
      <c r="AS215" s="96"/>
      <c r="AT215" s="96"/>
      <c r="AU215" s="96"/>
      <c r="AV215" s="96"/>
      <c r="AW215" s="96"/>
      <c r="AX215" s="96"/>
      <c r="AY215" s="96"/>
      <c r="AZ215" s="96"/>
    </row>
    <row r="216">
      <c r="A216" s="62" t="s">
        <v>1566</v>
      </c>
      <c r="B216" s="63" t="s">
        <v>268</v>
      </c>
      <c r="C216" s="64" t="s">
        <v>1567</v>
      </c>
      <c r="D216" s="47" t="s">
        <v>1041</v>
      </c>
      <c r="E216" s="64" t="s">
        <v>85</v>
      </c>
      <c r="F216" s="31" t="s">
        <v>60</v>
      </c>
      <c r="G216" s="31"/>
      <c r="H216" s="31"/>
      <c r="I216" s="31" t="s">
        <v>40</v>
      </c>
      <c r="J216" s="31" t="s">
        <v>61</v>
      </c>
      <c r="K216" s="31" t="s">
        <v>72</v>
      </c>
      <c r="L216" s="32">
        <f>IFERROR(__xludf.DUMMYFUNCTION("VLOOKUP($A216,IMPORTRANGE(""1PQtfbQLqBUP-rjYRznmgNFBLOjvAnhGzpIx7BJWq8rk"",""'Worksheet'!$B$2:$H""),7,FALSE)"),0.95)</f>
        <v>0.95</v>
      </c>
      <c r="M216" s="31" t="s">
        <v>40</v>
      </c>
      <c r="N216" s="49">
        <v>4.597198215E7</v>
      </c>
      <c r="O216" s="49">
        <v>1.903179214E7</v>
      </c>
      <c r="P216" s="49">
        <f t="shared" si="34"/>
        <v>26940190.01</v>
      </c>
      <c r="Q216" s="34">
        <f t="shared" si="7"/>
        <v>0.5860132357</v>
      </c>
      <c r="R216" s="31"/>
      <c r="S216" s="31" t="s">
        <v>40</v>
      </c>
      <c r="T216" s="84" t="s">
        <v>1568</v>
      </c>
      <c r="U216" s="84">
        <v>0.0</v>
      </c>
      <c r="V216" s="84" t="s">
        <v>1568</v>
      </c>
      <c r="W216" s="31"/>
      <c r="X216" s="52" t="s">
        <v>1268</v>
      </c>
      <c r="Y216" s="54" t="s">
        <v>1569</v>
      </c>
      <c r="Z216" s="54" t="s">
        <v>851</v>
      </c>
      <c r="AA216" s="68">
        <v>46251.0</v>
      </c>
      <c r="AB216" s="56"/>
      <c r="AC216" s="38" t="s">
        <v>187</v>
      </c>
      <c r="AD216" s="39">
        <v>45917.0</v>
      </c>
      <c r="AE216" s="39">
        <v>19031.79214</v>
      </c>
      <c r="AF216" s="40">
        <v>26885.20786</v>
      </c>
      <c r="AG216" s="57" t="s">
        <v>1570</v>
      </c>
      <c r="AH216" s="42" t="s">
        <v>854</v>
      </c>
      <c r="AI216" s="42" t="str">
        <f>IFERROR(__xludf.DUMMYFUNCTION("vLOOKUP(A216,IMPORTRANGE(""https://docs.google.com/spreadsheets/d/1Rawwwdh8wntXGy8isdYNHxsNQS4n_rC8JSdPfj6vEq4"",""'500 объектов перенос на 2026'!A3:AB502""),13,0)"),"#REF!")</f>
        <v>#REF!</v>
      </c>
      <c r="AJ216" s="42" t="str">
        <f>IFERROR(__xludf.DUMMYFUNCTION("vLOOKUP(A216,IMPORTRANGE(""https://docs.google.com/spreadsheets/d/1Rawwwdh8wntXGy8isdYNHxsNQS4n_rC8JSdPfj6vEq4"",""'500 объектов перенос на 2026'!A3:AB502""),14,0)"),"#REF!")</f>
        <v>#REF!</v>
      </c>
      <c r="AK216" s="75" t="s">
        <v>1271</v>
      </c>
      <c r="AL216" s="94" t="s">
        <v>1272</v>
      </c>
      <c r="AM216" s="94"/>
      <c r="AN216" s="43"/>
      <c r="AO216" s="43"/>
      <c r="AP216" s="43"/>
      <c r="AQ216" s="43"/>
      <c r="AR216" s="43"/>
      <c r="AS216" s="43"/>
      <c r="AT216" s="43"/>
      <c r="AU216" s="43"/>
      <c r="AV216" s="43"/>
      <c r="AW216" s="43"/>
      <c r="AX216" s="43"/>
      <c r="AY216" s="43"/>
      <c r="AZ216" s="43"/>
    </row>
    <row r="217">
      <c r="A217" s="62" t="s">
        <v>1571</v>
      </c>
      <c r="B217" s="63" t="s">
        <v>1039</v>
      </c>
      <c r="C217" s="104" t="s">
        <v>1572</v>
      </c>
      <c r="D217" s="47" t="s">
        <v>1041</v>
      </c>
      <c r="E217" s="64" t="s">
        <v>85</v>
      </c>
      <c r="F217" s="31" t="s">
        <v>60</v>
      </c>
      <c r="G217" s="31"/>
      <c r="H217" s="31"/>
      <c r="I217" s="31" t="s">
        <v>40</v>
      </c>
      <c r="J217" s="31" t="s">
        <v>61</v>
      </c>
      <c r="K217" s="31" t="s">
        <v>72</v>
      </c>
      <c r="L217" s="32">
        <f>IFERROR(__xludf.DUMMYFUNCTION("VLOOKUP($A217,IMPORTRANGE(""1PQtfbQLqBUP-rjYRznmgNFBLOjvAnhGzpIx7BJWq8rk"",""'Worksheet'!$B$2:$H""),7,FALSE)"),0.98)</f>
        <v>0.98</v>
      </c>
      <c r="M217" s="31" t="s">
        <v>40</v>
      </c>
      <c r="N217" s="49">
        <v>5.293705162E7</v>
      </c>
      <c r="O217" s="49">
        <v>2.646852581E7</v>
      </c>
      <c r="P217" s="49">
        <f t="shared" si="34"/>
        <v>26468525.81</v>
      </c>
      <c r="Q217" s="34">
        <f t="shared" si="7"/>
        <v>0.5</v>
      </c>
      <c r="R217" s="31"/>
      <c r="S217" s="31" t="s">
        <v>45</v>
      </c>
      <c r="T217" s="88">
        <v>5.029019904E7</v>
      </c>
      <c r="U217" s="88">
        <v>2.514509952E7</v>
      </c>
      <c r="V217" s="88">
        <f>T217-U217</f>
        <v>25145099.52</v>
      </c>
      <c r="W217" s="31"/>
      <c r="X217" s="52" t="s">
        <v>1573</v>
      </c>
      <c r="Y217" s="54" t="s">
        <v>1574</v>
      </c>
      <c r="Z217" s="54" t="s">
        <v>1455</v>
      </c>
      <c r="AA217" s="74">
        <v>46204.0</v>
      </c>
      <c r="AB217" s="56"/>
      <c r="AC217" s="38"/>
      <c r="AD217" s="39">
        <v>52937.05</v>
      </c>
      <c r="AE217" s="39">
        <v>26468.52581</v>
      </c>
      <c r="AF217" s="40">
        <v>26468.52419</v>
      </c>
      <c r="AG217" s="57" t="s">
        <v>1575</v>
      </c>
      <c r="AH217" s="42" t="s">
        <v>1576</v>
      </c>
      <c r="AI217" s="42" t="str">
        <f>IFERROR(__xludf.DUMMYFUNCTION("vLOOKUP(A217,IMPORTRANGE(""https://docs.google.com/spreadsheets/d/1Rawwwdh8wntXGy8isdYNHxsNQS4n_rC8JSdPfj6vEq4"",""'500 объектов перенос на 2026'!A3:AB502""),13,0)"),"#REF!")</f>
        <v>#REF!</v>
      </c>
      <c r="AJ217" s="42" t="str">
        <f>IFERROR(__xludf.DUMMYFUNCTION("vLOOKUP(A217,IMPORTRANGE(""https://docs.google.com/spreadsheets/d/1Rawwwdh8wntXGy8isdYNHxsNQS4n_rC8JSdPfj6vEq4"",""'500 объектов перенос на 2026'!A3:AB502""),14,0)"),"#REF!")</f>
        <v>#REF!</v>
      </c>
      <c r="AK217" s="76" t="s">
        <v>1577</v>
      </c>
      <c r="AL217" s="70" t="s">
        <v>1578</v>
      </c>
      <c r="AM217" s="70"/>
      <c r="AN217" s="96"/>
      <c r="AO217" s="96"/>
      <c r="AP217" s="96"/>
      <c r="AQ217" s="96"/>
      <c r="AR217" s="96"/>
      <c r="AS217" s="96"/>
      <c r="AT217" s="96"/>
      <c r="AU217" s="96"/>
      <c r="AV217" s="96"/>
      <c r="AW217" s="96"/>
      <c r="AX217" s="96"/>
      <c r="AY217" s="96"/>
      <c r="AZ217" s="96"/>
    </row>
    <row r="218">
      <c r="A218" s="62" t="s">
        <v>1579</v>
      </c>
      <c r="B218" s="63" t="s">
        <v>268</v>
      </c>
      <c r="C218" s="144" t="s">
        <v>1580</v>
      </c>
      <c r="D218" s="47" t="s">
        <v>1041</v>
      </c>
      <c r="E218" s="64" t="s">
        <v>85</v>
      </c>
      <c r="F218" s="31" t="s">
        <v>60</v>
      </c>
      <c r="G218" s="31"/>
      <c r="H218" s="31"/>
      <c r="I218" s="31" t="s">
        <v>60</v>
      </c>
      <c r="J218" s="31"/>
      <c r="K218" s="31"/>
      <c r="L218" s="32">
        <f>IFERROR(__xludf.DUMMYFUNCTION("VLOOKUP($A218,IMPORTRANGE(""1PQtfbQLqBUP-rjYRznmgNFBLOjvAnhGzpIx7BJWq8rk"",""'Worksheet'!$B$2:$H""),7,FALSE)"),0.9)</f>
        <v>0.9</v>
      </c>
      <c r="M218" s="31" t="s">
        <v>40</v>
      </c>
      <c r="N218" s="49">
        <v>4.5368512E7</v>
      </c>
      <c r="O218" s="49">
        <v>2.007906418E7</v>
      </c>
      <c r="P218" s="49">
        <f t="shared" si="34"/>
        <v>25289447.82</v>
      </c>
      <c r="Q218" s="34">
        <f t="shared" si="7"/>
        <v>0.5574229064</v>
      </c>
      <c r="R218" s="31"/>
      <c r="S218" s="31" t="s">
        <v>40</v>
      </c>
      <c r="T218" s="84" t="s">
        <v>1581</v>
      </c>
      <c r="U218" s="84">
        <v>0.0</v>
      </c>
      <c r="V218" s="84" t="s">
        <v>1581</v>
      </c>
      <c r="W218" s="31" t="s">
        <v>506</v>
      </c>
      <c r="X218" s="52" t="s">
        <v>1582</v>
      </c>
      <c r="Y218" s="54" t="s">
        <v>1569</v>
      </c>
      <c r="Z218" s="54" t="s">
        <v>851</v>
      </c>
      <c r="AA218" s="68">
        <v>46235.0</v>
      </c>
      <c r="AB218" s="56"/>
      <c r="AC218" s="38"/>
      <c r="AD218" s="39">
        <v>45368.51</v>
      </c>
      <c r="AE218" s="39">
        <v>20079.06418</v>
      </c>
      <c r="AF218" s="40">
        <v>25289.44582</v>
      </c>
      <c r="AG218" s="57" t="s">
        <v>1583</v>
      </c>
      <c r="AH218" s="42" t="s">
        <v>854</v>
      </c>
      <c r="AI218" s="42" t="str">
        <f>IFERROR(__xludf.DUMMYFUNCTION("vLOOKUP(A218,IMPORTRANGE(""https://docs.google.com/spreadsheets/d/1Rawwwdh8wntXGy8isdYNHxsNQS4n_rC8JSdPfj6vEq4"",""'500 объектов перенос на 2026'!A3:AB502""),13,0)"),"#REF!")</f>
        <v>#REF!</v>
      </c>
      <c r="AJ218" s="42" t="str">
        <f>IFERROR(__xludf.DUMMYFUNCTION("vLOOKUP(A218,IMPORTRANGE(""https://docs.google.com/spreadsheets/d/1Rawwwdh8wntXGy8isdYNHxsNQS4n_rC8JSdPfj6vEq4"",""'500 объектов перенос на 2026'!A3:AB502""),14,0)"),"#REF!")</f>
        <v>#REF!</v>
      </c>
      <c r="AK218" s="58" t="s">
        <v>1584</v>
      </c>
      <c r="AL218" s="94" t="s">
        <v>1272</v>
      </c>
      <c r="AM218" s="94"/>
      <c r="AN218" s="43"/>
      <c r="AO218" s="43"/>
      <c r="AP218" s="43"/>
      <c r="AQ218" s="43"/>
      <c r="AR218" s="43"/>
      <c r="AS218" s="43"/>
      <c r="AT218" s="43"/>
      <c r="AU218" s="43"/>
      <c r="AV218" s="43"/>
      <c r="AW218" s="43"/>
      <c r="AX218" s="43"/>
      <c r="AY218" s="43"/>
      <c r="AZ218" s="43"/>
    </row>
    <row r="219" ht="194.25" customHeight="1">
      <c r="A219" s="62" t="s">
        <v>1585</v>
      </c>
      <c r="B219" s="63" t="s">
        <v>1586</v>
      </c>
      <c r="C219" s="64" t="s">
        <v>1587</v>
      </c>
      <c r="D219" s="47" t="s">
        <v>1276</v>
      </c>
      <c r="E219" s="64" t="s">
        <v>59</v>
      </c>
      <c r="F219" s="31" t="s">
        <v>40</v>
      </c>
      <c r="G219" s="31" t="s">
        <v>41</v>
      </c>
      <c r="H219" s="31" t="s">
        <v>779</v>
      </c>
      <c r="I219" s="31" t="s">
        <v>40</v>
      </c>
      <c r="J219" s="31" t="s">
        <v>1075</v>
      </c>
      <c r="K219" s="31"/>
      <c r="L219" s="32">
        <f>IFERROR(__xludf.DUMMYFUNCTION("VLOOKUP($A219,IMPORTRANGE(""1PQtfbQLqBUP-rjYRznmgNFBLOjvAnhGzpIx7BJWq8rk"",""'Worksheet'!$B$2:$H""),7,FALSE)"),0.79)</f>
        <v>0.79</v>
      </c>
      <c r="M219" s="31" t="s">
        <v>45</v>
      </c>
      <c r="N219" s="49">
        <v>1.62043246E8</v>
      </c>
      <c r="O219" s="49">
        <v>1.3704311767E8</v>
      </c>
      <c r="P219" s="49">
        <f t="shared" si="34"/>
        <v>25000128.33</v>
      </c>
      <c r="Q219" s="34">
        <f t="shared" si="7"/>
        <v>0.1542805945</v>
      </c>
      <c r="R219" s="31"/>
      <c r="S219" s="31" t="s">
        <v>45</v>
      </c>
      <c r="T219" s="72" t="s">
        <v>1588</v>
      </c>
      <c r="U219" s="51" t="s">
        <v>1589</v>
      </c>
      <c r="V219" s="51" t="s">
        <v>1590</v>
      </c>
      <c r="W219" s="31" t="s">
        <v>1591</v>
      </c>
      <c r="X219" s="52" t="s">
        <v>1592</v>
      </c>
      <c r="Y219" s="54" t="s">
        <v>1593</v>
      </c>
      <c r="Z219" s="54" t="s">
        <v>1594</v>
      </c>
      <c r="AA219" s="74">
        <v>46351.0</v>
      </c>
      <c r="AB219" s="56"/>
      <c r="AC219" s="38" t="s">
        <v>1595</v>
      </c>
      <c r="AD219" s="39">
        <v>162043.25</v>
      </c>
      <c r="AE219" s="39">
        <v>137043.1177</v>
      </c>
      <c r="AF219" s="40">
        <v>25000.13233</v>
      </c>
      <c r="AG219" s="57" t="s">
        <v>1596</v>
      </c>
      <c r="AH219" s="42" t="s">
        <v>1597</v>
      </c>
      <c r="AI219" s="42" t="str">
        <f>IFERROR(__xludf.DUMMYFUNCTION("vLOOKUP(A219,IMPORTRANGE(""https://docs.google.com/spreadsheets/d/1Rawwwdh8wntXGy8isdYNHxsNQS4n_rC8JSdPfj6vEq4"",""'500 объектов перенос на 2026'!A3:AB502""),13,0)"),"#REF!")</f>
        <v>#REF!</v>
      </c>
      <c r="AJ219" s="42" t="str">
        <f>IFERROR(__xludf.DUMMYFUNCTION("vLOOKUP(A219,IMPORTRANGE(""https://docs.google.com/spreadsheets/d/1Rawwwdh8wntXGy8isdYNHxsNQS4n_rC8JSdPfj6vEq4"",""'500 объектов перенос на 2026'!A3:AB502""),14,0)"),"#REF!")</f>
        <v>#REF!</v>
      </c>
      <c r="AK219" s="76" t="s">
        <v>1598</v>
      </c>
      <c r="AL219" s="70"/>
      <c r="AM219" s="70"/>
      <c r="AN219" s="96">
        <v>137043.0</v>
      </c>
      <c r="AO219" s="96"/>
      <c r="AP219" s="96"/>
      <c r="AQ219" s="96"/>
      <c r="AR219" s="96"/>
      <c r="AS219" s="96"/>
      <c r="AT219" s="96"/>
      <c r="AU219" s="96"/>
      <c r="AV219" s="96"/>
      <c r="AW219" s="96"/>
      <c r="AX219" s="96"/>
      <c r="AY219" s="96"/>
      <c r="AZ219" s="96"/>
    </row>
    <row r="220">
      <c r="A220" s="62" t="s">
        <v>1599</v>
      </c>
      <c r="B220" s="63" t="s">
        <v>826</v>
      </c>
      <c r="C220" s="64" t="s">
        <v>1600</v>
      </c>
      <c r="D220" s="47" t="s">
        <v>323</v>
      </c>
      <c r="E220" s="64" t="s">
        <v>85</v>
      </c>
      <c r="F220" s="31" t="s">
        <v>40</v>
      </c>
      <c r="G220" s="31" t="s">
        <v>41</v>
      </c>
      <c r="H220" s="31" t="s">
        <v>779</v>
      </c>
      <c r="I220" s="31" t="s">
        <v>60</v>
      </c>
      <c r="J220" s="31"/>
      <c r="K220" s="31"/>
      <c r="L220" s="32">
        <f>IFERROR(__xludf.DUMMYFUNCTION("VLOOKUP($A220,IMPORTRANGE(""1PQtfbQLqBUP-rjYRznmgNFBLOjvAnhGzpIx7BJWq8rk"",""'Worksheet'!$B$2:$H""),7,FALSE)"),0.96)</f>
        <v>0.96</v>
      </c>
      <c r="M220" s="31" t="s">
        <v>40</v>
      </c>
      <c r="N220" s="49">
        <v>4.749261E7</v>
      </c>
      <c r="O220" s="49">
        <v>2.2560385E7</v>
      </c>
      <c r="P220" s="49">
        <f t="shared" si="34"/>
        <v>24932225</v>
      </c>
      <c r="Q220" s="34">
        <f t="shared" si="7"/>
        <v>0.5249706217</v>
      </c>
      <c r="R220" s="31"/>
      <c r="S220" s="31" t="s">
        <v>45</v>
      </c>
      <c r="T220" s="50">
        <v>4.51179795E7</v>
      </c>
      <c r="U220" s="51">
        <v>2.143236575E7</v>
      </c>
      <c r="V220" s="51">
        <f t="shared" ref="V220:V221" si="35">T220-U220</f>
        <v>23685613.75</v>
      </c>
      <c r="W220" s="31"/>
      <c r="X220" s="52">
        <v>2.143236575E7</v>
      </c>
      <c r="Y220" s="54" t="s">
        <v>1601</v>
      </c>
      <c r="Z220" s="54" t="s">
        <v>1602</v>
      </c>
      <c r="AA220" s="74">
        <v>46266.0</v>
      </c>
      <c r="AB220" s="56"/>
      <c r="AC220" s="38"/>
      <c r="AD220" s="39">
        <v>47492.61</v>
      </c>
      <c r="AE220" s="39">
        <v>22560.385</v>
      </c>
      <c r="AF220" s="40">
        <v>24932.225</v>
      </c>
      <c r="AG220" s="57"/>
      <c r="AH220" s="42" t="s">
        <v>49</v>
      </c>
      <c r="AI220" s="42" t="str">
        <f>IFERROR(__xludf.DUMMYFUNCTION("vLOOKUP(A220,IMPORTRANGE(""https://docs.google.com/spreadsheets/d/1Rawwwdh8wntXGy8isdYNHxsNQS4n_rC8JSdPfj6vEq4"",""'500 объектов перенос на 2026'!A3:AB502""),13,0)"),"#REF!")</f>
        <v>#REF!</v>
      </c>
      <c r="AJ220" s="42" t="str">
        <f>IFERROR(__xludf.DUMMYFUNCTION("vLOOKUP(A220,IMPORTRANGE(""https://docs.google.com/spreadsheets/d/1Rawwwdh8wntXGy8isdYNHxsNQS4n_rC8JSdPfj6vEq4"",""'500 объектов перенос на 2026'!A3:AB502""),14,0)"),"#REF!")</f>
        <v>#REF!</v>
      </c>
      <c r="AK220" s="138" t="s">
        <v>1603</v>
      </c>
      <c r="AL220" s="94" t="s">
        <v>1604</v>
      </c>
      <c r="AM220" s="94"/>
      <c r="AN220" s="43"/>
      <c r="AO220" s="43"/>
      <c r="AP220" s="43"/>
      <c r="AQ220" s="43"/>
      <c r="AR220" s="43"/>
      <c r="AS220" s="43"/>
      <c r="AT220" s="43"/>
      <c r="AU220" s="43"/>
      <c r="AV220" s="43"/>
      <c r="AW220" s="43"/>
      <c r="AX220" s="43"/>
      <c r="AY220" s="43"/>
      <c r="AZ220" s="43"/>
    </row>
    <row r="221">
      <c r="A221" s="62" t="s">
        <v>1605</v>
      </c>
      <c r="B221" s="63" t="s">
        <v>826</v>
      </c>
      <c r="C221" s="104" t="s">
        <v>1606</v>
      </c>
      <c r="D221" s="47" t="s">
        <v>727</v>
      </c>
      <c r="E221" s="64" t="s">
        <v>85</v>
      </c>
      <c r="F221" s="31" t="s">
        <v>60</v>
      </c>
      <c r="G221" s="31"/>
      <c r="H221" s="31"/>
      <c r="I221" s="31" t="s">
        <v>40</v>
      </c>
      <c r="J221" s="31" t="s">
        <v>61</v>
      </c>
      <c r="K221" s="31" t="s">
        <v>72</v>
      </c>
      <c r="L221" s="32">
        <f>IFERROR(__xludf.DUMMYFUNCTION("VLOOKUP($A221,IMPORTRANGE(""1PQtfbQLqBUP-rjYRznmgNFBLOjvAnhGzpIx7BJWq8rk"",""'Worksheet'!$B$2:$H""),7,FALSE)"),0.94)</f>
        <v>0.94</v>
      </c>
      <c r="M221" s="31" t="s">
        <v>40</v>
      </c>
      <c r="N221" s="49">
        <v>3.469114E7</v>
      </c>
      <c r="O221" s="49">
        <v>9887796.54</v>
      </c>
      <c r="P221" s="49">
        <f t="shared" si="34"/>
        <v>24803343.46</v>
      </c>
      <c r="Q221" s="34">
        <f t="shared" si="7"/>
        <v>0.7149763156</v>
      </c>
      <c r="R221" s="31"/>
      <c r="S221" s="31" t="s">
        <v>45</v>
      </c>
      <c r="T221" s="50">
        <v>3.2956583E7</v>
      </c>
      <c r="U221" s="51">
        <v>9393406.71</v>
      </c>
      <c r="V221" s="51">
        <f t="shared" si="35"/>
        <v>23563176.29</v>
      </c>
      <c r="W221" s="31"/>
      <c r="X221" s="52">
        <v>9393406.71</v>
      </c>
      <c r="Y221" s="54" t="s">
        <v>1607</v>
      </c>
      <c r="Z221" s="54" t="s">
        <v>830</v>
      </c>
      <c r="AA221" s="74">
        <v>46235.0</v>
      </c>
      <c r="AB221" s="56"/>
      <c r="AC221" s="38"/>
      <c r="AD221" s="39">
        <v>34691.139</v>
      </c>
      <c r="AE221" s="39">
        <v>9887.79654</v>
      </c>
      <c r="AF221" s="40">
        <v>24803.34246</v>
      </c>
      <c r="AG221" s="57" t="s">
        <v>1608</v>
      </c>
      <c r="AH221" s="42" t="s">
        <v>49</v>
      </c>
      <c r="AI221" s="42" t="str">
        <f>IFERROR(__xludf.DUMMYFUNCTION("vLOOKUP(A221,IMPORTRANGE(""https://docs.google.com/spreadsheets/d/1Rawwwdh8wntXGy8isdYNHxsNQS4n_rC8JSdPfj6vEq4"",""'500 объектов перенос на 2026'!A3:AB502""),13,0)"),"#REF!")</f>
        <v>#REF!</v>
      </c>
      <c r="AJ221" s="42" t="str">
        <f>IFERROR(__xludf.DUMMYFUNCTION("vLOOKUP(A221,IMPORTRANGE(""https://docs.google.com/spreadsheets/d/1Rawwwdh8wntXGy8isdYNHxsNQS4n_rC8JSdPfj6vEq4"",""'500 объектов перенос на 2026'!A3:AB502""),14,0)"),"#REF!")</f>
        <v>#REF!</v>
      </c>
      <c r="AK221" s="138" t="s">
        <v>1609</v>
      </c>
      <c r="AL221" s="110" t="s">
        <v>1122</v>
      </c>
      <c r="AM221" s="110"/>
      <c r="AN221" s="43"/>
      <c r="AO221" s="43"/>
      <c r="AP221" s="43"/>
      <c r="AQ221" s="43"/>
      <c r="AR221" s="43"/>
      <c r="AS221" s="43"/>
      <c r="AT221" s="43"/>
      <c r="AU221" s="43"/>
      <c r="AV221" s="43"/>
      <c r="AW221" s="43"/>
      <c r="AX221" s="43"/>
      <c r="AY221" s="43"/>
      <c r="AZ221" s="43"/>
    </row>
    <row r="222">
      <c r="A222" s="62" t="s">
        <v>1610</v>
      </c>
      <c r="B222" s="63" t="s">
        <v>142</v>
      </c>
      <c r="C222" s="64" t="s">
        <v>1611</v>
      </c>
      <c r="D222" s="47" t="s">
        <v>1041</v>
      </c>
      <c r="E222" s="64" t="s">
        <v>85</v>
      </c>
      <c r="F222" s="31" t="s">
        <v>60</v>
      </c>
      <c r="G222" s="31"/>
      <c r="H222" s="31"/>
      <c r="I222" s="31" t="s">
        <v>60</v>
      </c>
      <c r="J222" s="31"/>
      <c r="K222" s="31"/>
      <c r="L222" s="32">
        <f>IFERROR(__xludf.DUMMYFUNCTION("VLOOKUP($A222,IMPORTRANGE(""1PQtfbQLqBUP-rjYRznmgNFBLOjvAnhGzpIx7BJWq8rk"",""'Worksheet'!$B$2:$H""),7,FALSE)"),0.87)</f>
        <v>0.87</v>
      </c>
      <c r="M222" s="31" t="s">
        <v>40</v>
      </c>
      <c r="N222" s="49">
        <v>4.904315E7</v>
      </c>
      <c r="O222" s="49">
        <v>2.447253185E7</v>
      </c>
      <c r="P222" s="49">
        <f t="shared" si="34"/>
        <v>24570618.15</v>
      </c>
      <c r="Q222" s="34">
        <f t="shared" si="7"/>
        <v>0.501</v>
      </c>
      <c r="R222" s="31"/>
      <c r="S222" s="31" t="s">
        <v>45</v>
      </c>
      <c r="T222" s="72" t="s">
        <v>1612</v>
      </c>
      <c r="U222" s="67" t="s">
        <v>1613</v>
      </c>
      <c r="V222" s="67" t="s">
        <v>1614</v>
      </c>
      <c r="W222" s="31" t="s">
        <v>183</v>
      </c>
      <c r="X222" s="52" t="s">
        <v>1615</v>
      </c>
      <c r="Y222" s="89" t="s">
        <v>1616</v>
      </c>
      <c r="Z222" s="54" t="s">
        <v>1617</v>
      </c>
      <c r="AA222" s="55">
        <v>46204.0</v>
      </c>
      <c r="AB222" s="56"/>
      <c r="AC222" s="38"/>
      <c r="AD222" s="39">
        <v>49043.15</v>
      </c>
      <c r="AE222" s="39">
        <v>24472.53185</v>
      </c>
      <c r="AF222" s="40">
        <v>24570.61815</v>
      </c>
      <c r="AG222" s="57" t="s">
        <v>1618</v>
      </c>
      <c r="AH222" s="42" t="s">
        <v>46</v>
      </c>
      <c r="AI222" s="85"/>
      <c r="AJ222" s="42" t="str">
        <f>IFERROR(__xludf.DUMMYFUNCTION("vLOOKUP(A222,IMPORTRANGE(""https://docs.google.com/spreadsheets/d/1Rawwwdh8wntXGy8isdYNHxsNQS4n_rC8JSdPfj6vEq4"",""'500 объектов перенос на 2026'!A3:AB502""),14,0)"),"#REF!")</f>
        <v>#REF!</v>
      </c>
      <c r="AK222" s="138" t="s">
        <v>1619</v>
      </c>
      <c r="AL222" s="110" t="s">
        <v>1620</v>
      </c>
      <c r="AM222" s="110"/>
      <c r="AN222" s="43"/>
      <c r="AO222" s="43"/>
      <c r="AP222" s="43"/>
      <c r="AQ222" s="43"/>
      <c r="AR222" s="43"/>
      <c r="AS222" s="43"/>
      <c r="AT222" s="43"/>
      <c r="AU222" s="43"/>
      <c r="AV222" s="43"/>
      <c r="AW222" s="43"/>
      <c r="AX222" s="43"/>
      <c r="AY222" s="43"/>
      <c r="AZ222" s="43"/>
    </row>
    <row r="223" ht="66.75" customHeight="1">
      <c r="A223" s="62" t="s">
        <v>1621</v>
      </c>
      <c r="B223" s="63" t="s">
        <v>894</v>
      </c>
      <c r="C223" s="64" t="s">
        <v>1622</v>
      </c>
      <c r="D223" s="47" t="s">
        <v>885</v>
      </c>
      <c r="E223" s="64" t="s">
        <v>85</v>
      </c>
      <c r="F223" s="31" t="s">
        <v>60</v>
      </c>
      <c r="G223" s="31"/>
      <c r="H223" s="31"/>
      <c r="I223" s="31" t="s">
        <v>40</v>
      </c>
      <c r="J223" s="31" t="s">
        <v>61</v>
      </c>
      <c r="K223" s="31" t="s">
        <v>62</v>
      </c>
      <c r="L223" s="32">
        <f>IFERROR(__xludf.DUMMYFUNCTION("VLOOKUP($A223,IMPORTRANGE(""1PQtfbQLqBUP-rjYRznmgNFBLOjvAnhGzpIx7BJWq8rk"",""'Worksheet'!$B$2:$H""),7,FALSE)"),0.89)</f>
        <v>0.89</v>
      </c>
      <c r="M223" s="31" t="s">
        <v>45</v>
      </c>
      <c r="N223" s="49">
        <v>7.858021559E7</v>
      </c>
      <c r="O223" s="127">
        <v>5.443181294E7</v>
      </c>
      <c r="P223" s="49">
        <f t="shared" si="34"/>
        <v>24148402.65</v>
      </c>
      <c r="Q223" s="34">
        <f t="shared" si="7"/>
        <v>0.3073089386</v>
      </c>
      <c r="R223" s="31"/>
      <c r="S223" s="31" t="s">
        <v>45</v>
      </c>
      <c r="T223" s="50" t="s">
        <v>1623</v>
      </c>
      <c r="U223" s="51" t="s">
        <v>1624</v>
      </c>
      <c r="V223" s="51" t="s">
        <v>1625</v>
      </c>
      <c r="W223" s="31"/>
      <c r="X223" s="52" t="s">
        <v>1626</v>
      </c>
      <c r="Y223" s="54" t="s">
        <v>900</v>
      </c>
      <c r="Z223" s="74"/>
      <c r="AA223" s="74">
        <v>46233.0</v>
      </c>
      <c r="AB223" s="56"/>
      <c r="AC223" s="38" t="s">
        <v>901</v>
      </c>
      <c r="AD223" s="39">
        <v>78580.21</v>
      </c>
      <c r="AE223" s="39">
        <v>54865.63098</v>
      </c>
      <c r="AF223" s="40">
        <v>23714.57902</v>
      </c>
      <c r="AG223" s="57" t="s">
        <v>1627</v>
      </c>
      <c r="AH223" s="42" t="s">
        <v>1628</v>
      </c>
      <c r="AI223" s="42" t="str">
        <f>IFERROR(__xludf.DUMMYFUNCTION("vLOOKUP(A223,IMPORTRANGE(""https://docs.google.com/spreadsheets/d/1Rawwwdh8wntXGy8isdYNHxsNQS4n_rC8JSdPfj6vEq4"",""'500 объектов перенос на 2026'!A3:AB502""),13,0)"),"#REF!")</f>
        <v>#REF!</v>
      </c>
      <c r="AJ223" s="42" t="str">
        <f>IFERROR(__xludf.DUMMYFUNCTION("vLOOKUP(A223,IMPORTRANGE(""https://docs.google.com/spreadsheets/d/1Rawwwdh8wntXGy8isdYNHxsNQS4n_rC8JSdPfj6vEq4"",""'500 объектов перенос на 2026'!A3:AB502""),14,0)"),"#REF!")</f>
        <v>#REF!</v>
      </c>
      <c r="AK223" s="76" t="s">
        <v>1629</v>
      </c>
      <c r="AL223" s="70"/>
      <c r="AM223" s="70"/>
      <c r="AN223" s="43"/>
      <c r="AO223" s="43"/>
      <c r="AP223" s="43"/>
      <c r="AQ223" s="43"/>
      <c r="AR223" s="43"/>
      <c r="AS223" s="43"/>
      <c r="AT223" s="43"/>
      <c r="AU223" s="43"/>
      <c r="AV223" s="43"/>
      <c r="AW223" s="43"/>
      <c r="AX223" s="43"/>
      <c r="AY223" s="43"/>
      <c r="AZ223" s="43"/>
    </row>
    <row r="224">
      <c r="A224" s="62" t="s">
        <v>1630</v>
      </c>
      <c r="B224" s="63" t="s">
        <v>1274</v>
      </c>
      <c r="C224" s="64" t="s">
        <v>1631</v>
      </c>
      <c r="D224" s="47" t="s">
        <v>1276</v>
      </c>
      <c r="E224" s="64" t="s">
        <v>85</v>
      </c>
      <c r="F224" s="31" t="s">
        <v>60</v>
      </c>
      <c r="G224" s="31"/>
      <c r="H224" s="31"/>
      <c r="I224" s="31" t="s">
        <v>40</v>
      </c>
      <c r="J224" s="31" t="s">
        <v>61</v>
      </c>
      <c r="K224" s="31" t="s">
        <v>72</v>
      </c>
      <c r="L224" s="32">
        <f>IFERROR(__xludf.DUMMYFUNCTION("VLOOKUP($A224,IMPORTRANGE(""1PQtfbQLqBUP-rjYRznmgNFBLOjvAnhGzpIx7BJWq8rk"",""'Worksheet'!$B$2:$H""),7,FALSE)"),0.86)</f>
        <v>0.86</v>
      </c>
      <c r="M224" s="31" t="s">
        <v>45</v>
      </c>
      <c r="N224" s="49">
        <v>1.091851199E8</v>
      </c>
      <c r="O224" s="49">
        <v>8.552594804E7</v>
      </c>
      <c r="P224" s="49">
        <f t="shared" si="34"/>
        <v>23659171.86</v>
      </c>
      <c r="Q224" s="34">
        <f t="shared" si="7"/>
        <v>0.21668861</v>
      </c>
      <c r="R224" s="31"/>
      <c r="S224" s="31" t="s">
        <v>45</v>
      </c>
      <c r="T224" s="50" t="s">
        <v>1632</v>
      </c>
      <c r="U224" s="51" t="s">
        <v>1633</v>
      </c>
      <c r="V224" s="51" t="s">
        <v>1634</v>
      </c>
      <c r="W224" s="31"/>
      <c r="X224" s="52" t="s">
        <v>1453</v>
      </c>
      <c r="Y224" s="54" t="s">
        <v>1635</v>
      </c>
      <c r="Z224" s="54" t="s">
        <v>1455</v>
      </c>
      <c r="AA224" s="68">
        <v>46310.0</v>
      </c>
      <c r="AB224" s="56"/>
      <c r="AC224" s="38" t="s">
        <v>1349</v>
      </c>
      <c r="AD224" s="39">
        <v>129825.49</v>
      </c>
      <c r="AE224" s="39">
        <v>85525.94804</v>
      </c>
      <c r="AF224" s="40">
        <v>44299.54196</v>
      </c>
      <c r="AG224" s="99" t="s">
        <v>1636</v>
      </c>
      <c r="AH224" s="42"/>
      <c r="AI224" s="42" t="str">
        <f>IFERROR(__xludf.DUMMYFUNCTION("vLOOKUP(A224,IMPORTRANGE(""https://docs.google.com/spreadsheets/d/1Rawwwdh8wntXGy8isdYNHxsNQS4n_rC8JSdPfj6vEq4"",""'500 объектов перенос на 2026'!A3:AB502""),13,0)"),"#REF!")</f>
        <v>#REF!</v>
      </c>
      <c r="AJ224" s="42" t="str">
        <f>IFERROR(__xludf.DUMMYFUNCTION("vLOOKUP(A224,IMPORTRANGE(""https://docs.google.com/spreadsheets/d/1Rawwwdh8wntXGy8isdYNHxsNQS4n_rC8JSdPfj6vEq4"",""'500 объектов перенос на 2026'!A3:AB502""),14,0)"),"#REF!")</f>
        <v>#REF!</v>
      </c>
      <c r="AK224" s="76" t="s">
        <v>1637</v>
      </c>
      <c r="AL224" s="70"/>
      <c r="AM224" s="70"/>
      <c r="AN224" s="96"/>
      <c r="AO224" s="96"/>
      <c r="AP224" s="96"/>
      <c r="AQ224" s="96"/>
      <c r="AR224" s="96"/>
      <c r="AS224" s="96"/>
      <c r="AT224" s="96"/>
      <c r="AU224" s="96"/>
      <c r="AV224" s="96"/>
      <c r="AW224" s="96"/>
      <c r="AX224" s="96"/>
      <c r="AY224" s="96"/>
      <c r="AZ224" s="96"/>
    </row>
    <row r="225">
      <c r="A225" s="62" t="s">
        <v>1638</v>
      </c>
      <c r="B225" s="63" t="s">
        <v>1329</v>
      </c>
      <c r="C225" s="64" t="s">
        <v>1639</v>
      </c>
      <c r="D225" s="47" t="s">
        <v>1640</v>
      </c>
      <c r="E225" s="64" t="s">
        <v>39</v>
      </c>
      <c r="F225" s="31" t="s">
        <v>60</v>
      </c>
      <c r="G225" s="31"/>
      <c r="H225" s="31"/>
      <c r="I225" s="31" t="s">
        <v>40</v>
      </c>
      <c r="J225" s="31" t="s">
        <v>61</v>
      </c>
      <c r="K225" s="31" t="s">
        <v>1641</v>
      </c>
      <c r="L225" s="32">
        <f>IFERROR(__xludf.DUMMYFUNCTION("VLOOKUP($A225,IMPORTRANGE(""1PQtfbQLqBUP-rjYRznmgNFBLOjvAnhGzpIx7BJWq8rk"",""'Worksheet'!$B$2:$H""),7,FALSE)"),0.98)</f>
        <v>0.98</v>
      </c>
      <c r="M225" s="31" t="s">
        <v>45</v>
      </c>
      <c r="N225" s="49">
        <v>1.7711854878E8</v>
      </c>
      <c r="O225" s="49">
        <v>1.6995066758E8</v>
      </c>
      <c r="P225" s="49">
        <f t="shared" si="34"/>
        <v>7167881.2</v>
      </c>
      <c r="Q225" s="34">
        <f t="shared" si="7"/>
        <v>0.04046939888</v>
      </c>
      <c r="R225" s="31"/>
      <c r="S225" s="31" t="s">
        <v>45</v>
      </c>
      <c r="T225" s="91" t="s">
        <v>1642</v>
      </c>
      <c r="U225" s="51" t="s">
        <v>1643</v>
      </c>
      <c r="V225" s="51" t="s">
        <v>1644</v>
      </c>
      <c r="W225" s="31"/>
      <c r="X225" s="52" t="s">
        <v>1645</v>
      </c>
      <c r="Y225" s="54" t="s">
        <v>1646</v>
      </c>
      <c r="Z225" s="54" t="s">
        <v>1532</v>
      </c>
      <c r="AA225" s="74">
        <v>46223.0</v>
      </c>
      <c r="AB225" s="56"/>
      <c r="AC225" s="38"/>
      <c r="AD225" s="39">
        <v>177118.55</v>
      </c>
      <c r="AE225" s="39">
        <v>26481.33545</v>
      </c>
      <c r="AF225" s="40">
        <v>150637.2146</v>
      </c>
      <c r="AG225" s="99" t="s">
        <v>1647</v>
      </c>
      <c r="AH225" s="42" t="s">
        <v>1338</v>
      </c>
      <c r="AI225" s="42" t="str">
        <f>IFERROR(__xludf.DUMMYFUNCTION("vLOOKUP(A225,IMPORTRANGE(""https://docs.google.com/spreadsheets/d/1Rawwwdh8wntXGy8isdYNHxsNQS4n_rC8JSdPfj6vEq4"",""'500 объектов перенос на 2026'!A3:AB502""),13,0)"),"#REF!")</f>
        <v>#REF!</v>
      </c>
      <c r="AJ225" s="42" t="str">
        <f>IFERROR(__xludf.DUMMYFUNCTION("vLOOKUP(A225,IMPORTRANGE(""https://docs.google.com/spreadsheets/d/1Rawwwdh8wntXGy8isdYNHxsNQS4n_rC8JSdPfj6vEq4"",""'500 объектов перенос на 2026'!A3:AB502""),14,0)"),"#REF!")</f>
        <v>#REF!</v>
      </c>
      <c r="AK225" s="76" t="s">
        <v>1648</v>
      </c>
      <c r="AL225" s="70"/>
      <c r="AM225" s="70"/>
      <c r="AN225" s="43"/>
      <c r="AO225" s="43"/>
      <c r="AP225" s="43"/>
      <c r="AQ225" s="43"/>
      <c r="AR225" s="43"/>
      <c r="AS225" s="43"/>
      <c r="AT225" s="43"/>
      <c r="AU225" s="43"/>
      <c r="AV225" s="43"/>
      <c r="AW225" s="43"/>
      <c r="AX225" s="43"/>
      <c r="AY225" s="43"/>
      <c r="AZ225" s="43"/>
    </row>
    <row r="226">
      <c r="A226" s="62" t="s">
        <v>1649</v>
      </c>
      <c r="B226" s="63" t="s">
        <v>653</v>
      </c>
      <c r="C226" s="64" t="s">
        <v>1650</v>
      </c>
      <c r="D226" s="47" t="s">
        <v>848</v>
      </c>
      <c r="E226" s="64" t="s">
        <v>85</v>
      </c>
      <c r="F226" s="31" t="s">
        <v>40</v>
      </c>
      <c r="G226" s="31" t="s">
        <v>156</v>
      </c>
      <c r="H226" s="31" t="s">
        <v>974</v>
      </c>
      <c r="I226" s="31" t="s">
        <v>40</v>
      </c>
      <c r="J226" s="31" t="s">
        <v>61</v>
      </c>
      <c r="K226" s="31"/>
      <c r="L226" s="32">
        <f>IFERROR(__xludf.DUMMYFUNCTION("VLOOKUP($A226,IMPORTRANGE(""1PQtfbQLqBUP-rjYRznmgNFBLOjvAnhGzpIx7BJWq8rk"",""'Worksheet'!$B$2:$H""),7,FALSE)"),0.79)</f>
        <v>0.79</v>
      </c>
      <c r="M226" s="31" t="s">
        <v>40</v>
      </c>
      <c r="N226" s="49">
        <v>4.70691504E7</v>
      </c>
      <c r="O226" s="127">
        <v>2.35345752E7</v>
      </c>
      <c r="P226" s="49">
        <f t="shared" si="34"/>
        <v>23534575.2</v>
      </c>
      <c r="Q226" s="34">
        <f t="shared" si="7"/>
        <v>0.5</v>
      </c>
      <c r="R226" s="31"/>
      <c r="S226" s="31" t="s">
        <v>40</v>
      </c>
      <c r="T226" s="91" t="s">
        <v>1651</v>
      </c>
      <c r="U226" s="51">
        <v>0.0</v>
      </c>
      <c r="V226" s="51" t="s">
        <v>1651</v>
      </c>
      <c r="W226" s="31"/>
      <c r="X226" s="52" t="s">
        <v>1652</v>
      </c>
      <c r="Y226" s="54" t="s">
        <v>1653</v>
      </c>
      <c r="Z226" s="74"/>
      <c r="AA226" s="74">
        <v>46310.0</v>
      </c>
      <c r="AB226" s="56"/>
      <c r="AC226" s="38" t="s">
        <v>46</v>
      </c>
      <c r="AD226" s="39">
        <v>47069.15</v>
      </c>
      <c r="AE226" s="39">
        <v>23534.5752</v>
      </c>
      <c r="AF226" s="40">
        <v>23534.5748</v>
      </c>
      <c r="AG226" s="57" t="s">
        <v>1654</v>
      </c>
      <c r="AH226" s="42" t="s">
        <v>980</v>
      </c>
      <c r="AI226" s="42" t="str">
        <f>IFERROR(__xludf.DUMMYFUNCTION("vLOOKUP(A226,IMPORTRANGE(""https://docs.google.com/spreadsheets/d/1Rawwwdh8wntXGy8isdYNHxsNQS4n_rC8JSdPfj6vEq4"",""'500 объектов перенос на 2026'!A3:AB502""),13,0)"),"#REF!")</f>
        <v>#REF!</v>
      </c>
      <c r="AJ226" s="42" t="str">
        <f>IFERROR(__xludf.DUMMYFUNCTION("vLOOKUP(A226,IMPORTRANGE(""https://docs.google.com/spreadsheets/d/1Rawwwdh8wntXGy8isdYNHxsNQS4n_rC8JSdPfj6vEq4"",""'500 объектов перенос на 2026'!A3:AB502""),14,0)"),"#REF!")</f>
        <v>#REF!</v>
      </c>
      <c r="AK226" s="70" t="s">
        <v>1655</v>
      </c>
      <c r="AL226" s="70"/>
      <c r="AM226" s="70"/>
      <c r="AN226" s="43"/>
      <c r="AO226" s="43"/>
      <c r="AP226" s="43"/>
      <c r="AQ226" s="43"/>
      <c r="AR226" s="43"/>
      <c r="AS226" s="43"/>
      <c r="AT226" s="43"/>
      <c r="AU226" s="43"/>
      <c r="AV226" s="43"/>
      <c r="AW226" s="43"/>
      <c r="AX226" s="43"/>
      <c r="AY226" s="43"/>
      <c r="AZ226" s="43"/>
    </row>
    <row r="227">
      <c r="A227" s="62" t="s">
        <v>1656</v>
      </c>
      <c r="B227" s="63" t="s">
        <v>82</v>
      </c>
      <c r="C227" s="64" t="s">
        <v>1657</v>
      </c>
      <c r="D227" s="47" t="s">
        <v>323</v>
      </c>
      <c r="E227" s="64" t="s">
        <v>85</v>
      </c>
      <c r="F227" s="31" t="s">
        <v>60</v>
      </c>
      <c r="G227" s="31"/>
      <c r="H227" s="31"/>
      <c r="I227" s="31" t="s">
        <v>40</v>
      </c>
      <c r="J227" s="31" t="s">
        <v>61</v>
      </c>
      <c r="K227" s="31" t="s">
        <v>72</v>
      </c>
      <c r="L227" s="32">
        <f>IFERROR(__xludf.DUMMYFUNCTION("VLOOKUP($A227,IMPORTRANGE(""1PQtfbQLqBUP-rjYRznmgNFBLOjvAnhGzpIx7BJWq8rk"",""'Worksheet'!$B$2:$H""),7,FALSE)"),0.55)</f>
        <v>0.55</v>
      </c>
      <c r="M227" s="31" t="s">
        <v>40</v>
      </c>
      <c r="N227" s="49">
        <v>4.628220442E7</v>
      </c>
      <c r="O227" s="49">
        <v>2.314110221E7</v>
      </c>
      <c r="P227" s="49">
        <f t="shared" si="34"/>
        <v>23141102.21</v>
      </c>
      <c r="Q227" s="34">
        <f t="shared" si="7"/>
        <v>0.5</v>
      </c>
      <c r="R227" s="31"/>
      <c r="S227" s="31" t="s">
        <v>45</v>
      </c>
      <c r="T227" s="50" t="s">
        <v>1658</v>
      </c>
      <c r="U227" s="51">
        <v>0.0</v>
      </c>
      <c r="V227" s="51" t="s">
        <v>1658</v>
      </c>
      <c r="W227" s="31"/>
      <c r="X227" s="52" t="s">
        <v>1659</v>
      </c>
      <c r="Y227" s="54" t="s">
        <v>1660</v>
      </c>
      <c r="Z227" s="54" t="s">
        <v>1152</v>
      </c>
      <c r="AA227" s="74">
        <v>46265.0</v>
      </c>
      <c r="AB227" s="56"/>
      <c r="AC227" s="38" t="s">
        <v>789</v>
      </c>
      <c r="AD227" s="39">
        <v>40984.17</v>
      </c>
      <c r="AE227" s="39">
        <v>24224.7675</v>
      </c>
      <c r="AF227" s="40">
        <v>16759.4025</v>
      </c>
      <c r="AG227" s="57" t="s">
        <v>1661</v>
      </c>
      <c r="AH227" s="42" t="s">
        <v>1662</v>
      </c>
      <c r="AI227" s="42" t="str">
        <f>IFERROR(__xludf.DUMMYFUNCTION("vLOOKUP(A227,IMPORTRANGE(""https://docs.google.com/spreadsheets/d/1Rawwwdh8wntXGy8isdYNHxsNQS4n_rC8JSdPfj6vEq4"",""'500 объектов перенос на 2026'!A3:AB502""),13,0)"),"#REF!")</f>
        <v>#REF!</v>
      </c>
      <c r="AJ227" s="42" t="str">
        <f>IFERROR(__xludf.DUMMYFUNCTION("vLOOKUP(A227,IMPORTRANGE(""https://docs.google.com/spreadsheets/d/1Rawwwdh8wntXGy8isdYNHxsNQS4n_rC8JSdPfj6vEq4"",""'500 объектов перенос на 2026'!A3:AB502""),14,0)"),"#REF!")</f>
        <v>#REF!</v>
      </c>
      <c r="AK227" s="77" t="s">
        <v>1663</v>
      </c>
      <c r="AL227" s="94" t="s">
        <v>1664</v>
      </c>
      <c r="AM227" s="94"/>
      <c r="AN227" s="43"/>
      <c r="AO227" s="43"/>
      <c r="AP227" s="43"/>
      <c r="AQ227" s="43"/>
      <c r="AR227" s="43"/>
      <c r="AS227" s="43"/>
      <c r="AT227" s="43"/>
      <c r="AU227" s="43"/>
      <c r="AV227" s="43"/>
      <c r="AW227" s="43"/>
      <c r="AX227" s="43"/>
      <c r="AY227" s="43"/>
      <c r="AZ227" s="43"/>
    </row>
    <row r="228">
      <c r="A228" s="62" t="s">
        <v>1665</v>
      </c>
      <c r="B228" s="63" t="s">
        <v>605</v>
      </c>
      <c r="C228" s="90" t="s">
        <v>1666</v>
      </c>
      <c r="D228" s="47" t="s">
        <v>179</v>
      </c>
      <c r="E228" s="64" t="s">
        <v>39</v>
      </c>
      <c r="F228" s="31" t="s">
        <v>60</v>
      </c>
      <c r="G228" s="31"/>
      <c r="H228" s="31"/>
      <c r="I228" s="31" t="s">
        <v>60</v>
      </c>
      <c r="J228" s="31"/>
      <c r="K228" s="31"/>
      <c r="L228" s="32">
        <f>IFERROR(__xludf.DUMMYFUNCTION("VLOOKUP($A228,IMPORTRANGE(""1PQtfbQLqBUP-rjYRznmgNFBLOjvAnhGzpIx7BJWq8rk"",""'Worksheet'!$B$2:$H""),7,FALSE)"),1.0)</f>
        <v>1</v>
      </c>
      <c r="M228" s="31" t="s">
        <v>60</v>
      </c>
      <c r="N228" s="49">
        <v>3.253012762E7</v>
      </c>
      <c r="O228" s="49">
        <v>9600000.0</v>
      </c>
      <c r="P228" s="49">
        <f t="shared" si="34"/>
        <v>22930127.62</v>
      </c>
      <c r="Q228" s="34">
        <f t="shared" si="7"/>
        <v>0.7048889536</v>
      </c>
      <c r="R228" s="31"/>
      <c r="S228" s="31" t="s">
        <v>60</v>
      </c>
      <c r="T228" s="65" t="s">
        <v>1667</v>
      </c>
      <c r="U228" s="67" t="s">
        <v>1667</v>
      </c>
      <c r="V228" s="67">
        <v>0.0</v>
      </c>
      <c r="W228" s="31"/>
      <c r="X228" s="52" t="s">
        <v>507</v>
      </c>
      <c r="Y228" s="54" t="s">
        <v>1668</v>
      </c>
      <c r="Z228" s="54" t="s">
        <v>75</v>
      </c>
      <c r="AA228" s="74">
        <v>46265.0</v>
      </c>
      <c r="AB228" s="56"/>
      <c r="AC228" s="38"/>
      <c r="AD228" s="39">
        <v>32858.71477</v>
      </c>
      <c r="AE228" s="39">
        <v>9459.76111</v>
      </c>
      <c r="AF228" s="40">
        <v>23398.95366</v>
      </c>
      <c r="AG228" s="162" t="s">
        <v>1669</v>
      </c>
      <c r="AH228" s="85"/>
      <c r="AI228" s="42" t="str">
        <f>IFERROR(__xludf.DUMMYFUNCTION("vLOOKUP(A228,IMPORTRANGE(""https://docs.google.com/spreadsheets/d/1Rawwwdh8wntXGy8isdYNHxsNQS4n_rC8JSdPfj6vEq4"",""'500 объектов перенос на 2026'!A3:AB502""),13,0)"),"#REF!")</f>
        <v>#REF!</v>
      </c>
      <c r="AJ228" s="42" t="str">
        <f>IFERROR(__xludf.DUMMYFUNCTION("vLOOKUP(A228,IMPORTRANGE(""https://docs.google.com/spreadsheets/d/1Rawwwdh8wntXGy8isdYNHxsNQS4n_rC8JSdPfj6vEq4"",""'500 объектов перенос на 2026'!A3:AB502""),14,0)"),"#REF!")</f>
        <v>#REF!</v>
      </c>
      <c r="AK228" s="76" t="s">
        <v>114</v>
      </c>
      <c r="AL228" s="110" t="s">
        <v>1670</v>
      </c>
      <c r="AM228" s="110"/>
      <c r="AN228" s="110"/>
      <c r="AO228" s="43"/>
      <c r="AP228" s="43"/>
      <c r="AQ228" s="43"/>
      <c r="AR228" s="43"/>
      <c r="AS228" s="43"/>
      <c r="AT228" s="43"/>
      <c r="AU228" s="43"/>
      <c r="AV228" s="43"/>
      <c r="AW228" s="43"/>
      <c r="AX228" s="43"/>
      <c r="AY228" s="43"/>
      <c r="AZ228" s="43"/>
    </row>
    <row r="229">
      <c r="A229" s="62" t="s">
        <v>1671</v>
      </c>
      <c r="B229" s="164" t="s">
        <v>400</v>
      </c>
      <c r="C229" s="64" t="s">
        <v>1672</v>
      </c>
      <c r="D229" s="47" t="s">
        <v>1546</v>
      </c>
      <c r="E229" s="64" t="s">
        <v>85</v>
      </c>
      <c r="F229" s="31" t="s">
        <v>60</v>
      </c>
      <c r="G229" s="31"/>
      <c r="H229" s="31"/>
      <c r="I229" s="31" t="s">
        <v>60</v>
      </c>
      <c r="J229" s="31"/>
      <c r="K229" s="31"/>
      <c r="L229" s="32">
        <f>IFERROR(__xludf.DUMMYFUNCTION("VLOOKUP($A229,IMPORTRANGE(""1PQtfbQLqBUP-rjYRznmgNFBLOjvAnhGzpIx7BJWq8rk"",""'Worksheet'!$B$2:$H""),7,FALSE)"),0.95)</f>
        <v>0.95</v>
      </c>
      <c r="M229" s="31" t="s">
        <v>60</v>
      </c>
      <c r="N229" s="49">
        <v>1.07354297E7</v>
      </c>
      <c r="O229" s="49">
        <v>1.00418E7</v>
      </c>
      <c r="P229" s="49">
        <v>0.0</v>
      </c>
      <c r="Q229" s="34">
        <f t="shared" si="7"/>
        <v>0.06461126563</v>
      </c>
      <c r="R229" s="31"/>
      <c r="S229" s="31" t="s">
        <v>60</v>
      </c>
      <c r="T229" s="50"/>
      <c r="U229" s="51" t="s">
        <v>1673</v>
      </c>
      <c r="V229" s="51">
        <v>0.0</v>
      </c>
      <c r="W229" s="31"/>
      <c r="X229" s="52" t="s">
        <v>803</v>
      </c>
      <c r="Y229" s="54"/>
      <c r="Z229" s="54"/>
      <c r="AA229" s="54" t="s">
        <v>1674</v>
      </c>
      <c r="AB229" s="56"/>
      <c r="AC229" s="38"/>
      <c r="AD229" s="39">
        <v>20083.6</v>
      </c>
      <c r="AE229" s="39">
        <v>10041.8</v>
      </c>
      <c r="AF229" s="40">
        <v>10041.8</v>
      </c>
      <c r="AG229" s="99" t="s">
        <v>1675</v>
      </c>
      <c r="AH229" s="42" t="s">
        <v>1338</v>
      </c>
      <c r="AI229" s="42" t="str">
        <f>IFERROR(__xludf.DUMMYFUNCTION("vLOOKUP(A229,IMPORTRANGE(""https://docs.google.com/spreadsheets/d/1Rawwwdh8wntXGy8isdYNHxsNQS4n_rC8JSdPfj6vEq4"",""'500 объектов перенос на 2026'!A3:AB502""),13,0)"),"#REF!")</f>
        <v>#REF!</v>
      </c>
      <c r="AJ229" s="42" t="str">
        <f>IFERROR(__xludf.DUMMYFUNCTION("vLOOKUP(A229,IMPORTRANGE(""https://docs.google.com/spreadsheets/d/1Rawwwdh8wntXGy8isdYNHxsNQS4n_rC8JSdPfj6vEq4"",""'500 объектов перенос на 2026'!A3:AB502""),14,0)"),"#REF!")</f>
        <v>#REF!</v>
      </c>
      <c r="AK229" s="76" t="s">
        <v>114</v>
      </c>
      <c r="AL229" s="70"/>
      <c r="AM229" s="70"/>
      <c r="AN229" s="43"/>
      <c r="AO229" s="43"/>
      <c r="AP229" s="43"/>
      <c r="AQ229" s="43"/>
      <c r="AR229" s="43"/>
      <c r="AS229" s="43"/>
      <c r="AT229" s="43"/>
      <c r="AU229" s="43"/>
      <c r="AV229" s="43"/>
      <c r="AW229" s="43"/>
      <c r="AX229" s="43"/>
      <c r="AY229" s="43"/>
      <c r="AZ229" s="43"/>
    </row>
    <row r="230">
      <c r="A230" s="62" t="s">
        <v>1676</v>
      </c>
      <c r="B230" s="63" t="s">
        <v>177</v>
      </c>
      <c r="C230" s="64" t="s">
        <v>1677</v>
      </c>
      <c r="D230" s="47" t="s">
        <v>179</v>
      </c>
      <c r="E230" s="64" t="s">
        <v>85</v>
      </c>
      <c r="F230" s="31" t="s">
        <v>60</v>
      </c>
      <c r="G230" s="31"/>
      <c r="H230" s="31"/>
      <c r="I230" s="31" t="s">
        <v>60</v>
      </c>
      <c r="J230" s="31"/>
      <c r="K230" s="31"/>
      <c r="L230" s="32">
        <f>IFERROR(__xludf.DUMMYFUNCTION("VLOOKUP($A230,IMPORTRANGE(""1PQtfbQLqBUP-rjYRznmgNFBLOjvAnhGzpIx7BJWq8rk"",""'Worksheet'!$B$2:$H""),7,FALSE)"),1.0)</f>
        <v>1</v>
      </c>
      <c r="M230" s="31" t="s">
        <v>60</v>
      </c>
      <c r="N230" s="49">
        <v>2.885495E7</v>
      </c>
      <c r="O230" s="49">
        <v>2.705452788E7</v>
      </c>
      <c r="P230" s="49">
        <f t="shared" ref="P230:P235" si="36">N230-O230</f>
        <v>1800422.12</v>
      </c>
      <c r="Q230" s="34">
        <f t="shared" si="7"/>
        <v>0.06239560699</v>
      </c>
      <c r="R230" s="31" t="s">
        <v>1678</v>
      </c>
      <c r="S230" s="31" t="s">
        <v>60</v>
      </c>
      <c r="T230" s="72" t="s">
        <v>1679</v>
      </c>
      <c r="U230" s="67" t="s">
        <v>1680</v>
      </c>
      <c r="V230" s="67" t="s">
        <v>1681</v>
      </c>
      <c r="W230" s="31"/>
      <c r="X230" s="52" t="s">
        <v>1682</v>
      </c>
      <c r="Y230" s="54" t="s">
        <v>1683</v>
      </c>
      <c r="Z230" s="54" t="s">
        <v>186</v>
      </c>
      <c r="AA230" s="74">
        <v>46223.0</v>
      </c>
      <c r="AB230" s="56"/>
      <c r="AC230" s="38"/>
      <c r="AD230" s="39">
        <v>28855.0</v>
      </c>
      <c r="AE230" s="39">
        <v>27055.0</v>
      </c>
      <c r="AF230" s="40">
        <f>AD230-AE230</f>
        <v>1800</v>
      </c>
      <c r="AG230" s="93" t="s">
        <v>1684</v>
      </c>
      <c r="AH230" s="85"/>
      <c r="AI230" s="42" t="str">
        <f>IFERROR(__xludf.DUMMYFUNCTION("vLOOKUP(A230,IMPORTRANGE(""https://docs.google.com/spreadsheets/d/1Rawwwdh8wntXGy8isdYNHxsNQS4n_rC8JSdPfj6vEq4"",""'500 объектов перенос на 2026'!A3:AB502""),13,0)"),"#REF!")</f>
        <v>#REF!</v>
      </c>
      <c r="AJ230" s="42" t="str">
        <f>IFERROR(__xludf.DUMMYFUNCTION("vLOOKUP(A230,IMPORTRANGE(""https://docs.google.com/spreadsheets/d/1Rawwwdh8wntXGy8isdYNHxsNQS4n_rC8JSdPfj6vEq4"",""'500 объектов перенос на 2026'!A3:AB502""),14,0)"),"#REF!")</f>
        <v>#REF!</v>
      </c>
      <c r="AK230" s="75" t="s">
        <v>1685</v>
      </c>
      <c r="AL230" s="110" t="s">
        <v>1686</v>
      </c>
      <c r="AM230" s="110"/>
      <c r="AN230" s="110"/>
      <c r="AO230" s="43"/>
      <c r="AP230" s="43"/>
      <c r="AQ230" s="43"/>
      <c r="AR230" s="43"/>
      <c r="AS230" s="43"/>
      <c r="AT230" s="43"/>
      <c r="AU230" s="43"/>
      <c r="AV230" s="43"/>
      <c r="AW230" s="43"/>
      <c r="AX230" s="43"/>
      <c r="AY230" s="43"/>
      <c r="AZ230" s="43"/>
    </row>
    <row r="231">
      <c r="A231" s="62" t="s">
        <v>1687</v>
      </c>
      <c r="B231" s="63" t="s">
        <v>635</v>
      </c>
      <c r="C231" s="64" t="s">
        <v>1688</v>
      </c>
      <c r="D231" s="47" t="s">
        <v>1210</v>
      </c>
      <c r="E231" s="64" t="s">
        <v>85</v>
      </c>
      <c r="F231" s="31" t="s">
        <v>60</v>
      </c>
      <c r="G231" s="31"/>
      <c r="H231" s="31"/>
      <c r="I231" s="31" t="s">
        <v>60</v>
      </c>
      <c r="J231" s="31"/>
      <c r="K231" s="31"/>
      <c r="L231" s="32">
        <f>IFERROR(__xludf.DUMMYFUNCTION("VLOOKUP($A231,IMPORTRANGE(""1PQtfbQLqBUP-rjYRznmgNFBLOjvAnhGzpIx7BJWq8rk"",""'Worksheet'!$B$2:$H""),7,FALSE)"),0.99)</f>
        <v>0.99</v>
      </c>
      <c r="M231" s="31" t="s">
        <v>60</v>
      </c>
      <c r="N231" s="49">
        <v>3.658023667E7</v>
      </c>
      <c r="O231" s="49">
        <v>1.403055764E7</v>
      </c>
      <c r="P231" s="49">
        <f t="shared" si="36"/>
        <v>22549679.03</v>
      </c>
      <c r="Q231" s="34">
        <f t="shared" si="7"/>
        <v>0.6164443176</v>
      </c>
      <c r="R231" s="31"/>
      <c r="S231" s="31" t="s">
        <v>60</v>
      </c>
      <c r="T231" s="91" t="s">
        <v>1689</v>
      </c>
      <c r="U231" s="51">
        <v>0.0</v>
      </c>
      <c r="V231" s="51" t="s">
        <v>1689</v>
      </c>
      <c r="W231" s="31"/>
      <c r="X231" s="52" t="s">
        <v>1690</v>
      </c>
      <c r="Y231" s="54" t="s">
        <v>1691</v>
      </c>
      <c r="Z231" s="54" t="s">
        <v>1245</v>
      </c>
      <c r="AA231" s="68">
        <v>46218.0</v>
      </c>
      <c r="AB231" s="56"/>
      <c r="AC231" s="38" t="s">
        <v>1246</v>
      </c>
      <c r="AD231" s="39">
        <v>40204.0</v>
      </c>
      <c r="AE231" s="39">
        <v>14274.83628</v>
      </c>
      <c r="AF231" s="40">
        <v>25929.16372</v>
      </c>
      <c r="AG231" s="57" t="s">
        <v>1692</v>
      </c>
      <c r="AH231" s="42" t="s">
        <v>1693</v>
      </c>
      <c r="AI231" s="42" t="str">
        <f>IFERROR(__xludf.DUMMYFUNCTION("vLOOKUP(A231,IMPORTRANGE(""https://docs.google.com/spreadsheets/d/1Rawwwdh8wntXGy8isdYNHxsNQS4n_rC8JSdPfj6vEq4"",""'500 объектов перенос на 2026'!A3:AB502""),13,0)"),"#REF!")</f>
        <v>#REF!</v>
      </c>
      <c r="AJ231" s="42" t="str">
        <f>IFERROR(__xludf.DUMMYFUNCTION("vLOOKUP(A231,IMPORTRANGE(""https://docs.google.com/spreadsheets/d/1Rawwwdh8wntXGy8isdYNHxsNQS4n_rC8JSdPfj6vEq4"",""'500 объектов перенос на 2026'!A3:AB502""),14,0)"),"#REF!")</f>
        <v>#REF!</v>
      </c>
      <c r="AK231" s="75" t="s">
        <v>1694</v>
      </c>
      <c r="AL231" s="70" t="s">
        <v>1695</v>
      </c>
      <c r="AM231" s="70"/>
      <c r="AN231" s="43"/>
      <c r="AO231" s="43"/>
      <c r="AP231" s="43"/>
      <c r="AQ231" s="43"/>
      <c r="AR231" s="43"/>
      <c r="AS231" s="43"/>
      <c r="AT231" s="43"/>
      <c r="AU231" s="43"/>
      <c r="AV231" s="43"/>
      <c r="AW231" s="43"/>
      <c r="AX231" s="43"/>
      <c r="AY231" s="43"/>
      <c r="AZ231" s="43"/>
    </row>
    <row r="232">
      <c r="A232" s="62" t="s">
        <v>1696</v>
      </c>
      <c r="B232" s="63" t="s">
        <v>177</v>
      </c>
      <c r="C232" s="90" t="s">
        <v>1697</v>
      </c>
      <c r="D232" s="47" t="s">
        <v>179</v>
      </c>
      <c r="E232" s="64" t="s">
        <v>85</v>
      </c>
      <c r="F232" s="31" t="s">
        <v>60</v>
      </c>
      <c r="G232" s="31"/>
      <c r="H232" s="31"/>
      <c r="I232" s="31" t="s">
        <v>60</v>
      </c>
      <c r="J232" s="31"/>
      <c r="K232" s="31"/>
      <c r="L232" s="32">
        <f>IFERROR(__xludf.DUMMYFUNCTION("VLOOKUP($A232,IMPORTRANGE(""1PQtfbQLqBUP-rjYRznmgNFBLOjvAnhGzpIx7BJWq8rk"",""'Worksheet'!$B$2:$H""),7,FALSE)"),0.99)</f>
        <v>0.99</v>
      </c>
      <c r="M232" s="31" t="s">
        <v>40</v>
      </c>
      <c r="N232" s="49">
        <v>3.179E7</v>
      </c>
      <c r="O232" s="49">
        <v>0.0</v>
      </c>
      <c r="P232" s="49">
        <f t="shared" si="36"/>
        <v>31790000</v>
      </c>
      <c r="Q232" s="34">
        <f t="shared" si="7"/>
        <v>1</v>
      </c>
      <c r="R232" s="31"/>
      <c r="S232" s="31" t="s">
        <v>60</v>
      </c>
      <c r="T232" s="72" t="s">
        <v>1698</v>
      </c>
      <c r="U232" s="67" t="s">
        <v>1699</v>
      </c>
      <c r="V232" s="67" t="s">
        <v>1700</v>
      </c>
      <c r="W232" s="31" t="s">
        <v>148</v>
      </c>
      <c r="X232" s="52" t="s">
        <v>184</v>
      </c>
      <c r="Y232" s="54" t="s">
        <v>1701</v>
      </c>
      <c r="Z232" s="54" t="s">
        <v>186</v>
      </c>
      <c r="AA232" s="74">
        <v>46223.0</v>
      </c>
      <c r="AB232" s="56"/>
      <c r="AC232" s="38"/>
      <c r="AD232" s="129">
        <v>4.108053E7</v>
      </c>
      <c r="AE232" s="129">
        <v>4.0289583E7</v>
      </c>
      <c r="AF232" s="40">
        <f>AD232-AE232</f>
        <v>790947</v>
      </c>
      <c r="AG232" s="93" t="s">
        <v>1702</v>
      </c>
      <c r="AH232" s="85"/>
      <c r="AI232" s="42" t="str">
        <f>IFERROR(__xludf.DUMMYFUNCTION("vLOOKUP(A232,IMPORTRANGE(""https://docs.google.com/spreadsheets/d/1Rawwwdh8wntXGy8isdYNHxsNQS4n_rC8JSdPfj6vEq4"",""'500 объектов перенос на 2026'!A3:AB502""),13,0)"),"#REF!")</f>
        <v>#REF!</v>
      </c>
      <c r="AJ232" s="42" t="str">
        <f>IFERROR(__xludf.DUMMYFUNCTION("vLOOKUP(A232,IMPORTRANGE(""https://docs.google.com/spreadsheets/d/1Rawwwdh8wntXGy8isdYNHxsNQS4n_rC8JSdPfj6vEq4"",""'500 объектов перенос на 2026'!A3:AB502""),14,0)"),"#REF!")</f>
        <v>#REF!</v>
      </c>
      <c r="AK232" s="75" t="s">
        <v>1703</v>
      </c>
      <c r="AL232" s="110" t="s">
        <v>1704</v>
      </c>
      <c r="AM232" s="110"/>
      <c r="AN232" s="110"/>
      <c r="AO232" s="43"/>
      <c r="AP232" s="43"/>
      <c r="AQ232" s="43"/>
      <c r="AR232" s="43"/>
      <c r="AS232" s="43"/>
      <c r="AT232" s="43"/>
      <c r="AU232" s="43"/>
      <c r="AV232" s="43"/>
      <c r="AW232" s="43"/>
      <c r="AX232" s="43"/>
      <c r="AY232" s="43"/>
      <c r="AZ232" s="43"/>
    </row>
    <row r="233">
      <c r="A233" s="62" t="s">
        <v>1705</v>
      </c>
      <c r="B233" s="63" t="s">
        <v>56</v>
      </c>
      <c r="C233" s="64" t="s">
        <v>1706</v>
      </c>
      <c r="D233" s="47" t="s">
        <v>311</v>
      </c>
      <c r="E233" s="64" t="s">
        <v>85</v>
      </c>
      <c r="F233" s="31" t="s">
        <v>60</v>
      </c>
      <c r="G233" s="31"/>
      <c r="H233" s="31"/>
      <c r="I233" s="31" t="s">
        <v>40</v>
      </c>
      <c r="J233" s="31" t="s">
        <v>61</v>
      </c>
      <c r="K233" s="31" t="s">
        <v>72</v>
      </c>
      <c r="L233" s="32">
        <f>IFERROR(__xludf.DUMMYFUNCTION("VLOOKUP($A233,IMPORTRANGE(""1PQtfbQLqBUP-rjYRznmgNFBLOjvAnhGzpIx7BJWq8rk"",""'Worksheet'!$B$2:$H""),7,FALSE)"),0.96)</f>
        <v>0.96</v>
      </c>
      <c r="M233" s="31" t="s">
        <v>45</v>
      </c>
      <c r="N233" s="49">
        <v>2.9681377266E8</v>
      </c>
      <c r="O233" s="49">
        <v>2.7462775518E8</v>
      </c>
      <c r="P233" s="49">
        <f t="shared" si="36"/>
        <v>22186017.48</v>
      </c>
      <c r="Q233" s="34">
        <f t="shared" si="7"/>
        <v>0.07474726419</v>
      </c>
      <c r="R233" s="31"/>
      <c r="S233" s="31" t="s">
        <v>45</v>
      </c>
      <c r="T233" s="72" t="s">
        <v>1707</v>
      </c>
      <c r="U233" s="67" t="s">
        <v>1708</v>
      </c>
      <c r="V233" s="67" t="s">
        <v>1709</v>
      </c>
      <c r="W233" s="31"/>
      <c r="X233" s="52" t="s">
        <v>1710</v>
      </c>
      <c r="Y233" s="54" t="s">
        <v>1711</v>
      </c>
      <c r="Z233" s="74"/>
      <c r="AA233" s="68">
        <v>46233.0</v>
      </c>
      <c r="AB233" s="56"/>
      <c r="AC233" s="38"/>
      <c r="AD233" s="39">
        <v>296813.77</v>
      </c>
      <c r="AE233" s="39">
        <v>274627.7518</v>
      </c>
      <c r="AF233" s="40">
        <v>22186.01819</v>
      </c>
      <c r="AG233" s="99" t="s">
        <v>1712</v>
      </c>
      <c r="AH233" s="69" t="s">
        <v>66</v>
      </c>
      <c r="AI233" s="42" t="str">
        <f>IFERROR(__xludf.DUMMYFUNCTION("vLOOKUP(A233,IMPORTRANGE(""https://docs.google.com/spreadsheets/d/1Rawwwdh8wntXGy8isdYNHxsNQS4n_rC8JSdPfj6vEq4"",""'500 объектов перенос на 2026'!A3:AB502""),13,0)"),"#REF!")</f>
        <v>#REF!</v>
      </c>
      <c r="AJ233" s="42" t="str">
        <f>IFERROR(__xludf.DUMMYFUNCTION("vLOOKUP(A233,IMPORTRANGE(""https://docs.google.com/spreadsheets/d/1Rawwwdh8wntXGy8isdYNHxsNQS4n_rC8JSdPfj6vEq4"",""'500 объектов перенос на 2026'!A3:AB502""),14,0)"),"#REF!")</f>
        <v>#REF!</v>
      </c>
      <c r="AK233" s="58" t="s">
        <v>1172</v>
      </c>
      <c r="AL233" s="70" t="s">
        <v>1173</v>
      </c>
      <c r="AM233" s="70"/>
      <c r="AN233" s="43"/>
      <c r="AO233" s="43"/>
      <c r="AP233" s="43"/>
      <c r="AQ233" s="43"/>
      <c r="AR233" s="43"/>
      <c r="AS233" s="43"/>
      <c r="AT233" s="43"/>
      <c r="AU233" s="43"/>
      <c r="AV233" s="43"/>
      <c r="AW233" s="43"/>
      <c r="AX233" s="43"/>
      <c r="AY233" s="43"/>
      <c r="AZ233" s="43"/>
    </row>
    <row r="234">
      <c r="A234" s="165" t="s">
        <v>60</v>
      </c>
      <c r="B234" s="63" t="s">
        <v>635</v>
      </c>
      <c r="C234" s="64" t="s">
        <v>1713</v>
      </c>
      <c r="D234" s="47" t="s">
        <v>812</v>
      </c>
      <c r="E234" s="64" t="s">
        <v>85</v>
      </c>
      <c r="F234" s="31" t="s">
        <v>60</v>
      </c>
      <c r="G234" s="31"/>
      <c r="H234" s="31"/>
      <c r="I234" s="31" t="s">
        <v>40</v>
      </c>
      <c r="J234" s="31" t="s">
        <v>61</v>
      </c>
      <c r="K234" s="31" t="s">
        <v>72</v>
      </c>
      <c r="L234" s="32" t="str">
        <f>IFERROR(__xludf.DUMMYFUNCTION("VLOOKUP($A234,IMPORTRANGE(""1PQtfbQLqBUP-rjYRznmgNFBLOjvAnhGzpIx7BJWq8rk"",""'Worksheet'!$B$2:$H""),7,FALSE)"),"#N/A")</f>
        <v>#N/A</v>
      </c>
      <c r="M234" s="31" t="s">
        <v>45</v>
      </c>
      <c r="N234" s="49">
        <v>6.738167678E7</v>
      </c>
      <c r="O234" s="49">
        <v>4.543619192E7</v>
      </c>
      <c r="P234" s="49">
        <f t="shared" si="36"/>
        <v>21945484.86</v>
      </c>
      <c r="Q234" s="34">
        <f t="shared" si="7"/>
        <v>0.3256892068</v>
      </c>
      <c r="R234" s="31"/>
      <c r="S234" s="31" t="s">
        <v>45</v>
      </c>
      <c r="T234" s="50" t="s">
        <v>1714</v>
      </c>
      <c r="U234" s="51" t="s">
        <v>1715</v>
      </c>
      <c r="V234" s="51" t="s">
        <v>1716</v>
      </c>
      <c r="W234" s="31"/>
      <c r="X234" s="52" t="s">
        <v>45</v>
      </c>
      <c r="Y234" s="54" t="s">
        <v>1717</v>
      </c>
      <c r="Z234" s="54" t="s">
        <v>1718</v>
      </c>
      <c r="AA234" s="74">
        <v>46234.0</v>
      </c>
      <c r="AB234" s="56"/>
      <c r="AC234" s="38" t="s">
        <v>1719</v>
      </c>
      <c r="AD234" s="39">
        <v>67381.68</v>
      </c>
      <c r="AE234" s="39">
        <v>45446.19192</v>
      </c>
      <c r="AF234" s="40">
        <v>21935.48808</v>
      </c>
      <c r="AG234" s="57" t="s">
        <v>1720</v>
      </c>
      <c r="AH234" s="42" t="s">
        <v>49</v>
      </c>
      <c r="AI234" s="42" t="str">
        <f>IFERROR(__xludf.DUMMYFUNCTION("vLOOKUP(#REF!,IMPORTRANGE(""https://docs.google.com/spreadsheets/d/1Rawwwdh8wntXGy8isdYNHxsNQS4n_rC8JSdPfj6vEq4"",""'500 объектов перенос на 2026'!A3:AB502""),13,0)"),"#REF!")</f>
        <v>#REF!</v>
      </c>
      <c r="AJ234" s="42" t="str">
        <f>IFERROR(__xludf.DUMMYFUNCTION("vLOOKUP(#REF!,IMPORTRANGE(""https://docs.google.com/spreadsheets/d/1Rawwwdh8wntXGy8isdYNHxsNQS4n_rC8JSdPfj6vEq4"",""'500 объектов перенос на 2026'!A3:AB502""),14,0)"),"#REF!")</f>
        <v>#REF!</v>
      </c>
      <c r="AK234" s="140"/>
      <c r="AL234" s="119"/>
      <c r="AM234" s="119"/>
      <c r="AN234" s="43"/>
      <c r="AO234" s="43"/>
      <c r="AP234" s="43"/>
      <c r="AQ234" s="43"/>
      <c r="AR234" s="43"/>
      <c r="AS234" s="43"/>
      <c r="AT234" s="43"/>
      <c r="AU234" s="43"/>
      <c r="AV234" s="43"/>
      <c r="AW234" s="43"/>
      <c r="AX234" s="43"/>
      <c r="AY234" s="43"/>
      <c r="AZ234" s="43"/>
    </row>
    <row r="235">
      <c r="A235" s="62" t="s">
        <v>1721</v>
      </c>
      <c r="B235" s="63" t="s">
        <v>736</v>
      </c>
      <c r="C235" s="64" t="s">
        <v>1722</v>
      </c>
      <c r="D235" s="47" t="s">
        <v>101</v>
      </c>
      <c r="E235" s="64" t="s">
        <v>39</v>
      </c>
      <c r="F235" s="31" t="s">
        <v>60</v>
      </c>
      <c r="G235" s="31"/>
      <c r="H235" s="31"/>
      <c r="I235" s="31" t="s">
        <v>60</v>
      </c>
      <c r="J235" s="31"/>
      <c r="K235" s="31"/>
      <c r="L235" s="32">
        <f>IFERROR(__xludf.DUMMYFUNCTION("VLOOKUP($A235,IMPORTRANGE(""1PQtfbQLqBUP-rjYRznmgNFBLOjvAnhGzpIx7BJWq8rk"",""'Worksheet'!$B$2:$H""),7,FALSE)"),1.0)</f>
        <v>1</v>
      </c>
      <c r="M235" s="31" t="s">
        <v>45</v>
      </c>
      <c r="N235" s="49">
        <v>4.74863126E7</v>
      </c>
      <c r="O235" s="49">
        <v>4.451360212E7</v>
      </c>
      <c r="P235" s="49">
        <f t="shared" si="36"/>
        <v>2972710.48</v>
      </c>
      <c r="Q235" s="34">
        <f t="shared" si="7"/>
        <v>0.06260141749</v>
      </c>
      <c r="R235" s="31"/>
      <c r="S235" s="31" t="s">
        <v>60</v>
      </c>
      <c r="T235" s="50" t="s">
        <v>1723</v>
      </c>
      <c r="U235" s="51" t="s">
        <v>1724</v>
      </c>
      <c r="V235" s="51" t="s">
        <v>1725</v>
      </c>
      <c r="W235" s="31" t="s">
        <v>148</v>
      </c>
      <c r="X235" s="52" t="s">
        <v>600</v>
      </c>
      <c r="Y235" s="54" t="s">
        <v>1726</v>
      </c>
      <c r="Z235" s="54" t="s">
        <v>743</v>
      </c>
      <c r="AA235" s="74">
        <v>46188.0</v>
      </c>
      <c r="AB235" s="56"/>
      <c r="AC235" s="38"/>
      <c r="AD235" s="39">
        <v>37641.44</v>
      </c>
      <c r="AE235" s="39">
        <v>36813.58413</v>
      </c>
      <c r="AF235" s="40">
        <v>827.85587</v>
      </c>
      <c r="AG235" s="57" t="s">
        <v>1727</v>
      </c>
      <c r="AH235" s="42" t="s">
        <v>1338</v>
      </c>
      <c r="AI235" s="42" t="str">
        <f>IFERROR(__xludf.DUMMYFUNCTION("vLOOKUP(A235,IMPORTRANGE(""https://docs.google.com/spreadsheets/d/1Rawwwdh8wntXGy8isdYNHxsNQS4n_rC8JSdPfj6vEq4"",""'500 объектов перенос на 2026'!A3:AB502""),13,0)"),"#REF!")</f>
        <v>#REF!</v>
      </c>
      <c r="AJ235" s="42" t="str">
        <f>IFERROR(__xludf.DUMMYFUNCTION("vLOOKUP(A235,IMPORTRANGE(""https://docs.google.com/spreadsheets/d/1Rawwwdh8wntXGy8isdYNHxsNQS4n_rC8JSdPfj6vEq4"",""'500 объектов перенос на 2026'!A3:AB502""),14,0)"),"#REF!")</f>
        <v>#REF!</v>
      </c>
      <c r="AK235" s="58" t="s">
        <v>746</v>
      </c>
      <c r="AL235" s="70" t="s">
        <v>747</v>
      </c>
      <c r="AM235" s="96" t="s">
        <v>748</v>
      </c>
      <c r="AN235" s="43"/>
      <c r="AO235" s="43"/>
      <c r="AP235" s="43"/>
      <c r="AQ235" s="43"/>
      <c r="AR235" s="43"/>
      <c r="AS235" s="43"/>
      <c r="AT235" s="43"/>
      <c r="AU235" s="43"/>
      <c r="AV235" s="43"/>
      <c r="AW235" s="43"/>
      <c r="AX235" s="43"/>
      <c r="AY235" s="43"/>
      <c r="AZ235" s="43"/>
    </row>
    <row r="236">
      <c r="A236" s="78" t="s">
        <v>1728</v>
      </c>
      <c r="B236" s="63" t="s">
        <v>36</v>
      </c>
      <c r="C236" s="64" t="s">
        <v>1729</v>
      </c>
      <c r="D236" s="47" t="s">
        <v>311</v>
      </c>
      <c r="E236" s="90" t="s">
        <v>85</v>
      </c>
      <c r="F236" s="31" t="s">
        <v>60</v>
      </c>
      <c r="G236" s="31"/>
      <c r="H236" s="31"/>
      <c r="I236" s="31" t="s">
        <v>60</v>
      </c>
      <c r="J236" s="31"/>
      <c r="K236" s="31"/>
      <c r="L236" s="32" t="str">
        <f>IFERROR(__xludf.DUMMYFUNCTION("VLOOKUP($A236,IMPORTRANGE(""1PQtfbQLqBUP-rjYRznmgNFBLOjvAnhGzpIx7BJWq8rk"",""'Worksheet'!$B$2:$H""),7,FALSE)"),"#N/A")</f>
        <v>#N/A</v>
      </c>
      <c r="M236" s="31" t="s">
        <v>60</v>
      </c>
      <c r="N236" s="49">
        <v>1.3131761281E8</v>
      </c>
      <c r="O236" s="49">
        <v>1.0584260471E8</v>
      </c>
      <c r="P236" s="49">
        <v>0.0</v>
      </c>
      <c r="Q236" s="34">
        <f t="shared" si="7"/>
        <v>0.193995364</v>
      </c>
      <c r="R236" s="31"/>
      <c r="S236" s="31" t="s">
        <v>60</v>
      </c>
      <c r="T236" s="50"/>
      <c r="U236" s="51"/>
      <c r="V236" s="51"/>
      <c r="W236" s="31"/>
      <c r="X236" s="52" t="s">
        <v>113</v>
      </c>
      <c r="Y236" s="54"/>
      <c r="Z236" s="54"/>
      <c r="AA236" s="54" t="s">
        <v>114</v>
      </c>
      <c r="AB236" s="38" t="s">
        <v>115</v>
      </c>
      <c r="AC236" s="38"/>
      <c r="AD236" s="39">
        <v>149677.0</v>
      </c>
      <c r="AE236" s="39">
        <v>105842.6047</v>
      </c>
      <c r="AF236" s="39">
        <v>43834.39529</v>
      </c>
      <c r="AG236" s="57" t="s">
        <v>1730</v>
      </c>
      <c r="AH236" s="42" t="s">
        <v>1385</v>
      </c>
      <c r="AI236" s="42" t="str">
        <f>IFERROR(__xludf.DUMMYFUNCTION("vLOOKUP(A236,IMPORTRANGE(""https://docs.google.com/spreadsheets/d/1Rawwwdh8wntXGy8isdYNHxsNQS4n_rC8JSdPfj6vEq4"",""'500 объектов перенос на 2026'!A3:AB502""),13,0)"),"#REF!")</f>
        <v>#REF!</v>
      </c>
      <c r="AJ236" s="42" t="str">
        <f>IFERROR(__xludf.DUMMYFUNCTION("vLOOKUP(A236,IMPORTRANGE(""https://docs.google.com/spreadsheets/d/1Rawwwdh8wntXGy8isdYNHxsNQS4n_rC8JSdPfj6vEq4"",""'500 объектов перенос на 2026'!A3:AB502""),14,0)"),"#REF!")</f>
        <v>#REF!</v>
      </c>
      <c r="AK236" s="76" t="s">
        <v>114</v>
      </c>
      <c r="AL236" s="76"/>
      <c r="AM236" s="70"/>
      <c r="AN236" s="43"/>
      <c r="AO236" s="43"/>
      <c r="AP236" s="43"/>
      <c r="AQ236" s="43"/>
      <c r="AR236" s="43"/>
      <c r="AS236" s="43"/>
      <c r="AT236" s="43"/>
      <c r="AU236" s="43"/>
      <c r="AV236" s="43"/>
      <c r="AW236" s="43"/>
      <c r="AX236" s="43"/>
      <c r="AY236" s="43"/>
      <c r="AZ236" s="43"/>
    </row>
    <row r="237">
      <c r="A237" s="62" t="s">
        <v>1731</v>
      </c>
      <c r="B237" s="63" t="s">
        <v>82</v>
      </c>
      <c r="C237" s="64" t="s">
        <v>1732</v>
      </c>
      <c r="D237" s="47" t="s">
        <v>323</v>
      </c>
      <c r="E237" s="64" t="s">
        <v>85</v>
      </c>
      <c r="F237" s="31" t="s">
        <v>60</v>
      </c>
      <c r="G237" s="31"/>
      <c r="H237" s="31"/>
      <c r="I237" s="31" t="s">
        <v>40</v>
      </c>
      <c r="J237" s="31" t="s">
        <v>61</v>
      </c>
      <c r="K237" s="31" t="s">
        <v>72</v>
      </c>
      <c r="L237" s="32">
        <f>IFERROR(__xludf.DUMMYFUNCTION("VLOOKUP($A237,IMPORTRANGE(""1PQtfbQLqBUP-rjYRznmgNFBLOjvAnhGzpIx7BJWq8rk"",""'Worksheet'!$B$2:$H""),7,FALSE)"),0.55)</f>
        <v>0.55</v>
      </c>
      <c r="M237" s="31" t="s">
        <v>45</v>
      </c>
      <c r="N237" s="49">
        <v>4.57072E7</v>
      </c>
      <c r="O237" s="49">
        <v>2.463608217E7</v>
      </c>
      <c r="P237" s="49">
        <f t="shared" ref="P237:P243" si="37">N237-O237</f>
        <v>21071117.83</v>
      </c>
      <c r="Q237" s="34">
        <f t="shared" si="7"/>
        <v>0.4610021579</v>
      </c>
      <c r="R237" s="31"/>
      <c r="S237" s="31" t="s">
        <v>45</v>
      </c>
      <c r="T237" s="50" t="s">
        <v>1733</v>
      </c>
      <c r="U237" s="51">
        <v>0.0</v>
      </c>
      <c r="V237" s="51" t="s">
        <v>1733</v>
      </c>
      <c r="W237" s="31"/>
      <c r="X237" s="52" t="s">
        <v>1659</v>
      </c>
      <c r="Y237" s="54" t="s">
        <v>1660</v>
      </c>
      <c r="Z237" s="54" t="s">
        <v>1152</v>
      </c>
      <c r="AA237" s="74">
        <v>46265.0</v>
      </c>
      <c r="AB237" s="56"/>
      <c r="AC237" s="38" t="s">
        <v>789</v>
      </c>
      <c r="AD237" s="39">
        <v>45707.2</v>
      </c>
      <c r="AE237" s="39">
        <v>22853.6</v>
      </c>
      <c r="AF237" s="40">
        <v>22853.6</v>
      </c>
      <c r="AG237" s="57" t="s">
        <v>1734</v>
      </c>
      <c r="AH237" s="42" t="s">
        <v>1662</v>
      </c>
      <c r="AI237" s="42" t="str">
        <f>IFERROR(__xludf.DUMMYFUNCTION("vLOOKUP(A237,IMPORTRANGE(""https://docs.google.com/spreadsheets/d/1Rawwwdh8wntXGy8isdYNHxsNQS4n_rC8JSdPfj6vEq4"",""'500 объектов перенос на 2026'!A3:AB502""),13,0)"),"#REF!")</f>
        <v>#REF!</v>
      </c>
      <c r="AJ237" s="42" t="str">
        <f>IFERROR(__xludf.DUMMYFUNCTION("vLOOKUP(A237,IMPORTRANGE(""https://docs.google.com/spreadsheets/d/1Rawwwdh8wntXGy8isdYNHxsNQS4n_rC8JSdPfj6vEq4"",""'500 объектов перенос на 2026'!A3:AB502""),14,0)"),"#REF!")</f>
        <v>#REF!</v>
      </c>
      <c r="AK237" s="77" t="s">
        <v>1663</v>
      </c>
      <c r="AL237" s="94" t="s">
        <v>1735</v>
      </c>
      <c r="AM237" s="94"/>
      <c r="AN237" s="43"/>
      <c r="AO237" s="43"/>
      <c r="AP237" s="43"/>
      <c r="AQ237" s="43"/>
      <c r="AR237" s="43"/>
      <c r="AS237" s="43"/>
      <c r="AT237" s="43"/>
      <c r="AU237" s="43"/>
      <c r="AV237" s="43"/>
      <c r="AW237" s="43"/>
      <c r="AX237" s="43"/>
      <c r="AY237" s="43"/>
      <c r="AZ237" s="43"/>
    </row>
    <row r="238">
      <c r="A238" s="62" t="s">
        <v>1736</v>
      </c>
      <c r="B238" s="63" t="s">
        <v>296</v>
      </c>
      <c r="C238" s="64" t="s">
        <v>1737</v>
      </c>
      <c r="D238" s="47" t="s">
        <v>246</v>
      </c>
      <c r="E238" s="64" t="s">
        <v>59</v>
      </c>
      <c r="F238" s="31" t="s">
        <v>60</v>
      </c>
      <c r="G238" s="31"/>
      <c r="H238" s="31"/>
      <c r="I238" s="31" t="s">
        <v>60</v>
      </c>
      <c r="J238" s="31"/>
      <c r="K238" s="31"/>
      <c r="L238" s="32" t="str">
        <f>IFERROR(__xludf.DUMMYFUNCTION("VLOOKUP($A238,IMPORTRANGE(""1PQtfbQLqBUP-rjYRznmgNFBLOjvAnhGzpIx7BJWq8rk"",""'Worksheet'!$B$2:$H""),7,FALSE)"),"#N/A")</f>
        <v>#N/A</v>
      </c>
      <c r="M238" s="31" t="s">
        <v>45</v>
      </c>
      <c r="N238" s="49">
        <v>3.539522825E7</v>
      </c>
      <c r="O238" s="49">
        <v>1.499127948E7</v>
      </c>
      <c r="P238" s="49">
        <f t="shared" si="37"/>
        <v>20403948.77</v>
      </c>
      <c r="Q238" s="34">
        <f t="shared" si="7"/>
        <v>0.5764604377</v>
      </c>
      <c r="R238" s="31" t="s">
        <v>1059</v>
      </c>
      <c r="S238" s="31" t="s">
        <v>40</v>
      </c>
      <c r="T238" s="155">
        <v>3.36254668375E7</v>
      </c>
      <c r="U238" s="51">
        <v>0.0</v>
      </c>
      <c r="V238" s="156">
        <f>P238-P238*0.05</f>
        <v>19383751.33</v>
      </c>
      <c r="W238" s="31" t="s">
        <v>1738</v>
      </c>
      <c r="X238" s="52" t="s">
        <v>73</v>
      </c>
      <c r="Y238" s="73" t="s">
        <v>1739</v>
      </c>
      <c r="Z238" s="54" t="s">
        <v>1594</v>
      </c>
      <c r="AA238" s="68">
        <v>46232.0</v>
      </c>
      <c r="AB238" s="56"/>
      <c r="AC238" s="38"/>
      <c r="AD238" s="39">
        <v>47476.176</v>
      </c>
      <c r="AE238" s="39">
        <v>0.0</v>
      </c>
      <c r="AF238" s="40">
        <v>47476.176</v>
      </c>
      <c r="AG238" s="57" t="s">
        <v>1740</v>
      </c>
      <c r="AH238" s="57" t="s">
        <v>1515</v>
      </c>
      <c r="AI238" s="42" t="str">
        <f>IFERROR(__xludf.DUMMYFUNCTION("vLOOKUP(A238,IMPORTRANGE(""https://docs.google.com/spreadsheets/d/1Rawwwdh8wntXGy8isdYNHxsNQS4n_rC8JSdPfj6vEq4"",""'500 объектов перенос на 2026'!A3:AB502""),13,0)"),"#REF!")</f>
        <v>#REF!</v>
      </c>
      <c r="AJ238" s="42" t="str">
        <f>IFERROR(__xludf.DUMMYFUNCTION("vLOOKUP(A238,IMPORTRANGE(""https://docs.google.com/spreadsheets/d/1Rawwwdh8wntXGy8isdYNHxsNQS4n_rC8JSdPfj6vEq4"",""'500 объектов перенос на 2026'!A3:AB502""),14,0)"),"#REF!")</f>
        <v>#REF!</v>
      </c>
      <c r="AK238" s="76" t="s">
        <v>1741</v>
      </c>
      <c r="AL238" s="70"/>
      <c r="AM238" s="70"/>
      <c r="AN238" s="43"/>
      <c r="AO238" s="43"/>
      <c r="AP238" s="43"/>
      <c r="AQ238" s="43"/>
      <c r="AR238" s="43"/>
      <c r="AS238" s="43"/>
      <c r="AT238" s="43"/>
      <c r="AU238" s="43"/>
      <c r="AV238" s="43"/>
      <c r="AW238" s="43"/>
      <c r="AX238" s="43"/>
      <c r="AY238" s="43"/>
      <c r="AZ238" s="43"/>
    </row>
    <row r="239">
      <c r="A239" s="62" t="s">
        <v>1742</v>
      </c>
      <c r="B239" s="63" t="s">
        <v>400</v>
      </c>
      <c r="C239" s="64" t="s">
        <v>1743</v>
      </c>
      <c r="D239" s="47" t="s">
        <v>1744</v>
      </c>
      <c r="E239" s="64" t="s">
        <v>85</v>
      </c>
      <c r="F239" s="31" t="s">
        <v>60</v>
      </c>
      <c r="G239" s="31"/>
      <c r="H239" s="31"/>
      <c r="I239" s="31" t="s">
        <v>60</v>
      </c>
      <c r="J239" s="31"/>
      <c r="K239" s="31"/>
      <c r="L239" s="32">
        <f>IFERROR(__xludf.DUMMYFUNCTION("VLOOKUP($A239,IMPORTRANGE(""1PQtfbQLqBUP-rjYRznmgNFBLOjvAnhGzpIx7BJWq8rk"",""'Worksheet'!$B$2:$H""),7,FALSE)"),0.95)</f>
        <v>0.95</v>
      </c>
      <c r="M239" s="31" t="s">
        <v>45</v>
      </c>
      <c r="N239" s="49">
        <v>8.0803974E7</v>
      </c>
      <c r="O239" s="49">
        <v>6.04875776E7</v>
      </c>
      <c r="P239" s="49">
        <f t="shared" si="37"/>
        <v>20316396.4</v>
      </c>
      <c r="Q239" s="34">
        <f t="shared" si="7"/>
        <v>0.2514281835</v>
      </c>
      <c r="R239" s="31"/>
      <c r="S239" s="31" t="s">
        <v>45</v>
      </c>
      <c r="T239" s="50" t="s">
        <v>1745</v>
      </c>
      <c r="U239" s="51" t="s">
        <v>1746</v>
      </c>
      <c r="V239" s="49" t="s">
        <v>1747</v>
      </c>
      <c r="W239" s="31" t="s">
        <v>183</v>
      </c>
      <c r="X239" s="52" t="s">
        <v>1155</v>
      </c>
      <c r="Y239" s="54" t="s">
        <v>1748</v>
      </c>
      <c r="Z239" s="54" t="s">
        <v>1749</v>
      </c>
      <c r="AA239" s="74">
        <v>46233.0</v>
      </c>
      <c r="AB239" s="56"/>
      <c r="AC239" s="38"/>
      <c r="AD239" s="39">
        <v>80803.974</v>
      </c>
      <c r="AE239" s="39">
        <v>60487.57639</v>
      </c>
      <c r="AF239" s="40">
        <v>20316.39761</v>
      </c>
      <c r="AG239" s="57" t="s">
        <v>1750</v>
      </c>
      <c r="AH239" s="42" t="s">
        <v>1751</v>
      </c>
      <c r="AI239" s="42" t="str">
        <f>IFERROR(__xludf.DUMMYFUNCTION("vLOOKUP(A239,IMPORTRANGE(""https://docs.google.com/spreadsheets/d/1Rawwwdh8wntXGy8isdYNHxsNQS4n_rC8JSdPfj6vEq4"",""'500 объектов перенос на 2026'!A3:AB502""),13,0)"),"#REF!")</f>
        <v>#REF!</v>
      </c>
      <c r="AJ239" s="42" t="str">
        <f>IFERROR(__xludf.DUMMYFUNCTION("vLOOKUP(A239,IMPORTRANGE(""https://docs.google.com/spreadsheets/d/1Rawwwdh8wntXGy8isdYNHxsNQS4n_rC8JSdPfj6vEq4"",""'500 объектов перенос на 2026'!A3:AB502""),14,0)"),"#REF!")</f>
        <v>#REF!</v>
      </c>
      <c r="AK239" s="76" t="s">
        <v>1752</v>
      </c>
      <c r="AL239" s="76"/>
      <c r="AM239" s="70"/>
      <c r="AN239" s="43"/>
      <c r="AO239" s="43"/>
      <c r="AP239" s="43"/>
      <c r="AQ239" s="43"/>
      <c r="AR239" s="43"/>
      <c r="AS239" s="43"/>
      <c r="AT239" s="43"/>
      <c r="AU239" s="43"/>
      <c r="AV239" s="43"/>
      <c r="AW239" s="43"/>
      <c r="AX239" s="43"/>
      <c r="AY239" s="43"/>
      <c r="AZ239" s="43"/>
    </row>
    <row r="240">
      <c r="A240" s="62" t="s">
        <v>1753</v>
      </c>
      <c r="B240" s="63" t="s">
        <v>250</v>
      </c>
      <c r="C240" s="64" t="s">
        <v>1754</v>
      </c>
      <c r="D240" s="47" t="s">
        <v>1755</v>
      </c>
      <c r="E240" s="64" t="s">
        <v>85</v>
      </c>
      <c r="F240" s="31" t="s">
        <v>60</v>
      </c>
      <c r="G240" s="31"/>
      <c r="H240" s="31"/>
      <c r="I240" s="31" t="s">
        <v>60</v>
      </c>
      <c r="J240" s="31"/>
      <c r="K240" s="31"/>
      <c r="L240" s="32">
        <f>IFERROR(__xludf.DUMMYFUNCTION("VLOOKUP($A240,IMPORTRANGE(""1PQtfbQLqBUP-rjYRznmgNFBLOjvAnhGzpIx7BJWq8rk"",""'Worksheet'!$B$2:$H""),7,FALSE)"),0.93)</f>
        <v>0.93</v>
      </c>
      <c r="M240" s="31" t="s">
        <v>45</v>
      </c>
      <c r="N240" s="49">
        <v>4.031667E7</v>
      </c>
      <c r="O240" s="49">
        <v>2.866953781E7</v>
      </c>
      <c r="P240" s="49">
        <f t="shared" si="37"/>
        <v>11647132.19</v>
      </c>
      <c r="Q240" s="34">
        <f t="shared" si="7"/>
        <v>0.2888912251</v>
      </c>
      <c r="R240" s="31"/>
      <c r="S240" s="31" t="s">
        <v>45</v>
      </c>
      <c r="T240" s="72">
        <v>3.832399581E7</v>
      </c>
      <c r="U240" s="51">
        <v>9507539.91</v>
      </c>
      <c r="V240" s="67">
        <f>T240-U240</f>
        <v>28816455.9</v>
      </c>
      <c r="W240" s="31" t="s">
        <v>183</v>
      </c>
      <c r="X240" s="52" t="s">
        <v>620</v>
      </c>
      <c r="Y240" s="54" t="s">
        <v>1756</v>
      </c>
      <c r="Z240" s="54" t="s">
        <v>75</v>
      </c>
      <c r="AA240" s="74">
        <v>46203.0</v>
      </c>
      <c r="AB240" s="56"/>
      <c r="AC240" s="38" t="s">
        <v>1143</v>
      </c>
      <c r="AD240" s="39">
        <v>40316.67</v>
      </c>
      <c r="AE240" s="39">
        <v>20158.335</v>
      </c>
      <c r="AF240" s="40">
        <v>20158.335</v>
      </c>
      <c r="AG240" s="57" t="s">
        <v>1757</v>
      </c>
      <c r="AH240" s="85" t="s">
        <v>789</v>
      </c>
      <c r="AI240" s="42" t="str">
        <f>IFERROR(__xludf.DUMMYFUNCTION("vLOOKUP(A240,IMPORTRANGE(""https://docs.google.com/spreadsheets/d/1Rawwwdh8wntXGy8isdYNHxsNQS4n_rC8JSdPfj6vEq4"",""'500 объектов перенос на 2026'!A3:AB502""),13,0)"),"#REF!")</f>
        <v>#REF!</v>
      </c>
      <c r="AJ240" s="42" t="str">
        <f>IFERROR(__xludf.DUMMYFUNCTION("vLOOKUP(A240,IMPORTRANGE(""https://docs.google.com/spreadsheets/d/1Rawwwdh8wntXGy8isdYNHxsNQS4n_rC8JSdPfj6vEq4"",""'500 объектов перенос на 2026'!A3:AB502""),14,0)"),"#REF!")</f>
        <v>#REF!</v>
      </c>
      <c r="AK240" s="76" t="s">
        <v>1758</v>
      </c>
      <c r="AL240" s="70"/>
      <c r="AM240" s="70"/>
      <c r="AN240" s="43"/>
      <c r="AO240" s="43"/>
      <c r="AP240" s="43"/>
      <c r="AQ240" s="43"/>
      <c r="AR240" s="43"/>
      <c r="AS240" s="43"/>
      <c r="AT240" s="43"/>
      <c r="AU240" s="43"/>
      <c r="AV240" s="43"/>
      <c r="AW240" s="43"/>
      <c r="AX240" s="43"/>
      <c r="AY240" s="43"/>
      <c r="AZ240" s="43"/>
    </row>
    <row r="241">
      <c r="A241" s="62" t="s">
        <v>1759</v>
      </c>
      <c r="B241" s="63" t="s">
        <v>99</v>
      </c>
      <c r="C241" s="144" t="s">
        <v>1760</v>
      </c>
      <c r="D241" s="47" t="s">
        <v>705</v>
      </c>
      <c r="E241" s="64" t="s">
        <v>85</v>
      </c>
      <c r="F241" s="31" t="s">
        <v>60</v>
      </c>
      <c r="G241" s="31"/>
      <c r="H241" s="31"/>
      <c r="I241" s="31" t="s">
        <v>60</v>
      </c>
      <c r="J241" s="31"/>
      <c r="K241" s="31"/>
      <c r="L241" s="32">
        <f>IFERROR(__xludf.DUMMYFUNCTION("VLOOKUP($A241,IMPORTRANGE(""1PQtfbQLqBUP-rjYRznmgNFBLOjvAnhGzpIx7BJWq8rk"",""'Worksheet'!$B$2:$H""),7,FALSE)"),1.0)</f>
        <v>1</v>
      </c>
      <c r="M241" s="31" t="s">
        <v>40</v>
      </c>
      <c r="N241" s="49">
        <v>3.10016E7</v>
      </c>
      <c r="O241" s="49">
        <v>1.085056E7</v>
      </c>
      <c r="P241" s="49">
        <f t="shared" si="37"/>
        <v>20151040</v>
      </c>
      <c r="Q241" s="34">
        <f t="shared" si="7"/>
        <v>0.65</v>
      </c>
      <c r="R241" s="31" t="s">
        <v>1761</v>
      </c>
      <c r="S241" s="31" t="s">
        <v>60</v>
      </c>
      <c r="T241" s="145">
        <f>N241*0.95</f>
        <v>29451520</v>
      </c>
      <c r="U241" s="84">
        <v>0.0</v>
      </c>
      <c r="V241" s="145">
        <v>2.945152E7</v>
      </c>
      <c r="W241" s="31"/>
      <c r="X241" s="52" t="s">
        <v>1150</v>
      </c>
      <c r="Y241" s="54" t="s">
        <v>1762</v>
      </c>
      <c r="Z241" s="54" t="s">
        <v>1152</v>
      </c>
      <c r="AA241" s="74">
        <v>46213.0</v>
      </c>
      <c r="AB241" s="56"/>
      <c r="AC241" s="38" t="s">
        <v>1153</v>
      </c>
      <c r="AD241" s="39">
        <v>31001.6</v>
      </c>
      <c r="AE241" s="39">
        <v>10850.56</v>
      </c>
      <c r="AF241" s="40">
        <v>20151.04</v>
      </c>
      <c r="AG241" s="57" t="s">
        <v>1763</v>
      </c>
      <c r="AH241" s="42" t="s">
        <v>1155</v>
      </c>
      <c r="AI241" s="42" t="str">
        <f>IFERROR(__xludf.DUMMYFUNCTION("vLOOKUP(A241,IMPORTRANGE(""https://docs.google.com/spreadsheets/d/1Rawwwdh8wntXGy8isdYNHxsNQS4n_rC8JSdPfj6vEq4"",""'500 объектов перенос на 2026'!A3:AB502""),13,0)"),"#REF!")</f>
        <v>#REF!</v>
      </c>
      <c r="AJ241" s="42" t="str">
        <f>IFERROR(__xludf.DUMMYFUNCTION("vLOOKUP(A241,IMPORTRANGE(""https://docs.google.com/spreadsheets/d/1Rawwwdh8wntXGy8isdYNHxsNQS4n_rC8JSdPfj6vEq4"",""'500 объектов перенос на 2026'!A3:AB502""),14,0)"),"#REF!")</f>
        <v>#REF!</v>
      </c>
      <c r="AK241" s="76" t="s">
        <v>1764</v>
      </c>
      <c r="AL241" s="70"/>
      <c r="AM241" s="70"/>
      <c r="AN241" s="43"/>
      <c r="AO241" s="43"/>
      <c r="AP241" s="43"/>
      <c r="AQ241" s="43"/>
      <c r="AR241" s="43"/>
      <c r="AS241" s="43"/>
      <c r="AT241" s="43"/>
      <c r="AU241" s="43"/>
      <c r="AV241" s="43"/>
      <c r="AW241" s="43"/>
      <c r="AX241" s="43"/>
      <c r="AY241" s="43"/>
      <c r="AZ241" s="43"/>
    </row>
    <row r="242">
      <c r="A242" s="62" t="s">
        <v>1765</v>
      </c>
      <c r="B242" s="63" t="s">
        <v>268</v>
      </c>
      <c r="C242" s="64" t="s">
        <v>1766</v>
      </c>
      <c r="D242" s="47" t="s">
        <v>535</v>
      </c>
      <c r="E242" s="64" t="s">
        <v>85</v>
      </c>
      <c r="F242" s="31" t="s">
        <v>60</v>
      </c>
      <c r="G242" s="31"/>
      <c r="H242" s="31"/>
      <c r="I242" s="31" t="s">
        <v>60</v>
      </c>
      <c r="J242" s="31"/>
      <c r="K242" s="31"/>
      <c r="L242" s="32">
        <f>IFERROR(__xludf.DUMMYFUNCTION("VLOOKUP($A242,IMPORTRANGE(""1PQtfbQLqBUP-rjYRznmgNFBLOjvAnhGzpIx7BJWq8rk"",""'Worksheet'!$B$2:$H""),7,FALSE)"),1.0)</f>
        <v>1</v>
      </c>
      <c r="M242" s="31" t="s">
        <v>40</v>
      </c>
      <c r="N242" s="49">
        <v>2.706365E7</v>
      </c>
      <c r="O242" s="49">
        <v>6933948.0</v>
      </c>
      <c r="P242" s="49">
        <f t="shared" si="37"/>
        <v>20129702</v>
      </c>
      <c r="Q242" s="34">
        <f t="shared" si="7"/>
        <v>0.7437910999</v>
      </c>
      <c r="R242" s="31"/>
      <c r="S242" s="31" t="s">
        <v>60</v>
      </c>
      <c r="T242" s="145" t="s">
        <v>1767</v>
      </c>
      <c r="U242" s="84" t="s">
        <v>1767</v>
      </c>
      <c r="V242" s="84">
        <v>0.0</v>
      </c>
      <c r="W242" s="31"/>
      <c r="X242" s="52" t="s">
        <v>1768</v>
      </c>
      <c r="Y242" s="160" t="s">
        <v>1769</v>
      </c>
      <c r="Z242" s="54" t="s">
        <v>347</v>
      </c>
      <c r="AA242" s="74">
        <v>46208.0</v>
      </c>
      <c r="AB242" s="56"/>
      <c r="AC242" s="38"/>
      <c r="AD242" s="39">
        <v>23113.16</v>
      </c>
      <c r="AE242" s="39">
        <v>6933.948</v>
      </c>
      <c r="AF242" s="40">
        <v>16179.212</v>
      </c>
      <c r="AG242" s="57" t="s">
        <v>1770</v>
      </c>
      <c r="AH242" s="85" t="s">
        <v>1771</v>
      </c>
      <c r="AI242" s="42" t="str">
        <f>IFERROR(__xludf.DUMMYFUNCTION("vLOOKUP(A242,IMPORTRANGE(""https://docs.google.com/spreadsheets/d/1Rawwwdh8wntXGy8isdYNHxsNQS4n_rC8JSdPfj6vEq4"",""'500 объектов перенос на 2026'!A3:AB502""),13,0)"),"#REF!")</f>
        <v>#REF!</v>
      </c>
      <c r="AJ242" s="42" t="str">
        <f>IFERROR(__xludf.DUMMYFUNCTION("vLOOKUP(A242,IMPORTRANGE(""https://docs.google.com/spreadsheets/d/1Rawwwdh8wntXGy8isdYNHxsNQS4n_rC8JSdPfj6vEq4"",""'500 объектов перенос на 2026'!A3:AB502""),14,0)"),"#REF!")</f>
        <v>#REF!</v>
      </c>
      <c r="AK242" s="138" t="s">
        <v>1772</v>
      </c>
      <c r="AL242" s="94"/>
      <c r="AM242" s="94"/>
      <c r="AN242" s="43"/>
      <c r="AO242" s="43"/>
      <c r="AP242" s="43"/>
      <c r="AQ242" s="43"/>
      <c r="AR242" s="43"/>
      <c r="AS242" s="43"/>
      <c r="AT242" s="43"/>
      <c r="AU242" s="43"/>
      <c r="AV242" s="43"/>
      <c r="AW242" s="43"/>
      <c r="AX242" s="43"/>
      <c r="AY242" s="43"/>
      <c r="AZ242" s="43"/>
    </row>
    <row r="243">
      <c r="A243" s="114" t="s">
        <v>1773</v>
      </c>
      <c r="B243" s="63" t="s">
        <v>736</v>
      </c>
      <c r="C243" s="64" t="s">
        <v>1774</v>
      </c>
      <c r="D243" s="47" t="s">
        <v>1523</v>
      </c>
      <c r="E243" s="64" t="s">
        <v>85</v>
      </c>
      <c r="F243" s="31" t="s">
        <v>60</v>
      </c>
      <c r="G243" s="31"/>
      <c r="H243" s="31"/>
      <c r="I243" s="31" t="s">
        <v>60</v>
      </c>
      <c r="J243" s="31"/>
      <c r="K243" s="31"/>
      <c r="L243" s="32">
        <f>IFERROR(__xludf.DUMMYFUNCTION("VLOOKUP($A243,IMPORTRANGE(""1PQtfbQLqBUP-rjYRznmgNFBLOjvAnhGzpIx7BJWq8rk"",""'Worksheet'!$B$2:$H""),7,FALSE)"),1.0)</f>
        <v>1</v>
      </c>
      <c r="M243" s="31" t="s">
        <v>45</v>
      </c>
      <c r="N243" s="49">
        <v>1.9017408329E8</v>
      </c>
      <c r="O243" s="49">
        <v>1.7064686455E8</v>
      </c>
      <c r="P243" s="49">
        <f t="shared" si="37"/>
        <v>19527218.74</v>
      </c>
      <c r="Q243" s="34">
        <f t="shared" si="7"/>
        <v>0.1026807565</v>
      </c>
      <c r="R243" s="31"/>
      <c r="S243" s="31" t="s">
        <v>45</v>
      </c>
      <c r="T243" s="84" t="s">
        <v>1775</v>
      </c>
      <c r="U243" s="84" t="s">
        <v>1776</v>
      </c>
      <c r="V243" s="84" t="s">
        <v>1777</v>
      </c>
      <c r="W243" s="31" t="s">
        <v>148</v>
      </c>
      <c r="X243" s="52" t="s">
        <v>1778</v>
      </c>
      <c r="Y243" s="54" t="s">
        <v>1779</v>
      </c>
      <c r="Z243" s="54" t="s">
        <v>774</v>
      </c>
      <c r="AA243" s="74">
        <v>46201.0</v>
      </c>
      <c r="AB243" s="56"/>
      <c r="AC243" s="38"/>
      <c r="AD243" s="39">
        <v>241958.13</v>
      </c>
      <c r="AE243" s="39">
        <v>120979.0649</v>
      </c>
      <c r="AF243" s="40">
        <v>120979.0651</v>
      </c>
      <c r="AG243" s="99" t="s">
        <v>1780</v>
      </c>
      <c r="AH243" s="42" t="s">
        <v>1262</v>
      </c>
      <c r="AI243" s="42" t="str">
        <f>IFERROR(__xludf.DUMMYFUNCTION("vLOOKUP(A243,IMPORTRANGE(""https://docs.google.com/spreadsheets/d/1Rawwwdh8wntXGy8isdYNHxsNQS4n_rC8JSdPfj6vEq4"",""'500 объектов перенос на 2026'!A3:AB502""),13,0)"),"#REF!")</f>
        <v>#REF!</v>
      </c>
      <c r="AJ243" s="42" t="str">
        <f>IFERROR(__xludf.DUMMYFUNCTION("vLOOKUP(A243,IMPORTRANGE(""https://docs.google.com/spreadsheets/d/1Rawwwdh8wntXGy8isdYNHxsNQS4n_rC8JSdPfj6vEq4"",""'500 объектов перенос на 2026'!A3:AB502""),14,0)"),"#REF!")</f>
        <v>#REF!</v>
      </c>
      <c r="AK243" s="76" t="s">
        <v>746</v>
      </c>
      <c r="AL243" s="70"/>
      <c r="AM243" s="70"/>
      <c r="AN243" s="43"/>
      <c r="AO243" s="43"/>
      <c r="AP243" s="43"/>
      <c r="AQ243" s="43"/>
      <c r="AR243" s="43"/>
      <c r="AS243" s="43"/>
      <c r="AT243" s="43"/>
      <c r="AU243" s="43"/>
      <c r="AV243" s="43"/>
      <c r="AW243" s="43"/>
      <c r="AX243" s="43"/>
      <c r="AY243" s="43"/>
      <c r="AZ243" s="43"/>
    </row>
    <row r="244">
      <c r="A244" s="78" t="s">
        <v>1781</v>
      </c>
      <c r="B244" s="63" t="s">
        <v>142</v>
      </c>
      <c r="C244" s="64" t="s">
        <v>1782</v>
      </c>
      <c r="D244" s="47" t="s">
        <v>144</v>
      </c>
      <c r="E244" s="64" t="s">
        <v>324</v>
      </c>
      <c r="F244" s="31" t="s">
        <v>60</v>
      </c>
      <c r="G244" s="31"/>
      <c r="H244" s="31"/>
      <c r="I244" s="31" t="s">
        <v>60</v>
      </c>
      <c r="J244" s="31"/>
      <c r="K244" s="31"/>
      <c r="L244" s="32" t="str">
        <f>IFERROR(__xludf.DUMMYFUNCTION("VLOOKUP($A244,IMPORTRANGE(""1PQtfbQLqBUP-rjYRznmgNFBLOjvAnhGzpIx7BJWq8rk"",""'Worksheet'!$B$2:$H""),7,FALSE)"),"#N/A")</f>
        <v>#N/A</v>
      </c>
      <c r="M244" s="31" t="s">
        <v>60</v>
      </c>
      <c r="N244" s="49">
        <v>7.273194E7</v>
      </c>
      <c r="O244" s="49">
        <v>7.078970163E7</v>
      </c>
      <c r="P244" s="49">
        <v>0.0</v>
      </c>
      <c r="Q244" s="34">
        <f t="shared" si="7"/>
        <v>0.02670406385</v>
      </c>
      <c r="R244" s="31"/>
      <c r="S244" s="31" t="s">
        <v>60</v>
      </c>
      <c r="T244" s="88" t="s">
        <v>1783</v>
      </c>
      <c r="U244" s="88">
        <v>6.725021655E7</v>
      </c>
      <c r="V244" s="88" t="s">
        <v>1784</v>
      </c>
      <c r="W244" s="31"/>
      <c r="X244" s="52" t="s">
        <v>113</v>
      </c>
      <c r="Y244" s="54"/>
      <c r="Z244" s="54"/>
      <c r="AA244" s="54" t="s">
        <v>114</v>
      </c>
      <c r="AB244" s="38" t="s">
        <v>115</v>
      </c>
      <c r="AC244" s="38"/>
      <c r="AD244" s="39">
        <v>72731.94</v>
      </c>
      <c r="AE244" s="39">
        <v>70789.70163</v>
      </c>
      <c r="AF244" s="39">
        <v>1942.23837</v>
      </c>
      <c r="AG244" s="57" t="s">
        <v>1785</v>
      </c>
      <c r="AH244" s="42" t="s">
        <v>362</v>
      </c>
      <c r="AI244" s="42" t="str">
        <f>IFERROR(__xludf.DUMMYFUNCTION("vLOOKUP(A244,IMPORTRANGE(""https://docs.google.com/spreadsheets/d/1Rawwwdh8wntXGy8isdYNHxsNQS4n_rC8JSdPfj6vEq4"",""'500 объектов перенос на 2026'!A3:AB502""),13,0)"),"#REF!")</f>
        <v>#REF!</v>
      </c>
      <c r="AJ244" s="42" t="str">
        <f>IFERROR(__xludf.DUMMYFUNCTION("vLOOKUP(A244,IMPORTRANGE(""https://docs.google.com/spreadsheets/d/1Rawwwdh8wntXGy8isdYNHxsNQS4n_rC8JSdPfj6vEq4"",""'500 объектов перенос на 2026'!A3:AB502""),14,0)"),"#REF!")</f>
        <v>#REF!</v>
      </c>
      <c r="AK244" s="76" t="s">
        <v>114</v>
      </c>
      <c r="AL244" s="70"/>
      <c r="AM244" s="70"/>
      <c r="AN244" s="43"/>
      <c r="AO244" s="43"/>
      <c r="AP244" s="43"/>
      <c r="AQ244" s="43"/>
      <c r="AR244" s="43"/>
      <c r="AS244" s="43"/>
      <c r="AT244" s="43"/>
      <c r="AU244" s="43"/>
      <c r="AV244" s="43"/>
      <c r="AW244" s="43"/>
      <c r="AX244" s="43"/>
      <c r="AY244" s="43"/>
      <c r="AZ244" s="43"/>
    </row>
    <row r="245">
      <c r="A245" s="78" t="s">
        <v>1786</v>
      </c>
      <c r="B245" s="63" t="s">
        <v>142</v>
      </c>
      <c r="C245" s="64" t="s">
        <v>1787</v>
      </c>
      <c r="D245" s="47" t="s">
        <v>144</v>
      </c>
      <c r="E245" s="64" t="s">
        <v>39</v>
      </c>
      <c r="F245" s="31" t="s">
        <v>60</v>
      </c>
      <c r="G245" s="31"/>
      <c r="H245" s="31"/>
      <c r="I245" s="31" t="s">
        <v>60</v>
      </c>
      <c r="J245" s="31"/>
      <c r="K245" s="31"/>
      <c r="L245" s="32" t="str">
        <f>IFERROR(__xludf.DUMMYFUNCTION("VLOOKUP($A245,IMPORTRANGE(""1PQtfbQLqBUP-rjYRznmgNFBLOjvAnhGzpIx7BJWq8rk"",""'Worksheet'!$B$2:$H""),7,FALSE)"),"#N/A")</f>
        <v>#N/A</v>
      </c>
      <c r="M245" s="31" t="s">
        <v>60</v>
      </c>
      <c r="N245" s="49">
        <v>7.624629528E7</v>
      </c>
      <c r="O245" s="49">
        <v>7.598014352E7</v>
      </c>
      <c r="P245" s="49">
        <v>0.0</v>
      </c>
      <c r="Q245" s="34">
        <f t="shared" si="7"/>
        <v>0.003490684485</v>
      </c>
      <c r="R245" s="31"/>
      <c r="S245" s="31" t="s">
        <v>60</v>
      </c>
      <c r="T245" s="88" t="s">
        <v>1788</v>
      </c>
      <c r="U245" s="88">
        <v>7.218113634E7</v>
      </c>
      <c r="V245" s="88" t="s">
        <v>1789</v>
      </c>
      <c r="W245" s="31"/>
      <c r="X245" s="52" t="s">
        <v>113</v>
      </c>
      <c r="Y245" s="54"/>
      <c r="Z245" s="54"/>
      <c r="AA245" s="54" t="s">
        <v>114</v>
      </c>
      <c r="AB245" s="38" t="s">
        <v>115</v>
      </c>
      <c r="AC245" s="38"/>
      <c r="AD245" s="39">
        <v>30204.26</v>
      </c>
      <c r="AE245" s="39">
        <v>80079.98587</v>
      </c>
      <c r="AF245" s="39">
        <v>-49875.72587</v>
      </c>
      <c r="AG245" s="57"/>
      <c r="AH245" s="42" t="s">
        <v>362</v>
      </c>
      <c r="AI245" s="42" t="str">
        <f>IFERROR(__xludf.DUMMYFUNCTION("vLOOKUP(A245,IMPORTRANGE(""https://docs.google.com/spreadsheets/d/1Rawwwdh8wntXGy8isdYNHxsNQS4n_rC8JSdPfj6vEq4"",""'500 объектов перенос на 2026'!A3:AB502""),13,0)"),"#REF!")</f>
        <v>#REF!</v>
      </c>
      <c r="AJ245" s="42" t="str">
        <f>IFERROR(__xludf.DUMMYFUNCTION("vLOOKUP(A245,IMPORTRANGE(""https://docs.google.com/spreadsheets/d/1Rawwwdh8wntXGy8isdYNHxsNQS4n_rC8JSdPfj6vEq4"",""'500 объектов перенос на 2026'!A3:AB502""),14,0)"),"#REF!")</f>
        <v>#REF!</v>
      </c>
      <c r="AK245" s="76" t="s">
        <v>114</v>
      </c>
      <c r="AL245" s="70"/>
      <c r="AM245" s="70"/>
      <c r="AN245" s="43"/>
      <c r="AO245" s="43"/>
      <c r="AP245" s="43"/>
      <c r="AQ245" s="43"/>
      <c r="AR245" s="43"/>
      <c r="AS245" s="43"/>
      <c r="AT245" s="43"/>
      <c r="AU245" s="43"/>
      <c r="AV245" s="43"/>
      <c r="AW245" s="43"/>
      <c r="AX245" s="43"/>
      <c r="AY245" s="43"/>
      <c r="AZ245" s="43"/>
    </row>
    <row r="246">
      <c r="A246" s="62" t="s">
        <v>1790</v>
      </c>
      <c r="B246" s="63" t="s">
        <v>82</v>
      </c>
      <c r="C246" s="90" t="s">
        <v>1791</v>
      </c>
      <c r="D246" s="47" t="s">
        <v>323</v>
      </c>
      <c r="E246" s="90" t="s">
        <v>85</v>
      </c>
      <c r="F246" s="31" t="s">
        <v>60</v>
      </c>
      <c r="G246" s="31"/>
      <c r="H246" s="31"/>
      <c r="I246" s="31" t="s">
        <v>40</v>
      </c>
      <c r="J246" s="31" t="s">
        <v>61</v>
      </c>
      <c r="K246" s="31" t="s">
        <v>72</v>
      </c>
      <c r="L246" s="32">
        <f>IFERROR(__xludf.DUMMYFUNCTION("VLOOKUP($A246,IMPORTRANGE(""1PQtfbQLqBUP-rjYRznmgNFBLOjvAnhGzpIx7BJWq8rk"",""'Worksheet'!$B$2:$H""),7,FALSE)"),0.3)</f>
        <v>0.3</v>
      </c>
      <c r="M246" s="31" t="s">
        <v>45</v>
      </c>
      <c r="N246" s="49">
        <v>4.0848E7</v>
      </c>
      <c r="O246" s="49">
        <v>2.243267998E7</v>
      </c>
      <c r="P246" s="49">
        <f>N246-O246</f>
        <v>18415320.02</v>
      </c>
      <c r="Q246" s="34">
        <f t="shared" si="7"/>
        <v>0.4508254999</v>
      </c>
      <c r="R246" s="31"/>
      <c r="S246" s="31" t="s">
        <v>40</v>
      </c>
      <c r="T246" s="84" t="s">
        <v>1792</v>
      </c>
      <c r="U246" s="84">
        <v>0.0</v>
      </c>
      <c r="V246" s="84" t="s">
        <v>1792</v>
      </c>
      <c r="W246" s="31"/>
      <c r="X246" s="52" t="s">
        <v>1659</v>
      </c>
      <c r="Y246" s="54" t="s">
        <v>1660</v>
      </c>
      <c r="Z246" s="54" t="s">
        <v>1152</v>
      </c>
      <c r="AA246" s="74">
        <v>46265.0</v>
      </c>
      <c r="AB246" s="56"/>
      <c r="AC246" s="38" t="s">
        <v>789</v>
      </c>
      <c r="AD246" s="39">
        <v>40848.0</v>
      </c>
      <c r="AE246" s="39">
        <v>22432.68</v>
      </c>
      <c r="AF246" s="40">
        <v>18415.32</v>
      </c>
      <c r="AG246" s="57" t="s">
        <v>1793</v>
      </c>
      <c r="AH246" s="42" t="s">
        <v>1662</v>
      </c>
      <c r="AI246" s="42" t="str">
        <f>IFERROR(__xludf.DUMMYFUNCTION("vLOOKUP(A246,IMPORTRANGE(""https://docs.google.com/spreadsheets/d/1Rawwwdh8wntXGy8isdYNHxsNQS4n_rC8JSdPfj6vEq4"",""'500 объектов перенос на 2026'!A3:AB502""),13,0)"),"#REF!")</f>
        <v>#REF!</v>
      </c>
      <c r="AJ246" s="42" t="str">
        <f>IFERROR(__xludf.DUMMYFUNCTION("vLOOKUP(A246,IMPORTRANGE(""https://docs.google.com/spreadsheets/d/1Rawwwdh8wntXGy8isdYNHxsNQS4n_rC8JSdPfj6vEq4"",""'500 объектов перенос на 2026'!A3:AB502""),14,0)"),"#REF!")</f>
        <v>#REF!</v>
      </c>
      <c r="AK246" s="77" t="s">
        <v>1663</v>
      </c>
      <c r="AL246" s="94" t="s">
        <v>1794</v>
      </c>
      <c r="AM246" s="94"/>
      <c r="AN246" s="43"/>
      <c r="AO246" s="43"/>
      <c r="AP246" s="43"/>
      <c r="AQ246" s="43"/>
      <c r="AR246" s="43"/>
      <c r="AS246" s="43"/>
      <c r="AT246" s="43"/>
      <c r="AU246" s="43"/>
      <c r="AV246" s="43"/>
      <c r="AW246" s="43"/>
      <c r="AX246" s="43"/>
      <c r="AY246" s="43"/>
      <c r="AZ246" s="43"/>
    </row>
    <row r="247">
      <c r="A247" s="78" t="s">
        <v>1795</v>
      </c>
      <c r="B247" s="63" t="s">
        <v>142</v>
      </c>
      <c r="C247" s="104" t="s">
        <v>1796</v>
      </c>
      <c r="D247" s="47" t="s">
        <v>144</v>
      </c>
      <c r="E247" s="64" t="s">
        <v>39</v>
      </c>
      <c r="F247" s="31" t="s">
        <v>60</v>
      </c>
      <c r="G247" s="31"/>
      <c r="H247" s="31"/>
      <c r="I247" s="31" t="s">
        <v>60</v>
      </c>
      <c r="J247" s="31"/>
      <c r="K247" s="31"/>
      <c r="L247" s="32" t="str">
        <f>IFERROR(__xludf.DUMMYFUNCTION("VLOOKUP($A247,IMPORTRANGE(""1PQtfbQLqBUP-rjYRznmgNFBLOjvAnhGzpIx7BJWq8rk"",""'Worksheet'!$B$2:$H""),7,FALSE)"),"#N/A")</f>
        <v>#N/A</v>
      </c>
      <c r="M247" s="31" t="s">
        <v>60</v>
      </c>
      <c r="N247" s="49">
        <v>1.0558687054E8</v>
      </c>
      <c r="O247" s="49">
        <v>1.0438084118E8</v>
      </c>
      <c r="P247" s="49">
        <v>0.0</v>
      </c>
      <c r="Q247" s="34">
        <f t="shared" si="7"/>
        <v>0.01142215271</v>
      </c>
      <c r="R247" s="31"/>
      <c r="S247" s="31" t="s">
        <v>60</v>
      </c>
      <c r="T247" s="88" t="s">
        <v>1797</v>
      </c>
      <c r="U247" s="88">
        <v>9.916179912E7</v>
      </c>
      <c r="V247" s="88" t="s">
        <v>1798</v>
      </c>
      <c r="W247" s="31"/>
      <c r="X247" s="52" t="s">
        <v>113</v>
      </c>
      <c r="Y247" s="54"/>
      <c r="Z247" s="54"/>
      <c r="AA247" s="54" t="s">
        <v>114</v>
      </c>
      <c r="AB247" s="38" t="s">
        <v>115</v>
      </c>
      <c r="AC247" s="38"/>
      <c r="AD247" s="39">
        <v>105586.0</v>
      </c>
      <c r="AE247" s="39">
        <v>104380.8412</v>
      </c>
      <c r="AF247" s="39">
        <v>1205.15882</v>
      </c>
      <c r="AG247" s="57" t="s">
        <v>1799</v>
      </c>
      <c r="AH247" s="42" t="s">
        <v>362</v>
      </c>
      <c r="AI247" s="42" t="str">
        <f>IFERROR(__xludf.DUMMYFUNCTION("vLOOKUP(A247,IMPORTRANGE(""https://docs.google.com/spreadsheets/d/1Rawwwdh8wntXGy8isdYNHxsNQS4n_rC8JSdPfj6vEq4"",""'500 объектов перенос на 2026'!A3:AB502""),13,0)"),"#REF!")</f>
        <v>#REF!</v>
      </c>
      <c r="AJ247" s="42" t="str">
        <f>IFERROR(__xludf.DUMMYFUNCTION("vLOOKUP(A247,IMPORTRANGE(""https://docs.google.com/spreadsheets/d/1Rawwwdh8wntXGy8isdYNHxsNQS4n_rC8JSdPfj6vEq4"",""'500 объектов перенос на 2026'!A3:AB502""),14,0)"),"#REF!")</f>
        <v>#REF!</v>
      </c>
      <c r="AK247" s="76" t="s">
        <v>114</v>
      </c>
      <c r="AL247" s="70"/>
      <c r="AM247" s="70"/>
      <c r="AN247" s="43"/>
      <c r="AO247" s="43"/>
      <c r="AP247" s="43"/>
      <c r="AQ247" s="43"/>
      <c r="AR247" s="43"/>
      <c r="AS247" s="43"/>
      <c r="AT247" s="43"/>
      <c r="AU247" s="43"/>
      <c r="AV247" s="43"/>
      <c r="AW247" s="43"/>
      <c r="AX247" s="43"/>
      <c r="AY247" s="43"/>
      <c r="AZ247" s="43"/>
    </row>
    <row r="248">
      <c r="A248" s="62" t="s">
        <v>1800</v>
      </c>
      <c r="B248" s="63" t="s">
        <v>142</v>
      </c>
      <c r="C248" s="104" t="s">
        <v>1801</v>
      </c>
      <c r="D248" s="47" t="s">
        <v>144</v>
      </c>
      <c r="E248" s="64" t="s">
        <v>39</v>
      </c>
      <c r="F248" s="31" t="s">
        <v>60</v>
      </c>
      <c r="G248" s="31"/>
      <c r="H248" s="31"/>
      <c r="I248" s="31" t="s">
        <v>60</v>
      </c>
      <c r="J248" s="31"/>
      <c r="K248" s="31"/>
      <c r="L248" s="32">
        <f>IFERROR(__xludf.DUMMYFUNCTION("VLOOKUP($A248,IMPORTRANGE(""1PQtfbQLqBUP-rjYRznmgNFBLOjvAnhGzpIx7BJWq8rk"",""'Worksheet'!$B$2:$H""),7,FALSE)"),1.0)</f>
        <v>1</v>
      </c>
      <c r="M248" s="31" t="s">
        <v>60</v>
      </c>
      <c r="N248" s="49">
        <v>3.307806428E7</v>
      </c>
      <c r="O248" s="49">
        <v>3.247532081E7</v>
      </c>
      <c r="P248" s="49">
        <v>0.0</v>
      </c>
      <c r="Q248" s="34">
        <f t="shared" si="7"/>
        <v>0.01822184832</v>
      </c>
      <c r="R248" s="31"/>
      <c r="S248" s="31" t="s">
        <v>60</v>
      </c>
      <c r="T248" s="88" t="s">
        <v>1802</v>
      </c>
      <c r="U248" s="88" t="s">
        <v>1803</v>
      </c>
      <c r="V248" s="88" t="s">
        <v>1804</v>
      </c>
      <c r="W248" s="31"/>
      <c r="X248" s="52" t="s">
        <v>113</v>
      </c>
      <c r="Y248" s="54"/>
      <c r="Z248" s="74"/>
      <c r="AA248" s="54" t="s">
        <v>114</v>
      </c>
      <c r="AB248" s="56"/>
      <c r="AC248" s="38"/>
      <c r="AD248" s="39">
        <v>33078.06</v>
      </c>
      <c r="AE248" s="39">
        <v>32475.3284</v>
      </c>
      <c r="AF248" s="40">
        <v>602.7316</v>
      </c>
      <c r="AG248" s="57" t="s">
        <v>1805</v>
      </c>
      <c r="AH248" s="85" t="s">
        <v>1806</v>
      </c>
      <c r="AI248" s="42" t="str">
        <f>IFERROR(__xludf.DUMMYFUNCTION("vLOOKUP(A248,IMPORTRANGE(""https://docs.google.com/spreadsheets/d/1Rawwwdh8wntXGy8isdYNHxsNQS4n_rC8JSdPfj6vEq4"",""'500 объектов перенос на 2026'!A3:AB502""),13,0)"),"#REF!")</f>
        <v>#REF!</v>
      </c>
      <c r="AJ248" s="42" t="str">
        <f>IFERROR(__xludf.DUMMYFUNCTION("vLOOKUP(A248,IMPORTRANGE(""https://docs.google.com/spreadsheets/d/1Rawwwdh8wntXGy8isdYNHxsNQS4n_rC8JSdPfj6vEq4"",""'500 объектов перенос на 2026'!A3:AB502""),14,0)"),"#REF!")</f>
        <v>#REF!</v>
      </c>
      <c r="AK248" s="76" t="s">
        <v>114</v>
      </c>
      <c r="AL248" s="70"/>
      <c r="AM248" s="70"/>
      <c r="AN248" s="43"/>
      <c r="AO248" s="43"/>
      <c r="AP248" s="43"/>
      <c r="AQ248" s="43"/>
      <c r="AR248" s="43"/>
      <c r="AS248" s="43"/>
      <c r="AT248" s="43"/>
      <c r="AU248" s="43"/>
      <c r="AV248" s="43"/>
      <c r="AW248" s="43"/>
      <c r="AX248" s="43"/>
      <c r="AY248" s="43"/>
      <c r="AZ248" s="43"/>
    </row>
    <row r="249">
      <c r="A249" s="62" t="s">
        <v>1807</v>
      </c>
      <c r="B249" s="63" t="s">
        <v>99</v>
      </c>
      <c r="C249" s="144" t="s">
        <v>1808</v>
      </c>
      <c r="D249" s="47" t="s">
        <v>1523</v>
      </c>
      <c r="E249" s="64" t="s">
        <v>85</v>
      </c>
      <c r="F249" s="31" t="s">
        <v>60</v>
      </c>
      <c r="G249" s="31"/>
      <c r="H249" s="31"/>
      <c r="I249" s="31" t="s">
        <v>60</v>
      </c>
      <c r="J249" s="31"/>
      <c r="K249" s="31"/>
      <c r="L249" s="32">
        <f>IFERROR(__xludf.DUMMYFUNCTION("VLOOKUP($A249,IMPORTRANGE(""1PQtfbQLqBUP-rjYRznmgNFBLOjvAnhGzpIx7BJWq8rk"",""'Worksheet'!$B$2:$H""),7,FALSE)"),1.0)</f>
        <v>1</v>
      </c>
      <c r="M249" s="31" t="s">
        <v>60</v>
      </c>
      <c r="N249" s="49">
        <v>3.036880046E7</v>
      </c>
      <c r="O249" s="49">
        <v>2.626323464E7</v>
      </c>
      <c r="P249" s="49">
        <f t="shared" ref="P249:P253" si="38">N249-O249</f>
        <v>4105565.82</v>
      </c>
      <c r="Q249" s="34">
        <f t="shared" si="7"/>
        <v>0.1351902531</v>
      </c>
      <c r="R249" s="31" t="s">
        <v>1761</v>
      </c>
      <c r="S249" s="31" t="s">
        <v>60</v>
      </c>
      <c r="T249" s="145">
        <f>N249*0.95</f>
        <v>28850360.44</v>
      </c>
      <c r="U249" s="84">
        <v>0.0</v>
      </c>
      <c r="V249" s="145">
        <v>2.8850360437E7</v>
      </c>
      <c r="W249" s="31"/>
      <c r="X249" s="52" t="s">
        <v>1150</v>
      </c>
      <c r="Y249" s="54" t="s">
        <v>1809</v>
      </c>
      <c r="Z249" s="54" t="s">
        <v>1152</v>
      </c>
      <c r="AA249" s="74">
        <v>46213.0</v>
      </c>
      <c r="AB249" s="56"/>
      <c r="AC249" s="38" t="s">
        <v>1153</v>
      </c>
      <c r="AD249" s="39">
        <v>30368.8</v>
      </c>
      <c r="AE249" s="39">
        <v>12206.88</v>
      </c>
      <c r="AF249" s="40">
        <v>18161.92</v>
      </c>
      <c r="AG249" s="57" t="s">
        <v>1810</v>
      </c>
      <c r="AH249" s="42" t="s">
        <v>1155</v>
      </c>
      <c r="AI249" s="42" t="str">
        <f>IFERROR(__xludf.DUMMYFUNCTION("vLOOKUP(A249,IMPORTRANGE(""https://docs.google.com/spreadsheets/d/1Rawwwdh8wntXGy8isdYNHxsNQS4n_rC8JSdPfj6vEq4"",""'500 объектов перенос на 2026'!A3:AB502""),13,0)"),"#REF!")</f>
        <v>#REF!</v>
      </c>
      <c r="AJ249" s="42" t="str">
        <f>IFERROR(__xludf.DUMMYFUNCTION("vLOOKUP(A249,IMPORTRANGE(""https://docs.google.com/spreadsheets/d/1Rawwwdh8wntXGy8isdYNHxsNQS4n_rC8JSdPfj6vEq4"",""'500 объектов перенос на 2026'!A3:AB502""),14,0)"),"#REF!")</f>
        <v>#REF!</v>
      </c>
      <c r="AK249" s="76" t="s">
        <v>1811</v>
      </c>
      <c r="AL249" s="70"/>
      <c r="AM249" s="70"/>
      <c r="AN249" s="43"/>
      <c r="AO249" s="43"/>
      <c r="AP249" s="43"/>
      <c r="AQ249" s="43"/>
      <c r="AR249" s="43"/>
      <c r="AS249" s="43"/>
      <c r="AT249" s="43"/>
      <c r="AU249" s="43"/>
      <c r="AV249" s="43"/>
      <c r="AW249" s="43"/>
      <c r="AX249" s="43"/>
      <c r="AY249" s="43"/>
      <c r="AZ249" s="43"/>
    </row>
    <row r="250">
      <c r="A250" s="62" t="s">
        <v>1812</v>
      </c>
      <c r="B250" s="63" t="s">
        <v>894</v>
      </c>
      <c r="C250" s="64" t="s">
        <v>1813</v>
      </c>
      <c r="D250" s="47" t="s">
        <v>1331</v>
      </c>
      <c r="E250" s="64" t="s">
        <v>59</v>
      </c>
      <c r="F250" s="31" t="s">
        <v>60</v>
      </c>
      <c r="G250" s="31"/>
      <c r="H250" s="31"/>
      <c r="I250" s="31" t="s">
        <v>40</v>
      </c>
      <c r="J250" s="31" t="s">
        <v>102</v>
      </c>
      <c r="K250" s="31" t="s">
        <v>72</v>
      </c>
      <c r="L250" s="32">
        <f>IFERROR(__xludf.DUMMYFUNCTION("VLOOKUP($A250,IMPORTRANGE(""1PQtfbQLqBUP-rjYRznmgNFBLOjvAnhGzpIx7BJWq8rk"",""'Worksheet'!$B$2:$H""),7,FALSE)"),0.92)</f>
        <v>0.92</v>
      </c>
      <c r="M250" s="31" t="s">
        <v>45</v>
      </c>
      <c r="N250" s="49">
        <v>9.828519112E7</v>
      </c>
      <c r="O250" s="127">
        <v>8.043593458E7</v>
      </c>
      <c r="P250" s="49">
        <f t="shared" si="38"/>
        <v>17849256.54</v>
      </c>
      <c r="Q250" s="34">
        <f t="shared" si="7"/>
        <v>0.1816067745</v>
      </c>
      <c r="R250" s="31"/>
      <c r="S250" s="31" t="s">
        <v>45</v>
      </c>
      <c r="T250" s="84" t="s">
        <v>1814</v>
      </c>
      <c r="U250" s="84" t="s">
        <v>1815</v>
      </c>
      <c r="V250" s="84" t="s">
        <v>1816</v>
      </c>
      <c r="W250" s="31"/>
      <c r="X250" s="52" t="s">
        <v>326</v>
      </c>
      <c r="Y250" s="54" t="s">
        <v>1817</v>
      </c>
      <c r="Z250" s="74"/>
      <c r="AA250" s="74">
        <v>46255.0</v>
      </c>
      <c r="AB250" s="56"/>
      <c r="AC250" s="38" t="s">
        <v>899</v>
      </c>
      <c r="AD250" s="39">
        <v>98285.19</v>
      </c>
      <c r="AE250" s="39">
        <v>81552.22962</v>
      </c>
      <c r="AF250" s="40">
        <v>16732.96038</v>
      </c>
      <c r="AG250" s="99" t="s">
        <v>1818</v>
      </c>
      <c r="AH250" s="42" t="s">
        <v>1628</v>
      </c>
      <c r="AI250" s="42" t="str">
        <f>IFERROR(__xludf.DUMMYFUNCTION("vLOOKUP(A250,IMPORTRANGE(""https://docs.google.com/spreadsheets/d/1Rawwwdh8wntXGy8isdYNHxsNQS4n_rC8JSdPfj6vEq4"",""'500 объектов перенос на 2026'!A3:AB502""),13,0)"),"#REF!")</f>
        <v>#REF!</v>
      </c>
      <c r="AJ250" s="42" t="str">
        <f>IFERROR(__xludf.DUMMYFUNCTION("vLOOKUP(A250,IMPORTRANGE(""https://docs.google.com/spreadsheets/d/1Rawwwdh8wntXGy8isdYNHxsNQS4n_rC8JSdPfj6vEq4"",""'500 объектов перенос на 2026'!A3:AB502""),14,0)"),"#REF!")</f>
        <v>#REF!</v>
      </c>
      <c r="AK250" s="76" t="s">
        <v>1819</v>
      </c>
      <c r="AL250" s="70"/>
      <c r="AM250" s="70"/>
      <c r="AN250" s="43"/>
      <c r="AO250" s="43"/>
      <c r="AP250" s="43"/>
      <c r="AQ250" s="43"/>
      <c r="AR250" s="43"/>
      <c r="AS250" s="43"/>
      <c r="AT250" s="43"/>
      <c r="AU250" s="43"/>
      <c r="AV250" s="43"/>
      <c r="AW250" s="43"/>
      <c r="AX250" s="43"/>
      <c r="AY250" s="43"/>
      <c r="AZ250" s="43"/>
    </row>
    <row r="251">
      <c r="A251" s="62" t="s">
        <v>1820</v>
      </c>
      <c r="B251" s="63" t="s">
        <v>1274</v>
      </c>
      <c r="C251" s="64" t="s">
        <v>1821</v>
      </c>
      <c r="D251" s="47" t="s">
        <v>112</v>
      </c>
      <c r="E251" s="64" t="s">
        <v>85</v>
      </c>
      <c r="F251" s="31" t="s">
        <v>60</v>
      </c>
      <c r="G251" s="31"/>
      <c r="H251" s="31"/>
      <c r="I251" s="31" t="s">
        <v>40</v>
      </c>
      <c r="J251" s="31" t="s">
        <v>61</v>
      </c>
      <c r="K251" s="31" t="s">
        <v>72</v>
      </c>
      <c r="L251" s="32">
        <f>IFERROR(__xludf.DUMMYFUNCTION("VLOOKUP($A251,IMPORTRANGE(""1PQtfbQLqBUP-rjYRznmgNFBLOjvAnhGzpIx7BJWq8rk"",""'Worksheet'!$B$2:$H""),7,FALSE)"),0.95)</f>
        <v>0.95</v>
      </c>
      <c r="M251" s="31" t="s">
        <v>45</v>
      </c>
      <c r="N251" s="49">
        <v>3.555496E7</v>
      </c>
      <c r="O251" s="49">
        <v>1.777748E7</v>
      </c>
      <c r="P251" s="49">
        <f t="shared" si="38"/>
        <v>17777480</v>
      </c>
      <c r="Q251" s="34">
        <f t="shared" si="7"/>
        <v>0.5</v>
      </c>
      <c r="R251" s="31" t="s">
        <v>555</v>
      </c>
      <c r="S251" s="31" t="s">
        <v>40</v>
      </c>
      <c r="T251" s="84" t="s">
        <v>1822</v>
      </c>
      <c r="U251" s="145">
        <v>0.0</v>
      </c>
      <c r="V251" s="84" t="s">
        <v>1822</v>
      </c>
      <c r="W251" s="31"/>
      <c r="X251" s="52" t="s">
        <v>1453</v>
      </c>
      <c r="Y251" s="54" t="s">
        <v>1454</v>
      </c>
      <c r="Z251" s="54" t="s">
        <v>1455</v>
      </c>
      <c r="AA251" s="74">
        <v>46223.0</v>
      </c>
      <c r="AB251" s="56"/>
      <c r="AC251" s="38" t="s">
        <v>1349</v>
      </c>
      <c r="AD251" s="39">
        <v>35554.96</v>
      </c>
      <c r="AE251" s="39">
        <v>17777.48</v>
      </c>
      <c r="AF251" s="40">
        <v>17777.48</v>
      </c>
      <c r="AG251" s="99" t="s">
        <v>1823</v>
      </c>
      <c r="AH251" s="42"/>
      <c r="AI251" s="42" t="str">
        <f>IFERROR(__xludf.DUMMYFUNCTION("vLOOKUP(A251,IMPORTRANGE(""https://docs.google.com/spreadsheets/d/1Rawwwdh8wntXGy8isdYNHxsNQS4n_rC8JSdPfj6vEq4"",""'500 объектов перенос на 2026'!A3:AB502""),13,0)"),"#REF!")</f>
        <v>#REF!</v>
      </c>
      <c r="AJ251" s="42" t="str">
        <f>IFERROR(__xludf.DUMMYFUNCTION("vLOOKUP(A251,IMPORTRANGE(""https://docs.google.com/spreadsheets/d/1Rawwwdh8wntXGy8isdYNHxsNQS4n_rC8JSdPfj6vEq4"",""'500 объектов перенос на 2026'!A3:AB502""),14,0)"),"#REF!")</f>
        <v>#REF!</v>
      </c>
      <c r="AK251" s="75" t="s">
        <v>1824</v>
      </c>
      <c r="AL251" s="70" t="s">
        <v>1825</v>
      </c>
      <c r="AM251" s="70"/>
      <c r="AN251" s="70"/>
      <c r="AO251" s="96"/>
      <c r="AP251" s="96"/>
      <c r="AQ251" s="96"/>
      <c r="AR251" s="96"/>
      <c r="AS251" s="96"/>
      <c r="AT251" s="96"/>
      <c r="AU251" s="96"/>
      <c r="AV251" s="96"/>
      <c r="AW251" s="96"/>
      <c r="AX251" s="96"/>
      <c r="AY251" s="96"/>
      <c r="AZ251" s="96"/>
    </row>
    <row r="252">
      <c r="A252" s="62" t="s">
        <v>1826</v>
      </c>
      <c r="B252" s="63" t="s">
        <v>250</v>
      </c>
      <c r="C252" s="64" t="s">
        <v>1827</v>
      </c>
      <c r="D252" s="47" t="s">
        <v>1755</v>
      </c>
      <c r="E252" s="64" t="s">
        <v>85</v>
      </c>
      <c r="F252" s="31" t="s">
        <v>60</v>
      </c>
      <c r="G252" s="31"/>
      <c r="H252" s="31"/>
      <c r="I252" s="31" t="s">
        <v>60</v>
      </c>
      <c r="J252" s="31"/>
      <c r="K252" s="31"/>
      <c r="L252" s="32">
        <f>IFERROR(__xludf.DUMMYFUNCTION("VLOOKUP($A252,IMPORTRANGE(""1PQtfbQLqBUP-rjYRznmgNFBLOjvAnhGzpIx7BJWq8rk"",""'Worksheet'!$B$2:$H""),7,FALSE)"),0.96)</f>
        <v>0.96</v>
      </c>
      <c r="M252" s="31" t="s">
        <v>45</v>
      </c>
      <c r="N252" s="49">
        <v>3.549656E7</v>
      </c>
      <c r="O252" s="49">
        <v>1.774828E7</v>
      </c>
      <c r="P252" s="49">
        <f t="shared" si="38"/>
        <v>17748280</v>
      </c>
      <c r="Q252" s="34">
        <f t="shared" si="7"/>
        <v>0.5</v>
      </c>
      <c r="R252" s="31"/>
      <c r="S252" s="31" t="s">
        <v>45</v>
      </c>
      <c r="T252" s="88">
        <v>0.0</v>
      </c>
      <c r="U252" s="84" t="s">
        <v>1828</v>
      </c>
      <c r="V252" s="88">
        <v>3.374834164E7</v>
      </c>
      <c r="W252" s="31" t="s">
        <v>183</v>
      </c>
      <c r="X252" s="52" t="s">
        <v>1141</v>
      </c>
      <c r="Y252" s="54" t="s">
        <v>1829</v>
      </c>
      <c r="Z252" s="54" t="s">
        <v>75</v>
      </c>
      <c r="AA252" s="74">
        <v>46203.0</v>
      </c>
      <c r="AB252" s="56"/>
      <c r="AC252" s="38" t="s">
        <v>1143</v>
      </c>
      <c r="AD252" s="39">
        <v>35496.56</v>
      </c>
      <c r="AE252" s="39">
        <v>17748.28</v>
      </c>
      <c r="AF252" s="40">
        <v>17748.28</v>
      </c>
      <c r="AG252" s="57" t="s">
        <v>1830</v>
      </c>
      <c r="AH252" s="85" t="s">
        <v>789</v>
      </c>
      <c r="AI252" s="42" t="str">
        <f>IFERROR(__xludf.DUMMYFUNCTION("vLOOKUP(A252,IMPORTRANGE(""https://docs.google.com/spreadsheets/d/1Rawwwdh8wntXGy8isdYNHxsNQS4n_rC8JSdPfj6vEq4"",""'500 объектов перенос на 2026'!A3:AB502""),13,0)"),"#REF!")</f>
        <v>#REF!</v>
      </c>
      <c r="AJ252" s="42" t="str">
        <f>IFERROR(__xludf.DUMMYFUNCTION("vLOOKUP(A252,IMPORTRANGE(""https://docs.google.com/spreadsheets/d/1Rawwwdh8wntXGy8isdYNHxsNQS4n_rC8JSdPfj6vEq4"",""'500 объектов перенос на 2026'!A3:AB502""),14,0)"),"#REF!")</f>
        <v>#REF!</v>
      </c>
      <c r="AK252" s="76" t="s">
        <v>1831</v>
      </c>
      <c r="AL252" s="70"/>
      <c r="AM252" s="70"/>
      <c r="AN252" s="43"/>
      <c r="AO252" s="43"/>
      <c r="AP252" s="43"/>
      <c r="AQ252" s="43"/>
      <c r="AR252" s="43"/>
      <c r="AS252" s="43"/>
      <c r="AT252" s="43"/>
      <c r="AU252" s="43"/>
      <c r="AV252" s="43"/>
      <c r="AW252" s="43"/>
      <c r="AX252" s="43"/>
      <c r="AY252" s="43"/>
      <c r="AZ252" s="43"/>
    </row>
    <row r="253">
      <c r="A253" s="62" t="s">
        <v>1832</v>
      </c>
      <c r="B253" s="63" t="s">
        <v>250</v>
      </c>
      <c r="C253" s="64" t="s">
        <v>1833</v>
      </c>
      <c r="D253" s="47" t="s">
        <v>323</v>
      </c>
      <c r="E253" s="64" t="s">
        <v>324</v>
      </c>
      <c r="F253" s="31" t="s">
        <v>60</v>
      </c>
      <c r="G253" s="31"/>
      <c r="H253" s="31"/>
      <c r="I253" s="31" t="s">
        <v>40</v>
      </c>
      <c r="J253" s="31" t="s">
        <v>61</v>
      </c>
      <c r="K253" s="31" t="s">
        <v>72</v>
      </c>
      <c r="L253" s="32">
        <f>IFERROR(__xludf.DUMMYFUNCTION("VLOOKUP($A253,IMPORTRANGE(""1PQtfbQLqBUP-rjYRznmgNFBLOjvAnhGzpIx7BJWq8rk"",""'Worksheet'!$B$2:$H""),7,FALSE)"),0.95)</f>
        <v>0.95</v>
      </c>
      <c r="M253" s="31" t="s">
        <v>45</v>
      </c>
      <c r="N253" s="49">
        <v>1.09011597E8</v>
      </c>
      <c r="O253" s="49">
        <v>9.135280186E7</v>
      </c>
      <c r="P253" s="49">
        <f t="shared" si="38"/>
        <v>17658795.14</v>
      </c>
      <c r="Q253" s="34">
        <f t="shared" si="7"/>
        <v>0.16199006</v>
      </c>
      <c r="R253" s="31"/>
      <c r="S253" s="31" t="s">
        <v>45</v>
      </c>
      <c r="T253" s="84">
        <v>1.045694195E8</v>
      </c>
      <c r="U253" s="84">
        <v>7.894973963E7</v>
      </c>
      <c r="V253" s="84">
        <f>T253-U253</f>
        <v>25619679.87</v>
      </c>
      <c r="W253" s="31"/>
      <c r="X253" s="52" t="s">
        <v>1141</v>
      </c>
      <c r="Y253" s="54" t="s">
        <v>673</v>
      </c>
      <c r="Z253" s="54" t="s">
        <v>75</v>
      </c>
      <c r="AA253" s="74">
        <v>46203.0</v>
      </c>
      <c r="AB253" s="56"/>
      <c r="AC253" s="38" t="s">
        <v>1143</v>
      </c>
      <c r="AD253" s="39">
        <v>109011.62</v>
      </c>
      <c r="AE253" s="39">
        <v>91352.80186</v>
      </c>
      <c r="AF253" s="40">
        <v>17658.81814</v>
      </c>
      <c r="AG253" s="57" t="s">
        <v>1834</v>
      </c>
      <c r="AH253" s="42" t="s">
        <v>66</v>
      </c>
      <c r="AI253" s="42" t="str">
        <f>IFERROR(__xludf.DUMMYFUNCTION("vLOOKUP(A253,IMPORTRANGE(""https://docs.google.com/spreadsheets/d/1Rawwwdh8wntXGy8isdYNHxsNQS4n_rC8JSdPfj6vEq4"",""'500 объектов перенос на 2026'!A3:AB502""),13,0)"),"#REF!")</f>
        <v>#REF!</v>
      </c>
      <c r="AJ253" s="42" t="str">
        <f>IFERROR(__xludf.DUMMYFUNCTION("vLOOKUP(A253,IMPORTRANGE(""https://docs.google.com/spreadsheets/d/1Rawwwdh8wntXGy8isdYNHxsNQS4n_rC8JSdPfj6vEq4"",""'500 объектов перенос на 2026'!A3:AB502""),14,0)"),"#REF!")</f>
        <v>#REF!</v>
      </c>
      <c r="AK253" s="58" t="s">
        <v>1835</v>
      </c>
      <c r="AL253" s="94" t="s">
        <v>1836</v>
      </c>
      <c r="AM253" s="94"/>
      <c r="AN253" s="43"/>
      <c r="AO253" s="43"/>
      <c r="AP253" s="43"/>
      <c r="AQ253" s="43"/>
      <c r="AR253" s="43"/>
      <c r="AS253" s="43"/>
      <c r="AT253" s="43"/>
      <c r="AU253" s="43"/>
      <c r="AV253" s="43"/>
      <c r="AW253" s="43"/>
      <c r="AX253" s="43"/>
      <c r="AY253" s="43"/>
      <c r="AZ253" s="43"/>
    </row>
    <row r="254">
      <c r="A254" s="78" t="s">
        <v>1837</v>
      </c>
      <c r="B254" s="63" t="s">
        <v>142</v>
      </c>
      <c r="C254" s="64" t="s">
        <v>1838</v>
      </c>
      <c r="D254" s="47" t="s">
        <v>144</v>
      </c>
      <c r="E254" s="64" t="s">
        <v>85</v>
      </c>
      <c r="F254" s="31" t="s">
        <v>60</v>
      </c>
      <c r="G254" s="31"/>
      <c r="H254" s="31"/>
      <c r="I254" s="31" t="s">
        <v>60</v>
      </c>
      <c r="J254" s="31"/>
      <c r="K254" s="31"/>
      <c r="L254" s="32" t="str">
        <f>IFERROR(__xludf.DUMMYFUNCTION("VLOOKUP($A254,IMPORTRANGE(""1PQtfbQLqBUP-rjYRznmgNFBLOjvAnhGzpIx7BJWq8rk"",""'Worksheet'!$B$2:$H""),7,FALSE)"),"#N/A")</f>
        <v>#N/A</v>
      </c>
      <c r="M254" s="31" t="s">
        <v>60</v>
      </c>
      <c r="N254" s="49">
        <v>2255280.0</v>
      </c>
      <c r="O254" s="49">
        <v>1950440.28</v>
      </c>
      <c r="P254" s="49">
        <v>0.0</v>
      </c>
      <c r="Q254" s="34">
        <f t="shared" si="7"/>
        <v>0.1351671278</v>
      </c>
      <c r="R254" s="31"/>
      <c r="S254" s="31" t="s">
        <v>60</v>
      </c>
      <c r="T254" s="88" t="s">
        <v>1839</v>
      </c>
      <c r="U254" s="88">
        <v>1852918.27</v>
      </c>
      <c r="V254" s="88" t="s">
        <v>1840</v>
      </c>
      <c r="W254" s="31"/>
      <c r="X254" s="52" t="s">
        <v>113</v>
      </c>
      <c r="Y254" s="54"/>
      <c r="Z254" s="54"/>
      <c r="AA254" s="54" t="s">
        <v>114</v>
      </c>
      <c r="AB254" s="38" t="s">
        <v>115</v>
      </c>
      <c r="AC254" s="38"/>
      <c r="AD254" s="39">
        <v>2255.28</v>
      </c>
      <c r="AE254" s="39">
        <v>1950.43528</v>
      </c>
      <c r="AF254" s="39">
        <v>304.84472</v>
      </c>
      <c r="AG254" s="57" t="s">
        <v>1841</v>
      </c>
      <c r="AH254" s="42" t="s">
        <v>362</v>
      </c>
      <c r="AI254" s="42" t="str">
        <f>IFERROR(__xludf.DUMMYFUNCTION("vLOOKUP(A254,IMPORTRANGE(""https://docs.google.com/spreadsheets/d/1Rawwwdh8wntXGy8isdYNHxsNQS4n_rC8JSdPfj6vEq4"",""'500 объектов перенос на 2026'!A3:AB502""),13,0)"),"#REF!")</f>
        <v>#REF!</v>
      </c>
      <c r="AJ254" s="42" t="str">
        <f>IFERROR(__xludf.DUMMYFUNCTION("vLOOKUP(A254,IMPORTRANGE(""https://docs.google.com/spreadsheets/d/1Rawwwdh8wntXGy8isdYNHxsNQS4n_rC8JSdPfj6vEq4"",""'500 объектов перенос на 2026'!A3:AB502""),14,0)"),"#REF!")</f>
        <v>#REF!</v>
      </c>
      <c r="AK254" s="76" t="s">
        <v>114</v>
      </c>
      <c r="AL254" s="70"/>
      <c r="AM254" s="70"/>
      <c r="AN254" s="43"/>
      <c r="AO254" s="43"/>
      <c r="AP254" s="43"/>
      <c r="AQ254" s="43"/>
      <c r="AR254" s="43"/>
      <c r="AS254" s="43"/>
      <c r="AT254" s="43"/>
      <c r="AU254" s="43"/>
      <c r="AV254" s="43"/>
      <c r="AW254" s="43"/>
      <c r="AX254" s="43"/>
      <c r="AY254" s="43"/>
      <c r="AZ254" s="43"/>
    </row>
    <row r="255">
      <c r="A255" s="62" t="s">
        <v>1842</v>
      </c>
      <c r="B255" s="63" t="s">
        <v>82</v>
      </c>
      <c r="C255" s="90" t="s">
        <v>1843</v>
      </c>
      <c r="D255" s="47" t="s">
        <v>323</v>
      </c>
      <c r="E255" s="90" t="s">
        <v>85</v>
      </c>
      <c r="F255" s="31" t="s">
        <v>60</v>
      </c>
      <c r="G255" s="31"/>
      <c r="H255" s="31"/>
      <c r="I255" s="31" t="s">
        <v>40</v>
      </c>
      <c r="J255" s="31" t="s">
        <v>61</v>
      </c>
      <c r="K255" s="31" t="s">
        <v>72</v>
      </c>
      <c r="L255" s="32">
        <f>IFERROR(__xludf.DUMMYFUNCTION("VLOOKUP($A255,IMPORTRANGE(""1PQtfbQLqBUP-rjYRznmgNFBLOjvAnhGzpIx7BJWq8rk"",""'Worksheet'!$B$2:$H""),7,FALSE)"),0.58)</f>
        <v>0.58</v>
      </c>
      <c r="M255" s="31" t="s">
        <v>40</v>
      </c>
      <c r="N255" s="49">
        <v>2.508338537E7</v>
      </c>
      <c r="O255" s="49">
        <v>7525015.61</v>
      </c>
      <c r="P255" s="49">
        <f>N255-O255</f>
        <v>17558369.76</v>
      </c>
      <c r="Q255" s="34">
        <f t="shared" si="7"/>
        <v>0.7</v>
      </c>
      <c r="R255" s="31"/>
      <c r="S255" s="31" t="s">
        <v>45</v>
      </c>
      <c r="T255" s="84" t="s">
        <v>1844</v>
      </c>
      <c r="U255" s="84">
        <v>0.0</v>
      </c>
      <c r="V255" s="84" t="s">
        <v>1844</v>
      </c>
      <c r="W255" s="31"/>
      <c r="X255" s="52" t="s">
        <v>1659</v>
      </c>
      <c r="Y255" s="54" t="s">
        <v>1660</v>
      </c>
      <c r="Z255" s="54" t="s">
        <v>1152</v>
      </c>
      <c r="AA255" s="74">
        <v>46265.0</v>
      </c>
      <c r="AB255" s="56"/>
      <c r="AC255" s="38" t="s">
        <v>789</v>
      </c>
      <c r="AD255" s="39">
        <v>25083.39</v>
      </c>
      <c r="AE255" s="39">
        <v>8516.75117</v>
      </c>
      <c r="AF255" s="40">
        <v>16566.63883</v>
      </c>
      <c r="AG255" s="57" t="s">
        <v>1845</v>
      </c>
      <c r="AH255" s="42" t="s">
        <v>1662</v>
      </c>
      <c r="AI255" s="42" t="str">
        <f>IFERROR(__xludf.DUMMYFUNCTION("vLOOKUP(A255,IMPORTRANGE(""https://docs.google.com/spreadsheets/d/1Rawwwdh8wntXGy8isdYNHxsNQS4n_rC8JSdPfj6vEq4"",""'500 объектов перенос на 2026'!A3:AB502""),13,0)"),"#REF!")</f>
        <v>#REF!</v>
      </c>
      <c r="AJ255" s="42" t="str">
        <f>IFERROR(__xludf.DUMMYFUNCTION("vLOOKUP(A255,IMPORTRANGE(""https://docs.google.com/spreadsheets/d/1Rawwwdh8wntXGy8isdYNHxsNQS4n_rC8JSdPfj6vEq4"",""'500 объектов перенос на 2026'!A3:AB502""),14,0)"),"#REF!")</f>
        <v>#REF!</v>
      </c>
      <c r="AK255" s="77" t="s">
        <v>1663</v>
      </c>
      <c r="AL255" s="94" t="s">
        <v>1846</v>
      </c>
      <c r="AM255" s="94"/>
      <c r="AN255" s="43"/>
      <c r="AO255" s="43"/>
      <c r="AP255" s="43"/>
      <c r="AQ255" s="43"/>
      <c r="AR255" s="43"/>
      <c r="AS255" s="43"/>
      <c r="AT255" s="43"/>
      <c r="AU255" s="43"/>
      <c r="AV255" s="43"/>
      <c r="AW255" s="43"/>
      <c r="AX255" s="43"/>
      <c r="AY255" s="43"/>
      <c r="AZ255" s="43"/>
    </row>
    <row r="256">
      <c r="A256" s="78" t="s">
        <v>1847</v>
      </c>
      <c r="B256" s="63" t="s">
        <v>142</v>
      </c>
      <c r="C256" s="64" t="s">
        <v>1848</v>
      </c>
      <c r="D256" s="47" t="s">
        <v>1849</v>
      </c>
      <c r="E256" s="64" t="s">
        <v>85</v>
      </c>
      <c r="F256" s="31" t="s">
        <v>60</v>
      </c>
      <c r="G256" s="31"/>
      <c r="H256" s="31"/>
      <c r="I256" s="31" t="s">
        <v>60</v>
      </c>
      <c r="J256" s="31"/>
      <c r="K256" s="31"/>
      <c r="L256" s="32" t="str">
        <f>IFERROR(__xludf.DUMMYFUNCTION("VLOOKUP($A256,IMPORTRANGE(""1PQtfbQLqBUP-rjYRznmgNFBLOjvAnhGzpIx7BJWq8rk"",""'Worksheet'!$B$2:$H""),7,FALSE)"),"#N/A")</f>
        <v>#N/A</v>
      </c>
      <c r="M256" s="31" t="s">
        <v>60</v>
      </c>
      <c r="N256" s="49">
        <v>1.730249E7</v>
      </c>
      <c r="O256" s="49">
        <v>1.574585595E7</v>
      </c>
      <c r="P256" s="49">
        <v>0.0</v>
      </c>
      <c r="Q256" s="34">
        <f t="shared" si="7"/>
        <v>0.08996589797</v>
      </c>
      <c r="R256" s="31"/>
      <c r="S256" s="31" t="s">
        <v>60</v>
      </c>
      <c r="T256" s="88" t="s">
        <v>1850</v>
      </c>
      <c r="U256" s="88">
        <v>1.495856315E7</v>
      </c>
      <c r="V256" s="88" t="s">
        <v>1851</v>
      </c>
      <c r="W256" s="31"/>
      <c r="X256" s="52" t="s">
        <v>113</v>
      </c>
      <c r="Y256" s="54"/>
      <c r="Z256" s="54"/>
      <c r="AA256" s="54" t="s">
        <v>114</v>
      </c>
      <c r="AB256" s="38" t="s">
        <v>115</v>
      </c>
      <c r="AC256" s="38"/>
      <c r="AD256" s="39">
        <v>17302.49</v>
      </c>
      <c r="AE256" s="39">
        <v>15745.85595</v>
      </c>
      <c r="AF256" s="39">
        <v>1556.63405</v>
      </c>
      <c r="AG256" s="57" t="s">
        <v>1852</v>
      </c>
      <c r="AH256" s="42" t="s">
        <v>362</v>
      </c>
      <c r="AI256" s="42" t="str">
        <f>IFERROR(__xludf.DUMMYFUNCTION("vLOOKUP(A256,IMPORTRANGE(""https://docs.google.com/spreadsheets/d/1Rawwwdh8wntXGy8isdYNHxsNQS4n_rC8JSdPfj6vEq4"",""'500 объектов перенос на 2026'!A3:AB502""),13,0)"),"#REF!")</f>
        <v>#REF!</v>
      </c>
      <c r="AJ256" s="42" t="str">
        <f>IFERROR(__xludf.DUMMYFUNCTION("vLOOKUP(A256,IMPORTRANGE(""https://docs.google.com/spreadsheets/d/1Rawwwdh8wntXGy8isdYNHxsNQS4n_rC8JSdPfj6vEq4"",""'500 объектов перенос на 2026'!A3:AB502""),14,0)"),"#REF!")</f>
        <v>#REF!</v>
      </c>
      <c r="AK256" s="76" t="s">
        <v>114</v>
      </c>
      <c r="AL256" s="70"/>
      <c r="AM256" s="70"/>
      <c r="AN256" s="43"/>
      <c r="AO256" s="43"/>
      <c r="AP256" s="43"/>
      <c r="AQ256" s="43"/>
      <c r="AR256" s="43"/>
      <c r="AS256" s="43"/>
      <c r="AT256" s="43"/>
      <c r="AU256" s="43"/>
      <c r="AV256" s="43"/>
      <c r="AW256" s="43"/>
      <c r="AX256" s="43"/>
      <c r="AY256" s="43"/>
      <c r="AZ256" s="43"/>
    </row>
    <row r="257">
      <c r="A257" s="78" t="s">
        <v>1853</v>
      </c>
      <c r="B257" s="63" t="s">
        <v>142</v>
      </c>
      <c r="C257" s="64" t="s">
        <v>1854</v>
      </c>
      <c r="D257" s="47" t="s">
        <v>144</v>
      </c>
      <c r="E257" s="64" t="s">
        <v>85</v>
      </c>
      <c r="F257" s="31" t="s">
        <v>60</v>
      </c>
      <c r="G257" s="31"/>
      <c r="H257" s="31"/>
      <c r="I257" s="31" t="s">
        <v>60</v>
      </c>
      <c r="J257" s="31"/>
      <c r="K257" s="31"/>
      <c r="L257" s="32" t="str">
        <f>IFERROR(__xludf.DUMMYFUNCTION("VLOOKUP($A257,IMPORTRANGE(""1PQtfbQLqBUP-rjYRznmgNFBLOjvAnhGzpIx7BJWq8rk"",""'Worksheet'!$B$2:$H""),7,FALSE)"),"#N/A")</f>
        <v>#N/A</v>
      </c>
      <c r="M257" s="31" t="s">
        <v>60</v>
      </c>
      <c r="N257" s="49">
        <v>9.632055E7</v>
      </c>
      <c r="O257" s="49">
        <v>8.074077893E7</v>
      </c>
      <c r="P257" s="49">
        <v>0.0</v>
      </c>
      <c r="Q257" s="34">
        <f t="shared" si="7"/>
        <v>0.1617491913</v>
      </c>
      <c r="R257" s="31"/>
      <c r="S257" s="31" t="s">
        <v>60</v>
      </c>
      <c r="T257" s="88" t="s">
        <v>1855</v>
      </c>
      <c r="U257" s="88">
        <v>7.670373998E7</v>
      </c>
      <c r="V257" s="88" t="s">
        <v>1856</v>
      </c>
      <c r="W257" s="31"/>
      <c r="X257" s="52" t="s">
        <v>113</v>
      </c>
      <c r="Y257" s="54"/>
      <c r="Z257" s="54"/>
      <c r="AA257" s="54" t="s">
        <v>114</v>
      </c>
      <c r="AB257" s="38" t="s">
        <v>115</v>
      </c>
      <c r="AC257" s="38"/>
      <c r="AD257" s="39">
        <v>96320.55</v>
      </c>
      <c r="AE257" s="39">
        <v>80740.77893</v>
      </c>
      <c r="AF257" s="39">
        <v>15579.77107</v>
      </c>
      <c r="AG257" s="57" t="s">
        <v>1857</v>
      </c>
      <c r="AH257" s="42" t="s">
        <v>362</v>
      </c>
      <c r="AI257" s="42" t="str">
        <f>IFERROR(__xludf.DUMMYFUNCTION("vLOOKUP(A257,IMPORTRANGE(""https://docs.google.com/spreadsheets/d/1Rawwwdh8wntXGy8isdYNHxsNQS4n_rC8JSdPfj6vEq4"",""'500 объектов перенос на 2026'!A3:AB502""),13,0)"),"#REF!")</f>
        <v>#REF!</v>
      </c>
      <c r="AJ257" s="42" t="str">
        <f>IFERROR(__xludf.DUMMYFUNCTION("vLOOKUP(A257,IMPORTRANGE(""https://docs.google.com/spreadsheets/d/1Rawwwdh8wntXGy8isdYNHxsNQS4n_rC8JSdPfj6vEq4"",""'500 объектов перенос на 2026'!A3:AB502""),14,0)"),"#REF!")</f>
        <v>#REF!</v>
      </c>
      <c r="AK257" s="76" t="s">
        <v>114</v>
      </c>
      <c r="AL257" s="70"/>
      <c r="AM257" s="70"/>
      <c r="AN257" s="43"/>
      <c r="AO257" s="43"/>
      <c r="AP257" s="43"/>
      <c r="AQ257" s="43"/>
      <c r="AR257" s="43"/>
      <c r="AS257" s="43"/>
      <c r="AT257" s="43"/>
      <c r="AU257" s="43"/>
      <c r="AV257" s="43"/>
      <c r="AW257" s="43"/>
      <c r="AX257" s="43"/>
      <c r="AY257" s="43"/>
      <c r="AZ257" s="43"/>
    </row>
    <row r="258">
      <c r="A258" s="62" t="s">
        <v>1858</v>
      </c>
      <c r="B258" s="63" t="s">
        <v>142</v>
      </c>
      <c r="C258" s="64" t="s">
        <v>1859</v>
      </c>
      <c r="D258" s="47" t="s">
        <v>144</v>
      </c>
      <c r="E258" s="64" t="s">
        <v>85</v>
      </c>
      <c r="F258" s="31" t="s">
        <v>60</v>
      </c>
      <c r="G258" s="31"/>
      <c r="H258" s="31"/>
      <c r="I258" s="31" t="s">
        <v>60</v>
      </c>
      <c r="J258" s="31"/>
      <c r="K258" s="31"/>
      <c r="L258" s="32">
        <f>IFERROR(__xludf.DUMMYFUNCTION("VLOOKUP($A258,IMPORTRANGE(""1PQtfbQLqBUP-rjYRznmgNFBLOjvAnhGzpIx7BJWq8rk"",""'Worksheet'!$B$2:$H""),7,FALSE)"),1.0)</f>
        <v>1</v>
      </c>
      <c r="M258" s="31" t="s">
        <v>60</v>
      </c>
      <c r="N258" s="49">
        <v>4.97445102E7</v>
      </c>
      <c r="O258" s="49">
        <v>4.427506033E7</v>
      </c>
      <c r="P258" s="49">
        <v>0.0</v>
      </c>
      <c r="Q258" s="34">
        <f t="shared" si="7"/>
        <v>0.1099508237</v>
      </c>
      <c r="R258" s="31"/>
      <c r="S258" s="31" t="s">
        <v>60</v>
      </c>
      <c r="T258" s="88" t="s">
        <v>1860</v>
      </c>
      <c r="U258" s="88">
        <v>4.206130731E7</v>
      </c>
      <c r="V258" s="88" t="s">
        <v>1861</v>
      </c>
      <c r="W258" s="31"/>
      <c r="X258" s="52" t="s">
        <v>113</v>
      </c>
      <c r="Y258" s="74"/>
      <c r="Z258" s="74"/>
      <c r="AA258" s="54" t="s">
        <v>114</v>
      </c>
      <c r="AB258" s="56"/>
      <c r="AC258" s="38"/>
      <c r="AD258" s="39">
        <v>50248.62</v>
      </c>
      <c r="AE258" s="39">
        <v>15074.58546</v>
      </c>
      <c r="AF258" s="40">
        <v>35174.03454</v>
      </c>
      <c r="AG258" s="57" t="s">
        <v>1862</v>
      </c>
      <c r="AH258" s="42" t="s">
        <v>595</v>
      </c>
      <c r="AI258" s="85"/>
      <c r="AJ258" s="42"/>
      <c r="AK258" s="76" t="s">
        <v>114</v>
      </c>
      <c r="AL258" s="70"/>
      <c r="AM258" s="70"/>
      <c r="AN258" s="43"/>
      <c r="AO258" s="43"/>
      <c r="AP258" s="43"/>
      <c r="AQ258" s="43"/>
      <c r="AR258" s="43"/>
      <c r="AS258" s="43"/>
      <c r="AT258" s="43"/>
      <c r="AU258" s="43"/>
      <c r="AV258" s="43"/>
      <c r="AW258" s="43"/>
      <c r="AX258" s="43"/>
      <c r="AY258" s="43"/>
      <c r="AZ258" s="43"/>
    </row>
    <row r="259">
      <c r="A259" s="78" t="s">
        <v>1863</v>
      </c>
      <c r="B259" s="63" t="s">
        <v>142</v>
      </c>
      <c r="C259" s="64" t="s">
        <v>1864</v>
      </c>
      <c r="D259" s="47" t="s">
        <v>1041</v>
      </c>
      <c r="E259" s="64" t="s">
        <v>85</v>
      </c>
      <c r="F259" s="31" t="s">
        <v>60</v>
      </c>
      <c r="G259" s="31"/>
      <c r="H259" s="31"/>
      <c r="I259" s="31" t="s">
        <v>60</v>
      </c>
      <c r="J259" s="31"/>
      <c r="K259" s="31"/>
      <c r="L259" s="32" t="str">
        <f>IFERROR(__xludf.DUMMYFUNCTION("VLOOKUP($A259,IMPORTRANGE(""1PQtfbQLqBUP-rjYRznmgNFBLOjvAnhGzpIx7BJWq8rk"",""'Worksheet'!$B$2:$H""),7,FALSE)"),"#N/A")</f>
        <v>#N/A</v>
      </c>
      <c r="M259" s="31" t="s">
        <v>60</v>
      </c>
      <c r="N259" s="49">
        <v>1.114517E7</v>
      </c>
      <c r="O259" s="49">
        <v>8814014.4</v>
      </c>
      <c r="P259" s="49">
        <v>0.0</v>
      </c>
      <c r="Q259" s="34">
        <f t="shared" si="7"/>
        <v>0.2091628571</v>
      </c>
      <c r="R259" s="31"/>
      <c r="S259" s="31" t="s">
        <v>60</v>
      </c>
      <c r="T259" s="88" t="s">
        <v>1865</v>
      </c>
      <c r="U259" s="88">
        <v>8373313.68</v>
      </c>
      <c r="V259" s="88" t="s">
        <v>1866</v>
      </c>
      <c r="W259" s="31"/>
      <c r="X259" s="52" t="s">
        <v>113</v>
      </c>
      <c r="Y259" s="54"/>
      <c r="Z259" s="54"/>
      <c r="AA259" s="54" t="s">
        <v>114</v>
      </c>
      <c r="AB259" s="38" t="s">
        <v>115</v>
      </c>
      <c r="AC259" s="38"/>
      <c r="AD259" s="39">
        <v>11145.17</v>
      </c>
      <c r="AE259" s="39">
        <v>8814.0144</v>
      </c>
      <c r="AF259" s="39">
        <v>2331.1556</v>
      </c>
      <c r="AG259" s="57" t="s">
        <v>1867</v>
      </c>
      <c r="AH259" s="42" t="s">
        <v>362</v>
      </c>
      <c r="AI259" s="42" t="str">
        <f>IFERROR(__xludf.DUMMYFUNCTION("vLOOKUP(A259,IMPORTRANGE(""https://docs.google.com/spreadsheets/d/1Rawwwdh8wntXGy8isdYNHxsNQS4n_rC8JSdPfj6vEq4"",""'500 объектов перенос на 2026'!A3:AB502""),13,0)"),"#REF!")</f>
        <v>#REF!</v>
      </c>
      <c r="AJ259" s="42" t="str">
        <f>IFERROR(__xludf.DUMMYFUNCTION("vLOOKUP(A259,IMPORTRANGE(""https://docs.google.com/spreadsheets/d/1Rawwwdh8wntXGy8isdYNHxsNQS4n_rC8JSdPfj6vEq4"",""'500 объектов перенос на 2026'!A3:AB502""),14,0)"),"#REF!")</f>
        <v>#REF!</v>
      </c>
      <c r="AK259" s="76" t="s">
        <v>114</v>
      </c>
      <c r="AL259" s="70"/>
      <c r="AM259" s="70"/>
      <c r="AN259" s="43"/>
      <c r="AO259" s="43"/>
      <c r="AP259" s="43"/>
      <c r="AQ259" s="43"/>
      <c r="AR259" s="43"/>
      <c r="AS259" s="43"/>
      <c r="AT259" s="43"/>
      <c r="AU259" s="43"/>
      <c r="AV259" s="43"/>
      <c r="AW259" s="43"/>
      <c r="AX259" s="43"/>
      <c r="AY259" s="43"/>
      <c r="AZ259" s="43"/>
    </row>
    <row r="260">
      <c r="A260" s="78" t="s">
        <v>1868</v>
      </c>
      <c r="B260" s="63" t="s">
        <v>142</v>
      </c>
      <c r="C260" s="64" t="s">
        <v>1869</v>
      </c>
      <c r="D260" s="47" t="s">
        <v>144</v>
      </c>
      <c r="E260" s="64" t="s">
        <v>85</v>
      </c>
      <c r="F260" s="31" t="s">
        <v>60</v>
      </c>
      <c r="G260" s="31"/>
      <c r="H260" s="31"/>
      <c r="I260" s="31" t="s">
        <v>60</v>
      </c>
      <c r="J260" s="31"/>
      <c r="K260" s="31"/>
      <c r="L260" s="32" t="str">
        <f>IFERROR(__xludf.DUMMYFUNCTION("VLOOKUP($A260,IMPORTRANGE(""1PQtfbQLqBUP-rjYRznmgNFBLOjvAnhGzpIx7BJWq8rk"",""'Worksheet'!$B$2:$H""),7,FALSE)"),"#N/A")</f>
        <v>#N/A</v>
      </c>
      <c r="M260" s="31" t="s">
        <v>60</v>
      </c>
      <c r="N260" s="49">
        <v>2.405689E7</v>
      </c>
      <c r="O260" s="49">
        <v>2.079954E7</v>
      </c>
      <c r="P260" s="49">
        <v>0.0</v>
      </c>
      <c r="Q260" s="34">
        <f t="shared" si="7"/>
        <v>0.1354019576</v>
      </c>
      <c r="R260" s="31"/>
      <c r="S260" s="31" t="s">
        <v>60</v>
      </c>
      <c r="T260" s="88" t="s">
        <v>1870</v>
      </c>
      <c r="U260" s="88">
        <v>1.9759563E7</v>
      </c>
      <c r="V260" s="88" t="s">
        <v>1871</v>
      </c>
      <c r="W260" s="31"/>
      <c r="X260" s="52" t="s">
        <v>113</v>
      </c>
      <c r="Y260" s="54"/>
      <c r="Z260" s="54"/>
      <c r="AA260" s="54" t="s">
        <v>114</v>
      </c>
      <c r="AB260" s="38" t="s">
        <v>115</v>
      </c>
      <c r="AC260" s="38"/>
      <c r="AD260" s="39">
        <v>24056.89</v>
      </c>
      <c r="AE260" s="39">
        <v>20799.53762</v>
      </c>
      <c r="AF260" s="39">
        <v>3257.35238</v>
      </c>
      <c r="AG260" s="57"/>
      <c r="AH260" s="42" t="s">
        <v>362</v>
      </c>
      <c r="AI260" s="42" t="str">
        <f>IFERROR(__xludf.DUMMYFUNCTION("vLOOKUP(A260,IMPORTRANGE(""https://docs.google.com/spreadsheets/d/1Rawwwdh8wntXGy8isdYNHxsNQS4n_rC8JSdPfj6vEq4"",""'500 объектов перенос на 2026'!A3:AB502""),13,0)"),"#REF!")</f>
        <v>#REF!</v>
      </c>
      <c r="AJ260" s="42" t="str">
        <f>IFERROR(__xludf.DUMMYFUNCTION("vLOOKUP(A260,IMPORTRANGE(""https://docs.google.com/spreadsheets/d/1Rawwwdh8wntXGy8isdYNHxsNQS4n_rC8JSdPfj6vEq4"",""'500 объектов перенос на 2026'!A3:AB502""),14,0)"),"#REF!")</f>
        <v>#REF!</v>
      </c>
      <c r="AK260" s="76" t="s">
        <v>114</v>
      </c>
      <c r="AL260" s="70"/>
      <c r="AM260" s="70"/>
      <c r="AN260" s="43"/>
      <c r="AO260" s="43"/>
      <c r="AP260" s="43"/>
      <c r="AQ260" s="43"/>
      <c r="AR260" s="43"/>
      <c r="AS260" s="43"/>
      <c r="AT260" s="43"/>
      <c r="AU260" s="43"/>
      <c r="AV260" s="43"/>
      <c r="AW260" s="43"/>
      <c r="AX260" s="43"/>
      <c r="AY260" s="43"/>
      <c r="AZ260" s="43"/>
    </row>
    <row r="261">
      <c r="A261" s="62" t="s">
        <v>1872</v>
      </c>
      <c r="B261" s="63" t="s">
        <v>142</v>
      </c>
      <c r="C261" s="64" t="s">
        <v>1873</v>
      </c>
      <c r="D261" s="47" t="s">
        <v>144</v>
      </c>
      <c r="E261" s="64" t="s">
        <v>85</v>
      </c>
      <c r="F261" s="31" t="s">
        <v>60</v>
      </c>
      <c r="G261" s="31"/>
      <c r="H261" s="31"/>
      <c r="I261" s="31" t="s">
        <v>60</v>
      </c>
      <c r="J261" s="31"/>
      <c r="K261" s="31"/>
      <c r="L261" s="32">
        <f>IFERROR(__xludf.DUMMYFUNCTION("VLOOKUP($A261,IMPORTRANGE(""1PQtfbQLqBUP-rjYRznmgNFBLOjvAnhGzpIx7BJWq8rk"",""'Worksheet'!$B$2:$H""),7,FALSE)"),1.0)</f>
        <v>1</v>
      </c>
      <c r="M261" s="31" t="s">
        <v>60</v>
      </c>
      <c r="N261" s="49">
        <v>2.616589774E7</v>
      </c>
      <c r="O261" s="49">
        <v>2.003585261E7</v>
      </c>
      <c r="P261" s="49">
        <v>0.0</v>
      </c>
      <c r="Q261" s="34">
        <f t="shared" si="7"/>
        <v>0.234276125</v>
      </c>
      <c r="R261" s="31"/>
      <c r="S261" s="31" t="s">
        <v>60</v>
      </c>
      <c r="T261" s="88" t="s">
        <v>1874</v>
      </c>
      <c r="U261" s="88" t="s">
        <v>1875</v>
      </c>
      <c r="V261" s="88" t="s">
        <v>1876</v>
      </c>
      <c r="W261" s="31"/>
      <c r="X261" s="52" t="s">
        <v>113</v>
      </c>
      <c r="Y261" s="74"/>
      <c r="Z261" s="74"/>
      <c r="AA261" s="54" t="s">
        <v>114</v>
      </c>
      <c r="AB261" s="56"/>
      <c r="AC261" s="38"/>
      <c r="AD261" s="39">
        <v>20615.98</v>
      </c>
      <c r="AE261" s="39">
        <v>6184.79568</v>
      </c>
      <c r="AF261" s="40">
        <v>14431.18432</v>
      </c>
      <c r="AG261" s="57" t="s">
        <v>1877</v>
      </c>
      <c r="AH261" s="42" t="s">
        <v>595</v>
      </c>
      <c r="AI261" s="85"/>
      <c r="AJ261" s="42"/>
      <c r="AK261" s="76" t="s">
        <v>114</v>
      </c>
      <c r="AL261" s="70"/>
      <c r="AM261" s="70"/>
      <c r="AN261" s="43"/>
      <c r="AO261" s="43"/>
      <c r="AP261" s="43"/>
      <c r="AQ261" s="43"/>
      <c r="AR261" s="43"/>
      <c r="AS261" s="43"/>
      <c r="AT261" s="43"/>
      <c r="AU261" s="43"/>
      <c r="AV261" s="43"/>
      <c r="AW261" s="43"/>
      <c r="AX261" s="43"/>
      <c r="AY261" s="43"/>
      <c r="AZ261" s="43"/>
    </row>
    <row r="262">
      <c r="A262" s="78" t="s">
        <v>1878</v>
      </c>
      <c r="B262" s="63" t="s">
        <v>142</v>
      </c>
      <c r="C262" s="64" t="s">
        <v>1879</v>
      </c>
      <c r="D262" s="47" t="s">
        <v>144</v>
      </c>
      <c r="E262" s="64" t="s">
        <v>85</v>
      </c>
      <c r="F262" s="31" t="s">
        <v>60</v>
      </c>
      <c r="G262" s="31"/>
      <c r="H262" s="31"/>
      <c r="I262" s="31" t="s">
        <v>60</v>
      </c>
      <c r="J262" s="31"/>
      <c r="K262" s="31"/>
      <c r="L262" s="32" t="str">
        <f>IFERROR(__xludf.DUMMYFUNCTION("VLOOKUP($A262,IMPORTRANGE(""1PQtfbQLqBUP-rjYRznmgNFBLOjvAnhGzpIx7BJWq8rk"",""'Worksheet'!$B$2:$H""),7,FALSE)"),"#N/A")</f>
        <v>#N/A</v>
      </c>
      <c r="M262" s="31" t="s">
        <v>60</v>
      </c>
      <c r="N262" s="49">
        <v>6603550.0</v>
      </c>
      <c r="O262" s="49">
        <v>6603550.0</v>
      </c>
      <c r="P262" s="49">
        <f t="shared" ref="P262:P263" si="39">N262-O262</f>
        <v>0</v>
      </c>
      <c r="Q262" s="34">
        <f t="shared" si="7"/>
        <v>0</v>
      </c>
      <c r="R262" s="31"/>
      <c r="S262" s="31" t="s">
        <v>60</v>
      </c>
      <c r="T262" s="88" t="s">
        <v>1880</v>
      </c>
      <c r="U262" s="88">
        <v>6273372.5</v>
      </c>
      <c r="V262" s="88">
        <v>0.0</v>
      </c>
      <c r="W262" s="31"/>
      <c r="X262" s="52" t="s">
        <v>113</v>
      </c>
      <c r="Y262" s="54"/>
      <c r="Z262" s="54"/>
      <c r="AA262" s="54" t="s">
        <v>114</v>
      </c>
      <c r="AB262" s="38" t="s">
        <v>115</v>
      </c>
      <c r="AC262" s="38"/>
      <c r="AD262" s="39">
        <v>6603.55</v>
      </c>
      <c r="AE262" s="39">
        <v>6603.92959</v>
      </c>
      <c r="AF262" s="39">
        <v>-0.37959</v>
      </c>
      <c r="AG262" s="57" t="s">
        <v>1881</v>
      </c>
      <c r="AH262" s="42" t="s">
        <v>362</v>
      </c>
      <c r="AI262" s="42" t="str">
        <f>IFERROR(__xludf.DUMMYFUNCTION("vLOOKUP(A262,IMPORTRANGE(""https://docs.google.com/spreadsheets/d/1Rawwwdh8wntXGy8isdYNHxsNQS4n_rC8JSdPfj6vEq4"",""'500 объектов перенос на 2026'!A3:AB502""),13,0)"),"#REF!")</f>
        <v>#REF!</v>
      </c>
      <c r="AJ262" s="42" t="str">
        <f>IFERROR(__xludf.DUMMYFUNCTION("vLOOKUP(A262,IMPORTRANGE(""https://docs.google.com/spreadsheets/d/1Rawwwdh8wntXGy8isdYNHxsNQS4n_rC8JSdPfj6vEq4"",""'500 объектов перенос на 2026'!A3:AB502""),14,0)"),"#REF!")</f>
        <v>#REF!</v>
      </c>
      <c r="AK262" s="76" t="s">
        <v>114</v>
      </c>
      <c r="AL262" s="70"/>
      <c r="AM262" s="70"/>
      <c r="AN262" s="43"/>
      <c r="AO262" s="43"/>
      <c r="AP262" s="43"/>
      <c r="AQ262" s="43"/>
      <c r="AR262" s="43"/>
      <c r="AS262" s="43"/>
      <c r="AT262" s="43"/>
      <c r="AU262" s="43"/>
      <c r="AV262" s="43"/>
      <c r="AW262" s="43"/>
      <c r="AX262" s="43"/>
      <c r="AY262" s="43"/>
      <c r="AZ262" s="43"/>
    </row>
    <row r="263">
      <c r="A263" s="62" t="s">
        <v>1882</v>
      </c>
      <c r="B263" s="63" t="s">
        <v>653</v>
      </c>
      <c r="C263" s="64" t="s">
        <v>1883</v>
      </c>
      <c r="D263" s="47" t="s">
        <v>848</v>
      </c>
      <c r="E263" s="64" t="s">
        <v>85</v>
      </c>
      <c r="F263" s="31" t="s">
        <v>40</v>
      </c>
      <c r="G263" s="31" t="s">
        <v>41</v>
      </c>
      <c r="H263" s="31" t="s">
        <v>974</v>
      </c>
      <c r="I263" s="31" t="s">
        <v>40</v>
      </c>
      <c r="J263" s="31" t="s">
        <v>61</v>
      </c>
      <c r="K263" s="31"/>
      <c r="L263" s="32">
        <f>IFERROR(__xludf.DUMMYFUNCTION("VLOOKUP($A263,IMPORTRANGE(""1PQtfbQLqBUP-rjYRznmgNFBLOjvAnhGzpIx7BJWq8rk"",""'Worksheet'!$B$2:$H""),7,FALSE)"),0.83)</f>
        <v>0.83</v>
      </c>
      <c r="M263" s="31" t="s">
        <v>40</v>
      </c>
      <c r="N263" s="49">
        <v>3.496768E7</v>
      </c>
      <c r="O263" s="127">
        <v>1.748384E7</v>
      </c>
      <c r="P263" s="49">
        <f t="shared" si="39"/>
        <v>17483840</v>
      </c>
      <c r="Q263" s="34">
        <f t="shared" si="7"/>
        <v>0.5</v>
      </c>
      <c r="R263" s="31"/>
      <c r="S263" s="31" t="s">
        <v>40</v>
      </c>
      <c r="T263" s="145" t="s">
        <v>1884</v>
      </c>
      <c r="U263" s="145">
        <v>0.0</v>
      </c>
      <c r="V263" s="84" t="s">
        <v>1884</v>
      </c>
      <c r="W263" s="31"/>
      <c r="X263" s="52" t="s">
        <v>1885</v>
      </c>
      <c r="Y263" s="73" t="s">
        <v>1886</v>
      </c>
      <c r="Z263" s="74"/>
      <c r="AA263" s="74">
        <v>46281.0</v>
      </c>
      <c r="AB263" s="56"/>
      <c r="AC263" s="38" t="s">
        <v>978</v>
      </c>
      <c r="AD263" s="39">
        <v>34967.68</v>
      </c>
      <c r="AE263" s="39">
        <v>17483.84</v>
      </c>
      <c r="AF263" s="40">
        <v>17483.84</v>
      </c>
      <c r="AG263" s="57" t="s">
        <v>1887</v>
      </c>
      <c r="AH263" s="42" t="s">
        <v>980</v>
      </c>
      <c r="AI263" s="42" t="str">
        <f>IFERROR(__xludf.DUMMYFUNCTION("vLOOKUP(A263,IMPORTRANGE(""https://docs.google.com/spreadsheets/d/1Rawwwdh8wntXGy8isdYNHxsNQS4n_rC8JSdPfj6vEq4"",""'500 объектов перенос на 2026'!A3:AB502""),13,0)"),"#REF!")</f>
        <v>#REF!</v>
      </c>
      <c r="AJ263" s="42" t="str">
        <f>IFERROR(__xludf.DUMMYFUNCTION("vLOOKUP(A263,IMPORTRANGE(""https://docs.google.com/spreadsheets/d/1Rawwwdh8wntXGy8isdYNHxsNQS4n_rC8JSdPfj6vEq4"",""'500 объектов перенос на 2026'!A3:AB502""),14,0)"),"#REF!")</f>
        <v>#REF!</v>
      </c>
      <c r="AK263" s="70" t="s">
        <v>1888</v>
      </c>
      <c r="AL263" s="70"/>
      <c r="AM263" s="70"/>
      <c r="AN263" s="43"/>
      <c r="AO263" s="43"/>
      <c r="AP263" s="43"/>
      <c r="AQ263" s="43"/>
      <c r="AR263" s="43"/>
      <c r="AS263" s="43"/>
      <c r="AT263" s="43"/>
      <c r="AU263" s="43"/>
      <c r="AV263" s="43"/>
      <c r="AW263" s="43"/>
      <c r="AX263" s="43"/>
      <c r="AY263" s="43"/>
      <c r="AZ263" s="43"/>
    </row>
    <row r="264">
      <c r="A264" s="62" t="s">
        <v>1889</v>
      </c>
      <c r="B264" s="63" t="s">
        <v>142</v>
      </c>
      <c r="C264" s="64" t="s">
        <v>1890</v>
      </c>
      <c r="D264" s="47" t="s">
        <v>144</v>
      </c>
      <c r="E264" s="64" t="s">
        <v>85</v>
      </c>
      <c r="F264" s="31" t="s">
        <v>60</v>
      </c>
      <c r="G264" s="31"/>
      <c r="H264" s="31"/>
      <c r="I264" s="31" t="s">
        <v>60</v>
      </c>
      <c r="J264" s="31"/>
      <c r="K264" s="31"/>
      <c r="L264" s="32">
        <f>IFERROR(__xludf.DUMMYFUNCTION("VLOOKUP($A264,IMPORTRANGE(""1PQtfbQLqBUP-rjYRznmgNFBLOjvAnhGzpIx7BJWq8rk"",""'Worksheet'!$B$2:$H""),7,FALSE)"),1.0)</f>
        <v>1</v>
      </c>
      <c r="M264" s="31" t="s">
        <v>60</v>
      </c>
      <c r="N264" s="49">
        <v>2.670359703E7</v>
      </c>
      <c r="O264" s="49">
        <v>2.513271488E7</v>
      </c>
      <c r="P264" s="49">
        <v>0.0</v>
      </c>
      <c r="Q264" s="34">
        <f t="shared" si="7"/>
        <v>0.05882661232</v>
      </c>
      <c r="R264" s="31"/>
      <c r="S264" s="31" t="s">
        <v>60</v>
      </c>
      <c r="T264" s="88" t="s">
        <v>1891</v>
      </c>
      <c r="U264" s="88" t="s">
        <v>1892</v>
      </c>
      <c r="V264" s="88" t="s">
        <v>1893</v>
      </c>
      <c r="W264" s="31"/>
      <c r="X264" s="52" t="s">
        <v>49</v>
      </c>
      <c r="Y264" s="74"/>
      <c r="Z264" s="74"/>
      <c r="AA264" s="54" t="s">
        <v>114</v>
      </c>
      <c r="AB264" s="56"/>
      <c r="AC264" s="38"/>
      <c r="AD264" s="39">
        <v>20409.71</v>
      </c>
      <c r="AE264" s="39">
        <v>6092.29844</v>
      </c>
      <c r="AF264" s="40">
        <v>14317.41156</v>
      </c>
      <c r="AG264" s="57" t="s">
        <v>1894</v>
      </c>
      <c r="AH264" s="42" t="s">
        <v>49</v>
      </c>
      <c r="AI264" s="85"/>
      <c r="AJ264" s="42"/>
      <c r="AK264" s="76" t="s">
        <v>114</v>
      </c>
      <c r="AL264" s="70"/>
      <c r="AM264" s="70"/>
      <c r="AN264" s="43"/>
      <c r="AO264" s="43"/>
      <c r="AP264" s="43"/>
      <c r="AQ264" s="43"/>
      <c r="AR264" s="43"/>
      <c r="AS264" s="43"/>
      <c r="AT264" s="43"/>
      <c r="AU264" s="43"/>
      <c r="AV264" s="43"/>
      <c r="AW264" s="43"/>
      <c r="AX264" s="43"/>
      <c r="AY264" s="43"/>
      <c r="AZ264" s="43"/>
    </row>
    <row r="265">
      <c r="A265" s="78" t="s">
        <v>1895</v>
      </c>
      <c r="B265" s="63" t="s">
        <v>142</v>
      </c>
      <c r="C265" s="64" t="s">
        <v>1896</v>
      </c>
      <c r="D265" s="47" t="s">
        <v>144</v>
      </c>
      <c r="E265" s="144" t="s">
        <v>59</v>
      </c>
      <c r="F265" s="31" t="s">
        <v>60</v>
      </c>
      <c r="G265" s="31"/>
      <c r="H265" s="31"/>
      <c r="I265" s="31" t="s">
        <v>60</v>
      </c>
      <c r="J265" s="31"/>
      <c r="K265" s="31"/>
      <c r="L265" s="32" t="str">
        <f>IFERROR(__xludf.DUMMYFUNCTION("VLOOKUP($A265,IMPORTRANGE(""1PQtfbQLqBUP-rjYRznmgNFBLOjvAnhGzpIx7BJWq8rk"",""'Worksheet'!$B$2:$H""),7,FALSE)"),"#N/A")</f>
        <v>#N/A</v>
      </c>
      <c r="M265" s="31" t="s">
        <v>60</v>
      </c>
      <c r="N265" s="49">
        <v>2.021913E7</v>
      </c>
      <c r="O265" s="49">
        <v>1.946358084E7</v>
      </c>
      <c r="P265" s="49">
        <v>0.0</v>
      </c>
      <c r="Q265" s="34">
        <f t="shared" si="7"/>
        <v>0.03736803512</v>
      </c>
      <c r="R265" s="31"/>
      <c r="S265" s="31" t="s">
        <v>60</v>
      </c>
      <c r="T265" s="88" t="s">
        <v>1897</v>
      </c>
      <c r="U265" s="88">
        <v>1.84904018E7</v>
      </c>
      <c r="V265" s="88" t="s">
        <v>1898</v>
      </c>
      <c r="W265" s="31"/>
      <c r="X265" s="52" t="s">
        <v>113</v>
      </c>
      <c r="Y265" s="54"/>
      <c r="Z265" s="54"/>
      <c r="AA265" s="54" t="s">
        <v>114</v>
      </c>
      <c r="AB265" s="38" t="s">
        <v>115</v>
      </c>
      <c r="AC265" s="38"/>
      <c r="AD265" s="39">
        <v>20219.13</v>
      </c>
      <c r="AE265" s="39">
        <v>19463.58084</v>
      </c>
      <c r="AF265" s="39">
        <v>755.54916</v>
      </c>
      <c r="AG265" s="57" t="s">
        <v>1899</v>
      </c>
      <c r="AH265" s="42" t="s">
        <v>362</v>
      </c>
      <c r="AI265" s="85" t="s">
        <v>1900</v>
      </c>
      <c r="AJ265" s="42" t="str">
        <f>IFERROR(__xludf.DUMMYFUNCTION("vLOOKUP(A265,IMPORTRANGE(""https://docs.google.com/spreadsheets/d/1Rawwwdh8wntXGy8isdYNHxsNQS4n_rC8JSdPfj6vEq4"",""'500 объектов перенос на 2026'!A3:AB502""),14,0)"),"#REF!")</f>
        <v>#REF!</v>
      </c>
      <c r="AK265" s="76" t="s">
        <v>114</v>
      </c>
      <c r="AL265" s="70"/>
      <c r="AM265" s="70"/>
      <c r="AN265" s="43"/>
      <c r="AO265" s="43"/>
      <c r="AP265" s="43"/>
      <c r="AQ265" s="43"/>
      <c r="AR265" s="43"/>
      <c r="AS265" s="43"/>
      <c r="AT265" s="43"/>
      <c r="AU265" s="43"/>
      <c r="AV265" s="43"/>
      <c r="AW265" s="43"/>
      <c r="AX265" s="43"/>
      <c r="AY265" s="43"/>
      <c r="AZ265" s="43"/>
    </row>
    <row r="266">
      <c r="A266" s="114" t="s">
        <v>1901</v>
      </c>
      <c r="B266" s="63" t="s">
        <v>56</v>
      </c>
      <c r="C266" s="64" t="s">
        <v>1902</v>
      </c>
      <c r="D266" s="47" t="s">
        <v>1903</v>
      </c>
      <c r="E266" s="64" t="s">
        <v>85</v>
      </c>
      <c r="F266" s="31" t="s">
        <v>60</v>
      </c>
      <c r="G266" s="31"/>
      <c r="H266" s="31"/>
      <c r="I266" s="31" t="s">
        <v>60</v>
      </c>
      <c r="J266" s="31"/>
      <c r="K266" s="31"/>
      <c r="L266" s="32" t="str">
        <f>IFERROR(__xludf.DUMMYFUNCTION("VLOOKUP($A266,IMPORTRANGE(""1PQtfbQLqBUP-rjYRznmgNFBLOjvAnhGzpIx7BJWq8rk"",""'Worksheet'!$B$2:$H""),7,FALSE)"),"#N/A")</f>
        <v>#N/A</v>
      </c>
      <c r="M266" s="31" t="s">
        <v>60</v>
      </c>
      <c r="N266" s="49">
        <v>4.305033E7</v>
      </c>
      <c r="O266" s="49">
        <v>2.112411316E7</v>
      </c>
      <c r="P266" s="49">
        <v>0.0</v>
      </c>
      <c r="Q266" s="34">
        <f t="shared" si="7"/>
        <v>0.5093158831</v>
      </c>
      <c r="R266" s="31"/>
      <c r="S266" s="31" t="s">
        <v>60</v>
      </c>
      <c r="T266" s="135" t="s">
        <v>1904</v>
      </c>
      <c r="U266" s="135" t="s">
        <v>1904</v>
      </c>
      <c r="V266" s="51">
        <v>0.0</v>
      </c>
      <c r="W266" s="31"/>
      <c r="X266" s="92" t="s">
        <v>113</v>
      </c>
      <c r="Y266" s="54"/>
      <c r="Z266" s="54"/>
      <c r="AA266" s="54" t="s">
        <v>114</v>
      </c>
      <c r="AB266" s="38" t="s">
        <v>115</v>
      </c>
      <c r="AC266" s="38"/>
      <c r="AD266" s="39">
        <v>43050.33</v>
      </c>
      <c r="AE266" s="39">
        <v>23549.35533</v>
      </c>
      <c r="AF266" s="39">
        <v>19500.97467</v>
      </c>
      <c r="AG266" s="57" t="s">
        <v>1905</v>
      </c>
      <c r="AH266" s="69" t="s">
        <v>1906</v>
      </c>
      <c r="AI266" s="42" t="str">
        <f>IFERROR(__xludf.DUMMYFUNCTION("vLOOKUP(A266,IMPORTRANGE(""https://docs.google.com/spreadsheets/d/1Rawwwdh8wntXGy8isdYNHxsNQS4n_rC8JSdPfj6vEq4"",""'500 объектов перенос на 2026'!A3:AB502""),13,0)"),"#REF!")</f>
        <v>#REF!</v>
      </c>
      <c r="AJ266" s="42" t="str">
        <f>IFERROR(__xludf.DUMMYFUNCTION("vLOOKUP(A266,IMPORTRANGE(""https://docs.google.com/spreadsheets/d/1Rawwwdh8wntXGy8isdYNHxsNQS4n_rC8JSdPfj6vEq4"",""'500 объектов перенос на 2026'!A3:AB502""),14,0)"),"#REF!")</f>
        <v>#REF!</v>
      </c>
      <c r="AK266" s="76" t="s">
        <v>114</v>
      </c>
      <c r="AL266" s="70"/>
      <c r="AM266" s="70"/>
      <c r="AN266" s="43"/>
      <c r="AO266" s="43"/>
      <c r="AP266" s="43"/>
      <c r="AQ266" s="43"/>
      <c r="AR266" s="43"/>
      <c r="AS266" s="43"/>
      <c r="AT266" s="43"/>
      <c r="AU266" s="43"/>
      <c r="AV266" s="43"/>
      <c r="AW266" s="43"/>
      <c r="AX266" s="43"/>
      <c r="AY266" s="43"/>
      <c r="AZ266" s="43"/>
    </row>
    <row r="267">
      <c r="A267" s="78" t="s">
        <v>1907</v>
      </c>
      <c r="B267" s="63" t="s">
        <v>56</v>
      </c>
      <c r="C267" s="64" t="s">
        <v>1908</v>
      </c>
      <c r="D267" s="47" t="s">
        <v>1903</v>
      </c>
      <c r="E267" s="64" t="s">
        <v>85</v>
      </c>
      <c r="F267" s="31" t="s">
        <v>60</v>
      </c>
      <c r="G267" s="31"/>
      <c r="H267" s="31"/>
      <c r="I267" s="31" t="s">
        <v>60</v>
      </c>
      <c r="J267" s="31"/>
      <c r="K267" s="31"/>
      <c r="L267" s="32" t="str">
        <f>IFERROR(__xludf.DUMMYFUNCTION("VLOOKUP($A267,IMPORTRANGE(""1PQtfbQLqBUP-rjYRznmgNFBLOjvAnhGzpIx7BJWq8rk"",""'Worksheet'!$B$2:$H""),7,FALSE)"),"#N/A")</f>
        <v>#N/A</v>
      </c>
      <c r="M267" s="31" t="s">
        <v>60</v>
      </c>
      <c r="N267" s="49">
        <v>6.9359472E7</v>
      </c>
      <c r="O267" s="49">
        <v>3.844861522E7</v>
      </c>
      <c r="P267" s="49">
        <v>0.0</v>
      </c>
      <c r="Q267" s="34">
        <f t="shared" si="7"/>
        <v>0.4456616507</v>
      </c>
      <c r="R267" s="31"/>
      <c r="S267" s="31" t="s">
        <v>60</v>
      </c>
      <c r="T267" s="135" t="s">
        <v>1909</v>
      </c>
      <c r="U267" s="135" t="s">
        <v>1909</v>
      </c>
      <c r="V267" s="51">
        <v>0.0</v>
      </c>
      <c r="W267" s="31"/>
      <c r="X267" s="92" t="s">
        <v>1910</v>
      </c>
      <c r="Y267" s="54"/>
      <c r="Z267" s="54"/>
      <c r="AA267" s="54" t="s">
        <v>114</v>
      </c>
      <c r="AB267" s="38" t="s">
        <v>115</v>
      </c>
      <c r="AC267" s="38"/>
      <c r="AD267" s="39" t="s">
        <v>1911</v>
      </c>
      <c r="AE267" s="39">
        <v>39071.04322</v>
      </c>
      <c r="AF267" s="39">
        <v>-16441.57322</v>
      </c>
      <c r="AG267" s="57" t="s">
        <v>1912</v>
      </c>
      <c r="AH267" s="69" t="s">
        <v>66</v>
      </c>
      <c r="AI267" s="42" t="str">
        <f>IFERROR(__xludf.DUMMYFUNCTION("vLOOKUP(A267,IMPORTRANGE(""https://docs.google.com/spreadsheets/d/1Rawwwdh8wntXGy8isdYNHxsNQS4n_rC8JSdPfj6vEq4"",""'500 объектов перенос на 2026'!A3:AB502""),13,0)"),"#REF!")</f>
        <v>#REF!</v>
      </c>
      <c r="AJ267" s="42" t="str">
        <f>IFERROR(__xludf.DUMMYFUNCTION("vLOOKUP(A267,IMPORTRANGE(""https://docs.google.com/spreadsheets/d/1Rawwwdh8wntXGy8isdYNHxsNQS4n_rC8JSdPfj6vEq4"",""'500 объектов перенос на 2026'!A3:AB502""),14,0)"),"#REF!")</f>
        <v>#REF!</v>
      </c>
      <c r="AK267" s="76" t="s">
        <v>114</v>
      </c>
      <c r="AL267" s="70"/>
      <c r="AM267" s="70"/>
      <c r="AN267" s="43"/>
      <c r="AO267" s="43"/>
      <c r="AP267" s="43"/>
      <c r="AQ267" s="43"/>
      <c r="AR267" s="43"/>
      <c r="AS267" s="43"/>
      <c r="AT267" s="43"/>
      <c r="AU267" s="43"/>
      <c r="AV267" s="43"/>
      <c r="AW267" s="43"/>
      <c r="AX267" s="43"/>
      <c r="AY267" s="43"/>
      <c r="AZ267" s="43"/>
    </row>
    <row r="268">
      <c r="A268" s="78" t="s">
        <v>1913</v>
      </c>
      <c r="B268" s="63" t="s">
        <v>56</v>
      </c>
      <c r="C268" s="64" t="s">
        <v>1914</v>
      </c>
      <c r="D268" s="47" t="s">
        <v>1903</v>
      </c>
      <c r="E268" s="64" t="s">
        <v>85</v>
      </c>
      <c r="F268" s="31" t="s">
        <v>60</v>
      </c>
      <c r="G268" s="31"/>
      <c r="H268" s="31"/>
      <c r="I268" s="31" t="s">
        <v>60</v>
      </c>
      <c r="J268" s="31"/>
      <c r="K268" s="31"/>
      <c r="L268" s="32" t="str">
        <f>IFERROR(__xludf.DUMMYFUNCTION("VLOOKUP($A268,IMPORTRANGE(""1PQtfbQLqBUP-rjYRznmgNFBLOjvAnhGzpIx7BJWq8rk"",""'Worksheet'!$B$2:$H""),7,FALSE)"),"#N/A")</f>
        <v>#N/A</v>
      </c>
      <c r="M268" s="31" t="s">
        <v>60</v>
      </c>
      <c r="N268" s="49">
        <v>2.3410646E7</v>
      </c>
      <c r="O268" s="49">
        <v>1.526195858E7</v>
      </c>
      <c r="P268" s="49">
        <v>0.0</v>
      </c>
      <c r="Q268" s="34">
        <f t="shared" si="7"/>
        <v>0.3480761454</v>
      </c>
      <c r="R268" s="31"/>
      <c r="S268" s="31" t="s">
        <v>60</v>
      </c>
      <c r="T268" s="135" t="s">
        <v>1915</v>
      </c>
      <c r="U268" s="135" t="s">
        <v>1915</v>
      </c>
      <c r="V268" s="51">
        <v>0.0</v>
      </c>
      <c r="W268" s="31"/>
      <c r="X268" s="92" t="s">
        <v>113</v>
      </c>
      <c r="Y268" s="54"/>
      <c r="Z268" s="54"/>
      <c r="AA268" s="54" t="s">
        <v>114</v>
      </c>
      <c r="AB268" s="38" t="s">
        <v>115</v>
      </c>
      <c r="AC268" s="38" t="s">
        <v>255</v>
      </c>
      <c r="AD268" s="39" t="s">
        <v>1916</v>
      </c>
      <c r="AE268" s="39">
        <v>15475.22258</v>
      </c>
      <c r="AF268" s="39">
        <v>3404.33742</v>
      </c>
      <c r="AG268" s="57" t="s">
        <v>1917</v>
      </c>
      <c r="AH268" s="42" t="s">
        <v>255</v>
      </c>
      <c r="AI268" s="42" t="str">
        <f>IFERROR(__xludf.DUMMYFUNCTION("vLOOKUP(A268,IMPORTRANGE(""https://docs.google.com/spreadsheets/d/1Rawwwdh8wntXGy8isdYNHxsNQS4n_rC8JSdPfj6vEq4"",""'500 объектов перенос на 2026'!A3:AB502""),13,0)"),"#REF!")</f>
        <v>#REF!</v>
      </c>
      <c r="AJ268" s="42" t="str">
        <f>IFERROR(__xludf.DUMMYFUNCTION("vLOOKUP(A268,IMPORTRANGE(""https://docs.google.com/spreadsheets/d/1Rawwwdh8wntXGy8isdYNHxsNQS4n_rC8JSdPfj6vEq4"",""'500 объектов перенос на 2026'!A3:AB502""),14,0)"),"#REF!")</f>
        <v>#REF!</v>
      </c>
      <c r="AK268" s="76" t="s">
        <v>114</v>
      </c>
      <c r="AL268" s="70"/>
      <c r="AM268" s="70"/>
      <c r="AN268" s="43"/>
      <c r="AO268" s="43"/>
      <c r="AP268" s="43"/>
      <c r="AQ268" s="43"/>
      <c r="AR268" s="43"/>
      <c r="AS268" s="43"/>
      <c r="AT268" s="43"/>
      <c r="AU268" s="43"/>
      <c r="AV268" s="43"/>
      <c r="AW268" s="43"/>
      <c r="AX268" s="43"/>
      <c r="AY268" s="43"/>
      <c r="AZ268" s="43"/>
    </row>
    <row r="269">
      <c r="A269" s="114" t="s">
        <v>1918</v>
      </c>
      <c r="B269" s="63" t="s">
        <v>56</v>
      </c>
      <c r="C269" s="64" t="s">
        <v>1919</v>
      </c>
      <c r="D269" s="47" t="s">
        <v>1903</v>
      </c>
      <c r="E269" s="64" t="s">
        <v>85</v>
      </c>
      <c r="F269" s="31" t="s">
        <v>60</v>
      </c>
      <c r="G269" s="31"/>
      <c r="H269" s="31"/>
      <c r="I269" s="31" t="s">
        <v>60</v>
      </c>
      <c r="J269" s="31"/>
      <c r="K269" s="31"/>
      <c r="L269" s="32" t="str">
        <f>IFERROR(__xludf.DUMMYFUNCTION("VLOOKUP($A269,IMPORTRANGE(""1PQtfbQLqBUP-rjYRznmgNFBLOjvAnhGzpIx7BJWq8rk"",""'Worksheet'!$B$2:$H""),7,FALSE)"),"#N/A")</f>
        <v>#N/A</v>
      </c>
      <c r="M269" s="31" t="s">
        <v>60</v>
      </c>
      <c r="N269" s="49">
        <v>3.9448762E7</v>
      </c>
      <c r="O269" s="49">
        <v>2.329774485E7</v>
      </c>
      <c r="P269" s="49">
        <v>0.0</v>
      </c>
      <c r="Q269" s="34">
        <f t="shared" si="7"/>
        <v>0.4094175921</v>
      </c>
      <c r="R269" s="31"/>
      <c r="S269" s="31" t="s">
        <v>60</v>
      </c>
      <c r="T269" s="135" t="s">
        <v>1920</v>
      </c>
      <c r="U269" s="135" t="s">
        <v>1920</v>
      </c>
      <c r="V269" s="51">
        <v>0.0</v>
      </c>
      <c r="W269" s="31"/>
      <c r="X269" s="92" t="s">
        <v>113</v>
      </c>
      <c r="Y269" s="54"/>
      <c r="Z269" s="54"/>
      <c r="AA269" s="54" t="s">
        <v>114</v>
      </c>
      <c r="AB269" s="38" t="s">
        <v>115</v>
      </c>
      <c r="AC269" s="38"/>
      <c r="AD269" s="39">
        <v>24518.28</v>
      </c>
      <c r="AE269" s="39">
        <v>24953.00863</v>
      </c>
      <c r="AF269" s="39">
        <v>-434.72863</v>
      </c>
      <c r="AG269" s="57" t="s">
        <v>1921</v>
      </c>
      <c r="AH269" s="69" t="s">
        <v>66</v>
      </c>
      <c r="AI269" s="42" t="str">
        <f>IFERROR(__xludf.DUMMYFUNCTION("vLOOKUP(A269,IMPORTRANGE(""https://docs.google.com/spreadsheets/d/1Rawwwdh8wntXGy8isdYNHxsNQS4n_rC8JSdPfj6vEq4"",""'500 объектов перенос на 2026'!A3:AB502""),13,0)"),"#REF!")</f>
        <v>#REF!</v>
      </c>
      <c r="AJ269" s="42" t="str">
        <f>IFERROR(__xludf.DUMMYFUNCTION("vLOOKUP(A269,IMPORTRANGE(""https://docs.google.com/spreadsheets/d/1Rawwwdh8wntXGy8isdYNHxsNQS4n_rC8JSdPfj6vEq4"",""'500 объектов перенос на 2026'!A3:AB502""),14,0)"),"#REF!")</f>
        <v>#REF!</v>
      </c>
      <c r="AK269" s="76" t="s">
        <v>114</v>
      </c>
      <c r="AL269" s="70"/>
      <c r="AM269" s="70"/>
      <c r="AN269" s="43"/>
      <c r="AO269" s="43"/>
      <c r="AP269" s="43"/>
      <c r="AQ269" s="43"/>
      <c r="AR269" s="43"/>
      <c r="AS269" s="43"/>
      <c r="AT269" s="43"/>
      <c r="AU269" s="43"/>
      <c r="AV269" s="43"/>
      <c r="AW269" s="43"/>
      <c r="AX269" s="43"/>
      <c r="AY269" s="43"/>
      <c r="AZ269" s="43"/>
    </row>
    <row r="270">
      <c r="A270" s="78" t="s">
        <v>1922</v>
      </c>
      <c r="B270" s="63" t="s">
        <v>56</v>
      </c>
      <c r="C270" s="64" t="s">
        <v>1923</v>
      </c>
      <c r="D270" s="47" t="s">
        <v>1924</v>
      </c>
      <c r="E270" s="64" t="s">
        <v>85</v>
      </c>
      <c r="F270" s="31" t="s">
        <v>60</v>
      </c>
      <c r="G270" s="31"/>
      <c r="H270" s="31"/>
      <c r="I270" s="31" t="s">
        <v>60</v>
      </c>
      <c r="J270" s="31"/>
      <c r="K270" s="31"/>
      <c r="L270" s="32" t="str">
        <f>IFERROR(__xludf.DUMMYFUNCTION("VLOOKUP($A270,IMPORTRANGE(""1PQtfbQLqBUP-rjYRznmgNFBLOjvAnhGzpIx7BJWq8rk"",""'Worksheet'!$B$2:$H""),7,FALSE)"),"#N/A")</f>
        <v>#N/A</v>
      </c>
      <c r="M270" s="31" t="s">
        <v>60</v>
      </c>
      <c r="N270" s="49">
        <v>3.8149488E7</v>
      </c>
      <c r="O270" s="49">
        <v>3.783985124E7</v>
      </c>
      <c r="P270" s="49">
        <v>0.0</v>
      </c>
      <c r="Q270" s="34">
        <f t="shared" si="7"/>
        <v>0.0081164067</v>
      </c>
      <c r="R270" s="31"/>
      <c r="S270" s="31" t="s">
        <v>60</v>
      </c>
      <c r="T270" s="135" t="s">
        <v>1925</v>
      </c>
      <c r="U270" s="135" t="s">
        <v>1925</v>
      </c>
      <c r="V270" s="51">
        <v>0.0</v>
      </c>
      <c r="W270" s="31"/>
      <c r="X270" s="92" t="s">
        <v>113</v>
      </c>
      <c r="Y270" s="54"/>
      <c r="Z270" s="54"/>
      <c r="AA270" s="54" t="s">
        <v>114</v>
      </c>
      <c r="AB270" s="38" t="s">
        <v>115</v>
      </c>
      <c r="AC270" s="38" t="s">
        <v>284</v>
      </c>
      <c r="AD270" s="39" t="s">
        <v>1926</v>
      </c>
      <c r="AE270" s="39">
        <v>39986.84324</v>
      </c>
      <c r="AF270" s="39">
        <v>42022.80676</v>
      </c>
      <c r="AG270" s="57" t="s">
        <v>1927</v>
      </c>
      <c r="AH270" s="42" t="s">
        <v>284</v>
      </c>
      <c r="AI270" s="42" t="str">
        <f>IFERROR(__xludf.DUMMYFUNCTION("vLOOKUP(A270,IMPORTRANGE(""https://docs.google.com/spreadsheets/d/1Rawwwdh8wntXGy8isdYNHxsNQS4n_rC8JSdPfj6vEq4"",""'500 объектов перенос на 2026'!A3:AB502""),13,0)"),"#REF!")</f>
        <v>#REF!</v>
      </c>
      <c r="AJ270" s="42" t="str">
        <f>IFERROR(__xludf.DUMMYFUNCTION("vLOOKUP(A270,IMPORTRANGE(""https://docs.google.com/spreadsheets/d/1Rawwwdh8wntXGy8isdYNHxsNQS4n_rC8JSdPfj6vEq4"",""'500 объектов перенос на 2026'!A3:AB502""),14,0)"),"#REF!")</f>
        <v>#REF!</v>
      </c>
      <c r="AK270" s="76" t="s">
        <v>114</v>
      </c>
      <c r="AL270" s="70"/>
      <c r="AM270" s="70"/>
      <c r="AN270" s="43"/>
      <c r="AO270" s="43"/>
      <c r="AP270" s="43"/>
      <c r="AQ270" s="43"/>
      <c r="AR270" s="43"/>
      <c r="AS270" s="43"/>
      <c r="AT270" s="43"/>
      <c r="AU270" s="43"/>
      <c r="AV270" s="43"/>
      <c r="AW270" s="43"/>
      <c r="AX270" s="43"/>
      <c r="AY270" s="43"/>
      <c r="AZ270" s="43"/>
    </row>
    <row r="271">
      <c r="A271" s="78" t="s">
        <v>1928</v>
      </c>
      <c r="B271" s="63" t="s">
        <v>56</v>
      </c>
      <c r="C271" s="64" t="s">
        <v>1929</v>
      </c>
      <c r="D271" s="47" t="s">
        <v>1930</v>
      </c>
      <c r="E271" s="64" t="s">
        <v>59</v>
      </c>
      <c r="F271" s="31" t="s">
        <v>60</v>
      </c>
      <c r="G271" s="31"/>
      <c r="H271" s="31"/>
      <c r="I271" s="31" t="s">
        <v>60</v>
      </c>
      <c r="J271" s="31"/>
      <c r="K271" s="31"/>
      <c r="L271" s="32" t="str">
        <f>IFERROR(__xludf.DUMMYFUNCTION("VLOOKUP($A271,IMPORTRANGE(""1PQtfbQLqBUP-rjYRznmgNFBLOjvAnhGzpIx7BJWq8rk"",""'Worksheet'!$B$2:$H""),7,FALSE)"),"#N/A")</f>
        <v>#N/A</v>
      </c>
      <c r="M271" s="31" t="s">
        <v>60</v>
      </c>
      <c r="N271" s="49">
        <v>1.288697444E7</v>
      </c>
      <c r="O271" s="49">
        <v>1.234732849E7</v>
      </c>
      <c r="P271" s="49">
        <v>0.0</v>
      </c>
      <c r="Q271" s="34">
        <f t="shared" si="7"/>
        <v>0.04187530227</v>
      </c>
      <c r="R271" s="31"/>
      <c r="S271" s="31" t="s">
        <v>60</v>
      </c>
      <c r="T271" s="135" t="s">
        <v>1931</v>
      </c>
      <c r="U271" s="135" t="s">
        <v>1931</v>
      </c>
      <c r="V271" s="51">
        <v>0.0</v>
      </c>
      <c r="W271" s="31"/>
      <c r="X271" s="92" t="s">
        <v>113</v>
      </c>
      <c r="Y271" s="54"/>
      <c r="Z271" s="54"/>
      <c r="AA271" s="54" t="s">
        <v>114</v>
      </c>
      <c r="AB271" s="38" t="s">
        <v>115</v>
      </c>
      <c r="AC271" s="38" t="s">
        <v>284</v>
      </c>
      <c r="AD271" s="39">
        <v>17896.56</v>
      </c>
      <c r="AE271" s="39">
        <v>12347.32849</v>
      </c>
      <c r="AF271" s="39">
        <v>5549.23151</v>
      </c>
      <c r="AG271" s="57" t="s">
        <v>1932</v>
      </c>
      <c r="AH271" s="42" t="s">
        <v>284</v>
      </c>
      <c r="AI271" s="42" t="str">
        <f>IFERROR(__xludf.DUMMYFUNCTION("vLOOKUP(A271,IMPORTRANGE(""https://docs.google.com/spreadsheets/d/1Rawwwdh8wntXGy8isdYNHxsNQS4n_rC8JSdPfj6vEq4"",""'500 объектов перенос на 2026'!A3:AB502""),13,0)"),"#REF!")</f>
        <v>#REF!</v>
      </c>
      <c r="AJ271" s="42" t="str">
        <f>IFERROR(__xludf.DUMMYFUNCTION("vLOOKUP(A271,IMPORTRANGE(""https://docs.google.com/spreadsheets/d/1Rawwwdh8wntXGy8isdYNHxsNQS4n_rC8JSdPfj6vEq4"",""'500 объектов перенос на 2026'!A3:AB502""),14,0)"),"#REF!")</f>
        <v>#REF!</v>
      </c>
      <c r="AK271" s="76" t="s">
        <v>114</v>
      </c>
      <c r="AL271" s="70"/>
      <c r="AM271" s="70"/>
      <c r="AN271" s="43"/>
      <c r="AO271" s="43"/>
      <c r="AP271" s="43"/>
      <c r="AQ271" s="43"/>
      <c r="AR271" s="43"/>
      <c r="AS271" s="43"/>
      <c r="AT271" s="43"/>
      <c r="AU271" s="43"/>
      <c r="AV271" s="43"/>
      <c r="AW271" s="43"/>
      <c r="AX271" s="43"/>
      <c r="AY271" s="43"/>
      <c r="AZ271" s="43"/>
    </row>
    <row r="272">
      <c r="A272" s="62" t="s">
        <v>1933</v>
      </c>
      <c r="B272" s="63" t="s">
        <v>56</v>
      </c>
      <c r="C272" s="64" t="s">
        <v>1934</v>
      </c>
      <c r="D272" s="47" t="s">
        <v>957</v>
      </c>
      <c r="E272" s="64" t="s">
        <v>324</v>
      </c>
      <c r="F272" s="31" t="s">
        <v>60</v>
      </c>
      <c r="G272" s="31"/>
      <c r="H272" s="31"/>
      <c r="I272" s="31" t="s">
        <v>60</v>
      </c>
      <c r="J272" s="31"/>
      <c r="K272" s="31"/>
      <c r="L272" s="32" t="str">
        <f>IFERROR(__xludf.DUMMYFUNCTION("VLOOKUP($A272,IMPORTRANGE(""1PQtfbQLqBUP-rjYRznmgNFBLOjvAnhGzpIx7BJWq8rk"",""'Worksheet'!$B$2:$H""),7,FALSE)"),"#N/A")</f>
        <v>#N/A</v>
      </c>
      <c r="M272" s="31" t="s">
        <v>60</v>
      </c>
      <c r="N272" s="49">
        <v>5.762746188E7</v>
      </c>
      <c r="O272" s="49">
        <v>5.299894611E7</v>
      </c>
      <c r="P272" s="49">
        <v>0.0</v>
      </c>
      <c r="Q272" s="34">
        <f t="shared" si="7"/>
        <v>0.08031788351</v>
      </c>
      <c r="R272" s="31"/>
      <c r="S272" s="31" t="s">
        <v>60</v>
      </c>
      <c r="T272" s="135" t="s">
        <v>1935</v>
      </c>
      <c r="U272" s="135" t="s">
        <v>1935</v>
      </c>
      <c r="V272" s="51">
        <v>0.0</v>
      </c>
      <c r="W272" s="31"/>
      <c r="X272" s="52" t="s">
        <v>49</v>
      </c>
      <c r="Y272" s="74"/>
      <c r="Z272" s="74"/>
      <c r="AA272" s="54" t="s">
        <v>114</v>
      </c>
      <c r="AB272" s="38" t="s">
        <v>115</v>
      </c>
      <c r="AC272" s="38"/>
      <c r="AD272" s="39">
        <v>57627.46</v>
      </c>
      <c r="AE272" s="39">
        <v>52998.95111</v>
      </c>
      <c r="AF272" s="40">
        <v>4628.50889</v>
      </c>
      <c r="AG272" s="57" t="s">
        <v>1936</v>
      </c>
      <c r="AH272" s="69" t="s">
        <v>66</v>
      </c>
      <c r="AI272" s="42" t="str">
        <f>IFERROR(__xludf.DUMMYFUNCTION("vLOOKUP(A272,IMPORTRANGE(""https://docs.google.com/spreadsheets/d/1Rawwwdh8wntXGy8isdYNHxsNQS4n_rC8JSdPfj6vEq4"",""'500 объектов перенос на 2026'!A3:AB502""),13,0)"),"#REF!")</f>
        <v>#REF!</v>
      </c>
      <c r="AJ272" s="42" t="str">
        <f>IFERROR(__xludf.DUMMYFUNCTION("vLOOKUP(A272,IMPORTRANGE(""https://docs.google.com/spreadsheets/d/1Rawwwdh8wntXGy8isdYNHxsNQS4n_rC8JSdPfj6vEq4"",""'500 объектов перенос на 2026'!A3:AB502""),14,0)"),"#REF!")</f>
        <v>#REF!</v>
      </c>
      <c r="AK272" s="76" t="s">
        <v>114</v>
      </c>
      <c r="AL272" s="70"/>
      <c r="AM272" s="70"/>
      <c r="AN272" s="43"/>
      <c r="AO272" s="43"/>
      <c r="AP272" s="43"/>
      <c r="AQ272" s="43"/>
      <c r="AR272" s="43"/>
      <c r="AS272" s="43"/>
      <c r="AT272" s="43"/>
      <c r="AU272" s="43"/>
      <c r="AV272" s="43"/>
      <c r="AW272" s="43"/>
      <c r="AX272" s="43"/>
      <c r="AY272" s="43"/>
      <c r="AZ272" s="43"/>
    </row>
    <row r="273">
      <c r="A273" s="62" t="s">
        <v>1937</v>
      </c>
      <c r="B273" s="63" t="s">
        <v>56</v>
      </c>
      <c r="C273" s="64" t="s">
        <v>1938</v>
      </c>
      <c r="D273" s="47" t="s">
        <v>957</v>
      </c>
      <c r="E273" s="64" t="s">
        <v>85</v>
      </c>
      <c r="F273" s="31" t="s">
        <v>60</v>
      </c>
      <c r="G273" s="31"/>
      <c r="H273" s="31"/>
      <c r="I273" s="31" t="s">
        <v>60</v>
      </c>
      <c r="J273" s="31"/>
      <c r="K273" s="31"/>
      <c r="L273" s="32" t="str">
        <f>IFERROR(__xludf.DUMMYFUNCTION("VLOOKUP($A273,IMPORTRANGE(""1PQtfbQLqBUP-rjYRznmgNFBLOjvAnhGzpIx7BJWq8rk"",""'Worksheet'!$B$2:$H""),7,FALSE)"),"#N/A")</f>
        <v>#N/A</v>
      </c>
      <c r="M273" s="31" t="s">
        <v>60</v>
      </c>
      <c r="N273" s="49">
        <v>7.787216539E7</v>
      </c>
      <c r="O273" s="49">
        <v>3.952584024E7</v>
      </c>
      <c r="P273" s="49">
        <v>0.0</v>
      </c>
      <c r="Q273" s="34">
        <f t="shared" si="7"/>
        <v>0.4924265937</v>
      </c>
      <c r="R273" s="31"/>
      <c r="S273" s="31" t="s">
        <v>60</v>
      </c>
      <c r="T273" s="135" t="s">
        <v>1939</v>
      </c>
      <c r="U273" s="135" t="s">
        <v>1939</v>
      </c>
      <c r="V273" s="51">
        <v>0.0</v>
      </c>
      <c r="W273" s="31"/>
      <c r="X273" s="52" t="s">
        <v>1940</v>
      </c>
      <c r="Y273" s="54"/>
      <c r="Z273" s="54"/>
      <c r="AA273" s="54" t="s">
        <v>114</v>
      </c>
      <c r="AB273" s="38" t="s">
        <v>115</v>
      </c>
      <c r="AC273" s="38"/>
      <c r="AD273" s="39">
        <v>77872.16539</v>
      </c>
      <c r="AE273" s="39">
        <v>14025.84024</v>
      </c>
      <c r="AF273" s="40">
        <v>63846.32515</v>
      </c>
      <c r="AG273" s="57" t="s">
        <v>1941</v>
      </c>
      <c r="AH273" s="69" t="s">
        <v>1906</v>
      </c>
      <c r="AI273" s="42" t="str">
        <f>IFERROR(__xludf.DUMMYFUNCTION("vLOOKUP(A273,IMPORTRANGE(""https://docs.google.com/spreadsheets/d/1Rawwwdh8wntXGy8isdYNHxsNQS4n_rC8JSdPfj6vEq4"",""'500 объектов перенос на 2026'!A3:AB502""),13,0)"),"#REF!")</f>
        <v>#REF!</v>
      </c>
      <c r="AJ273" s="42" t="str">
        <f>IFERROR(__xludf.DUMMYFUNCTION("vLOOKUP(A273,IMPORTRANGE(""https://docs.google.com/spreadsheets/d/1Rawwwdh8wntXGy8isdYNHxsNQS4n_rC8JSdPfj6vEq4"",""'500 объектов перенос на 2026'!A3:AB502""),14,0)"),"#REF!")</f>
        <v>#REF!</v>
      </c>
      <c r="AK273" s="76" t="s">
        <v>114</v>
      </c>
      <c r="AL273" s="70"/>
      <c r="AM273" s="70"/>
      <c r="AN273" s="43"/>
      <c r="AO273" s="43"/>
      <c r="AP273" s="43"/>
      <c r="AQ273" s="43"/>
      <c r="AR273" s="43"/>
      <c r="AS273" s="43"/>
      <c r="AT273" s="43"/>
      <c r="AU273" s="43"/>
      <c r="AV273" s="43"/>
      <c r="AW273" s="43"/>
      <c r="AX273" s="43"/>
      <c r="AY273" s="43"/>
      <c r="AZ273" s="43"/>
    </row>
    <row r="274">
      <c r="A274" s="62" t="s">
        <v>1942</v>
      </c>
      <c r="B274" s="63" t="s">
        <v>703</v>
      </c>
      <c r="C274" s="64" t="s">
        <v>1943</v>
      </c>
      <c r="D274" s="47" t="s">
        <v>1523</v>
      </c>
      <c r="E274" s="64" t="s">
        <v>85</v>
      </c>
      <c r="F274" s="31" t="s">
        <v>40</v>
      </c>
      <c r="G274" s="31" t="s">
        <v>41</v>
      </c>
      <c r="H274" s="31" t="s">
        <v>779</v>
      </c>
      <c r="I274" s="31" t="s">
        <v>60</v>
      </c>
      <c r="J274" s="31"/>
      <c r="K274" s="31"/>
      <c r="L274" s="32">
        <f>IFERROR(__xludf.DUMMYFUNCTION("VLOOKUP($A274,IMPORTRANGE(""1PQtfbQLqBUP-rjYRznmgNFBLOjvAnhGzpIx7BJWq8rk"",""'Worksheet'!$B$2:$H""),7,FALSE)"),0.98)</f>
        <v>0.98</v>
      </c>
      <c r="M274" s="31" t="s">
        <v>45</v>
      </c>
      <c r="N274" s="49">
        <v>6.595588051E7</v>
      </c>
      <c r="O274" s="49">
        <v>6.329320559E7</v>
      </c>
      <c r="P274" s="49">
        <f t="shared" ref="P274:P275" si="40">N274-O274</f>
        <v>2662674.92</v>
      </c>
      <c r="Q274" s="34">
        <f t="shared" si="7"/>
        <v>0.04037054618</v>
      </c>
      <c r="R274" s="31"/>
      <c r="S274" s="31" t="s">
        <v>45</v>
      </c>
      <c r="T274" s="166"/>
      <c r="U274" s="167"/>
      <c r="V274" s="51"/>
      <c r="W274" s="31"/>
      <c r="X274" s="36" t="s">
        <v>803</v>
      </c>
      <c r="Y274" s="128" t="s">
        <v>706</v>
      </c>
      <c r="Z274" s="54" t="s">
        <v>707</v>
      </c>
      <c r="AA274" s="54" t="s">
        <v>114</v>
      </c>
      <c r="AB274" s="38" t="s">
        <v>115</v>
      </c>
      <c r="AC274" s="35"/>
      <c r="AD274" s="39">
        <v>65955.88</v>
      </c>
      <c r="AE274" s="39">
        <v>64241.6</v>
      </c>
      <c r="AF274" s="40">
        <f>AD274-AE274</f>
        <v>1714.28</v>
      </c>
      <c r="AG274" s="168" t="s">
        <v>1944</v>
      </c>
      <c r="AH274" s="42"/>
      <c r="AI274" s="42" t="str">
        <f>IFERROR(__xludf.DUMMYFUNCTION("vLOOKUP(A274,IMPORTRANGE(""https://docs.google.com/spreadsheets/d/1Rawwwdh8wntXGy8isdYNHxsNQS4n_rC8JSdPfj6vEq4"",""'500 объектов перенос на 2026'!A3:AB502""),13,0)"),"#REF!")</f>
        <v>#REF!</v>
      </c>
      <c r="AJ274" s="42" t="str">
        <f>IFERROR(__xludf.DUMMYFUNCTION("vLOOKUP(A274,IMPORTRANGE(""https://docs.google.com/spreadsheets/d/1Rawwwdh8wntXGy8isdYNHxsNQS4n_rC8JSdPfj6vEq4"",""'500 объектов перенос на 2026'!A3:AB502""),14,0)"),"#REF!")</f>
        <v>#REF!</v>
      </c>
      <c r="AK274" s="163" t="s">
        <v>115</v>
      </c>
      <c r="AL274" s="110"/>
      <c r="AM274" s="110"/>
      <c r="AN274" s="43"/>
      <c r="AO274" s="43"/>
      <c r="AP274" s="43"/>
      <c r="AQ274" s="43"/>
      <c r="AR274" s="43"/>
      <c r="AS274" s="43"/>
      <c r="AT274" s="43"/>
      <c r="AU274" s="43"/>
      <c r="AV274" s="43"/>
      <c r="AW274" s="43"/>
      <c r="AX274" s="43"/>
      <c r="AY274" s="43"/>
      <c r="AZ274" s="43"/>
    </row>
    <row r="275">
      <c r="A275" s="78" t="s">
        <v>1945</v>
      </c>
      <c r="B275" s="63" t="s">
        <v>400</v>
      </c>
      <c r="C275" s="64" t="s">
        <v>1946</v>
      </c>
      <c r="D275" s="47" t="s">
        <v>1947</v>
      </c>
      <c r="E275" s="64" t="s">
        <v>85</v>
      </c>
      <c r="F275" s="31" t="s">
        <v>40</v>
      </c>
      <c r="G275" s="31" t="s">
        <v>41</v>
      </c>
      <c r="H275" s="31" t="s">
        <v>260</v>
      </c>
      <c r="I275" s="31" t="s">
        <v>60</v>
      </c>
      <c r="J275" s="31"/>
      <c r="K275" s="31"/>
      <c r="L275" s="32">
        <f>IFERROR(__xludf.DUMMYFUNCTION("VLOOKUP($A275,IMPORTRANGE(""1PQtfbQLqBUP-rjYRznmgNFBLOjvAnhGzpIx7BJWq8rk"",""'Worksheet'!$B$2:$H""),7,FALSE)"),0.95)</f>
        <v>0.95</v>
      </c>
      <c r="M275" s="31" t="s">
        <v>40</v>
      </c>
      <c r="N275" s="49">
        <v>2.48E7</v>
      </c>
      <c r="O275" s="49">
        <v>7440000.0</v>
      </c>
      <c r="P275" s="49">
        <f t="shared" si="40"/>
        <v>17360000</v>
      </c>
      <c r="Q275" s="34">
        <f t="shared" si="7"/>
        <v>0.7</v>
      </c>
      <c r="R275" s="31"/>
      <c r="S275" s="31" t="s">
        <v>40</v>
      </c>
      <c r="T275" s="84" t="s">
        <v>1948</v>
      </c>
      <c r="U275" s="84" t="s">
        <v>1949</v>
      </c>
      <c r="V275" s="84" t="s">
        <v>1950</v>
      </c>
      <c r="W275" s="31"/>
      <c r="X275" s="52" t="s">
        <v>49</v>
      </c>
      <c r="Y275" s="54" t="s">
        <v>1951</v>
      </c>
      <c r="Z275" s="54" t="s">
        <v>1749</v>
      </c>
      <c r="AA275" s="54" t="s">
        <v>1952</v>
      </c>
      <c r="AB275" s="56"/>
      <c r="AC275" s="38"/>
      <c r="AD275" s="39">
        <v>24800.0</v>
      </c>
      <c r="AE275" s="39">
        <v>7440.0</v>
      </c>
      <c r="AF275" s="40">
        <v>17360.0</v>
      </c>
      <c r="AG275" s="57" t="s">
        <v>1953</v>
      </c>
      <c r="AH275" s="42" t="s">
        <v>51</v>
      </c>
      <c r="AI275" s="42" t="str">
        <f>IFERROR(__xludf.DUMMYFUNCTION("vLOOKUP(A275,IMPORTRANGE(""https://docs.google.com/spreadsheets/d/1Rawwwdh8wntXGy8isdYNHxsNQS4n_rC8JSdPfj6vEq4"",""'500 объектов перенос на 2026'!A3:AB502""),13,0)"),"#REF!")</f>
        <v>#REF!</v>
      </c>
      <c r="AJ275" s="42" t="str">
        <f>IFERROR(__xludf.DUMMYFUNCTION("vLOOKUP(A275,IMPORTRANGE(""https://docs.google.com/spreadsheets/d/1Rawwwdh8wntXGy8isdYNHxsNQS4n_rC8JSdPfj6vEq4"",""'500 объектов перенос на 2026'!A3:AB502""),14,0)"),"#REF!")</f>
        <v>#REF!</v>
      </c>
      <c r="AK275" s="76" t="s">
        <v>1954</v>
      </c>
      <c r="AL275" s="70"/>
      <c r="AM275" s="70"/>
      <c r="AN275" s="43"/>
      <c r="AO275" s="43"/>
      <c r="AP275" s="43"/>
      <c r="AQ275" s="43"/>
      <c r="AR275" s="43"/>
      <c r="AS275" s="43"/>
      <c r="AT275" s="43"/>
      <c r="AU275" s="43"/>
      <c r="AV275" s="43"/>
      <c r="AW275" s="43"/>
      <c r="AX275" s="43"/>
      <c r="AY275" s="43"/>
      <c r="AZ275" s="43"/>
    </row>
    <row r="276">
      <c r="A276" s="78" t="s">
        <v>1955</v>
      </c>
      <c r="B276" s="63" t="s">
        <v>56</v>
      </c>
      <c r="C276" s="64" t="s">
        <v>1956</v>
      </c>
      <c r="D276" s="47" t="s">
        <v>311</v>
      </c>
      <c r="E276" s="64" t="s">
        <v>85</v>
      </c>
      <c r="F276" s="31" t="s">
        <v>60</v>
      </c>
      <c r="G276" s="31"/>
      <c r="H276" s="31"/>
      <c r="I276" s="31" t="s">
        <v>60</v>
      </c>
      <c r="J276" s="31"/>
      <c r="K276" s="31"/>
      <c r="L276" s="32" t="str">
        <f>IFERROR(__xludf.DUMMYFUNCTION("VLOOKUP($A276,IMPORTRANGE(""1PQtfbQLqBUP-rjYRznmgNFBLOjvAnhGzpIx7BJWq8rk"",""'Worksheet'!$B$2:$H""),7,FALSE)"),"#N/A")</f>
        <v>#N/A</v>
      </c>
      <c r="M276" s="31" t="s">
        <v>60</v>
      </c>
      <c r="N276" s="49">
        <v>2.412116305E7</v>
      </c>
      <c r="O276" s="49">
        <v>2.411742576E7</v>
      </c>
      <c r="P276" s="49">
        <v>0.0</v>
      </c>
      <c r="Q276" s="34">
        <f t="shared" si="7"/>
        <v>0.0001549382172</v>
      </c>
      <c r="R276" s="31"/>
      <c r="S276" s="31" t="s">
        <v>60</v>
      </c>
      <c r="T276" s="135" t="s">
        <v>1957</v>
      </c>
      <c r="U276" s="135" t="s">
        <v>1957</v>
      </c>
      <c r="V276" s="51">
        <v>0.0</v>
      </c>
      <c r="W276" s="31"/>
      <c r="X276" s="52" t="s">
        <v>113</v>
      </c>
      <c r="Y276" s="54"/>
      <c r="Z276" s="54"/>
      <c r="AA276" s="54" t="s">
        <v>114</v>
      </c>
      <c r="AB276" s="38" t="s">
        <v>115</v>
      </c>
      <c r="AC276" s="38" t="s">
        <v>284</v>
      </c>
      <c r="AD276" s="39">
        <v>27883.94</v>
      </c>
      <c r="AE276" s="39">
        <v>24117.42576</v>
      </c>
      <c r="AF276" s="39">
        <v>3766.51424</v>
      </c>
      <c r="AG276" s="57" t="s">
        <v>1958</v>
      </c>
      <c r="AH276" s="42" t="s">
        <v>284</v>
      </c>
      <c r="AI276" s="42" t="str">
        <f>IFERROR(__xludf.DUMMYFUNCTION("vLOOKUP(A276,IMPORTRANGE(""https://docs.google.com/spreadsheets/d/1Rawwwdh8wntXGy8isdYNHxsNQS4n_rC8JSdPfj6vEq4"",""'500 объектов перенос на 2026'!A3:AB502""),13,0)"),"#REF!")</f>
        <v>#REF!</v>
      </c>
      <c r="AJ276" s="42" t="str">
        <f>IFERROR(__xludf.DUMMYFUNCTION("vLOOKUP(A276,IMPORTRANGE(""https://docs.google.com/spreadsheets/d/1Rawwwdh8wntXGy8isdYNHxsNQS4n_rC8JSdPfj6vEq4"",""'500 объектов перенос на 2026'!A3:AB502""),14,0)"),"#REF!")</f>
        <v>#REF!</v>
      </c>
      <c r="AK276" s="76" t="s">
        <v>114</v>
      </c>
      <c r="AL276" s="70"/>
      <c r="AM276" s="70"/>
      <c r="AN276" s="43"/>
      <c r="AO276" s="43"/>
      <c r="AP276" s="43"/>
      <c r="AQ276" s="43"/>
      <c r="AR276" s="43"/>
      <c r="AS276" s="43"/>
      <c r="AT276" s="43"/>
      <c r="AU276" s="43"/>
      <c r="AV276" s="43"/>
      <c r="AW276" s="43"/>
      <c r="AX276" s="43"/>
      <c r="AY276" s="43"/>
      <c r="AZ276" s="43"/>
    </row>
    <row r="277">
      <c r="A277" s="78" t="s">
        <v>1959</v>
      </c>
      <c r="B277" s="63" t="s">
        <v>56</v>
      </c>
      <c r="C277" s="149" t="s">
        <v>1960</v>
      </c>
      <c r="D277" s="47" t="s">
        <v>957</v>
      </c>
      <c r="E277" s="64" t="s">
        <v>85</v>
      </c>
      <c r="F277" s="31" t="s">
        <v>60</v>
      </c>
      <c r="G277" s="31"/>
      <c r="H277" s="31"/>
      <c r="I277" s="31" t="s">
        <v>60</v>
      </c>
      <c r="J277" s="31"/>
      <c r="K277" s="31"/>
      <c r="L277" s="32" t="str">
        <f>IFERROR(__xludf.DUMMYFUNCTION("VLOOKUP($A277,IMPORTRANGE(""1PQtfbQLqBUP-rjYRznmgNFBLOjvAnhGzpIx7BJWq8rk"",""'Worksheet'!$B$2:$H""),7,FALSE)"),"#N/A")</f>
        <v>#N/A</v>
      </c>
      <c r="M277" s="31" t="s">
        <v>60</v>
      </c>
      <c r="N277" s="49">
        <v>7.57758397E7</v>
      </c>
      <c r="O277" s="49">
        <v>7.511585533E7</v>
      </c>
      <c r="P277" s="49">
        <v>0.0</v>
      </c>
      <c r="Q277" s="34">
        <f t="shared" si="7"/>
        <v>0.008709693916</v>
      </c>
      <c r="R277" s="31"/>
      <c r="S277" s="31" t="s">
        <v>60</v>
      </c>
      <c r="T277" s="135" t="s">
        <v>1961</v>
      </c>
      <c r="U277" s="135" t="s">
        <v>1961</v>
      </c>
      <c r="V277" s="51">
        <v>0.0</v>
      </c>
      <c r="W277" s="31"/>
      <c r="X277" s="52" t="s">
        <v>113</v>
      </c>
      <c r="Y277" s="54"/>
      <c r="Z277" s="54"/>
      <c r="AA277" s="54" t="s">
        <v>114</v>
      </c>
      <c r="AB277" s="38" t="s">
        <v>115</v>
      </c>
      <c r="AC277" s="38" t="s">
        <v>284</v>
      </c>
      <c r="AD277" s="39">
        <v>75775.84</v>
      </c>
      <c r="AE277" s="39">
        <v>75115.85533</v>
      </c>
      <c r="AF277" s="39">
        <v>659.98467</v>
      </c>
      <c r="AG277" s="57" t="s">
        <v>1962</v>
      </c>
      <c r="AH277" s="42" t="s">
        <v>284</v>
      </c>
      <c r="AI277" s="42" t="str">
        <f>IFERROR(__xludf.DUMMYFUNCTION("vLOOKUP(A277,IMPORTRANGE(""https://docs.google.com/spreadsheets/d/1Rawwwdh8wntXGy8isdYNHxsNQS4n_rC8JSdPfj6vEq4"",""'500 объектов перенос на 2026'!A3:AB502""),13,0)"),"#REF!")</f>
        <v>#REF!</v>
      </c>
      <c r="AJ277" s="42" t="str">
        <f>IFERROR(__xludf.DUMMYFUNCTION("vLOOKUP(A277,IMPORTRANGE(""https://docs.google.com/spreadsheets/d/1Rawwwdh8wntXGy8isdYNHxsNQS4n_rC8JSdPfj6vEq4"",""'500 объектов перенос на 2026'!A3:AB502""),14,0)"),"#REF!")</f>
        <v>#REF!</v>
      </c>
      <c r="AK277" s="76" t="s">
        <v>114</v>
      </c>
      <c r="AL277" s="70"/>
      <c r="AM277" s="70"/>
      <c r="AN277" s="43"/>
      <c r="AO277" s="43"/>
      <c r="AP277" s="43"/>
      <c r="AQ277" s="43"/>
      <c r="AR277" s="43"/>
      <c r="AS277" s="43"/>
      <c r="AT277" s="43"/>
      <c r="AU277" s="43"/>
      <c r="AV277" s="43"/>
      <c r="AW277" s="43"/>
      <c r="AX277" s="43"/>
      <c r="AY277" s="43"/>
      <c r="AZ277" s="43"/>
    </row>
    <row r="278">
      <c r="A278" s="78" t="s">
        <v>1963</v>
      </c>
      <c r="B278" s="63" t="s">
        <v>56</v>
      </c>
      <c r="C278" s="64" t="s">
        <v>1964</v>
      </c>
      <c r="D278" s="47" t="s">
        <v>311</v>
      </c>
      <c r="E278" s="64" t="s">
        <v>85</v>
      </c>
      <c r="F278" s="31" t="s">
        <v>60</v>
      </c>
      <c r="G278" s="31"/>
      <c r="H278" s="31"/>
      <c r="I278" s="31" t="s">
        <v>60</v>
      </c>
      <c r="J278" s="31"/>
      <c r="K278" s="31"/>
      <c r="L278" s="32" t="str">
        <f>IFERROR(__xludf.DUMMYFUNCTION("VLOOKUP($A278,IMPORTRANGE(""1PQtfbQLqBUP-rjYRznmgNFBLOjvAnhGzpIx7BJWq8rk"",""'Worksheet'!$B$2:$H""),7,FALSE)"),"#N/A")</f>
        <v>#N/A</v>
      </c>
      <c r="M278" s="31" t="s">
        <v>60</v>
      </c>
      <c r="N278" s="49">
        <v>5.105470276E7</v>
      </c>
      <c r="O278" s="49">
        <v>4.925045294E7</v>
      </c>
      <c r="P278" s="49">
        <v>0.0</v>
      </c>
      <c r="Q278" s="34">
        <f t="shared" si="7"/>
        <v>0.03533954215</v>
      </c>
      <c r="R278" s="31"/>
      <c r="S278" s="31" t="s">
        <v>60</v>
      </c>
      <c r="T278" s="135" t="s">
        <v>1965</v>
      </c>
      <c r="U278" s="135" t="s">
        <v>1965</v>
      </c>
      <c r="V278" s="51">
        <v>0.0</v>
      </c>
      <c r="W278" s="31"/>
      <c r="X278" s="52" t="s">
        <v>113</v>
      </c>
      <c r="Y278" s="54"/>
      <c r="Z278" s="54"/>
      <c r="AA278" s="54" t="s">
        <v>114</v>
      </c>
      <c r="AB278" s="38" t="s">
        <v>115</v>
      </c>
      <c r="AC278" s="38" t="s">
        <v>284</v>
      </c>
      <c r="AD278" s="39">
        <v>29942.09</v>
      </c>
      <c r="AE278" s="39">
        <v>49250.45294</v>
      </c>
      <c r="AF278" s="39">
        <v>-19308.36294</v>
      </c>
      <c r="AG278" s="57" t="s">
        <v>1966</v>
      </c>
      <c r="AH278" s="42" t="s">
        <v>284</v>
      </c>
      <c r="AI278" s="42" t="str">
        <f>IFERROR(__xludf.DUMMYFUNCTION("vLOOKUP(A278,IMPORTRANGE(""https://docs.google.com/spreadsheets/d/1Rawwwdh8wntXGy8isdYNHxsNQS4n_rC8JSdPfj6vEq4"",""'500 объектов перенос на 2026'!A3:AB502""),13,0)"),"#REF!")</f>
        <v>#REF!</v>
      </c>
      <c r="AJ278" s="42" t="str">
        <f>IFERROR(__xludf.DUMMYFUNCTION("vLOOKUP(A278,IMPORTRANGE(""https://docs.google.com/spreadsheets/d/1Rawwwdh8wntXGy8isdYNHxsNQS4n_rC8JSdPfj6vEq4"",""'500 объектов перенос на 2026'!A3:AB502""),14,0)"),"#REF!")</f>
        <v>#REF!</v>
      </c>
      <c r="AK278" s="76" t="s">
        <v>114</v>
      </c>
      <c r="AL278" s="70"/>
      <c r="AM278" s="70"/>
      <c r="AN278" s="43"/>
      <c r="AO278" s="43"/>
      <c r="AP278" s="43"/>
      <c r="AQ278" s="43"/>
      <c r="AR278" s="43"/>
      <c r="AS278" s="43"/>
      <c r="AT278" s="43"/>
      <c r="AU278" s="43"/>
      <c r="AV278" s="43"/>
      <c r="AW278" s="43"/>
      <c r="AX278" s="43"/>
      <c r="AY278" s="43"/>
      <c r="AZ278" s="43"/>
    </row>
    <row r="279">
      <c r="A279" s="78" t="s">
        <v>1967</v>
      </c>
      <c r="B279" s="63" t="s">
        <v>56</v>
      </c>
      <c r="C279" s="64" t="s">
        <v>1968</v>
      </c>
      <c r="D279" s="47" t="s">
        <v>311</v>
      </c>
      <c r="E279" s="64" t="s">
        <v>85</v>
      </c>
      <c r="F279" s="31" t="s">
        <v>60</v>
      </c>
      <c r="G279" s="31"/>
      <c r="H279" s="31"/>
      <c r="I279" s="31" t="s">
        <v>60</v>
      </c>
      <c r="J279" s="31"/>
      <c r="K279" s="31"/>
      <c r="L279" s="32" t="str">
        <f>IFERROR(__xludf.DUMMYFUNCTION("VLOOKUP($A279,IMPORTRANGE(""1PQtfbQLqBUP-rjYRznmgNFBLOjvAnhGzpIx7BJWq8rk"",""'Worksheet'!$B$2:$H""),7,FALSE)"),"#N/A")</f>
        <v>#N/A</v>
      </c>
      <c r="M279" s="31" t="s">
        <v>60</v>
      </c>
      <c r="N279" s="49">
        <v>2.2657643699E8</v>
      </c>
      <c r="O279" s="49">
        <v>2.208536793E8</v>
      </c>
      <c r="P279" s="49">
        <v>0.0</v>
      </c>
      <c r="Q279" s="34">
        <f t="shared" si="7"/>
        <v>0.02525751471</v>
      </c>
      <c r="R279" s="31"/>
      <c r="S279" s="31" t="s">
        <v>60</v>
      </c>
      <c r="T279" s="135" t="s">
        <v>1969</v>
      </c>
      <c r="U279" s="135" t="s">
        <v>1969</v>
      </c>
      <c r="V279" s="51">
        <v>0.0</v>
      </c>
      <c r="W279" s="31"/>
      <c r="X279" s="52" t="s">
        <v>113</v>
      </c>
      <c r="Y279" s="54"/>
      <c r="Z279" s="54"/>
      <c r="AA279" s="54" t="s">
        <v>114</v>
      </c>
      <c r="AB279" s="38" t="s">
        <v>115</v>
      </c>
      <c r="AC279" s="38" t="s">
        <v>284</v>
      </c>
      <c r="AD279" s="39">
        <v>226576.44</v>
      </c>
      <c r="AE279" s="39">
        <v>220853.6793</v>
      </c>
      <c r="AF279" s="39">
        <v>5722.7607</v>
      </c>
      <c r="AG279" s="57" t="s">
        <v>1970</v>
      </c>
      <c r="AH279" s="42" t="s">
        <v>284</v>
      </c>
      <c r="AI279" s="42" t="str">
        <f>IFERROR(__xludf.DUMMYFUNCTION("vLOOKUP(A279,IMPORTRANGE(""https://docs.google.com/spreadsheets/d/1Rawwwdh8wntXGy8isdYNHxsNQS4n_rC8JSdPfj6vEq4"",""'500 объектов перенос на 2026'!A3:AB502""),13,0)"),"#REF!")</f>
        <v>#REF!</v>
      </c>
      <c r="AJ279" s="42" t="str">
        <f>IFERROR(__xludf.DUMMYFUNCTION("vLOOKUP(A279,IMPORTRANGE(""https://docs.google.com/spreadsheets/d/1Rawwwdh8wntXGy8isdYNHxsNQS4n_rC8JSdPfj6vEq4"",""'500 объектов перенос на 2026'!A3:AB502""),14,0)"),"#REF!")</f>
        <v>#REF!</v>
      </c>
      <c r="AK279" s="76" t="s">
        <v>114</v>
      </c>
      <c r="AL279" s="70"/>
      <c r="AM279" s="70"/>
      <c r="AN279" s="43"/>
      <c r="AO279" s="43"/>
      <c r="AP279" s="43"/>
      <c r="AQ279" s="43"/>
      <c r="AR279" s="43"/>
      <c r="AS279" s="43"/>
      <c r="AT279" s="43"/>
      <c r="AU279" s="43"/>
      <c r="AV279" s="43"/>
      <c r="AW279" s="43"/>
      <c r="AX279" s="43"/>
      <c r="AY279" s="43"/>
      <c r="AZ279" s="43"/>
    </row>
    <row r="280">
      <c r="A280" s="114" t="s">
        <v>1971</v>
      </c>
      <c r="B280" s="63" t="s">
        <v>56</v>
      </c>
      <c r="C280" s="64" t="s">
        <v>1972</v>
      </c>
      <c r="D280" s="47" t="s">
        <v>957</v>
      </c>
      <c r="E280" s="64" t="s">
        <v>39</v>
      </c>
      <c r="F280" s="31" t="s">
        <v>60</v>
      </c>
      <c r="G280" s="31"/>
      <c r="H280" s="31"/>
      <c r="I280" s="31" t="s">
        <v>60</v>
      </c>
      <c r="J280" s="31"/>
      <c r="K280" s="31"/>
      <c r="L280" s="32" t="str">
        <f>IFERROR(__xludf.DUMMYFUNCTION("VLOOKUP($A280,IMPORTRANGE(""1PQtfbQLqBUP-rjYRznmgNFBLOjvAnhGzpIx7BJWq8rk"",""'Worksheet'!$B$2:$H""),7,FALSE)"),"#N/A")</f>
        <v>#N/A</v>
      </c>
      <c r="M280" s="31" t="s">
        <v>60</v>
      </c>
      <c r="N280" s="49">
        <v>5.376293976E7</v>
      </c>
      <c r="O280" s="49">
        <v>5.211654726E7</v>
      </c>
      <c r="P280" s="49">
        <v>0.0</v>
      </c>
      <c r="Q280" s="34">
        <f t="shared" si="7"/>
        <v>0.03062318592</v>
      </c>
      <c r="R280" s="31"/>
      <c r="S280" s="31" t="s">
        <v>60</v>
      </c>
      <c r="T280" s="135" t="s">
        <v>1973</v>
      </c>
      <c r="U280" s="135" t="s">
        <v>1973</v>
      </c>
      <c r="V280" s="51">
        <v>0.0</v>
      </c>
      <c r="W280" s="31"/>
      <c r="X280" s="52" t="s">
        <v>113</v>
      </c>
      <c r="Y280" s="54"/>
      <c r="Z280" s="54"/>
      <c r="AA280" s="54" t="s">
        <v>114</v>
      </c>
      <c r="AB280" s="38" t="s">
        <v>115</v>
      </c>
      <c r="AC280" s="38"/>
      <c r="AD280" s="39">
        <v>56051.65</v>
      </c>
      <c r="AE280" s="39">
        <v>54405.25609</v>
      </c>
      <c r="AF280" s="39">
        <v>1646.39391</v>
      </c>
      <c r="AG280" s="57" t="s">
        <v>1974</v>
      </c>
      <c r="AH280" s="69" t="s">
        <v>66</v>
      </c>
      <c r="AI280" s="42" t="str">
        <f>IFERROR(__xludf.DUMMYFUNCTION("vLOOKUP(A280,IMPORTRANGE(""https://docs.google.com/spreadsheets/d/1Rawwwdh8wntXGy8isdYNHxsNQS4n_rC8JSdPfj6vEq4"",""'500 объектов перенос на 2026'!A3:AB502""),13,0)"),"#REF!")</f>
        <v>#REF!</v>
      </c>
      <c r="AJ280" s="42" t="str">
        <f>IFERROR(__xludf.DUMMYFUNCTION("vLOOKUP(A280,IMPORTRANGE(""https://docs.google.com/spreadsheets/d/1Rawwwdh8wntXGy8isdYNHxsNQS4n_rC8JSdPfj6vEq4"",""'500 объектов перенос на 2026'!A3:AB502""),14,0)"),"#REF!")</f>
        <v>#REF!</v>
      </c>
      <c r="AK280" s="76" t="s">
        <v>114</v>
      </c>
      <c r="AL280" s="70"/>
      <c r="AM280" s="70"/>
      <c r="AN280" s="43"/>
      <c r="AO280" s="43"/>
      <c r="AP280" s="43"/>
      <c r="AQ280" s="43"/>
      <c r="AR280" s="43"/>
      <c r="AS280" s="43"/>
      <c r="AT280" s="43"/>
      <c r="AU280" s="43"/>
      <c r="AV280" s="43"/>
      <c r="AW280" s="43"/>
      <c r="AX280" s="43"/>
      <c r="AY280" s="43"/>
      <c r="AZ280" s="43"/>
    </row>
    <row r="281">
      <c r="A281" s="78" t="s">
        <v>1975</v>
      </c>
      <c r="B281" s="63" t="s">
        <v>56</v>
      </c>
      <c r="C281" s="64" t="s">
        <v>1976</v>
      </c>
      <c r="D281" s="47" t="s">
        <v>1977</v>
      </c>
      <c r="E281" s="64" t="s">
        <v>85</v>
      </c>
      <c r="F281" s="31" t="s">
        <v>60</v>
      </c>
      <c r="G281" s="31"/>
      <c r="H281" s="31"/>
      <c r="I281" s="31" t="s">
        <v>60</v>
      </c>
      <c r="J281" s="31"/>
      <c r="K281" s="31"/>
      <c r="L281" s="32" t="str">
        <f>IFERROR(__xludf.DUMMYFUNCTION("VLOOKUP($A281,IMPORTRANGE(""1PQtfbQLqBUP-rjYRznmgNFBLOjvAnhGzpIx7BJWq8rk"",""'Worksheet'!$B$2:$H""),7,FALSE)"),"#N/A")</f>
        <v>#N/A</v>
      </c>
      <c r="M281" s="31" t="s">
        <v>60</v>
      </c>
      <c r="N281" s="49">
        <v>1.0056434E7</v>
      </c>
      <c r="O281" s="49">
        <v>8640441.27</v>
      </c>
      <c r="P281" s="49">
        <v>0.0</v>
      </c>
      <c r="Q281" s="34">
        <f t="shared" si="7"/>
        <v>0.140804656</v>
      </c>
      <c r="R281" s="31"/>
      <c r="S281" s="31" t="s">
        <v>60</v>
      </c>
      <c r="T281" s="135" t="s">
        <v>1978</v>
      </c>
      <c r="U281" s="135" t="s">
        <v>1978</v>
      </c>
      <c r="V281" s="51">
        <v>0.0</v>
      </c>
      <c r="W281" s="31"/>
      <c r="X281" s="52" t="s">
        <v>113</v>
      </c>
      <c r="Y281" s="54"/>
      <c r="Z281" s="54"/>
      <c r="AA281" s="54" t="s">
        <v>114</v>
      </c>
      <c r="AB281" s="38" t="s">
        <v>115</v>
      </c>
      <c r="AC281" s="38" t="s">
        <v>284</v>
      </c>
      <c r="AD281" s="39">
        <v>10056.4</v>
      </c>
      <c r="AE281" s="39">
        <v>8974.67727</v>
      </c>
      <c r="AF281" s="39">
        <v>1081.72273</v>
      </c>
      <c r="AG281" s="57" t="s">
        <v>1979</v>
      </c>
      <c r="AH281" s="42" t="s">
        <v>284</v>
      </c>
      <c r="AI281" s="42" t="str">
        <f>IFERROR(__xludf.DUMMYFUNCTION("vLOOKUP(A281,IMPORTRANGE(""https://docs.google.com/spreadsheets/d/1Rawwwdh8wntXGy8isdYNHxsNQS4n_rC8JSdPfj6vEq4"",""'500 объектов перенос на 2026'!A3:AB502""),13,0)"),"#REF!")</f>
        <v>#REF!</v>
      </c>
      <c r="AJ281" s="42" t="str">
        <f>IFERROR(__xludf.DUMMYFUNCTION("vLOOKUP(A281,IMPORTRANGE(""https://docs.google.com/spreadsheets/d/1Rawwwdh8wntXGy8isdYNHxsNQS4n_rC8JSdPfj6vEq4"",""'500 объектов перенос на 2026'!A3:AB502""),14,0)"),"#REF!")</f>
        <v>#REF!</v>
      </c>
      <c r="AK281" s="76" t="s">
        <v>114</v>
      </c>
      <c r="AL281" s="70"/>
      <c r="AM281" s="70"/>
      <c r="AN281" s="43"/>
      <c r="AO281" s="43"/>
      <c r="AP281" s="43"/>
      <c r="AQ281" s="43"/>
      <c r="AR281" s="43"/>
      <c r="AS281" s="43"/>
      <c r="AT281" s="43"/>
      <c r="AU281" s="43"/>
      <c r="AV281" s="43"/>
      <c r="AW281" s="43"/>
      <c r="AX281" s="43"/>
      <c r="AY281" s="43"/>
      <c r="AZ281" s="43"/>
    </row>
    <row r="282">
      <c r="A282" s="78" t="s">
        <v>1980</v>
      </c>
      <c r="B282" s="63" t="s">
        <v>56</v>
      </c>
      <c r="C282" s="64" t="s">
        <v>1981</v>
      </c>
      <c r="D282" s="47" t="s">
        <v>1977</v>
      </c>
      <c r="E282" s="64" t="s">
        <v>85</v>
      </c>
      <c r="F282" s="31" t="s">
        <v>60</v>
      </c>
      <c r="G282" s="31"/>
      <c r="H282" s="31"/>
      <c r="I282" s="31" t="s">
        <v>60</v>
      </c>
      <c r="J282" s="31"/>
      <c r="K282" s="31"/>
      <c r="L282" s="32" t="str">
        <f>IFERROR(__xludf.DUMMYFUNCTION("VLOOKUP($A282,IMPORTRANGE(""1PQtfbQLqBUP-rjYRznmgNFBLOjvAnhGzpIx7BJWq8rk"",""'Worksheet'!$B$2:$H""),7,FALSE)"),"#N/A")</f>
        <v>#N/A</v>
      </c>
      <c r="M282" s="31" t="s">
        <v>60</v>
      </c>
      <c r="N282" s="49">
        <v>2.2318942E7</v>
      </c>
      <c r="O282" s="49">
        <v>1.668739136E7</v>
      </c>
      <c r="P282" s="49">
        <v>0.0</v>
      </c>
      <c r="Q282" s="34">
        <f t="shared" si="7"/>
        <v>0.2523215769</v>
      </c>
      <c r="R282" s="31"/>
      <c r="S282" s="31" t="s">
        <v>60</v>
      </c>
      <c r="T282" s="135" t="s">
        <v>1982</v>
      </c>
      <c r="U282" s="135" t="s">
        <v>1982</v>
      </c>
      <c r="V282" s="51">
        <v>0.0</v>
      </c>
      <c r="W282" s="31"/>
      <c r="X282" s="52" t="s">
        <v>113</v>
      </c>
      <c r="Y282" s="54"/>
      <c r="Z282" s="54"/>
      <c r="AA282" s="54" t="s">
        <v>114</v>
      </c>
      <c r="AB282" s="38" t="s">
        <v>115</v>
      </c>
      <c r="AC282" s="38" t="s">
        <v>284</v>
      </c>
      <c r="AD282" s="39">
        <v>22318.94</v>
      </c>
      <c r="AE282" s="39">
        <v>17182.01936</v>
      </c>
      <c r="AF282" s="39">
        <v>5136.92064</v>
      </c>
      <c r="AG282" s="57" t="s">
        <v>1983</v>
      </c>
      <c r="AH282" s="42" t="s">
        <v>284</v>
      </c>
      <c r="AI282" s="42" t="str">
        <f>IFERROR(__xludf.DUMMYFUNCTION("vLOOKUP(A282,IMPORTRANGE(""https://docs.google.com/spreadsheets/d/1Rawwwdh8wntXGy8isdYNHxsNQS4n_rC8JSdPfj6vEq4"",""'500 объектов перенос на 2026'!A3:AB502""),13,0)"),"#REF!")</f>
        <v>#REF!</v>
      </c>
      <c r="AJ282" s="42" t="str">
        <f>IFERROR(__xludf.DUMMYFUNCTION("vLOOKUP(A282,IMPORTRANGE(""https://docs.google.com/spreadsheets/d/1Rawwwdh8wntXGy8isdYNHxsNQS4n_rC8JSdPfj6vEq4"",""'500 объектов перенос на 2026'!A3:AB502""),14,0)"),"#REF!")</f>
        <v>#REF!</v>
      </c>
      <c r="AK282" s="76" t="s">
        <v>114</v>
      </c>
      <c r="AL282" s="70"/>
      <c r="AM282" s="70"/>
      <c r="AN282" s="43"/>
      <c r="AO282" s="43"/>
      <c r="AP282" s="43"/>
      <c r="AQ282" s="43"/>
      <c r="AR282" s="43"/>
      <c r="AS282" s="43"/>
      <c r="AT282" s="43"/>
      <c r="AU282" s="43"/>
      <c r="AV282" s="43"/>
      <c r="AW282" s="43"/>
      <c r="AX282" s="43"/>
      <c r="AY282" s="43"/>
      <c r="AZ282" s="43"/>
    </row>
    <row r="283">
      <c r="A283" s="78" t="s">
        <v>1984</v>
      </c>
      <c r="B283" s="63" t="s">
        <v>56</v>
      </c>
      <c r="C283" s="64" t="s">
        <v>1985</v>
      </c>
      <c r="D283" s="47" t="s">
        <v>1977</v>
      </c>
      <c r="E283" s="64" t="s">
        <v>85</v>
      </c>
      <c r="F283" s="31" t="s">
        <v>60</v>
      </c>
      <c r="G283" s="31"/>
      <c r="H283" s="31"/>
      <c r="I283" s="31" t="s">
        <v>60</v>
      </c>
      <c r="J283" s="31"/>
      <c r="K283" s="31"/>
      <c r="L283" s="32" t="str">
        <f>IFERROR(__xludf.DUMMYFUNCTION("VLOOKUP($A283,IMPORTRANGE(""1PQtfbQLqBUP-rjYRznmgNFBLOjvAnhGzpIx7BJWq8rk"",""'Worksheet'!$B$2:$H""),7,FALSE)"),"#N/A")</f>
        <v>#N/A</v>
      </c>
      <c r="M283" s="31" t="s">
        <v>60</v>
      </c>
      <c r="N283" s="49">
        <v>1.4790022E7</v>
      </c>
      <c r="O283" s="49">
        <v>5802872.08</v>
      </c>
      <c r="P283" s="49">
        <v>0.0</v>
      </c>
      <c r="Q283" s="34">
        <f t="shared" si="7"/>
        <v>0.6076495302</v>
      </c>
      <c r="R283" s="31"/>
      <c r="S283" s="31" t="s">
        <v>60</v>
      </c>
      <c r="T283" s="135" t="s">
        <v>1986</v>
      </c>
      <c r="U283" s="135" t="s">
        <v>1986</v>
      </c>
      <c r="V283" s="51">
        <v>0.0</v>
      </c>
      <c r="W283" s="31"/>
      <c r="X283" s="52" t="s">
        <v>113</v>
      </c>
      <c r="Y283" s="54"/>
      <c r="Z283" s="54"/>
      <c r="AA283" s="54" t="s">
        <v>114</v>
      </c>
      <c r="AB283" s="38" t="s">
        <v>115</v>
      </c>
      <c r="AC283" s="38" t="s">
        <v>284</v>
      </c>
      <c r="AD283" s="39">
        <v>5281.3</v>
      </c>
      <c r="AE283" s="39">
        <v>6081.44008</v>
      </c>
      <c r="AF283" s="39">
        <v>-800.14008</v>
      </c>
      <c r="AG283" s="57" t="s">
        <v>1987</v>
      </c>
      <c r="AH283" s="42" t="s">
        <v>284</v>
      </c>
      <c r="AI283" s="42" t="str">
        <f>IFERROR(__xludf.DUMMYFUNCTION("vLOOKUP(A283,IMPORTRANGE(""https://docs.google.com/spreadsheets/d/1Rawwwdh8wntXGy8isdYNHxsNQS4n_rC8JSdPfj6vEq4"",""'500 объектов перенос на 2026'!A3:AB502""),13,0)"),"#REF!")</f>
        <v>#REF!</v>
      </c>
      <c r="AJ283" s="42" t="str">
        <f>IFERROR(__xludf.DUMMYFUNCTION("vLOOKUP(A283,IMPORTRANGE(""https://docs.google.com/spreadsheets/d/1Rawwwdh8wntXGy8isdYNHxsNQS4n_rC8JSdPfj6vEq4"",""'500 объектов перенос на 2026'!A3:AB502""),14,0)"),"#REF!")</f>
        <v>#REF!</v>
      </c>
      <c r="AK283" s="76" t="s">
        <v>114</v>
      </c>
      <c r="AL283" s="70"/>
      <c r="AM283" s="70"/>
      <c r="AN283" s="43"/>
      <c r="AO283" s="43"/>
      <c r="AP283" s="43"/>
      <c r="AQ283" s="43"/>
      <c r="AR283" s="43"/>
      <c r="AS283" s="43"/>
      <c r="AT283" s="43"/>
      <c r="AU283" s="43"/>
      <c r="AV283" s="43"/>
      <c r="AW283" s="43"/>
      <c r="AX283" s="43"/>
      <c r="AY283" s="43"/>
      <c r="AZ283" s="43"/>
    </row>
    <row r="284">
      <c r="A284" s="62" t="s">
        <v>1988</v>
      </c>
      <c r="B284" s="63" t="s">
        <v>757</v>
      </c>
      <c r="C284" s="64" t="s">
        <v>1989</v>
      </c>
      <c r="D284" s="47" t="s">
        <v>759</v>
      </c>
      <c r="E284" s="64" t="s">
        <v>85</v>
      </c>
      <c r="F284" s="31" t="s">
        <v>60</v>
      </c>
      <c r="G284" s="31"/>
      <c r="H284" s="31"/>
      <c r="I284" s="31" t="s">
        <v>60</v>
      </c>
      <c r="J284" s="31"/>
      <c r="K284" s="31"/>
      <c r="L284" s="32">
        <f>IFERROR(__xludf.DUMMYFUNCTION("VLOOKUP($A284,IMPORTRANGE(""1PQtfbQLqBUP-rjYRznmgNFBLOjvAnhGzpIx7BJWq8rk"",""'Worksheet'!$B$2:$H""),7,FALSE)"),0.93)</f>
        <v>0.93</v>
      </c>
      <c r="M284" s="31" t="s">
        <v>40</v>
      </c>
      <c r="N284" s="49">
        <v>2.03396E7</v>
      </c>
      <c r="O284" s="49">
        <v>1.688565875E7</v>
      </c>
      <c r="P284" s="49">
        <f t="shared" ref="P284:P304" si="41">N284-O284</f>
        <v>3453941.25</v>
      </c>
      <c r="Q284" s="34">
        <f t="shared" si="7"/>
        <v>0.1698136271</v>
      </c>
      <c r="R284" s="31" t="s">
        <v>1990</v>
      </c>
      <c r="S284" s="31" t="s">
        <v>60</v>
      </c>
      <c r="T284" s="84"/>
      <c r="U284" s="84"/>
      <c r="V284" s="84"/>
      <c r="W284" s="31"/>
      <c r="X284" s="52" t="s">
        <v>600</v>
      </c>
      <c r="Y284" s="54" t="s">
        <v>1991</v>
      </c>
      <c r="Z284" s="54" t="s">
        <v>797</v>
      </c>
      <c r="AA284" s="54" t="s">
        <v>1219</v>
      </c>
      <c r="AB284" s="56"/>
      <c r="AC284" s="38"/>
      <c r="AD284" s="39">
        <v>10688.56</v>
      </c>
      <c r="AE284" s="39">
        <v>3047.85934</v>
      </c>
      <c r="AF284" s="40">
        <v>7640.70066</v>
      </c>
      <c r="AG284" s="57" t="s">
        <v>1992</v>
      </c>
      <c r="AH284" s="42" t="s">
        <v>762</v>
      </c>
      <c r="AI284" s="42" t="str">
        <f>IFERROR(__xludf.DUMMYFUNCTION("vLOOKUP(A284,IMPORTRANGE(""https://docs.google.com/spreadsheets/d/1Rawwwdh8wntXGy8isdYNHxsNQS4n_rC8JSdPfj6vEq4"",""'500 объектов перенос на 2026'!A3:AB502""),13,0)"),"#REF!")</f>
        <v>#REF!</v>
      </c>
      <c r="AJ284" s="42" t="str">
        <f>IFERROR(__xludf.DUMMYFUNCTION("vLOOKUP(A284,IMPORTRANGE(""https://docs.google.com/spreadsheets/d/1Rawwwdh8wntXGy8isdYNHxsNQS4n_rC8JSdPfj6vEq4"",""'500 объектов перенос на 2026'!A3:AB502""),14,0)"),"#REF!")</f>
        <v>#REF!</v>
      </c>
      <c r="AK284" s="76" t="s">
        <v>1993</v>
      </c>
      <c r="AL284" s="70"/>
      <c r="AM284" s="70"/>
      <c r="AN284" s="96"/>
      <c r="AO284" s="96"/>
      <c r="AP284" s="96"/>
      <c r="AQ284" s="96"/>
      <c r="AR284" s="96"/>
      <c r="AS284" s="96"/>
      <c r="AT284" s="96"/>
      <c r="AU284" s="96"/>
      <c r="AV284" s="96"/>
      <c r="AW284" s="96"/>
      <c r="AX284" s="96"/>
      <c r="AY284" s="96"/>
      <c r="AZ284" s="96"/>
    </row>
    <row r="285">
      <c r="A285" s="62" t="s">
        <v>1994</v>
      </c>
      <c r="B285" s="63" t="s">
        <v>268</v>
      </c>
      <c r="C285" s="64" t="s">
        <v>1995</v>
      </c>
      <c r="D285" s="47" t="s">
        <v>1041</v>
      </c>
      <c r="E285" s="64" t="s">
        <v>85</v>
      </c>
      <c r="F285" s="31" t="s">
        <v>40</v>
      </c>
      <c r="G285" s="31" t="s">
        <v>41</v>
      </c>
      <c r="H285" s="31" t="s">
        <v>828</v>
      </c>
      <c r="I285" s="31" t="s">
        <v>60</v>
      </c>
      <c r="J285" s="31"/>
      <c r="K285" s="31"/>
      <c r="L285" s="32">
        <f>IFERROR(__xludf.DUMMYFUNCTION("VLOOKUP($A285,IMPORTRANGE(""1PQtfbQLqBUP-rjYRznmgNFBLOjvAnhGzpIx7BJWq8rk"",""'Worksheet'!$B$2:$H""),7,FALSE)"),0.98)</f>
        <v>0.98</v>
      </c>
      <c r="M285" s="31" t="s">
        <v>40</v>
      </c>
      <c r="N285" s="49">
        <v>3.1357648E7</v>
      </c>
      <c r="O285" s="49">
        <v>1.417395168E7</v>
      </c>
      <c r="P285" s="49">
        <f t="shared" si="41"/>
        <v>17183696.32</v>
      </c>
      <c r="Q285" s="34">
        <f t="shared" si="7"/>
        <v>0.5479905993</v>
      </c>
      <c r="R285" s="31"/>
      <c r="S285" s="31" t="s">
        <v>40</v>
      </c>
      <c r="T285" s="84" t="s">
        <v>1996</v>
      </c>
      <c r="U285" s="84">
        <v>0.0</v>
      </c>
      <c r="V285" s="84" t="s">
        <v>1996</v>
      </c>
      <c r="W285" s="31"/>
      <c r="X285" s="52" t="s">
        <v>49</v>
      </c>
      <c r="Y285" s="54" t="s">
        <v>1997</v>
      </c>
      <c r="Z285" s="54" t="s">
        <v>851</v>
      </c>
      <c r="AA285" s="68">
        <v>46248.0</v>
      </c>
      <c r="AB285" s="56"/>
      <c r="AC285" s="38"/>
      <c r="AD285" s="39">
        <v>31357.65</v>
      </c>
      <c r="AE285" s="39">
        <v>14173.95168</v>
      </c>
      <c r="AF285" s="40">
        <v>17183.69832</v>
      </c>
      <c r="AG285" s="57" t="s">
        <v>1998</v>
      </c>
      <c r="AH285" s="42" t="s">
        <v>49</v>
      </c>
      <c r="AI285" s="42" t="str">
        <f>IFERROR(__xludf.DUMMYFUNCTION("vLOOKUP(A285,IMPORTRANGE(""https://docs.google.com/spreadsheets/d/1Rawwwdh8wntXGy8isdYNHxsNQS4n_rC8JSdPfj6vEq4"",""'500 объектов перенос на 2026'!A3:AB502""),13,0)"),"#REF!")</f>
        <v>#REF!</v>
      </c>
      <c r="AJ285" s="42" t="str">
        <f>IFERROR(__xludf.DUMMYFUNCTION("vLOOKUP(A285,IMPORTRANGE(""https://docs.google.com/spreadsheets/d/1Rawwwdh8wntXGy8isdYNHxsNQS4n_rC8JSdPfj6vEq4"",""'500 объектов перенос на 2026'!A3:AB502""),14,0)"),"#REF!")</f>
        <v>#REF!</v>
      </c>
      <c r="AK285" s="58" t="s">
        <v>1999</v>
      </c>
      <c r="AL285" s="94" t="s">
        <v>1272</v>
      </c>
      <c r="AM285" s="94"/>
      <c r="AN285" s="43"/>
      <c r="AO285" s="43"/>
      <c r="AP285" s="43"/>
      <c r="AQ285" s="43"/>
      <c r="AR285" s="43"/>
      <c r="AS285" s="43"/>
      <c r="AT285" s="43"/>
      <c r="AU285" s="43"/>
      <c r="AV285" s="43"/>
      <c r="AW285" s="43"/>
      <c r="AX285" s="43"/>
      <c r="AY285" s="43"/>
      <c r="AZ285" s="43"/>
    </row>
    <row r="286">
      <c r="A286" s="62" t="s">
        <v>2000</v>
      </c>
      <c r="B286" s="63" t="s">
        <v>56</v>
      </c>
      <c r="C286" s="64" t="s">
        <v>2001</v>
      </c>
      <c r="D286" s="47" t="s">
        <v>2002</v>
      </c>
      <c r="E286" s="64" t="s">
        <v>85</v>
      </c>
      <c r="F286" s="31" t="s">
        <v>60</v>
      </c>
      <c r="G286" s="31"/>
      <c r="H286" s="31"/>
      <c r="I286" s="31" t="s">
        <v>40</v>
      </c>
      <c r="J286" s="31" t="s">
        <v>61</v>
      </c>
      <c r="K286" s="31" t="s">
        <v>72</v>
      </c>
      <c r="L286" s="32">
        <f>IFERROR(__xludf.DUMMYFUNCTION("VLOOKUP($A286,IMPORTRANGE(""1PQtfbQLqBUP-rjYRznmgNFBLOjvAnhGzpIx7BJWq8rk"",""'Worksheet'!$B$2:$H""),7,FALSE)"),0.85)</f>
        <v>0.85</v>
      </c>
      <c r="M286" s="31" t="s">
        <v>40</v>
      </c>
      <c r="N286" s="49">
        <v>2.4263712E7</v>
      </c>
      <c r="O286" s="49">
        <v>7279113.6</v>
      </c>
      <c r="P286" s="49">
        <f t="shared" si="41"/>
        <v>16984598.4</v>
      </c>
      <c r="Q286" s="34">
        <f t="shared" si="7"/>
        <v>0.7</v>
      </c>
      <c r="R286" s="31"/>
      <c r="S286" s="31" t="s">
        <v>45</v>
      </c>
      <c r="T286" s="88" t="s">
        <v>2003</v>
      </c>
      <c r="U286" s="88" t="s">
        <v>2004</v>
      </c>
      <c r="V286" s="88" t="s">
        <v>2005</v>
      </c>
      <c r="W286" s="31"/>
      <c r="X286" s="52" t="s">
        <v>2006</v>
      </c>
      <c r="Y286" s="54" t="s">
        <v>2007</v>
      </c>
      <c r="Z286" s="74"/>
      <c r="AA286" s="68">
        <v>46233.0</v>
      </c>
      <c r="AB286" s="56"/>
      <c r="AC286" s="38"/>
      <c r="AD286" s="39">
        <v>24508.8</v>
      </c>
      <c r="AE286" s="39">
        <v>7279.1136</v>
      </c>
      <c r="AF286" s="40">
        <v>17229.6864</v>
      </c>
      <c r="AG286" s="57" t="s">
        <v>2008</v>
      </c>
      <c r="AH286" s="69" t="s">
        <v>66</v>
      </c>
      <c r="AI286" s="42" t="str">
        <f>IFERROR(__xludf.DUMMYFUNCTION("vLOOKUP(A286,IMPORTRANGE(""https://docs.google.com/spreadsheets/d/1Rawwwdh8wntXGy8isdYNHxsNQS4n_rC8JSdPfj6vEq4"",""'500 объектов перенос на 2026'!A3:AB502""),13,0)"),"#REF!")</f>
        <v>#REF!</v>
      </c>
      <c r="AJ286" s="42" t="str">
        <f>IFERROR(__xludf.DUMMYFUNCTION("vLOOKUP(A286,IMPORTRANGE(""https://docs.google.com/spreadsheets/d/1Rawwwdh8wntXGy8isdYNHxsNQS4n_rC8JSdPfj6vEq4"",""'500 объектов перенос на 2026'!A3:AB502""),14,0)"),"#REF!")</f>
        <v>#REF!</v>
      </c>
      <c r="AK286" s="76" t="s">
        <v>2009</v>
      </c>
      <c r="AL286" s="70"/>
      <c r="AM286" s="70"/>
      <c r="AN286" s="43"/>
      <c r="AO286" s="43"/>
      <c r="AP286" s="43"/>
      <c r="AQ286" s="43"/>
      <c r="AR286" s="43"/>
      <c r="AS286" s="43"/>
      <c r="AT286" s="43"/>
      <c r="AU286" s="43"/>
      <c r="AV286" s="43"/>
      <c r="AW286" s="43"/>
      <c r="AX286" s="43"/>
      <c r="AY286" s="43"/>
      <c r="AZ286" s="43"/>
    </row>
    <row r="287">
      <c r="A287" s="62" t="s">
        <v>2010</v>
      </c>
      <c r="B287" s="63" t="s">
        <v>1039</v>
      </c>
      <c r="C287" s="104" t="s">
        <v>2011</v>
      </c>
      <c r="D287" s="47" t="s">
        <v>1041</v>
      </c>
      <c r="E287" s="64" t="s">
        <v>85</v>
      </c>
      <c r="F287" s="31" t="s">
        <v>60</v>
      </c>
      <c r="G287" s="31"/>
      <c r="H287" s="31"/>
      <c r="I287" s="31" t="s">
        <v>40</v>
      </c>
      <c r="J287" s="31" t="s">
        <v>61</v>
      </c>
      <c r="K287" s="31" t="s">
        <v>72</v>
      </c>
      <c r="L287" s="32">
        <f>IFERROR(__xludf.DUMMYFUNCTION("VLOOKUP($A287,IMPORTRANGE(""1PQtfbQLqBUP-rjYRznmgNFBLOjvAnhGzpIx7BJWq8rk"",""'Worksheet'!$B$2:$H""),7,FALSE)"),0.99)</f>
        <v>0.99</v>
      </c>
      <c r="M287" s="31" t="s">
        <v>45</v>
      </c>
      <c r="N287" s="49">
        <v>3.410899379E7</v>
      </c>
      <c r="O287" s="49">
        <v>1.746179645E7</v>
      </c>
      <c r="P287" s="49">
        <f t="shared" si="41"/>
        <v>16647197.34</v>
      </c>
      <c r="Q287" s="34">
        <f t="shared" si="7"/>
        <v>0.488058881</v>
      </c>
      <c r="R287" s="31"/>
      <c r="S287" s="31" t="s">
        <v>45</v>
      </c>
      <c r="T287" s="88">
        <v>3.24035441E7</v>
      </c>
      <c r="U287" s="88">
        <v>1.643853237E7</v>
      </c>
      <c r="V287" s="88">
        <f>T287-U287</f>
        <v>15965011.73</v>
      </c>
      <c r="W287" s="31"/>
      <c r="X287" s="52" t="s">
        <v>507</v>
      </c>
      <c r="Y287" s="54" t="s">
        <v>2012</v>
      </c>
      <c r="Z287" s="54" t="s">
        <v>1455</v>
      </c>
      <c r="AA287" s="74">
        <v>46204.0</v>
      </c>
      <c r="AB287" s="56"/>
      <c r="AC287" s="38"/>
      <c r="AD287" s="39">
        <v>34607.44</v>
      </c>
      <c r="AE287" s="39">
        <v>17303.71828</v>
      </c>
      <c r="AF287" s="40">
        <v>17303.72172</v>
      </c>
      <c r="AG287" s="57" t="s">
        <v>2013</v>
      </c>
      <c r="AH287" s="85" t="s">
        <v>2014</v>
      </c>
      <c r="AI287" s="42" t="str">
        <f>IFERROR(__xludf.DUMMYFUNCTION("vLOOKUP(A287,IMPORTRANGE(""https://docs.google.com/spreadsheets/d/1Rawwwdh8wntXGy8isdYNHxsNQS4n_rC8JSdPfj6vEq4"",""'500 объектов перенос на 2026'!A3:AB502""),13,0)"),"#REF!")</f>
        <v>#REF!</v>
      </c>
      <c r="AJ287" s="42" t="str">
        <f>IFERROR(__xludf.DUMMYFUNCTION("vLOOKUP(A287,IMPORTRANGE(""https://docs.google.com/spreadsheets/d/1Rawwwdh8wntXGy8isdYNHxsNQS4n_rC8JSdPfj6vEq4"",""'500 объектов перенос на 2026'!A3:AB502""),14,0)"),"#REF!")</f>
        <v>#REF!</v>
      </c>
      <c r="AK287" s="138" t="s">
        <v>2015</v>
      </c>
      <c r="AL287" s="70" t="s">
        <v>1578</v>
      </c>
      <c r="AM287" s="110"/>
      <c r="AN287" s="96"/>
      <c r="AO287" s="96"/>
      <c r="AP287" s="96"/>
      <c r="AQ287" s="96"/>
      <c r="AR287" s="96"/>
      <c r="AS287" s="96"/>
      <c r="AT287" s="96"/>
      <c r="AU287" s="96"/>
      <c r="AV287" s="96"/>
      <c r="AW287" s="96"/>
      <c r="AX287" s="96"/>
      <c r="AY287" s="96"/>
      <c r="AZ287" s="96"/>
    </row>
    <row r="288">
      <c r="A288" s="122" t="s">
        <v>2016</v>
      </c>
      <c r="B288" s="63" t="s">
        <v>503</v>
      </c>
      <c r="C288" s="64" t="s">
        <v>2017</v>
      </c>
      <c r="D288" s="47" t="s">
        <v>2018</v>
      </c>
      <c r="E288" s="64" t="s">
        <v>39</v>
      </c>
      <c r="F288" s="31" t="s">
        <v>60</v>
      </c>
      <c r="G288" s="31"/>
      <c r="H288" s="31"/>
      <c r="I288" s="31" t="s">
        <v>40</v>
      </c>
      <c r="J288" s="31" t="s">
        <v>43</v>
      </c>
      <c r="K288" s="31" t="s">
        <v>44</v>
      </c>
      <c r="L288" s="32">
        <f>IFERROR(__xludf.DUMMYFUNCTION("VLOOKUP($A288,IMPORTRANGE(""1PQtfbQLqBUP-rjYRznmgNFBLOjvAnhGzpIx7BJWq8rk"",""'Worksheet'!$B$2:$H""),7,FALSE)"),0.79)</f>
        <v>0.79</v>
      </c>
      <c r="M288" s="31" t="s">
        <v>40</v>
      </c>
      <c r="N288" s="49">
        <v>1.650470756E7</v>
      </c>
      <c r="O288" s="49">
        <v>0.0</v>
      </c>
      <c r="P288" s="49">
        <f t="shared" si="41"/>
        <v>16504707.56</v>
      </c>
      <c r="Q288" s="34">
        <f t="shared" si="7"/>
        <v>1</v>
      </c>
      <c r="R288" s="31"/>
      <c r="S288" s="31" t="s">
        <v>40</v>
      </c>
      <c r="T288" s="84"/>
      <c r="U288" s="84"/>
      <c r="V288" s="84"/>
      <c r="W288" s="31"/>
      <c r="X288" s="52" t="s">
        <v>49</v>
      </c>
      <c r="Y288" s="89" t="s">
        <v>2019</v>
      </c>
      <c r="Z288" s="54" t="s">
        <v>2020</v>
      </c>
      <c r="AA288" s="74">
        <v>46235.0</v>
      </c>
      <c r="AB288" s="56"/>
      <c r="AC288" s="38"/>
      <c r="AD288" s="39">
        <v>16504.70756</v>
      </c>
      <c r="AE288" s="39">
        <v>0.0</v>
      </c>
      <c r="AF288" s="40">
        <v>16504.70756</v>
      </c>
      <c r="AG288" s="99" t="s">
        <v>2021</v>
      </c>
      <c r="AH288" s="85" t="s">
        <v>2022</v>
      </c>
      <c r="AI288" s="42" t="str">
        <f>IFERROR(__xludf.DUMMYFUNCTION("vLOOKUP(A288,IMPORTRANGE(""https://docs.google.com/spreadsheets/d/1Rawwwdh8wntXGy8isdYNHxsNQS4n_rC8JSdPfj6vEq4"",""'500 объектов перенос на 2026'!A3:AB502""),13,0)"),"#REF!")</f>
        <v>#REF!</v>
      </c>
      <c r="AJ288" s="42" t="str">
        <f>IFERROR(__xludf.DUMMYFUNCTION("vLOOKUP(A288,IMPORTRANGE(""https://docs.google.com/spreadsheets/d/1Rawwwdh8wntXGy8isdYNHxsNQS4n_rC8JSdPfj6vEq4"",""'500 объектов перенос на 2026'!A3:AB502""),14,0)"),"#REF!")</f>
        <v>#REF!</v>
      </c>
      <c r="AK288" s="138" t="s">
        <v>2023</v>
      </c>
      <c r="AL288" s="110"/>
      <c r="AM288" s="110"/>
      <c r="AN288" s="43"/>
      <c r="AO288" s="43"/>
      <c r="AP288" s="43"/>
      <c r="AQ288" s="43"/>
      <c r="AR288" s="43"/>
      <c r="AS288" s="43"/>
      <c r="AT288" s="43"/>
      <c r="AU288" s="43"/>
      <c r="AV288" s="43"/>
      <c r="AW288" s="43"/>
      <c r="AX288" s="43"/>
      <c r="AY288" s="43"/>
      <c r="AZ288" s="43"/>
    </row>
    <row r="289">
      <c r="A289" s="62" t="s">
        <v>2024</v>
      </c>
      <c r="B289" s="63" t="s">
        <v>99</v>
      </c>
      <c r="C289" s="144" t="s">
        <v>2025</v>
      </c>
      <c r="D289" s="47" t="s">
        <v>1523</v>
      </c>
      <c r="E289" s="64" t="s">
        <v>85</v>
      </c>
      <c r="F289" s="31" t="s">
        <v>60</v>
      </c>
      <c r="G289" s="31"/>
      <c r="H289" s="31"/>
      <c r="I289" s="31" t="s">
        <v>60</v>
      </c>
      <c r="J289" s="31"/>
      <c r="K289" s="31"/>
      <c r="L289" s="32">
        <f>IFERROR(__xludf.DUMMYFUNCTION("VLOOKUP($A289,IMPORTRANGE(""1PQtfbQLqBUP-rjYRznmgNFBLOjvAnhGzpIx7BJWq8rk"",""'Worksheet'!$B$2:$H""),7,FALSE)"),1.0)</f>
        <v>1</v>
      </c>
      <c r="M289" s="31" t="s">
        <v>40</v>
      </c>
      <c r="N289" s="49">
        <v>2.478112E7</v>
      </c>
      <c r="O289" s="49">
        <v>8673390.0</v>
      </c>
      <c r="P289" s="49">
        <f t="shared" si="41"/>
        <v>16107730</v>
      </c>
      <c r="Q289" s="34">
        <f t="shared" si="7"/>
        <v>0.6500000807</v>
      </c>
      <c r="R289" s="31" t="s">
        <v>1761</v>
      </c>
      <c r="S289" s="31" t="s">
        <v>60</v>
      </c>
      <c r="T289" s="145">
        <f>N289*0.95</f>
        <v>23542064</v>
      </c>
      <c r="U289" s="84">
        <v>0.0</v>
      </c>
      <c r="V289" s="145">
        <v>2.3542064E7</v>
      </c>
      <c r="W289" s="31"/>
      <c r="X289" s="52" t="s">
        <v>1150</v>
      </c>
      <c r="Y289" s="54" t="s">
        <v>1762</v>
      </c>
      <c r="Z289" s="54" t="s">
        <v>1152</v>
      </c>
      <c r="AA289" s="74">
        <v>46213.0</v>
      </c>
      <c r="AB289" s="56"/>
      <c r="AC289" s="38" t="s">
        <v>1153</v>
      </c>
      <c r="AD289" s="39">
        <v>24781.12</v>
      </c>
      <c r="AE289" s="39">
        <v>8673.39</v>
      </c>
      <c r="AF289" s="40">
        <v>16107.73</v>
      </c>
      <c r="AG289" s="57" t="s">
        <v>2026</v>
      </c>
      <c r="AH289" s="42" t="s">
        <v>1155</v>
      </c>
      <c r="AI289" s="42" t="str">
        <f>IFERROR(__xludf.DUMMYFUNCTION("vLOOKUP(A289,IMPORTRANGE(""https://docs.google.com/spreadsheets/d/1Rawwwdh8wntXGy8isdYNHxsNQS4n_rC8JSdPfj6vEq4"",""'500 объектов перенос на 2026'!A3:AB502""),13,0)"),"#REF!")</f>
        <v>#REF!</v>
      </c>
      <c r="AJ289" s="42" t="str">
        <f>IFERROR(__xludf.DUMMYFUNCTION("vLOOKUP(A289,IMPORTRANGE(""https://docs.google.com/spreadsheets/d/1Rawwwdh8wntXGy8isdYNHxsNQS4n_rC8JSdPfj6vEq4"",""'500 объектов перенос на 2026'!A3:AB502""),14,0)"),"#REF!")</f>
        <v>#REF!</v>
      </c>
      <c r="AK289" s="76" t="s">
        <v>2027</v>
      </c>
      <c r="AL289" s="70"/>
      <c r="AM289" s="70"/>
      <c r="AN289" s="43"/>
      <c r="AO289" s="43"/>
      <c r="AP289" s="43"/>
      <c r="AQ289" s="43"/>
      <c r="AR289" s="43"/>
      <c r="AS289" s="43"/>
      <c r="AT289" s="43"/>
      <c r="AU289" s="43"/>
      <c r="AV289" s="43"/>
      <c r="AW289" s="43"/>
      <c r="AX289" s="43"/>
      <c r="AY289" s="43"/>
      <c r="AZ289" s="43"/>
    </row>
    <row r="290">
      <c r="A290" s="62" t="s">
        <v>2028</v>
      </c>
      <c r="B290" s="63" t="s">
        <v>605</v>
      </c>
      <c r="C290" s="64" t="s">
        <v>2029</v>
      </c>
      <c r="D290" s="47" t="s">
        <v>1210</v>
      </c>
      <c r="E290" s="64" t="s">
        <v>85</v>
      </c>
      <c r="F290" s="31" t="s">
        <v>40</v>
      </c>
      <c r="G290" s="31" t="s">
        <v>299</v>
      </c>
      <c r="H290" s="31" t="s">
        <v>343</v>
      </c>
      <c r="I290" s="31" t="s">
        <v>40</v>
      </c>
      <c r="J290" s="31" t="s">
        <v>61</v>
      </c>
      <c r="K290" s="31"/>
      <c r="L290" s="32">
        <f>IFERROR(__xludf.DUMMYFUNCTION("VLOOKUP($A290,IMPORTRANGE(""1PQtfbQLqBUP-rjYRznmgNFBLOjvAnhGzpIx7BJWq8rk"",""'Worksheet'!$B$2:$H""),7,FALSE)"),0.94)</f>
        <v>0.94</v>
      </c>
      <c r="M290" s="31" t="s">
        <v>40</v>
      </c>
      <c r="N290" s="49">
        <v>2.202929919E7</v>
      </c>
      <c r="O290" s="49">
        <v>6278060.0</v>
      </c>
      <c r="P290" s="49">
        <f t="shared" si="41"/>
        <v>15751239.19</v>
      </c>
      <c r="Q290" s="34">
        <f t="shared" si="7"/>
        <v>0.7150131765</v>
      </c>
      <c r="R290" s="31"/>
      <c r="S290" s="31" t="s">
        <v>40</v>
      </c>
      <c r="T290" s="88" t="s">
        <v>2030</v>
      </c>
      <c r="U290" s="88">
        <v>0.0</v>
      </c>
      <c r="V290" s="88" t="s">
        <v>2030</v>
      </c>
      <c r="W290" s="31"/>
      <c r="X290" s="52" t="s">
        <v>49</v>
      </c>
      <c r="Y290" s="124" t="s">
        <v>2031</v>
      </c>
      <c r="Z290" s="54" t="s">
        <v>1497</v>
      </c>
      <c r="AA290" s="74">
        <v>46280.0</v>
      </c>
      <c r="AB290" s="56"/>
      <c r="AC290" s="38" t="s">
        <v>1214</v>
      </c>
      <c r="AD290" s="39">
        <v>22028.299</v>
      </c>
      <c r="AE290" s="39">
        <v>6278.06</v>
      </c>
      <c r="AF290" s="40">
        <v>15750.239</v>
      </c>
      <c r="AG290" s="99" t="s">
        <v>2032</v>
      </c>
      <c r="AH290" s="85"/>
      <c r="AI290" s="42" t="str">
        <f>IFERROR(__xludf.DUMMYFUNCTION("vLOOKUP(A290,IMPORTRANGE(""https://docs.google.com/spreadsheets/d/1Rawwwdh8wntXGy8isdYNHxsNQS4n_rC8JSdPfj6vEq4"",""'500 объектов перенос на 2026'!A3:AB502""),13,0)"),"#REF!")</f>
        <v>#REF!</v>
      </c>
      <c r="AJ290" s="42" t="str">
        <f>IFERROR(__xludf.DUMMYFUNCTION("vLOOKUP(A290,IMPORTRANGE(""https://docs.google.com/spreadsheets/d/1Rawwwdh8wntXGy8isdYNHxsNQS4n_rC8JSdPfj6vEq4"",""'500 объектов перенос на 2026'!A3:AB502""),14,0)"),"#REF!")</f>
        <v>#REF!</v>
      </c>
      <c r="AK290" s="58" t="s">
        <v>2033</v>
      </c>
      <c r="AL290" s="70"/>
      <c r="AM290" s="70"/>
      <c r="AN290" s="76"/>
      <c r="AO290" s="43"/>
      <c r="AP290" s="43"/>
      <c r="AQ290" s="43"/>
      <c r="AR290" s="43"/>
      <c r="AS290" s="43"/>
      <c r="AT290" s="43"/>
      <c r="AU290" s="43"/>
      <c r="AV290" s="43"/>
      <c r="AW290" s="43"/>
      <c r="AX290" s="43"/>
      <c r="AY290" s="43"/>
      <c r="AZ290" s="43"/>
    </row>
    <row r="291">
      <c r="A291" s="62" t="s">
        <v>2034</v>
      </c>
      <c r="B291" s="63" t="s">
        <v>268</v>
      </c>
      <c r="C291" s="64" t="s">
        <v>2035</v>
      </c>
      <c r="D291" s="47" t="s">
        <v>323</v>
      </c>
      <c r="E291" s="64" t="s">
        <v>85</v>
      </c>
      <c r="F291" s="31" t="s">
        <v>40</v>
      </c>
      <c r="G291" s="31" t="s">
        <v>41</v>
      </c>
      <c r="H291" s="31" t="s">
        <v>828</v>
      </c>
      <c r="I291" s="31" t="s">
        <v>40</v>
      </c>
      <c r="J291" s="31" t="s">
        <v>61</v>
      </c>
      <c r="K291" s="31"/>
      <c r="L291" s="32">
        <f>IFERROR(__xludf.DUMMYFUNCTION("VLOOKUP($A291,IMPORTRANGE(""1PQtfbQLqBUP-rjYRznmgNFBLOjvAnhGzpIx7BJWq8rk"",""'Worksheet'!$B$2:$H""),7,FALSE)"),0.9)</f>
        <v>0.9</v>
      </c>
      <c r="M291" s="31" t="s">
        <v>40</v>
      </c>
      <c r="N291" s="49">
        <v>3.08155904E7</v>
      </c>
      <c r="O291" s="49">
        <v>1.510270016E7</v>
      </c>
      <c r="P291" s="49">
        <f t="shared" si="41"/>
        <v>15712890.24</v>
      </c>
      <c r="Q291" s="34">
        <f t="shared" si="7"/>
        <v>0.5099006716</v>
      </c>
      <c r="R291" s="31"/>
      <c r="S291" s="31" t="s">
        <v>40</v>
      </c>
      <c r="T291" s="84" t="s">
        <v>2036</v>
      </c>
      <c r="U291" s="84">
        <v>0.0</v>
      </c>
      <c r="V291" s="84" t="s">
        <v>2036</v>
      </c>
      <c r="W291" s="31"/>
      <c r="X291" s="52" t="s">
        <v>49</v>
      </c>
      <c r="Y291" s="54" t="s">
        <v>2037</v>
      </c>
      <c r="Z291" s="54" t="s">
        <v>851</v>
      </c>
      <c r="AA291" s="68">
        <v>46251.0</v>
      </c>
      <c r="AB291" s="56"/>
      <c r="AC291" s="38"/>
      <c r="AD291" s="39">
        <v>30815.59</v>
      </c>
      <c r="AE291" s="39">
        <v>15102.70016</v>
      </c>
      <c r="AF291" s="40">
        <v>15712.88984</v>
      </c>
      <c r="AG291" s="57" t="s">
        <v>2038</v>
      </c>
      <c r="AH291" s="42" t="s">
        <v>49</v>
      </c>
      <c r="AI291" s="42" t="str">
        <f>IFERROR(__xludf.DUMMYFUNCTION("vLOOKUP(A291,IMPORTRANGE(""https://docs.google.com/spreadsheets/d/1Rawwwdh8wntXGy8isdYNHxsNQS4n_rC8JSdPfj6vEq4"",""'500 объектов перенос на 2026'!A3:AB502""),13,0)"),"#REF!")</f>
        <v>#REF!</v>
      </c>
      <c r="AJ291" s="42" t="str">
        <f>IFERROR(__xludf.DUMMYFUNCTION("vLOOKUP(A291,IMPORTRANGE(""https://docs.google.com/spreadsheets/d/1Rawwwdh8wntXGy8isdYNHxsNQS4n_rC8JSdPfj6vEq4"",""'500 объектов перенос на 2026'!A3:AB502""),14,0)"),"#REF!")</f>
        <v>#REF!</v>
      </c>
      <c r="AK291" s="58" t="s">
        <v>2039</v>
      </c>
      <c r="AL291" s="94" t="s">
        <v>2040</v>
      </c>
      <c r="AM291" s="94"/>
      <c r="AN291" s="43"/>
      <c r="AO291" s="43"/>
      <c r="AP291" s="43"/>
      <c r="AQ291" s="43"/>
      <c r="AR291" s="43"/>
      <c r="AS291" s="43"/>
      <c r="AT291" s="43"/>
      <c r="AU291" s="43"/>
      <c r="AV291" s="43"/>
      <c r="AW291" s="43"/>
      <c r="AX291" s="43"/>
      <c r="AY291" s="43"/>
      <c r="AZ291" s="43"/>
    </row>
    <row r="292">
      <c r="A292" s="62" t="s">
        <v>2041</v>
      </c>
      <c r="B292" s="63" t="s">
        <v>826</v>
      </c>
      <c r="C292" s="64" t="s">
        <v>2042</v>
      </c>
      <c r="D292" s="47" t="s">
        <v>323</v>
      </c>
      <c r="E292" s="64" t="s">
        <v>85</v>
      </c>
      <c r="F292" s="31" t="s">
        <v>40</v>
      </c>
      <c r="G292" s="31" t="s">
        <v>41</v>
      </c>
      <c r="H292" s="31" t="s">
        <v>779</v>
      </c>
      <c r="I292" s="31" t="s">
        <v>60</v>
      </c>
      <c r="J292" s="31"/>
      <c r="K292" s="31"/>
      <c r="L292" s="32">
        <f>IFERROR(__xludf.DUMMYFUNCTION("VLOOKUP($A292,IMPORTRANGE(""1PQtfbQLqBUP-rjYRznmgNFBLOjvAnhGzpIx7BJWq8rk"",""'Worksheet'!$B$2:$H""),7,FALSE)"),0.9)</f>
        <v>0.9</v>
      </c>
      <c r="M292" s="31" t="s">
        <v>40</v>
      </c>
      <c r="N292" s="49">
        <v>2.894863E7</v>
      </c>
      <c r="O292" s="49">
        <v>1.375928384E7</v>
      </c>
      <c r="P292" s="49">
        <f t="shared" si="41"/>
        <v>15189346.16</v>
      </c>
      <c r="Q292" s="34">
        <f t="shared" si="7"/>
        <v>0.5247</v>
      </c>
      <c r="R292" s="31"/>
      <c r="S292" s="31" t="s">
        <v>45</v>
      </c>
      <c r="T292" s="84">
        <v>2.75011985E7</v>
      </c>
      <c r="U292" s="84">
        <v>1.307131965E7</v>
      </c>
      <c r="V292" s="84">
        <f>T292-U292</f>
        <v>14429878.85</v>
      </c>
      <c r="W292" s="31"/>
      <c r="X292" s="52">
        <v>1.307131965E7</v>
      </c>
      <c r="Y292" s="54" t="s">
        <v>2043</v>
      </c>
      <c r="Z292" s="54" t="s">
        <v>1602</v>
      </c>
      <c r="AA292" s="74">
        <v>46266.0</v>
      </c>
      <c r="AB292" s="56"/>
      <c r="AC292" s="38"/>
      <c r="AD292" s="39">
        <v>28948.63</v>
      </c>
      <c r="AE292" s="39">
        <v>13759.28384</v>
      </c>
      <c r="AF292" s="40">
        <v>15189.34616</v>
      </c>
      <c r="AG292" s="57" t="s">
        <v>2044</v>
      </c>
      <c r="AH292" s="42" t="s">
        <v>49</v>
      </c>
      <c r="AI292" s="42" t="str">
        <f>IFERROR(__xludf.DUMMYFUNCTION("vLOOKUP(A292,IMPORTRANGE(""https://docs.google.com/spreadsheets/d/1Rawwwdh8wntXGy8isdYNHxsNQS4n_rC8JSdPfj6vEq4"",""'500 объектов перенос на 2026'!A3:AB502""),13,0)"),"#REF!")</f>
        <v>#REF!</v>
      </c>
      <c r="AJ292" s="42" t="str">
        <f>IFERROR(__xludf.DUMMYFUNCTION("vLOOKUP(A292,IMPORTRANGE(""https://docs.google.com/spreadsheets/d/1Rawwwdh8wntXGy8isdYNHxsNQS4n_rC8JSdPfj6vEq4"",""'500 объектов перенос на 2026'!A3:AB502""),14,0)"),"#REF!")</f>
        <v>#REF!</v>
      </c>
      <c r="AK292" s="138" t="s">
        <v>2045</v>
      </c>
      <c r="AL292" s="94" t="s">
        <v>1604</v>
      </c>
      <c r="AM292" s="94"/>
      <c r="AN292" s="43"/>
      <c r="AO292" s="43"/>
      <c r="AP292" s="43"/>
      <c r="AQ292" s="43"/>
      <c r="AR292" s="43"/>
      <c r="AS292" s="43"/>
      <c r="AT292" s="43"/>
      <c r="AU292" s="43"/>
      <c r="AV292" s="43"/>
      <c r="AW292" s="43"/>
      <c r="AX292" s="43"/>
      <c r="AY292" s="43"/>
      <c r="AZ292" s="43"/>
    </row>
    <row r="293">
      <c r="A293" s="62" t="s">
        <v>2046</v>
      </c>
      <c r="B293" s="63" t="s">
        <v>625</v>
      </c>
      <c r="C293" s="64" t="s">
        <v>2047</v>
      </c>
      <c r="D293" s="47" t="s">
        <v>2048</v>
      </c>
      <c r="E293" s="64" t="s">
        <v>85</v>
      </c>
      <c r="F293" s="31" t="s">
        <v>60</v>
      </c>
      <c r="G293" s="31"/>
      <c r="H293" s="31"/>
      <c r="I293" s="31" t="s">
        <v>40</v>
      </c>
      <c r="J293" s="31" t="s">
        <v>102</v>
      </c>
      <c r="K293" s="31" t="s">
        <v>280</v>
      </c>
      <c r="L293" s="32">
        <f>IFERROR(__xludf.DUMMYFUNCTION("VLOOKUP($A293,IMPORTRANGE(""1PQtfbQLqBUP-rjYRznmgNFBLOjvAnhGzpIx7BJWq8rk"",""'Worksheet'!$B$2:$H""),7,FALSE)"),0.68)</f>
        <v>0.68</v>
      </c>
      <c r="M293" s="31" t="s">
        <v>40</v>
      </c>
      <c r="N293" s="49">
        <v>2.13136E7</v>
      </c>
      <c r="O293" s="49">
        <v>6394080.0</v>
      </c>
      <c r="P293" s="49">
        <f t="shared" si="41"/>
        <v>14919520</v>
      </c>
      <c r="Q293" s="34">
        <f t="shared" si="7"/>
        <v>0.7</v>
      </c>
      <c r="R293" s="31"/>
      <c r="S293" s="31" t="s">
        <v>40</v>
      </c>
      <c r="T293" s="145" t="s">
        <v>2049</v>
      </c>
      <c r="U293" s="84">
        <v>0.0</v>
      </c>
      <c r="V293" s="84" t="s">
        <v>2049</v>
      </c>
      <c r="W293" s="31"/>
      <c r="X293" s="52" t="s">
        <v>2050</v>
      </c>
      <c r="Y293" s="54" t="s">
        <v>2051</v>
      </c>
      <c r="Z293" s="54" t="s">
        <v>274</v>
      </c>
      <c r="AA293" s="68">
        <v>46253.0</v>
      </c>
      <c r="AB293" s="56"/>
      <c r="AC293" s="38"/>
      <c r="AD293" s="39">
        <v>21313.6</v>
      </c>
      <c r="AE293" s="39">
        <v>6394.08</v>
      </c>
      <c r="AF293" s="40">
        <v>14919.52</v>
      </c>
      <c r="AG293" s="57" t="s">
        <v>2052</v>
      </c>
      <c r="AH293" s="42" t="s">
        <v>272</v>
      </c>
      <c r="AI293" s="42" t="str">
        <f>IFERROR(__xludf.DUMMYFUNCTION("vLOOKUP(A293,IMPORTRANGE(""https://docs.google.com/spreadsheets/d/1Rawwwdh8wntXGy8isdYNHxsNQS4n_rC8JSdPfj6vEq4"",""'500 объектов перенос на 2026'!A3:AB502""),13,0)"),"#REF!")</f>
        <v>#REF!</v>
      </c>
      <c r="AJ293" s="42" t="str">
        <f>IFERROR(__xludf.DUMMYFUNCTION("vLOOKUP(A293,IMPORTRANGE(""https://docs.google.com/spreadsheets/d/1Rawwwdh8wntXGy8isdYNHxsNQS4n_rC8JSdPfj6vEq4"",""'500 объектов перенос на 2026'!A3:AB502""),14,0)"),"#REF!")</f>
        <v>#REF!</v>
      </c>
      <c r="AK293" s="140"/>
      <c r="AL293" s="119"/>
      <c r="AM293" s="119"/>
      <c r="AN293" s="43"/>
      <c r="AO293" s="43"/>
      <c r="AP293" s="43"/>
      <c r="AQ293" s="43"/>
      <c r="AR293" s="43"/>
      <c r="AS293" s="43"/>
      <c r="AT293" s="43"/>
      <c r="AU293" s="43"/>
      <c r="AV293" s="43"/>
      <c r="AW293" s="43"/>
      <c r="AX293" s="43"/>
      <c r="AY293" s="43"/>
      <c r="AZ293" s="43"/>
    </row>
    <row r="294">
      <c r="A294" s="62" t="s">
        <v>2053</v>
      </c>
      <c r="B294" s="63" t="s">
        <v>703</v>
      </c>
      <c r="C294" s="64" t="s">
        <v>2054</v>
      </c>
      <c r="D294" s="47" t="s">
        <v>1523</v>
      </c>
      <c r="E294" s="64" t="s">
        <v>85</v>
      </c>
      <c r="F294" s="31" t="s">
        <v>40</v>
      </c>
      <c r="G294" s="31" t="s">
        <v>41</v>
      </c>
      <c r="H294" s="31" t="s">
        <v>779</v>
      </c>
      <c r="I294" s="31" t="s">
        <v>60</v>
      </c>
      <c r="J294" s="31"/>
      <c r="K294" s="31"/>
      <c r="L294" s="32">
        <f>IFERROR(__xludf.DUMMYFUNCTION("VLOOKUP($A294,IMPORTRANGE(""1PQtfbQLqBUP-rjYRznmgNFBLOjvAnhGzpIx7BJWq8rk"",""'Worksheet'!$B$2:$H""),7,FALSE)"),0.98)</f>
        <v>0.98</v>
      </c>
      <c r="M294" s="31" t="s">
        <v>45</v>
      </c>
      <c r="N294" s="49">
        <v>6.386070984E7</v>
      </c>
      <c r="O294" s="49">
        <v>4.900379068E7</v>
      </c>
      <c r="P294" s="49">
        <f t="shared" si="41"/>
        <v>14856919.16</v>
      </c>
      <c r="Q294" s="34">
        <f t="shared" si="7"/>
        <v>0.232645694</v>
      </c>
      <c r="R294" s="31"/>
      <c r="S294" s="31" t="s">
        <v>45</v>
      </c>
      <c r="T294" s="145"/>
      <c r="U294" s="84"/>
      <c r="V294" s="84"/>
      <c r="W294" s="31"/>
      <c r="X294" s="52" t="s">
        <v>507</v>
      </c>
      <c r="Y294" s="128" t="s">
        <v>706</v>
      </c>
      <c r="Z294" s="54" t="s">
        <v>707</v>
      </c>
      <c r="AA294" s="54" t="s">
        <v>114</v>
      </c>
      <c r="AB294" s="38" t="s">
        <v>115</v>
      </c>
      <c r="AC294" s="38"/>
      <c r="AD294" s="39">
        <v>63800.71</v>
      </c>
      <c r="AE294" s="39">
        <v>49003.79068</v>
      </c>
      <c r="AF294" s="40">
        <v>14796.91932</v>
      </c>
      <c r="AG294" s="168" t="s">
        <v>2055</v>
      </c>
      <c r="AH294" s="42"/>
      <c r="AI294" s="42" t="str">
        <f>IFERROR(__xludf.DUMMYFUNCTION("vLOOKUP(A294,IMPORTRANGE(""https://docs.google.com/spreadsheets/d/1Rawwwdh8wntXGy8isdYNHxsNQS4n_rC8JSdPfj6vEq4"",""'500 объектов перенос на 2026'!A3:AB502""),13,0)"),"#REF!")</f>
        <v>#REF!</v>
      </c>
      <c r="AJ294" s="42" t="str">
        <f>IFERROR(__xludf.DUMMYFUNCTION("vLOOKUP(A294,IMPORTRANGE(""https://docs.google.com/spreadsheets/d/1Rawwwdh8wntXGy8isdYNHxsNQS4n_rC8JSdPfj6vEq4"",""'500 объектов перенос на 2026'!A3:AB502""),14,0)"),"#REF!")</f>
        <v>#REF!</v>
      </c>
      <c r="AK294" s="163" t="s">
        <v>115</v>
      </c>
      <c r="AL294" s="110"/>
      <c r="AM294" s="110"/>
      <c r="AN294" s="43"/>
      <c r="AO294" s="43"/>
      <c r="AP294" s="43"/>
      <c r="AQ294" s="43"/>
      <c r="AR294" s="43"/>
      <c r="AS294" s="43"/>
      <c r="AT294" s="43"/>
      <c r="AU294" s="43"/>
      <c r="AV294" s="43"/>
      <c r="AW294" s="43"/>
      <c r="AX294" s="43"/>
      <c r="AY294" s="43"/>
      <c r="AZ294" s="43"/>
    </row>
    <row r="295">
      <c r="A295" s="62" t="s">
        <v>2056</v>
      </c>
      <c r="B295" s="63" t="s">
        <v>268</v>
      </c>
      <c r="C295" s="64" t="s">
        <v>2057</v>
      </c>
      <c r="D295" s="47" t="s">
        <v>323</v>
      </c>
      <c r="E295" s="64" t="s">
        <v>85</v>
      </c>
      <c r="F295" s="31" t="s">
        <v>40</v>
      </c>
      <c r="G295" s="31" t="s">
        <v>41</v>
      </c>
      <c r="H295" s="31" t="s">
        <v>828</v>
      </c>
      <c r="I295" s="31" t="s">
        <v>40</v>
      </c>
      <c r="J295" s="31" t="s">
        <v>61</v>
      </c>
      <c r="K295" s="31"/>
      <c r="L295" s="32">
        <f>IFERROR(__xludf.DUMMYFUNCTION("VLOOKUP($A295,IMPORTRANGE(""1PQtfbQLqBUP-rjYRznmgNFBLOjvAnhGzpIx7BJWq8rk"",""'Worksheet'!$B$2:$H""),7,FALSE)"),0.9)</f>
        <v>0.9</v>
      </c>
      <c r="M295" s="31" t="s">
        <v>40</v>
      </c>
      <c r="N295" s="49">
        <v>2.903107214E7</v>
      </c>
      <c r="O295" s="49">
        <v>1.42282095E7</v>
      </c>
      <c r="P295" s="49">
        <f t="shared" si="41"/>
        <v>14802862.64</v>
      </c>
      <c r="Q295" s="34">
        <f t="shared" si="7"/>
        <v>0.5098972084</v>
      </c>
      <c r="R295" s="31"/>
      <c r="S295" s="31" t="s">
        <v>40</v>
      </c>
      <c r="T295" s="84" t="s">
        <v>2058</v>
      </c>
      <c r="U295" s="84">
        <v>0.0</v>
      </c>
      <c r="V295" s="84" t="s">
        <v>2058</v>
      </c>
      <c r="W295" s="31"/>
      <c r="X295" s="52" t="s">
        <v>49</v>
      </c>
      <c r="Y295" s="54" t="s">
        <v>2059</v>
      </c>
      <c r="Z295" s="54" t="s">
        <v>851</v>
      </c>
      <c r="AA295" s="68">
        <v>46265.0</v>
      </c>
      <c r="AB295" s="56"/>
      <c r="AC295" s="38"/>
      <c r="AD295" s="39">
        <v>29031.07</v>
      </c>
      <c r="AE295" s="39">
        <v>14228.2095</v>
      </c>
      <c r="AF295" s="40">
        <v>14802.8605</v>
      </c>
      <c r="AG295" s="57" t="s">
        <v>2060</v>
      </c>
      <c r="AH295" s="42" t="s">
        <v>49</v>
      </c>
      <c r="AI295" s="42" t="str">
        <f>IFERROR(__xludf.DUMMYFUNCTION("vLOOKUP(A295,IMPORTRANGE(""https://docs.google.com/spreadsheets/d/1Rawwwdh8wntXGy8isdYNHxsNQS4n_rC8JSdPfj6vEq4"",""'500 объектов перенос на 2026'!A3:AB502""),13,0)"),"#REF!")</f>
        <v>#REF!</v>
      </c>
      <c r="AJ295" s="42" t="str">
        <f>IFERROR(__xludf.DUMMYFUNCTION("vLOOKUP(A295,IMPORTRANGE(""https://docs.google.com/spreadsheets/d/1Rawwwdh8wntXGy8isdYNHxsNQS4n_rC8JSdPfj6vEq4"",""'500 объектов перенос на 2026'!A3:AB502""),14,0)"),"#REF!")</f>
        <v>#REF!</v>
      </c>
      <c r="AK295" s="58" t="s">
        <v>2061</v>
      </c>
      <c r="AL295" s="94" t="s">
        <v>2062</v>
      </c>
      <c r="AM295" s="94"/>
      <c r="AN295" s="96" t="s">
        <v>2063</v>
      </c>
      <c r="AO295" s="43"/>
      <c r="AP295" s="43"/>
      <c r="AQ295" s="43"/>
      <c r="AR295" s="43"/>
      <c r="AS295" s="43"/>
      <c r="AT295" s="43"/>
      <c r="AU295" s="43"/>
      <c r="AV295" s="43"/>
      <c r="AW295" s="43"/>
      <c r="AX295" s="43"/>
      <c r="AY295" s="43"/>
      <c r="AZ295" s="43"/>
    </row>
    <row r="296">
      <c r="A296" s="62" t="s">
        <v>2064</v>
      </c>
      <c r="B296" s="63" t="s">
        <v>110</v>
      </c>
      <c r="C296" s="64" t="s">
        <v>2065</v>
      </c>
      <c r="D296" s="47" t="s">
        <v>112</v>
      </c>
      <c r="E296" s="64" t="s">
        <v>85</v>
      </c>
      <c r="F296" s="31" t="s">
        <v>60</v>
      </c>
      <c r="G296" s="31"/>
      <c r="H296" s="31"/>
      <c r="I296" s="31" t="s">
        <v>40</v>
      </c>
      <c r="J296" s="31" t="s">
        <v>61</v>
      </c>
      <c r="K296" s="31" t="s">
        <v>72</v>
      </c>
      <c r="L296" s="32">
        <f>IFERROR(__xludf.DUMMYFUNCTION("VLOOKUP($A296,IMPORTRANGE(""1PQtfbQLqBUP-rjYRznmgNFBLOjvAnhGzpIx7BJWq8rk"",""'Worksheet'!$B$2:$H""),7,FALSE)"),0.94)</f>
        <v>0.94</v>
      </c>
      <c r="M296" s="31" t="s">
        <v>45</v>
      </c>
      <c r="N296" s="49">
        <v>6.802844999E7</v>
      </c>
      <c r="O296" s="49">
        <v>5.330892095E7</v>
      </c>
      <c r="P296" s="49">
        <f t="shared" si="41"/>
        <v>14719529.04</v>
      </c>
      <c r="Q296" s="34">
        <f t="shared" si="7"/>
        <v>0.2163731357</v>
      </c>
      <c r="R296" s="31"/>
      <c r="S296" s="31" t="s">
        <v>45</v>
      </c>
      <c r="T296" s="145">
        <v>6.481744008E7</v>
      </c>
      <c r="U296" s="84">
        <v>4.766067573E7</v>
      </c>
      <c r="V296" s="84">
        <v>1.715676435E7</v>
      </c>
      <c r="W296" s="31"/>
      <c r="X296" s="52" t="s">
        <v>557</v>
      </c>
      <c r="Y296" s="54" t="s">
        <v>558</v>
      </c>
      <c r="Z296" s="54"/>
      <c r="AA296" s="74">
        <v>46223.0</v>
      </c>
      <c r="AB296" s="37">
        <v>46132.0</v>
      </c>
      <c r="AC296" s="38" t="s">
        <v>559</v>
      </c>
      <c r="AD296" s="39">
        <v>68028.45</v>
      </c>
      <c r="AE296" s="39">
        <v>53380.43487</v>
      </c>
      <c r="AF296" s="40">
        <v>14648.01513</v>
      </c>
      <c r="AG296" s="57"/>
      <c r="AH296" s="42" t="s">
        <v>187</v>
      </c>
      <c r="AI296" s="42" t="str">
        <f>IFERROR(__xludf.DUMMYFUNCTION("vLOOKUP(A296,IMPORTRANGE(""https://docs.google.com/spreadsheets/d/1Rawwwdh8wntXGy8isdYNHxsNQS4n_rC8JSdPfj6vEq4"",""'500 объектов перенос на 2026'!A3:AB502""),13,0)"),"#REF!")</f>
        <v>#REF!</v>
      </c>
      <c r="AJ296" s="42" t="str">
        <f>IFERROR(__xludf.DUMMYFUNCTION("vLOOKUP(A296,IMPORTRANGE(""https://docs.google.com/spreadsheets/d/1Rawwwdh8wntXGy8isdYNHxsNQS4n_rC8JSdPfj6vEq4"",""'500 объектов перенос на 2026'!A3:AB502""),14,0)"),"#REF!")</f>
        <v>#REF!</v>
      </c>
      <c r="AK296" s="77" t="s">
        <v>2066</v>
      </c>
      <c r="AL296" s="70" t="s">
        <v>1464</v>
      </c>
      <c r="AM296" s="70"/>
      <c r="AN296" s="43"/>
      <c r="AO296" s="43"/>
      <c r="AP296" s="43"/>
      <c r="AQ296" s="43"/>
      <c r="AR296" s="43"/>
      <c r="AS296" s="43"/>
      <c r="AT296" s="43"/>
      <c r="AU296" s="43"/>
      <c r="AV296" s="43"/>
      <c r="AW296" s="43"/>
      <c r="AX296" s="43"/>
      <c r="AY296" s="43"/>
      <c r="AZ296" s="43"/>
    </row>
    <row r="297">
      <c r="A297" s="62" t="s">
        <v>2067</v>
      </c>
      <c r="B297" s="63" t="s">
        <v>503</v>
      </c>
      <c r="C297" s="64" t="s">
        <v>2068</v>
      </c>
      <c r="D297" s="47" t="s">
        <v>2069</v>
      </c>
      <c r="E297" s="64" t="s">
        <v>59</v>
      </c>
      <c r="F297" s="31" t="s">
        <v>60</v>
      </c>
      <c r="G297" s="31" t="s">
        <v>41</v>
      </c>
      <c r="H297" s="31" t="s">
        <v>157</v>
      </c>
      <c r="I297" s="31" t="s">
        <v>60</v>
      </c>
      <c r="J297" s="31"/>
      <c r="K297" s="31"/>
      <c r="L297" s="32">
        <f>IFERROR(__xludf.DUMMYFUNCTION("VLOOKUP($A297,IMPORTRANGE(""1PQtfbQLqBUP-rjYRznmgNFBLOjvAnhGzpIx7BJWq8rk"",""'Worksheet'!$B$2:$H""),7,FALSE)"),0.95)</f>
        <v>0.95</v>
      </c>
      <c r="M297" s="31" t="s">
        <v>40</v>
      </c>
      <c r="N297" s="49">
        <v>2.0E7</v>
      </c>
      <c r="O297" s="49">
        <v>5400000.0</v>
      </c>
      <c r="P297" s="49">
        <f t="shared" si="41"/>
        <v>14600000</v>
      </c>
      <c r="Q297" s="34">
        <f t="shared" si="7"/>
        <v>0.73</v>
      </c>
      <c r="R297" s="31"/>
      <c r="S297" s="31" t="s">
        <v>40</v>
      </c>
      <c r="T297" s="84"/>
      <c r="U297" s="84"/>
      <c r="V297" s="84"/>
      <c r="W297" s="31"/>
      <c r="X297" s="169" t="s">
        <v>2070</v>
      </c>
      <c r="Y297" s="89" t="s">
        <v>2071</v>
      </c>
      <c r="Z297" s="54" t="s">
        <v>2072</v>
      </c>
      <c r="AA297" s="74">
        <v>46233.0</v>
      </c>
      <c r="AB297" s="56"/>
      <c r="AC297" s="38" t="s">
        <v>49</v>
      </c>
      <c r="AD297" s="39">
        <v>20000.0</v>
      </c>
      <c r="AE297" s="39">
        <v>5400.0</v>
      </c>
      <c r="AF297" s="40">
        <v>14600.0</v>
      </c>
      <c r="AG297" s="57" t="s">
        <v>2073</v>
      </c>
      <c r="AH297" s="85" t="s">
        <v>2074</v>
      </c>
      <c r="AI297" s="42" t="str">
        <f>IFERROR(__xludf.DUMMYFUNCTION("vLOOKUP(A297,IMPORTRANGE(""https://docs.google.com/spreadsheets/d/1Rawwwdh8wntXGy8isdYNHxsNQS4n_rC8JSdPfj6vEq4"",""'500 объектов перенос на 2026'!A3:AB502""),13,0)"),"#REF!")</f>
        <v>#REF!</v>
      </c>
      <c r="AJ297" s="42" t="str">
        <f>IFERROR(__xludf.DUMMYFUNCTION("vLOOKUP(A297,IMPORTRANGE(""https://docs.google.com/spreadsheets/d/1Rawwwdh8wntXGy8isdYNHxsNQS4n_rC8JSdPfj6vEq4"",""'500 объектов перенос на 2026'!A3:AB502""),14,0)"),"#REF!")</f>
        <v>#REF!</v>
      </c>
      <c r="AK297" s="138" t="s">
        <v>2075</v>
      </c>
      <c r="AL297" s="110"/>
      <c r="AM297" s="110"/>
      <c r="AN297" s="43"/>
      <c r="AO297" s="43"/>
      <c r="AP297" s="43"/>
      <c r="AQ297" s="43"/>
      <c r="AR297" s="43"/>
      <c r="AS297" s="43"/>
      <c r="AT297" s="43"/>
      <c r="AU297" s="43"/>
      <c r="AV297" s="43"/>
      <c r="AW297" s="43"/>
      <c r="AX297" s="43"/>
      <c r="AY297" s="43"/>
      <c r="AZ297" s="43"/>
    </row>
    <row r="298">
      <c r="A298" s="62" t="s">
        <v>2076</v>
      </c>
      <c r="B298" s="63" t="s">
        <v>296</v>
      </c>
      <c r="C298" s="64" t="s">
        <v>2077</v>
      </c>
      <c r="D298" s="47" t="s">
        <v>1408</v>
      </c>
      <c r="E298" s="64" t="s">
        <v>85</v>
      </c>
      <c r="F298" s="31" t="s">
        <v>60</v>
      </c>
      <c r="G298" s="31"/>
      <c r="H298" s="31"/>
      <c r="I298" s="31" t="s">
        <v>60</v>
      </c>
      <c r="J298" s="31"/>
      <c r="K298" s="31"/>
      <c r="L298" s="32" t="str">
        <f>IFERROR(__xludf.DUMMYFUNCTION("VLOOKUP($A298,IMPORTRANGE(""1PQtfbQLqBUP-rjYRznmgNFBLOjvAnhGzpIx7BJWq8rk"",""'Worksheet'!$B$2:$H""),7,FALSE)"),"#N/A")</f>
        <v>#N/A</v>
      </c>
      <c r="M298" s="31" t="s">
        <v>60</v>
      </c>
      <c r="N298" s="49">
        <v>3.769531794E7</v>
      </c>
      <c r="O298" s="49">
        <v>3.769531794E7</v>
      </c>
      <c r="P298" s="49">
        <f t="shared" si="41"/>
        <v>0</v>
      </c>
      <c r="Q298" s="34">
        <f t="shared" si="7"/>
        <v>0</v>
      </c>
      <c r="R298" s="31"/>
      <c r="S298" s="31" t="s">
        <v>60</v>
      </c>
      <c r="T298" s="155">
        <v>3.5810552043E7</v>
      </c>
      <c r="U298" s="155">
        <v>3.5810552043E7</v>
      </c>
      <c r="V298" s="51">
        <v>0.0</v>
      </c>
      <c r="W298" s="31"/>
      <c r="X298" s="52" t="s">
        <v>113</v>
      </c>
      <c r="Y298" s="54" t="s">
        <v>114</v>
      </c>
      <c r="Z298" s="54" t="s">
        <v>114</v>
      </c>
      <c r="AA298" s="54" t="s">
        <v>114</v>
      </c>
      <c r="AB298" s="56"/>
      <c r="AC298" s="38"/>
      <c r="AD298" s="102" t="s">
        <v>2078</v>
      </c>
      <c r="AE298" s="102">
        <v>589.135</v>
      </c>
      <c r="AF298" s="39">
        <v>39646.145</v>
      </c>
      <c r="AG298" s="57" t="s">
        <v>2079</v>
      </c>
      <c r="AH298" s="57" t="s">
        <v>2080</v>
      </c>
      <c r="AI298" s="42" t="str">
        <f>IFERROR(__xludf.DUMMYFUNCTION("vLOOKUP(A298,IMPORTRANGE(""https://docs.google.com/spreadsheets/d/1Rawwwdh8wntXGy8isdYNHxsNQS4n_rC8JSdPfj6vEq4"",""'500 объектов перенос на 2026'!A3:AB502""),13,0)"),"#REF!")</f>
        <v>#REF!</v>
      </c>
      <c r="AJ298" s="42" t="str">
        <f>IFERROR(__xludf.DUMMYFUNCTION("vLOOKUP(A298,IMPORTRANGE(""https://docs.google.com/spreadsheets/d/1Rawwwdh8wntXGy8isdYNHxsNQS4n_rC8JSdPfj6vEq4"",""'500 объектов перенос на 2026'!A3:AB502""),14,0)"),"#REF!")</f>
        <v>#REF!</v>
      </c>
      <c r="AK298" s="76" t="s">
        <v>114</v>
      </c>
      <c r="AL298" s="70"/>
      <c r="AM298" s="70"/>
      <c r="AN298" s="43"/>
      <c r="AO298" s="43"/>
      <c r="AP298" s="43"/>
      <c r="AQ298" s="43"/>
      <c r="AR298" s="43"/>
      <c r="AS298" s="43"/>
      <c r="AT298" s="43"/>
      <c r="AU298" s="43"/>
      <c r="AV298" s="43"/>
      <c r="AW298" s="43"/>
      <c r="AX298" s="43"/>
      <c r="AY298" s="43"/>
      <c r="AZ298" s="43"/>
    </row>
    <row r="299">
      <c r="A299" s="62" t="s">
        <v>2081</v>
      </c>
      <c r="B299" s="63" t="s">
        <v>653</v>
      </c>
      <c r="C299" s="64" t="s">
        <v>2082</v>
      </c>
      <c r="D299" s="47" t="s">
        <v>2083</v>
      </c>
      <c r="E299" s="64" t="s">
        <v>85</v>
      </c>
      <c r="F299" s="31" t="s">
        <v>60</v>
      </c>
      <c r="G299" s="31"/>
      <c r="H299" s="31"/>
      <c r="I299" s="31" t="s">
        <v>40</v>
      </c>
      <c r="J299" s="31" t="s">
        <v>61</v>
      </c>
      <c r="K299" s="31" t="s">
        <v>62</v>
      </c>
      <c r="L299" s="32">
        <f>IFERROR(__xludf.DUMMYFUNCTION("VLOOKUP($A299,IMPORTRANGE(""1PQtfbQLqBUP-rjYRznmgNFBLOjvAnhGzpIx7BJWq8rk"",""'Worksheet'!$B$2:$H""),7,FALSE)"),0.7)</f>
        <v>0.7</v>
      </c>
      <c r="M299" s="31" t="s">
        <v>40</v>
      </c>
      <c r="N299" s="49">
        <v>2.08324E7</v>
      </c>
      <c r="O299" s="127">
        <v>6249720.0</v>
      </c>
      <c r="P299" s="49">
        <f t="shared" si="41"/>
        <v>14582680</v>
      </c>
      <c r="Q299" s="34">
        <f t="shared" si="7"/>
        <v>0.7</v>
      </c>
      <c r="R299" s="31"/>
      <c r="S299" s="31" t="s">
        <v>40</v>
      </c>
      <c r="T299" s="91" t="s">
        <v>2084</v>
      </c>
      <c r="U299" s="117">
        <v>0.0</v>
      </c>
      <c r="V299" s="50" t="s">
        <v>2084</v>
      </c>
      <c r="W299" s="31" t="s">
        <v>183</v>
      </c>
      <c r="X299" s="52" t="s">
        <v>1469</v>
      </c>
      <c r="Y299" s="54" t="s">
        <v>2085</v>
      </c>
      <c r="Z299" s="54"/>
      <c r="AA299" s="74">
        <v>46213.0</v>
      </c>
      <c r="AB299" s="56"/>
      <c r="AC299" s="38" t="s">
        <v>2086</v>
      </c>
      <c r="AD299" s="39">
        <v>20832.4</v>
      </c>
      <c r="AE299" s="39">
        <v>6249.72</v>
      </c>
      <c r="AF299" s="40">
        <v>14582.68</v>
      </c>
      <c r="AG299" s="57" t="s">
        <v>2087</v>
      </c>
      <c r="AH299" s="42" t="s">
        <v>980</v>
      </c>
      <c r="AI299" s="42" t="str">
        <f>IFERROR(__xludf.DUMMYFUNCTION("vLOOKUP(A299,IMPORTRANGE(""https://docs.google.com/spreadsheets/d/1Rawwwdh8wntXGy8isdYNHxsNQS4n_rC8JSdPfj6vEq4"",""'500 объектов перенос на 2026'!A3:AB502""),13,0)"),"#REF!")</f>
        <v>#REF!</v>
      </c>
      <c r="AJ299" s="42" t="str">
        <f>IFERROR(__xludf.DUMMYFUNCTION("vLOOKUP(A299,IMPORTRANGE(""https://docs.google.com/spreadsheets/d/1Rawwwdh8wntXGy8isdYNHxsNQS4n_rC8JSdPfj6vEq4"",""'500 объектов перенос на 2026'!A3:AB502""),14,0)"),"#REF!")</f>
        <v>#REF!</v>
      </c>
      <c r="AK299" s="70" t="s">
        <v>2088</v>
      </c>
      <c r="AL299" s="70"/>
      <c r="AM299" s="70"/>
      <c r="AN299" s="43"/>
      <c r="AO299" s="43"/>
      <c r="AP299" s="43"/>
      <c r="AQ299" s="43"/>
      <c r="AR299" s="43"/>
      <c r="AS299" s="43"/>
      <c r="AT299" s="43"/>
      <c r="AU299" s="43"/>
      <c r="AV299" s="43"/>
      <c r="AW299" s="43"/>
      <c r="AX299" s="43"/>
      <c r="AY299" s="43"/>
      <c r="AZ299" s="43"/>
    </row>
    <row r="300">
      <c r="A300" s="62" t="s">
        <v>2089</v>
      </c>
      <c r="B300" s="63" t="s">
        <v>2090</v>
      </c>
      <c r="C300" s="150" t="s">
        <v>2091</v>
      </c>
      <c r="D300" s="47" t="s">
        <v>227</v>
      </c>
      <c r="E300" s="90" t="s">
        <v>39</v>
      </c>
      <c r="F300" s="31" t="s">
        <v>40</v>
      </c>
      <c r="G300" s="31" t="s">
        <v>156</v>
      </c>
      <c r="H300" s="31" t="s">
        <v>260</v>
      </c>
      <c r="I300" s="31" t="s">
        <v>60</v>
      </c>
      <c r="J300" s="31"/>
      <c r="K300" s="31"/>
      <c r="L300" s="32">
        <f>IFERROR(__xludf.DUMMYFUNCTION("VLOOKUP($A300,IMPORTRANGE(""1PQtfbQLqBUP-rjYRznmgNFBLOjvAnhGzpIx7BJWq8rk"",""'Worksheet'!$B$2:$H""),7,FALSE)"),0.97)</f>
        <v>0.97</v>
      </c>
      <c r="M300" s="31" t="s">
        <v>40</v>
      </c>
      <c r="N300" s="49">
        <v>2.082794E7</v>
      </c>
      <c r="O300" s="49">
        <v>6248382.0</v>
      </c>
      <c r="P300" s="49">
        <f t="shared" si="41"/>
        <v>14579558</v>
      </c>
      <c r="Q300" s="34">
        <f t="shared" si="7"/>
        <v>0.7</v>
      </c>
      <c r="R300" s="31"/>
      <c r="S300" s="31" t="s">
        <v>40</v>
      </c>
      <c r="T300" s="72" t="s">
        <v>2092</v>
      </c>
      <c r="U300" s="67" t="s">
        <v>2093</v>
      </c>
      <c r="V300" s="72">
        <v>1.94741239E7</v>
      </c>
      <c r="W300" s="31"/>
      <c r="X300" s="52" t="s">
        <v>49</v>
      </c>
      <c r="Y300" s="54" t="s">
        <v>2094</v>
      </c>
      <c r="Z300" s="74"/>
      <c r="AA300" s="74">
        <v>46218.0</v>
      </c>
      <c r="AB300" s="56"/>
      <c r="AC300" s="38"/>
      <c r="AD300" s="39">
        <v>20827.94</v>
      </c>
      <c r="AE300" s="39">
        <v>6248.382</v>
      </c>
      <c r="AF300" s="40">
        <v>14579.558</v>
      </c>
      <c r="AG300" s="57" t="s">
        <v>2095</v>
      </c>
      <c r="AH300" s="42" t="s">
        <v>49</v>
      </c>
      <c r="AI300" s="42" t="str">
        <f>IFERROR(__xludf.DUMMYFUNCTION("vLOOKUP(A300,IMPORTRANGE(""https://docs.google.com/spreadsheets/d/1Rawwwdh8wntXGy8isdYNHxsNQS4n_rC8JSdPfj6vEq4"",""'500 объектов перенос на 2026'!A3:AB502""),13,0)"),"#REF!")</f>
        <v>#REF!</v>
      </c>
      <c r="AJ300" s="42" t="str">
        <f>IFERROR(__xludf.DUMMYFUNCTION("vLOOKUP(A300,IMPORTRANGE(""https://docs.google.com/spreadsheets/d/1Rawwwdh8wntXGy8isdYNHxsNQS4n_rC8JSdPfj6vEq4"",""'500 объектов перенос на 2026'!A3:AB502""),14,0)"),"#REF!")</f>
        <v>#REF!</v>
      </c>
      <c r="AK300" s="87" t="s">
        <v>2096</v>
      </c>
      <c r="AL300" s="87" t="s">
        <v>2097</v>
      </c>
      <c r="AM300" s="87"/>
      <c r="AN300" s="43"/>
      <c r="AO300" s="43"/>
      <c r="AP300" s="43"/>
      <c r="AQ300" s="43"/>
      <c r="AR300" s="43"/>
      <c r="AS300" s="43"/>
      <c r="AT300" s="43"/>
      <c r="AU300" s="43"/>
      <c r="AV300" s="43"/>
      <c r="AW300" s="43"/>
      <c r="AX300" s="43"/>
      <c r="AY300" s="43"/>
      <c r="AZ300" s="43"/>
    </row>
    <row r="301">
      <c r="A301" s="62" t="s">
        <v>2098</v>
      </c>
      <c r="B301" s="63" t="s">
        <v>1299</v>
      </c>
      <c r="C301" s="64" t="s">
        <v>2099</v>
      </c>
      <c r="D301" s="47" t="s">
        <v>585</v>
      </c>
      <c r="E301" s="64" t="s">
        <v>85</v>
      </c>
      <c r="F301" s="31" t="s">
        <v>60</v>
      </c>
      <c r="G301" s="31"/>
      <c r="H301" s="31"/>
      <c r="I301" s="31" t="s">
        <v>2100</v>
      </c>
      <c r="J301" s="31"/>
      <c r="K301" s="31"/>
      <c r="L301" s="32">
        <f>IFERROR(__xludf.DUMMYFUNCTION("VLOOKUP($A301,IMPORTRANGE(""1PQtfbQLqBUP-rjYRznmgNFBLOjvAnhGzpIx7BJWq8rk"",""'Worksheet'!$B$2:$H""),7,FALSE)"),0.98)</f>
        <v>0.98</v>
      </c>
      <c r="M301" s="31" t="s">
        <v>45</v>
      </c>
      <c r="N301" s="49">
        <v>2.096447702E7</v>
      </c>
      <c r="O301" s="49">
        <v>6799470.87</v>
      </c>
      <c r="P301" s="49">
        <f t="shared" si="41"/>
        <v>14165006.15</v>
      </c>
      <c r="Q301" s="34">
        <f t="shared" si="7"/>
        <v>0.6756670408</v>
      </c>
      <c r="R301" s="31"/>
      <c r="S301" s="31" t="s">
        <v>45</v>
      </c>
      <c r="T301" s="72" t="s">
        <v>2101</v>
      </c>
      <c r="U301" s="67" t="s">
        <v>2102</v>
      </c>
      <c r="V301" s="72" t="s">
        <v>2103</v>
      </c>
      <c r="W301" s="31"/>
      <c r="X301" s="52" t="s">
        <v>2104</v>
      </c>
      <c r="Y301" s="54" t="s">
        <v>2105</v>
      </c>
      <c r="Z301" s="74"/>
      <c r="AA301" s="74">
        <v>46203.0</v>
      </c>
      <c r="AB301" s="56"/>
      <c r="AC301" s="38"/>
      <c r="AD301" s="39">
        <v>20964.47</v>
      </c>
      <c r="AE301" s="39">
        <v>6915.45676</v>
      </c>
      <c r="AF301" s="40">
        <v>14049.01324</v>
      </c>
      <c r="AG301" s="57" t="s">
        <v>2106</v>
      </c>
      <c r="AH301" s="42" t="s">
        <v>1308</v>
      </c>
      <c r="AI301" s="42" t="str">
        <f>IFERROR(__xludf.DUMMYFUNCTION("vLOOKUP(A301,IMPORTRANGE(""https://docs.google.com/spreadsheets/d/1Rawwwdh8wntXGy8isdYNHxsNQS4n_rC8JSdPfj6vEq4"",""'500 объектов перенос на 2026'!A3:AB502""),13,0)"),"#REF!")</f>
        <v>#REF!</v>
      </c>
      <c r="AJ301" s="42" t="str">
        <f>IFERROR(__xludf.DUMMYFUNCTION("vLOOKUP(A301,IMPORTRANGE(""https://docs.google.com/spreadsheets/d/1Rawwwdh8wntXGy8isdYNHxsNQS4n_rC8JSdPfj6vEq4"",""'500 объектов перенос на 2026'!A3:AB502""),14,0)"),"#REF!")</f>
        <v>#REF!</v>
      </c>
      <c r="AK301" s="76" t="s">
        <v>2107</v>
      </c>
      <c r="AL301" s="70"/>
      <c r="AM301" s="70"/>
      <c r="AN301" s="43"/>
      <c r="AO301" s="43"/>
      <c r="AP301" s="43"/>
      <c r="AQ301" s="43"/>
      <c r="AR301" s="43"/>
      <c r="AS301" s="43"/>
      <c r="AT301" s="43"/>
      <c r="AU301" s="43"/>
      <c r="AV301" s="43"/>
      <c r="AW301" s="43"/>
      <c r="AX301" s="43"/>
      <c r="AY301" s="43"/>
      <c r="AZ301" s="43"/>
    </row>
    <row r="302">
      <c r="A302" s="62" t="s">
        <v>2108</v>
      </c>
      <c r="B302" s="63" t="s">
        <v>653</v>
      </c>
      <c r="C302" s="64" t="s">
        <v>2109</v>
      </c>
      <c r="D302" s="47" t="s">
        <v>1058</v>
      </c>
      <c r="E302" s="64" t="s">
        <v>59</v>
      </c>
      <c r="F302" s="31" t="s">
        <v>60</v>
      </c>
      <c r="G302" s="31"/>
      <c r="H302" s="31"/>
      <c r="I302" s="31" t="s">
        <v>60</v>
      </c>
      <c r="J302" s="31"/>
      <c r="K302" s="31"/>
      <c r="L302" s="32">
        <f>IFERROR(__xludf.DUMMYFUNCTION("VLOOKUP($A302,IMPORTRANGE(""1PQtfbQLqBUP-rjYRznmgNFBLOjvAnhGzpIx7BJWq8rk"",""'Worksheet'!$B$2:$H""),7,FALSE)"),1.0)</f>
        <v>1</v>
      </c>
      <c r="M302" s="31" t="s">
        <v>60</v>
      </c>
      <c r="N302" s="49">
        <v>1.9073756826E8</v>
      </c>
      <c r="O302" s="127">
        <v>1.7667177934E8</v>
      </c>
      <c r="P302" s="49">
        <f t="shared" si="41"/>
        <v>14065788.92</v>
      </c>
      <c r="Q302" s="34">
        <f t="shared" si="7"/>
        <v>0.07374419758</v>
      </c>
      <c r="R302" s="31"/>
      <c r="S302" s="31" t="s">
        <v>60</v>
      </c>
      <c r="T302" s="91" t="s">
        <v>2110</v>
      </c>
      <c r="U302" s="51" t="s">
        <v>2111</v>
      </c>
      <c r="V302" s="50" t="s">
        <v>2112</v>
      </c>
      <c r="W302" s="31"/>
      <c r="X302" s="52" t="s">
        <v>8</v>
      </c>
      <c r="Y302" s="54" t="s">
        <v>1061</v>
      </c>
      <c r="Z302" s="54"/>
      <c r="AA302" s="68">
        <v>46213.0</v>
      </c>
      <c r="AB302" s="56"/>
      <c r="AC302" s="38" t="s">
        <v>2113</v>
      </c>
      <c r="AD302" s="39">
        <v>175190.2</v>
      </c>
      <c r="AE302" s="39">
        <v>178158.7952</v>
      </c>
      <c r="AF302" s="40">
        <v>-2968.59517</v>
      </c>
      <c r="AG302" s="57" t="s">
        <v>2114</v>
      </c>
      <c r="AH302" s="42" t="s">
        <v>1064</v>
      </c>
      <c r="AI302" s="42" t="str">
        <f>IFERROR(__xludf.DUMMYFUNCTION("vLOOKUP(A302,IMPORTRANGE(""https://docs.google.com/spreadsheets/d/1Rawwwdh8wntXGy8isdYNHxsNQS4n_rC8JSdPfj6vEq4"",""'500 объектов перенос на 2026'!A3:AB502""),13,0)"),"#REF!")</f>
        <v>#REF!</v>
      </c>
      <c r="AJ302" s="42" t="str">
        <f>IFERROR(__xludf.DUMMYFUNCTION("vLOOKUP(A302,IMPORTRANGE(""https://docs.google.com/spreadsheets/d/1Rawwwdh8wntXGy8isdYNHxsNQS4n_rC8JSdPfj6vEq4"",""'500 объектов перенос на 2026'!A3:AB502""),14,0)"),"#REF!")</f>
        <v>#REF!</v>
      </c>
      <c r="AK302" s="76" t="s">
        <v>2115</v>
      </c>
      <c r="AL302" s="70"/>
      <c r="AM302" s="70"/>
      <c r="AN302" s="43"/>
      <c r="AO302" s="43"/>
      <c r="AP302" s="43"/>
      <c r="AQ302" s="43"/>
      <c r="AR302" s="43"/>
      <c r="AS302" s="43"/>
      <c r="AT302" s="43"/>
      <c r="AU302" s="43"/>
      <c r="AV302" s="43"/>
      <c r="AW302" s="43"/>
      <c r="AX302" s="43"/>
      <c r="AY302" s="43"/>
      <c r="AZ302" s="43"/>
    </row>
    <row r="303">
      <c r="A303" s="62" t="s">
        <v>2116</v>
      </c>
      <c r="B303" s="63" t="s">
        <v>1299</v>
      </c>
      <c r="C303" s="90" t="s">
        <v>2117</v>
      </c>
      <c r="D303" s="47" t="s">
        <v>1546</v>
      </c>
      <c r="E303" s="64" t="s">
        <v>59</v>
      </c>
      <c r="F303" s="31" t="s">
        <v>40</v>
      </c>
      <c r="G303" s="31" t="s">
        <v>41</v>
      </c>
      <c r="H303" s="31" t="s">
        <v>2118</v>
      </c>
      <c r="I303" s="31" t="s">
        <v>40</v>
      </c>
      <c r="J303" s="31" t="s">
        <v>102</v>
      </c>
      <c r="K303" s="31"/>
      <c r="L303" s="32">
        <f>IFERROR(__xludf.DUMMYFUNCTION("VLOOKUP($A303,IMPORTRANGE(""1PQtfbQLqBUP-rjYRznmgNFBLOjvAnhGzpIx7BJWq8rk"",""'Worksheet'!$B$2:$H""),7,FALSE)"),0.65)</f>
        <v>0.65</v>
      </c>
      <c r="M303" s="31" t="s">
        <v>40</v>
      </c>
      <c r="N303" s="49">
        <v>2.000078287E7</v>
      </c>
      <c r="O303" s="49">
        <v>6000237.0</v>
      </c>
      <c r="P303" s="49">
        <f t="shared" si="41"/>
        <v>14000545.87</v>
      </c>
      <c r="Q303" s="34">
        <f t="shared" si="7"/>
        <v>0.6999998931</v>
      </c>
      <c r="R303" s="31"/>
      <c r="S303" s="31" t="s">
        <v>40</v>
      </c>
      <c r="T303" s="72" t="s">
        <v>2119</v>
      </c>
      <c r="U303" s="51">
        <v>0.0</v>
      </c>
      <c r="V303" s="72" t="s">
        <v>2119</v>
      </c>
      <c r="W303" s="31"/>
      <c r="X303" s="52" t="s">
        <v>880</v>
      </c>
      <c r="Y303" s="73" t="s">
        <v>2120</v>
      </c>
      <c r="Z303" s="68"/>
      <c r="AA303" s="68">
        <v>46295.0</v>
      </c>
      <c r="AB303" s="56"/>
      <c r="AC303" s="38"/>
      <c r="AD303" s="39">
        <v>20000.79</v>
      </c>
      <c r="AE303" s="39">
        <v>6000.237</v>
      </c>
      <c r="AF303" s="40">
        <v>14000.553</v>
      </c>
      <c r="AG303" s="57" t="s">
        <v>2121</v>
      </c>
      <c r="AH303" s="42" t="s">
        <v>2122</v>
      </c>
      <c r="AI303" s="42" t="str">
        <f>IFERROR(__xludf.DUMMYFUNCTION("vLOOKUP(A303,IMPORTRANGE(""https://docs.google.com/spreadsheets/d/1Rawwwdh8wntXGy8isdYNHxsNQS4n_rC8JSdPfj6vEq4"",""'500 объектов перенос на 2026'!A3:AB502""),13,0)"),"#REF!")</f>
        <v>#REF!</v>
      </c>
      <c r="AJ303" s="42" t="str">
        <f>IFERROR(__xludf.DUMMYFUNCTION("vLOOKUP(A303,IMPORTRANGE(""https://docs.google.com/spreadsheets/d/1Rawwwdh8wntXGy8isdYNHxsNQS4n_rC8JSdPfj6vEq4"",""'500 объектов перенос на 2026'!A3:AB502""),14,0)"),"#REF!")</f>
        <v>#REF!</v>
      </c>
      <c r="AK303" s="76" t="s">
        <v>2120</v>
      </c>
      <c r="AL303" s="70"/>
      <c r="AM303" s="70"/>
      <c r="AN303" s="43"/>
      <c r="AO303" s="43"/>
      <c r="AP303" s="43"/>
      <c r="AQ303" s="43"/>
      <c r="AR303" s="43"/>
      <c r="AS303" s="43"/>
      <c r="AT303" s="43"/>
      <c r="AU303" s="43"/>
      <c r="AV303" s="43"/>
      <c r="AW303" s="43"/>
      <c r="AX303" s="43"/>
      <c r="AY303" s="43"/>
      <c r="AZ303" s="43"/>
    </row>
    <row r="304">
      <c r="A304" s="62" t="s">
        <v>2123</v>
      </c>
      <c r="B304" s="63" t="s">
        <v>1586</v>
      </c>
      <c r="C304" s="64" t="s">
        <v>2124</v>
      </c>
      <c r="D304" s="47" t="s">
        <v>1276</v>
      </c>
      <c r="E304" s="64" t="s">
        <v>85</v>
      </c>
      <c r="F304" s="31" t="s">
        <v>60</v>
      </c>
      <c r="G304" s="31"/>
      <c r="H304" s="31"/>
      <c r="I304" s="31" t="s">
        <v>40</v>
      </c>
      <c r="J304" s="31" t="s">
        <v>61</v>
      </c>
      <c r="K304" s="31" t="s">
        <v>72</v>
      </c>
      <c r="L304" s="32">
        <f>IFERROR(__xludf.DUMMYFUNCTION("VLOOKUP($A304,IMPORTRANGE(""1PQtfbQLqBUP-rjYRznmgNFBLOjvAnhGzpIx7BJWq8rk"",""'Worksheet'!$B$2:$H""),7,FALSE)"),0.9)</f>
        <v>0.9</v>
      </c>
      <c r="M304" s="31" t="s">
        <v>45</v>
      </c>
      <c r="N304" s="49">
        <v>6.195209516E7</v>
      </c>
      <c r="O304" s="49">
        <v>4.806319966E7</v>
      </c>
      <c r="P304" s="49">
        <f t="shared" si="41"/>
        <v>13888895.5</v>
      </c>
      <c r="Q304" s="34">
        <f t="shared" si="7"/>
        <v>0.2241876641</v>
      </c>
      <c r="R304" s="31"/>
      <c r="S304" s="31" t="s">
        <v>45</v>
      </c>
      <c r="T304" s="72" t="s">
        <v>2125</v>
      </c>
      <c r="U304" s="67" t="s">
        <v>2126</v>
      </c>
      <c r="V304" s="72" t="s">
        <v>2127</v>
      </c>
      <c r="W304" s="31" t="s">
        <v>183</v>
      </c>
      <c r="X304" s="52" t="s">
        <v>1592</v>
      </c>
      <c r="Y304" s="54" t="s">
        <v>2128</v>
      </c>
      <c r="Z304" s="54" t="s">
        <v>1594</v>
      </c>
      <c r="AA304" s="68">
        <v>46232.0</v>
      </c>
      <c r="AB304" s="56"/>
      <c r="AC304" s="38" t="s">
        <v>1595</v>
      </c>
      <c r="AD304" s="39">
        <v>68080.0</v>
      </c>
      <c r="AE304" s="39">
        <v>48063.19966</v>
      </c>
      <c r="AF304" s="40">
        <v>20016.80034</v>
      </c>
      <c r="AG304" s="57" t="s">
        <v>2129</v>
      </c>
      <c r="AH304" s="42" t="s">
        <v>2130</v>
      </c>
      <c r="AI304" s="42" t="str">
        <f>IFERROR(__xludf.DUMMYFUNCTION("vLOOKUP(A304,IMPORTRANGE(""https://docs.google.com/spreadsheets/d/1Rawwwdh8wntXGy8isdYNHxsNQS4n_rC8JSdPfj6vEq4"",""'500 объектов перенос на 2026'!A3:AB502""),13,0)"),"#REF!")</f>
        <v>#REF!</v>
      </c>
      <c r="AJ304" s="42" t="str">
        <f>IFERROR(__xludf.DUMMYFUNCTION("vLOOKUP(A304,IMPORTRANGE(""https://docs.google.com/spreadsheets/d/1Rawwwdh8wntXGy8isdYNHxsNQS4n_rC8JSdPfj6vEq4"",""'500 объектов перенос на 2026'!A3:AB502""),14,0)"),"#REF!")</f>
        <v>#REF!</v>
      </c>
      <c r="AK304" s="76" t="s">
        <v>2131</v>
      </c>
      <c r="AL304" s="70"/>
      <c r="AM304" s="70"/>
      <c r="AN304" s="43">
        <f>AN302+AN303</f>
        <v>0</v>
      </c>
      <c r="AO304" s="43"/>
      <c r="AP304" s="43"/>
      <c r="AQ304" s="43"/>
      <c r="AR304" s="43"/>
      <c r="AS304" s="43"/>
      <c r="AT304" s="43"/>
      <c r="AU304" s="43"/>
      <c r="AV304" s="43"/>
      <c r="AW304" s="43"/>
      <c r="AX304" s="43"/>
      <c r="AY304" s="43"/>
      <c r="AZ304" s="43"/>
    </row>
    <row r="305">
      <c r="A305" s="62" t="s">
        <v>2132</v>
      </c>
      <c r="B305" s="63" t="s">
        <v>296</v>
      </c>
      <c r="C305" s="64" t="s">
        <v>2133</v>
      </c>
      <c r="D305" s="47" t="s">
        <v>1408</v>
      </c>
      <c r="E305" s="64" t="s">
        <v>85</v>
      </c>
      <c r="F305" s="31" t="s">
        <v>60</v>
      </c>
      <c r="G305" s="31"/>
      <c r="H305" s="31"/>
      <c r="I305" s="31" t="s">
        <v>60</v>
      </c>
      <c r="J305" s="31"/>
      <c r="K305" s="31"/>
      <c r="L305" s="32" t="str">
        <f>IFERROR(__xludf.DUMMYFUNCTION("VLOOKUP($A305,IMPORTRANGE(""1PQtfbQLqBUP-rjYRznmgNFBLOjvAnhGzpIx7BJWq8rk"",""'Worksheet'!$B$2:$H""),7,FALSE)"),"#N/A")</f>
        <v>#N/A</v>
      </c>
      <c r="M305" s="31" t="s">
        <v>60</v>
      </c>
      <c r="N305" s="49">
        <v>7785131.5</v>
      </c>
      <c r="O305" s="49">
        <v>6613098.29</v>
      </c>
      <c r="P305" s="49">
        <v>0.0</v>
      </c>
      <c r="Q305" s="34">
        <f t="shared" si="7"/>
        <v>0.1505476446</v>
      </c>
      <c r="R305" s="31"/>
      <c r="S305" s="31" t="s">
        <v>60</v>
      </c>
      <c r="T305" s="155">
        <f>N305-N305*0.05</f>
        <v>7395874.925</v>
      </c>
      <c r="U305" s="155">
        <v>7395874.925</v>
      </c>
      <c r="V305" s="51">
        <v>0.0</v>
      </c>
      <c r="W305" s="31"/>
      <c r="X305" s="52" t="s">
        <v>113</v>
      </c>
      <c r="Y305" s="54" t="s">
        <v>114</v>
      </c>
      <c r="Z305" s="54" t="s">
        <v>114</v>
      </c>
      <c r="AA305" s="54" t="s">
        <v>114</v>
      </c>
      <c r="AB305" s="56"/>
      <c r="AC305" s="38"/>
      <c r="AD305" s="39" t="s">
        <v>2134</v>
      </c>
      <c r="AE305" s="39">
        <v>179.43201</v>
      </c>
      <c r="AF305" s="39">
        <v>12074.96799</v>
      </c>
      <c r="AG305" s="57" t="s">
        <v>2135</v>
      </c>
      <c r="AH305" s="57" t="s">
        <v>2136</v>
      </c>
      <c r="AI305" s="42" t="str">
        <f>IFERROR(__xludf.DUMMYFUNCTION("vLOOKUP(A305,IMPORTRANGE(""https://docs.google.com/spreadsheets/d/1Rawwwdh8wntXGy8isdYNHxsNQS4n_rC8JSdPfj6vEq4"",""'500 объектов перенос на 2026'!A3:AB502""),13,0)"),"#REF!")</f>
        <v>#REF!</v>
      </c>
      <c r="AJ305" s="42" t="str">
        <f>IFERROR(__xludf.DUMMYFUNCTION("vLOOKUP(A305,IMPORTRANGE(""https://docs.google.com/spreadsheets/d/1Rawwwdh8wntXGy8isdYNHxsNQS4n_rC8JSdPfj6vEq4"",""'500 объектов перенос на 2026'!A3:AB502""),14,0)"),"#REF!")</f>
        <v>#REF!</v>
      </c>
      <c r="AK305" s="76" t="s">
        <v>114</v>
      </c>
      <c r="AL305" s="70"/>
      <c r="AM305" s="70"/>
      <c r="AN305" s="43"/>
      <c r="AO305" s="43"/>
      <c r="AP305" s="43"/>
      <c r="AQ305" s="43"/>
      <c r="AR305" s="43"/>
      <c r="AS305" s="43"/>
      <c r="AT305" s="43"/>
      <c r="AU305" s="43"/>
      <c r="AV305" s="43"/>
      <c r="AW305" s="43"/>
      <c r="AX305" s="43"/>
      <c r="AY305" s="43"/>
      <c r="AZ305" s="43"/>
    </row>
    <row r="306">
      <c r="A306" s="170" t="s">
        <v>2137</v>
      </c>
      <c r="B306" s="171" t="s">
        <v>296</v>
      </c>
      <c r="C306" s="64" t="s">
        <v>2138</v>
      </c>
      <c r="D306" s="47"/>
      <c r="E306" s="64" t="s">
        <v>85</v>
      </c>
      <c r="F306" s="31"/>
      <c r="G306" s="31"/>
      <c r="H306" s="31"/>
      <c r="I306" s="31" t="s">
        <v>40</v>
      </c>
      <c r="J306" s="31"/>
      <c r="K306" s="31"/>
      <c r="L306" s="32" t="str">
        <f>IFERROR(__xludf.DUMMYFUNCTION("VLOOKUP($A306,IMPORTRANGE(""1PQtfbQLqBUP-rjYRznmgNFBLOjvAnhGzpIx7BJWq8rk"",""'Worksheet'!$B$2:$H""),7,FALSE)"),"#N/A")</f>
        <v>#N/A</v>
      </c>
      <c r="M306" s="31" t="s">
        <v>284</v>
      </c>
      <c r="N306" s="49">
        <v>0.0</v>
      </c>
      <c r="O306" s="49">
        <v>0.0</v>
      </c>
      <c r="P306" s="49">
        <f t="shared" ref="P306:P307" si="42">N306-O306</f>
        <v>0</v>
      </c>
      <c r="Q306" s="34" t="str">
        <f t="shared" si="7"/>
        <v>#DIV/0!</v>
      </c>
      <c r="R306" s="31"/>
      <c r="S306" s="31"/>
      <c r="T306" s="50">
        <v>0.0</v>
      </c>
      <c r="U306" s="51">
        <v>0.0</v>
      </c>
      <c r="V306" s="51">
        <v>0.0</v>
      </c>
      <c r="W306" s="31"/>
      <c r="X306" s="52" t="s">
        <v>2139</v>
      </c>
      <c r="Y306" s="54" t="s">
        <v>2139</v>
      </c>
      <c r="Z306" s="54"/>
      <c r="AA306" s="54" t="s">
        <v>2140</v>
      </c>
      <c r="AB306" s="56"/>
      <c r="AC306" s="38"/>
      <c r="AD306" s="39">
        <v>28729.76</v>
      </c>
      <c r="AE306" s="39">
        <v>0.0</v>
      </c>
      <c r="AF306" s="40">
        <v>28729.76</v>
      </c>
      <c r="AG306" s="57" t="s">
        <v>2141</v>
      </c>
      <c r="AH306" s="57" t="s">
        <v>2141</v>
      </c>
      <c r="AI306" s="42" t="str">
        <f>IFERROR(__xludf.DUMMYFUNCTION("vLOOKUP(A306,IMPORTRANGE(""https://docs.google.com/spreadsheets/d/1Rawwwdh8wntXGy8isdYNHxsNQS4n_rC8JSdPfj6vEq4"",""'500 объектов перенос на 2026'!A3:AB502""),13,0)"),"#REF!")</f>
        <v>#REF!</v>
      </c>
      <c r="AJ306" s="42" t="str">
        <f>IFERROR(__xludf.DUMMYFUNCTION("vLOOKUP(A306,IMPORTRANGE(""https://docs.google.com/spreadsheets/d/1Rawwwdh8wntXGy8isdYNHxsNQS4n_rC8JSdPfj6vEq4"",""'500 объектов перенос на 2026'!A3:AB502""),14,0)"),"#REF!")</f>
        <v>#REF!</v>
      </c>
      <c r="AK306" s="76" t="s">
        <v>2142</v>
      </c>
      <c r="AL306" s="70"/>
      <c r="AM306" s="70"/>
      <c r="AN306" s="43"/>
      <c r="AO306" s="43"/>
      <c r="AP306" s="43"/>
      <c r="AQ306" s="43"/>
      <c r="AR306" s="43"/>
      <c r="AS306" s="43"/>
      <c r="AT306" s="43"/>
      <c r="AU306" s="43"/>
      <c r="AV306" s="43"/>
      <c r="AW306" s="43"/>
      <c r="AX306" s="43"/>
      <c r="AY306" s="43"/>
      <c r="AZ306" s="43"/>
    </row>
    <row r="307">
      <c r="A307" s="62" t="s">
        <v>2143</v>
      </c>
      <c r="B307" s="63" t="s">
        <v>605</v>
      </c>
      <c r="C307" s="64" t="s">
        <v>2144</v>
      </c>
      <c r="D307" s="47" t="s">
        <v>1210</v>
      </c>
      <c r="E307" s="64" t="s">
        <v>85</v>
      </c>
      <c r="F307" s="31" t="s">
        <v>40</v>
      </c>
      <c r="G307" s="31" t="s">
        <v>156</v>
      </c>
      <c r="H307" s="31" t="s">
        <v>343</v>
      </c>
      <c r="I307" s="31" t="s">
        <v>40</v>
      </c>
      <c r="J307" s="31" t="s">
        <v>61</v>
      </c>
      <c r="K307" s="31"/>
      <c r="L307" s="32">
        <f>IFERROR(__xludf.DUMMYFUNCTION("VLOOKUP($A307,IMPORTRANGE(""1PQtfbQLqBUP-rjYRznmgNFBLOjvAnhGzpIx7BJWq8rk"",""'Worksheet'!$B$2:$H""),7,FALSE)"),0.96)</f>
        <v>0.96</v>
      </c>
      <c r="M307" s="31" t="s">
        <v>40</v>
      </c>
      <c r="N307" s="49">
        <v>2.583127862E7</v>
      </c>
      <c r="O307" s="49">
        <v>1.226985734E7</v>
      </c>
      <c r="P307" s="49">
        <f t="shared" si="42"/>
        <v>13561421.28</v>
      </c>
      <c r="Q307" s="34">
        <f t="shared" si="7"/>
        <v>0.5250000002</v>
      </c>
      <c r="R307" s="31"/>
      <c r="S307" s="31" t="s">
        <v>40</v>
      </c>
      <c r="T307" s="72" t="s">
        <v>2145</v>
      </c>
      <c r="U307" s="67">
        <v>0.0</v>
      </c>
      <c r="V307" s="67" t="s">
        <v>2145</v>
      </c>
      <c r="W307" s="31"/>
      <c r="X307" s="52" t="s">
        <v>49</v>
      </c>
      <c r="Y307" s="54" t="s">
        <v>2146</v>
      </c>
      <c r="Z307" s="54" t="s">
        <v>1213</v>
      </c>
      <c r="AA307" s="74">
        <v>46280.0</v>
      </c>
      <c r="AB307" s="56"/>
      <c r="AC307" s="38"/>
      <c r="AD307" s="39">
        <v>25831.28</v>
      </c>
      <c r="AE307" s="39">
        <v>12269.85734</v>
      </c>
      <c r="AF307" s="40">
        <v>13561.42266</v>
      </c>
      <c r="AG307" s="99" t="s">
        <v>2147</v>
      </c>
      <c r="AH307" s="85"/>
      <c r="AI307" s="42" t="str">
        <f>IFERROR(__xludf.DUMMYFUNCTION("vLOOKUP(A307,IMPORTRANGE(""https://docs.google.com/spreadsheets/d/1Rawwwdh8wntXGy8isdYNHxsNQS4n_rC8JSdPfj6vEq4"",""'500 объектов перенос на 2026'!A3:AB502""),13,0)"),"#REF!")</f>
        <v>#REF!</v>
      </c>
      <c r="AJ307" s="42" t="str">
        <f>IFERROR(__xludf.DUMMYFUNCTION("vLOOKUP(A307,IMPORTRANGE(""https://docs.google.com/spreadsheets/d/1Rawwwdh8wntXGy8isdYNHxsNQS4n_rC8JSdPfj6vEq4"",""'500 объектов перенос на 2026'!A3:AB502""),14,0)"),"#REF!")</f>
        <v>#REF!</v>
      </c>
      <c r="AK307" s="58" t="s">
        <v>2148</v>
      </c>
      <c r="AL307" s="70"/>
      <c r="AM307" s="70"/>
      <c r="AN307" s="151"/>
      <c r="AO307" s="43"/>
      <c r="AP307" s="43"/>
      <c r="AQ307" s="43"/>
      <c r="AR307" s="43"/>
      <c r="AS307" s="43"/>
      <c r="AT307" s="43"/>
      <c r="AU307" s="43"/>
      <c r="AV307" s="43"/>
      <c r="AW307" s="43"/>
      <c r="AX307" s="43"/>
      <c r="AY307" s="43"/>
      <c r="AZ307" s="43"/>
    </row>
    <row r="308" ht="65.25" customHeight="1">
      <c r="A308" s="78" t="s">
        <v>2149</v>
      </c>
      <c r="B308" s="63" t="s">
        <v>703</v>
      </c>
      <c r="C308" s="64" t="s">
        <v>2150</v>
      </c>
      <c r="D308" s="47" t="s">
        <v>101</v>
      </c>
      <c r="E308" s="64" t="s">
        <v>59</v>
      </c>
      <c r="F308" s="31" t="s">
        <v>60</v>
      </c>
      <c r="G308" s="31"/>
      <c r="H308" s="31"/>
      <c r="I308" s="31" t="s">
        <v>60</v>
      </c>
      <c r="J308" s="31"/>
      <c r="K308" s="31"/>
      <c r="L308" s="32" t="str">
        <f>IFERROR(__xludf.DUMMYFUNCTION("VLOOKUP($A308,IMPORTRANGE(""1PQtfbQLqBUP-rjYRznmgNFBLOjvAnhGzpIx7BJWq8rk"",""'Worksheet'!$B$2:$H""),7,FALSE)"),"#N/A")</f>
        <v>#N/A</v>
      </c>
      <c r="M308" s="31" t="s">
        <v>60</v>
      </c>
      <c r="N308" s="49">
        <v>4.46059169E8</v>
      </c>
      <c r="O308" s="49">
        <v>3.7655021201E8</v>
      </c>
      <c r="P308" s="49">
        <v>0.0</v>
      </c>
      <c r="Q308" s="34">
        <f t="shared" si="7"/>
        <v>0.1558290062</v>
      </c>
      <c r="R308" s="31"/>
      <c r="S308" s="31" t="s">
        <v>60</v>
      </c>
      <c r="T308" s="50">
        <v>0.0</v>
      </c>
      <c r="U308" s="51">
        <v>0.0</v>
      </c>
      <c r="V308" s="51">
        <v>0.0</v>
      </c>
      <c r="W308" s="31"/>
      <c r="X308" s="52" t="s">
        <v>113</v>
      </c>
      <c r="Y308" s="54" t="s">
        <v>114</v>
      </c>
      <c r="Z308" s="54"/>
      <c r="AA308" s="54" t="s">
        <v>114</v>
      </c>
      <c r="AB308" s="38" t="s">
        <v>115</v>
      </c>
      <c r="AC308" s="38"/>
      <c r="AD308" s="39">
        <v>446059.17</v>
      </c>
      <c r="AE308" s="39">
        <v>381442.4461</v>
      </c>
      <c r="AF308" s="39">
        <v>64616.72394</v>
      </c>
      <c r="AG308" s="57" t="s">
        <v>2151</v>
      </c>
      <c r="AH308" s="42"/>
      <c r="AI308" s="42" t="str">
        <f>IFERROR(__xludf.DUMMYFUNCTION("vLOOKUP(A308,IMPORTRANGE(""https://docs.google.com/spreadsheets/d/1Rawwwdh8wntXGy8isdYNHxsNQS4n_rC8JSdPfj6vEq4"",""'500 объектов перенос на 2026'!A3:AB502""),13,0)"),"#REF!")</f>
        <v>#REF!</v>
      </c>
      <c r="AJ308" s="42" t="str">
        <f>IFERROR(__xludf.DUMMYFUNCTION("vLOOKUP(A308,IMPORTRANGE(""https://docs.google.com/spreadsheets/d/1Rawwwdh8wntXGy8isdYNHxsNQS4n_rC8JSdPfj6vEq4"",""'500 объектов перенос на 2026'!A3:AB502""),14,0)"),"#REF!")</f>
        <v>#REF!</v>
      </c>
      <c r="AK308" s="163" t="s">
        <v>114</v>
      </c>
      <c r="AL308" s="70"/>
      <c r="AM308" s="70"/>
      <c r="AN308" s="43"/>
      <c r="AO308" s="43"/>
      <c r="AP308" s="43"/>
      <c r="AQ308" s="43"/>
      <c r="AR308" s="43"/>
      <c r="AS308" s="43"/>
      <c r="AT308" s="43"/>
      <c r="AU308" s="43"/>
      <c r="AV308" s="43"/>
      <c r="AW308" s="43"/>
      <c r="AX308" s="43"/>
      <c r="AY308" s="43"/>
      <c r="AZ308" s="43"/>
    </row>
    <row r="309">
      <c r="A309" s="62" t="s">
        <v>2152</v>
      </c>
      <c r="B309" s="63" t="s">
        <v>296</v>
      </c>
      <c r="C309" s="64" t="s">
        <v>2153</v>
      </c>
      <c r="D309" s="47" t="s">
        <v>1408</v>
      </c>
      <c r="E309" s="64" t="s">
        <v>85</v>
      </c>
      <c r="F309" s="31" t="s">
        <v>60</v>
      </c>
      <c r="G309" s="31"/>
      <c r="H309" s="31"/>
      <c r="I309" s="31" t="s">
        <v>60</v>
      </c>
      <c r="J309" s="31"/>
      <c r="K309" s="31"/>
      <c r="L309" s="32" t="str">
        <f>IFERROR(__xludf.DUMMYFUNCTION("VLOOKUP($A309,IMPORTRANGE(""1PQtfbQLqBUP-rjYRznmgNFBLOjvAnhGzpIx7BJWq8rk"",""'Worksheet'!$B$2:$H""),7,FALSE)"),"#N/A")</f>
        <v>#N/A</v>
      </c>
      <c r="M309" s="31" t="s">
        <v>60</v>
      </c>
      <c r="N309" s="49">
        <v>5.996205356E7</v>
      </c>
      <c r="O309" s="49">
        <v>5.996205356E7</v>
      </c>
      <c r="P309" s="49">
        <f t="shared" ref="P309:P310" si="43">N309-O309</f>
        <v>0</v>
      </c>
      <c r="Q309" s="34">
        <f t="shared" si="7"/>
        <v>0</v>
      </c>
      <c r="R309" s="31"/>
      <c r="S309" s="31" t="s">
        <v>60</v>
      </c>
      <c r="T309" s="155">
        <f t="shared" ref="T309:T310" si="44">N309-N309*0.05</f>
        <v>56963950.88</v>
      </c>
      <c r="U309" s="172">
        <v>5.6963950882E7</v>
      </c>
      <c r="V309" s="51">
        <v>0.0</v>
      </c>
      <c r="W309" s="31"/>
      <c r="X309" s="52" t="s">
        <v>113</v>
      </c>
      <c r="Y309" s="54" t="s">
        <v>114</v>
      </c>
      <c r="Z309" s="54" t="s">
        <v>114</v>
      </c>
      <c r="AA309" s="54" t="s">
        <v>114</v>
      </c>
      <c r="AB309" s="56"/>
      <c r="AC309" s="38"/>
      <c r="AD309" s="39" t="s">
        <v>2154</v>
      </c>
      <c r="AE309" s="39">
        <v>33258.44</v>
      </c>
      <c r="AF309" s="40">
        <v>77603.03</v>
      </c>
      <c r="AG309" s="57" t="s">
        <v>2155</v>
      </c>
      <c r="AH309" s="57" t="s">
        <v>2156</v>
      </c>
      <c r="AI309" s="42" t="str">
        <f>IFERROR(__xludf.DUMMYFUNCTION("vLOOKUP(A309,IMPORTRANGE(""https://docs.google.com/spreadsheets/d/1Rawwwdh8wntXGy8isdYNHxsNQS4n_rC8JSdPfj6vEq4"",""'500 объектов перенос на 2026'!A3:AB502""),13,0)"),"#REF!")</f>
        <v>#REF!</v>
      </c>
      <c r="AJ309" s="42" t="str">
        <f>IFERROR(__xludf.DUMMYFUNCTION("vLOOKUP(A309,IMPORTRANGE(""https://docs.google.com/spreadsheets/d/1Rawwwdh8wntXGy8isdYNHxsNQS4n_rC8JSdPfj6vEq4"",""'500 объектов перенос на 2026'!A3:AB502""),14,0)"),"#REF!")</f>
        <v>#REF!</v>
      </c>
      <c r="AK309" s="76" t="s">
        <v>114</v>
      </c>
      <c r="AL309" s="70"/>
      <c r="AM309" s="70"/>
      <c r="AN309" s="43"/>
      <c r="AO309" s="43"/>
      <c r="AP309" s="43"/>
      <c r="AQ309" s="43"/>
      <c r="AR309" s="43"/>
      <c r="AS309" s="43"/>
      <c r="AT309" s="43"/>
      <c r="AU309" s="43"/>
      <c r="AV309" s="43"/>
      <c r="AW309" s="43"/>
      <c r="AX309" s="43"/>
      <c r="AY309" s="43"/>
      <c r="AZ309" s="43"/>
    </row>
    <row r="310">
      <c r="A310" s="62" t="s">
        <v>2157</v>
      </c>
      <c r="B310" s="63" t="s">
        <v>296</v>
      </c>
      <c r="C310" s="64" t="s">
        <v>2158</v>
      </c>
      <c r="D310" s="47" t="s">
        <v>1408</v>
      </c>
      <c r="E310" s="64" t="s">
        <v>85</v>
      </c>
      <c r="F310" s="31" t="s">
        <v>60</v>
      </c>
      <c r="G310" s="31"/>
      <c r="H310" s="31"/>
      <c r="I310" s="31" t="s">
        <v>60</v>
      </c>
      <c r="J310" s="31"/>
      <c r="K310" s="31"/>
      <c r="L310" s="32" t="str">
        <f>IFERROR(__xludf.DUMMYFUNCTION("VLOOKUP($A310,IMPORTRANGE(""1PQtfbQLqBUP-rjYRznmgNFBLOjvAnhGzpIx7BJWq8rk"",""'Worksheet'!$B$2:$H""),7,FALSE)"),"#N/A")</f>
        <v>#N/A</v>
      </c>
      <c r="M310" s="31" t="s">
        <v>60</v>
      </c>
      <c r="N310" s="49">
        <v>1.0106070161E8</v>
      </c>
      <c r="O310" s="49">
        <v>1.0106070161E8</v>
      </c>
      <c r="P310" s="49">
        <f t="shared" si="43"/>
        <v>0</v>
      </c>
      <c r="Q310" s="34">
        <f t="shared" si="7"/>
        <v>0</v>
      </c>
      <c r="R310" s="31"/>
      <c r="S310" s="31" t="s">
        <v>60</v>
      </c>
      <c r="T310" s="155">
        <f t="shared" si="44"/>
        <v>96007666.53</v>
      </c>
      <c r="U310" s="172">
        <v>9.60076665295E7</v>
      </c>
      <c r="V310" s="51">
        <v>0.0</v>
      </c>
      <c r="W310" s="31"/>
      <c r="X310" s="52" t="s">
        <v>113</v>
      </c>
      <c r="Y310" s="54" t="s">
        <v>114</v>
      </c>
      <c r="Z310" s="54" t="s">
        <v>114</v>
      </c>
      <c r="AA310" s="54" t="s">
        <v>114</v>
      </c>
      <c r="AB310" s="56"/>
      <c r="AC310" s="38"/>
      <c r="AD310" s="39" t="s">
        <v>2159</v>
      </c>
      <c r="AE310" s="39">
        <v>34728.285</v>
      </c>
      <c r="AF310" s="39">
        <v>81032.665</v>
      </c>
      <c r="AG310" s="57" t="s">
        <v>2160</v>
      </c>
      <c r="AH310" s="57" t="s">
        <v>2156</v>
      </c>
      <c r="AI310" s="42" t="str">
        <f>IFERROR(__xludf.DUMMYFUNCTION("vLOOKUP(A310,IMPORTRANGE(""https://docs.google.com/spreadsheets/d/1Rawwwdh8wntXGy8isdYNHxsNQS4n_rC8JSdPfj6vEq4"",""'500 объектов перенос на 2026'!A3:AB502""),13,0)"),"#REF!")</f>
        <v>#REF!</v>
      </c>
      <c r="AJ310" s="42" t="str">
        <f>IFERROR(__xludf.DUMMYFUNCTION("vLOOKUP(A310,IMPORTRANGE(""https://docs.google.com/spreadsheets/d/1Rawwwdh8wntXGy8isdYNHxsNQS4n_rC8JSdPfj6vEq4"",""'500 объектов перенос на 2026'!A3:AB502""),14,0)"),"#REF!")</f>
        <v>#REF!</v>
      </c>
      <c r="AK310" s="76" t="s">
        <v>114</v>
      </c>
      <c r="AL310" s="70"/>
      <c r="AM310" s="70"/>
      <c r="AN310" s="43"/>
      <c r="AO310" s="43"/>
      <c r="AP310" s="43"/>
      <c r="AQ310" s="43"/>
      <c r="AR310" s="43"/>
      <c r="AS310" s="43"/>
      <c r="AT310" s="43"/>
      <c r="AU310" s="43"/>
      <c r="AV310" s="43"/>
      <c r="AW310" s="43"/>
      <c r="AX310" s="43"/>
      <c r="AY310" s="43"/>
      <c r="AZ310" s="43"/>
    </row>
    <row r="311">
      <c r="A311" s="62" t="s">
        <v>2161</v>
      </c>
      <c r="B311" s="63" t="s">
        <v>703</v>
      </c>
      <c r="C311" s="64" t="s">
        <v>2162</v>
      </c>
      <c r="D311" s="47" t="s">
        <v>1523</v>
      </c>
      <c r="E311" s="64" t="s">
        <v>85</v>
      </c>
      <c r="F311" s="31" t="s">
        <v>60</v>
      </c>
      <c r="G311" s="31"/>
      <c r="H311" s="31"/>
      <c r="I311" s="31" t="s">
        <v>60</v>
      </c>
      <c r="J311" s="31"/>
      <c r="K311" s="31"/>
      <c r="L311" s="32">
        <f>IFERROR(__xludf.DUMMYFUNCTION("VLOOKUP($A311,IMPORTRANGE(""1PQtfbQLqBUP-rjYRznmgNFBLOjvAnhGzpIx7BJWq8rk"",""'Worksheet'!$B$2:$H""),7,FALSE)"),0.89)</f>
        <v>0.89</v>
      </c>
      <c r="M311" s="31" t="s">
        <v>60</v>
      </c>
      <c r="N311" s="49">
        <v>4406311.51</v>
      </c>
      <c r="O311" s="49">
        <v>4317611.13</v>
      </c>
      <c r="P311" s="49">
        <v>0.0</v>
      </c>
      <c r="Q311" s="34">
        <f t="shared" si="7"/>
        <v>0.02013030168</v>
      </c>
      <c r="R311" s="31"/>
      <c r="S311" s="31" t="s">
        <v>60</v>
      </c>
      <c r="T311" s="50">
        <v>0.0</v>
      </c>
      <c r="U311" s="117">
        <v>0.0</v>
      </c>
      <c r="V311" s="51">
        <v>0.0</v>
      </c>
      <c r="W311" s="31"/>
      <c r="X311" s="52" t="s">
        <v>209</v>
      </c>
      <c r="Y311" s="54" t="s">
        <v>114</v>
      </c>
      <c r="Z311" s="54"/>
      <c r="AA311" s="54" t="s">
        <v>114</v>
      </c>
      <c r="AB311" s="38" t="s">
        <v>115</v>
      </c>
      <c r="AC311" s="38"/>
      <c r="AD311" s="39">
        <v>4406.31</v>
      </c>
      <c r="AE311" s="39">
        <v>4317.61113</v>
      </c>
      <c r="AF311" s="39">
        <v>88.69887</v>
      </c>
      <c r="AG311" s="57" t="s">
        <v>2163</v>
      </c>
      <c r="AH311" s="85"/>
      <c r="AI311" s="42" t="str">
        <f>IFERROR(__xludf.DUMMYFUNCTION("vLOOKUP(A311,IMPORTRANGE(""https://docs.google.com/spreadsheets/d/1Rawwwdh8wntXGy8isdYNHxsNQS4n_rC8JSdPfj6vEq4"",""'500 объектов перенос на 2026'!A3:AB502""),13,0)"),"#REF!")</f>
        <v>#REF!</v>
      </c>
      <c r="AJ311" s="42" t="str">
        <f>IFERROR(__xludf.DUMMYFUNCTION("vLOOKUP(A311,IMPORTRANGE(""https://docs.google.com/spreadsheets/d/1Rawwwdh8wntXGy8isdYNHxsNQS4n_rC8JSdPfj6vEq4"",""'500 объектов перенос на 2026'!A3:AB502""),14,0)"),"#REF!")</f>
        <v>#REF!</v>
      </c>
      <c r="AK311" s="163" t="s">
        <v>114</v>
      </c>
      <c r="AL311" s="70"/>
      <c r="AM311" s="70"/>
      <c r="AN311" s="43"/>
      <c r="AO311" s="43"/>
      <c r="AP311" s="43"/>
      <c r="AQ311" s="43"/>
      <c r="AR311" s="43"/>
      <c r="AS311" s="43"/>
      <c r="AT311" s="43"/>
      <c r="AU311" s="43"/>
      <c r="AV311" s="43"/>
      <c r="AW311" s="43"/>
      <c r="AX311" s="43"/>
      <c r="AY311" s="43"/>
      <c r="AZ311" s="43"/>
    </row>
    <row r="312">
      <c r="A312" s="62" t="s">
        <v>2164</v>
      </c>
      <c r="B312" s="63" t="s">
        <v>703</v>
      </c>
      <c r="C312" s="64" t="s">
        <v>2165</v>
      </c>
      <c r="D312" s="47" t="s">
        <v>101</v>
      </c>
      <c r="E312" s="64" t="s">
        <v>59</v>
      </c>
      <c r="F312" s="31" t="s">
        <v>60</v>
      </c>
      <c r="G312" s="31"/>
      <c r="H312" s="31"/>
      <c r="I312" s="31" t="s">
        <v>60</v>
      </c>
      <c r="J312" s="31"/>
      <c r="K312" s="31"/>
      <c r="L312" s="32">
        <f>IFERROR(__xludf.DUMMYFUNCTION("VLOOKUP($A312,IMPORTRANGE(""1PQtfbQLqBUP-rjYRznmgNFBLOjvAnhGzpIx7BJWq8rk"",""'Worksheet'!$B$2:$H""),7,FALSE)"),1.0)</f>
        <v>1</v>
      </c>
      <c r="M312" s="31" t="s">
        <v>60</v>
      </c>
      <c r="N312" s="49">
        <v>4.2570836726E8</v>
      </c>
      <c r="O312" s="49">
        <v>4.0214671208E8</v>
      </c>
      <c r="P312" s="49">
        <v>0.0</v>
      </c>
      <c r="Q312" s="34">
        <f t="shared" si="7"/>
        <v>0.05534693934</v>
      </c>
      <c r="R312" s="31"/>
      <c r="S312" s="31" t="s">
        <v>60</v>
      </c>
      <c r="T312" s="50">
        <v>0.0</v>
      </c>
      <c r="U312" s="117">
        <v>0.0</v>
      </c>
      <c r="V312" s="51">
        <v>0.0</v>
      </c>
      <c r="W312" s="31"/>
      <c r="X312" s="52" t="s">
        <v>113</v>
      </c>
      <c r="Y312" s="54" t="s">
        <v>114</v>
      </c>
      <c r="Z312" s="54"/>
      <c r="AA312" s="54" t="s">
        <v>114</v>
      </c>
      <c r="AB312" s="38" t="s">
        <v>115</v>
      </c>
      <c r="AC312" s="38"/>
      <c r="AD312" s="39">
        <v>425708.37</v>
      </c>
      <c r="AE312" s="39">
        <v>403502.374</v>
      </c>
      <c r="AF312" s="39">
        <v>22205.99602</v>
      </c>
      <c r="AG312" s="57" t="s">
        <v>2166</v>
      </c>
      <c r="AH312" s="85"/>
      <c r="AI312" s="42" t="str">
        <f>IFERROR(__xludf.DUMMYFUNCTION("vLOOKUP(A312,IMPORTRANGE(""https://docs.google.com/spreadsheets/d/1Rawwwdh8wntXGy8isdYNHxsNQS4n_rC8JSdPfj6vEq4"",""'500 объектов перенос на 2026'!A3:AB502""),13,0)"),"#REF!")</f>
        <v>#REF!</v>
      </c>
      <c r="AJ312" s="42" t="str">
        <f>IFERROR(__xludf.DUMMYFUNCTION("vLOOKUP(A312,IMPORTRANGE(""https://docs.google.com/spreadsheets/d/1Rawwwdh8wntXGy8isdYNHxsNQS4n_rC8JSdPfj6vEq4"",""'500 объектов перенос на 2026'!A3:AB502""),14,0)"),"#REF!")</f>
        <v>#REF!</v>
      </c>
      <c r="AK312" s="163" t="s">
        <v>114</v>
      </c>
      <c r="AL312" s="70"/>
      <c r="AM312" s="70"/>
      <c r="AN312" s="43"/>
      <c r="AO312" s="43"/>
      <c r="AP312" s="43"/>
      <c r="AQ312" s="43"/>
      <c r="AR312" s="43"/>
      <c r="AS312" s="43"/>
      <c r="AT312" s="43"/>
      <c r="AU312" s="43"/>
      <c r="AV312" s="43"/>
      <c r="AW312" s="43"/>
      <c r="AX312" s="43"/>
      <c r="AY312" s="43"/>
      <c r="AZ312" s="43"/>
    </row>
    <row r="313">
      <c r="A313" s="62" t="s">
        <v>2167</v>
      </c>
      <c r="B313" s="63" t="s">
        <v>703</v>
      </c>
      <c r="C313" s="64" t="s">
        <v>2168</v>
      </c>
      <c r="D313" s="47" t="s">
        <v>101</v>
      </c>
      <c r="E313" s="64" t="s">
        <v>59</v>
      </c>
      <c r="F313" s="31" t="s">
        <v>60</v>
      </c>
      <c r="G313" s="31"/>
      <c r="H313" s="31"/>
      <c r="I313" s="31" t="s">
        <v>60</v>
      </c>
      <c r="J313" s="31"/>
      <c r="K313" s="31"/>
      <c r="L313" s="32">
        <f>IFERROR(__xludf.DUMMYFUNCTION("VLOOKUP($A313,IMPORTRANGE(""1PQtfbQLqBUP-rjYRznmgNFBLOjvAnhGzpIx7BJWq8rk"",""'Worksheet'!$B$2:$H""),7,FALSE)"),1.0)</f>
        <v>1</v>
      </c>
      <c r="M313" s="31" t="s">
        <v>60</v>
      </c>
      <c r="N313" s="49">
        <v>2.1183426E8</v>
      </c>
      <c r="O313" s="49">
        <v>1.7272390811E8</v>
      </c>
      <c r="P313" s="49">
        <v>0.0</v>
      </c>
      <c r="Q313" s="34">
        <f t="shared" si="7"/>
        <v>0.184627132</v>
      </c>
      <c r="R313" s="31"/>
      <c r="S313" s="31" t="s">
        <v>60</v>
      </c>
      <c r="T313" s="50">
        <v>0.0</v>
      </c>
      <c r="U313" s="117">
        <v>0.0</v>
      </c>
      <c r="V313" s="51">
        <v>0.0</v>
      </c>
      <c r="W313" s="31"/>
      <c r="X313" s="52" t="s">
        <v>113</v>
      </c>
      <c r="Y313" s="54" t="s">
        <v>114</v>
      </c>
      <c r="Z313" s="54"/>
      <c r="AA313" s="54" t="s">
        <v>114</v>
      </c>
      <c r="AB313" s="38" t="s">
        <v>115</v>
      </c>
      <c r="AC313" s="38"/>
      <c r="AD313" s="39">
        <v>211834.26</v>
      </c>
      <c r="AE313" s="39">
        <v>172723.9081</v>
      </c>
      <c r="AF313" s="39">
        <v>39110.35189</v>
      </c>
      <c r="AG313" s="57" t="s">
        <v>2169</v>
      </c>
      <c r="AH313" s="85"/>
      <c r="AI313" s="42" t="str">
        <f>IFERROR(__xludf.DUMMYFUNCTION("vLOOKUP(A313,IMPORTRANGE(""https://docs.google.com/spreadsheets/d/1Rawwwdh8wntXGy8isdYNHxsNQS4n_rC8JSdPfj6vEq4"",""'500 объектов перенос на 2026'!A3:AB502""),13,0)"),"#REF!")</f>
        <v>#REF!</v>
      </c>
      <c r="AJ313" s="42" t="str">
        <f>IFERROR(__xludf.DUMMYFUNCTION("vLOOKUP(A313,IMPORTRANGE(""https://docs.google.com/spreadsheets/d/1Rawwwdh8wntXGy8isdYNHxsNQS4n_rC8JSdPfj6vEq4"",""'500 объектов перенос на 2026'!A3:AB502""),14,0)"),"#REF!")</f>
        <v>#REF!</v>
      </c>
      <c r="AK313" s="163" t="s">
        <v>114</v>
      </c>
      <c r="AL313" s="70"/>
      <c r="AM313" s="70"/>
      <c r="AN313" s="43"/>
      <c r="AO313" s="43"/>
      <c r="AP313" s="43"/>
      <c r="AQ313" s="43"/>
      <c r="AR313" s="43"/>
      <c r="AS313" s="43"/>
      <c r="AT313" s="43"/>
      <c r="AU313" s="43"/>
      <c r="AV313" s="43"/>
      <c r="AW313" s="43"/>
      <c r="AX313" s="43"/>
      <c r="AY313" s="43"/>
      <c r="AZ313" s="43"/>
    </row>
    <row r="314">
      <c r="A314" s="78" t="s">
        <v>2170</v>
      </c>
      <c r="B314" s="63" t="s">
        <v>703</v>
      </c>
      <c r="C314" s="64" t="s">
        <v>2171</v>
      </c>
      <c r="D314" s="47" t="s">
        <v>1523</v>
      </c>
      <c r="E314" s="64" t="s">
        <v>85</v>
      </c>
      <c r="F314" s="31" t="s">
        <v>60</v>
      </c>
      <c r="G314" s="31"/>
      <c r="H314" s="31"/>
      <c r="I314" s="31" t="s">
        <v>60</v>
      </c>
      <c r="J314" s="31"/>
      <c r="K314" s="31"/>
      <c r="L314" s="32" t="str">
        <f>IFERROR(__xludf.DUMMYFUNCTION("VLOOKUP($A314,IMPORTRANGE(""1PQtfbQLqBUP-rjYRznmgNFBLOjvAnhGzpIx7BJWq8rk"",""'Worksheet'!$B$2:$H""),7,FALSE)"),"#N/A")</f>
        <v>#N/A</v>
      </c>
      <c r="M314" s="31" t="s">
        <v>60</v>
      </c>
      <c r="N314" s="49">
        <v>2.4697760945E8</v>
      </c>
      <c r="O314" s="49">
        <v>2.4697760945E8</v>
      </c>
      <c r="P314" s="49">
        <f t="shared" ref="P314:P315" si="45">N314-O314</f>
        <v>0</v>
      </c>
      <c r="Q314" s="34">
        <f t="shared" si="7"/>
        <v>0</v>
      </c>
      <c r="R314" s="31"/>
      <c r="S314" s="31" t="s">
        <v>60</v>
      </c>
      <c r="T314" s="50">
        <v>0.0</v>
      </c>
      <c r="U314" s="117">
        <v>0.0</v>
      </c>
      <c r="V314" s="51">
        <v>0.0</v>
      </c>
      <c r="W314" s="31"/>
      <c r="X314" s="52" t="s">
        <v>113</v>
      </c>
      <c r="Y314" s="54" t="s">
        <v>114</v>
      </c>
      <c r="Z314" s="54"/>
      <c r="AA314" s="54" t="s">
        <v>114</v>
      </c>
      <c r="AB314" s="38" t="s">
        <v>115</v>
      </c>
      <c r="AC314" s="38"/>
      <c r="AD314" s="39">
        <v>241174.8</v>
      </c>
      <c r="AE314" s="39">
        <v>241174.8041</v>
      </c>
      <c r="AF314" s="39">
        <v>-0.00412</v>
      </c>
      <c r="AG314" s="99" t="s">
        <v>2172</v>
      </c>
      <c r="AH314" s="42"/>
      <c r="AI314" s="42" t="str">
        <f>IFERROR(__xludf.DUMMYFUNCTION("vLOOKUP(A314,IMPORTRANGE(""https://docs.google.com/spreadsheets/d/1Rawwwdh8wntXGy8isdYNHxsNQS4n_rC8JSdPfj6vEq4"",""'500 объектов перенос на 2026'!A3:AB502""),13,0)"),"#REF!")</f>
        <v>#REF!</v>
      </c>
      <c r="AJ314" s="42" t="str">
        <f>IFERROR(__xludf.DUMMYFUNCTION("vLOOKUP(A314,IMPORTRANGE(""https://docs.google.com/spreadsheets/d/1Rawwwdh8wntXGy8isdYNHxsNQS4n_rC8JSdPfj6vEq4"",""'500 объектов перенос на 2026'!A3:AB502""),14,0)"),"#REF!")</f>
        <v>#REF!</v>
      </c>
      <c r="AK314" s="163" t="s">
        <v>114</v>
      </c>
      <c r="AL314" s="70"/>
      <c r="AM314" s="70"/>
      <c r="AN314" s="43"/>
      <c r="AO314" s="43"/>
      <c r="AP314" s="43"/>
      <c r="AQ314" s="43"/>
      <c r="AR314" s="43"/>
      <c r="AS314" s="43"/>
      <c r="AT314" s="43"/>
      <c r="AU314" s="43"/>
      <c r="AV314" s="43"/>
      <c r="AW314" s="43"/>
      <c r="AX314" s="43"/>
      <c r="AY314" s="43"/>
      <c r="AZ314" s="43"/>
    </row>
    <row r="315" ht="170.25" customHeight="1">
      <c r="A315" s="62" t="s">
        <v>2173</v>
      </c>
      <c r="B315" s="63" t="s">
        <v>225</v>
      </c>
      <c r="C315" s="64" t="s">
        <v>2174</v>
      </c>
      <c r="D315" s="47" t="s">
        <v>2175</v>
      </c>
      <c r="E315" s="64" t="s">
        <v>59</v>
      </c>
      <c r="F315" s="31" t="s">
        <v>60</v>
      </c>
      <c r="G315" s="31"/>
      <c r="H315" s="31"/>
      <c r="I315" s="31" t="s">
        <v>40</v>
      </c>
      <c r="J315" s="31" t="s">
        <v>102</v>
      </c>
      <c r="K315" s="31" t="s">
        <v>72</v>
      </c>
      <c r="L315" s="32">
        <f>IFERROR(__xludf.DUMMYFUNCTION("VLOOKUP($A315,IMPORTRANGE(""1PQtfbQLqBUP-rjYRznmgNFBLOjvAnhGzpIx7BJWq8rk"",""'Worksheet'!$B$2:$H""),7,FALSE)"),0.7)</f>
        <v>0.7</v>
      </c>
      <c r="M315" s="31" t="s">
        <v>45</v>
      </c>
      <c r="N315" s="49">
        <v>2.064545E7</v>
      </c>
      <c r="O315" s="49">
        <v>7128617.45</v>
      </c>
      <c r="P315" s="49">
        <f t="shared" si="45"/>
        <v>13516832.55</v>
      </c>
      <c r="Q315" s="34">
        <f t="shared" si="7"/>
        <v>0.6547124209</v>
      </c>
      <c r="R315" s="31"/>
      <c r="S315" s="31" t="s">
        <v>45</v>
      </c>
      <c r="T315" s="65" t="s">
        <v>2176</v>
      </c>
      <c r="U315" s="67" t="s">
        <v>2177</v>
      </c>
      <c r="V315" s="67" t="s">
        <v>2178</v>
      </c>
      <c r="W315" s="31"/>
      <c r="X315" s="52" t="s">
        <v>2179</v>
      </c>
      <c r="Y315" s="54" t="s">
        <v>2180</v>
      </c>
      <c r="Z315" s="54" t="s">
        <v>2181</v>
      </c>
      <c r="AA315" s="68">
        <v>46232.0</v>
      </c>
      <c r="AB315" s="56"/>
      <c r="AC315" s="38"/>
      <c r="AD315" s="39">
        <v>20645.45</v>
      </c>
      <c r="AE315" s="39">
        <v>7128.6159</v>
      </c>
      <c r="AF315" s="40">
        <v>13516.8341</v>
      </c>
      <c r="AG315" s="99" t="s">
        <v>2182</v>
      </c>
      <c r="AH315" s="42" t="s">
        <v>2183</v>
      </c>
      <c r="AI315" s="42" t="str">
        <f>IFERROR(__xludf.DUMMYFUNCTION("vLOOKUP(A315,IMPORTRANGE(""https://docs.google.com/spreadsheets/d/1Rawwwdh8wntXGy8isdYNHxsNQS4n_rC8JSdPfj6vEq4"",""'500 объектов перенос на 2026'!A3:AB502""),13,0)"),"#REF!")</f>
        <v>#REF!</v>
      </c>
      <c r="AJ315" s="42" t="str">
        <f>IFERROR(__xludf.DUMMYFUNCTION("vLOOKUP(A315,IMPORTRANGE(""https://docs.google.com/spreadsheets/d/1Rawwwdh8wntXGy8isdYNHxsNQS4n_rC8JSdPfj6vEq4"",""'500 объектов перенос на 2026'!A3:AB502""),14,0)"),"#REF!")</f>
        <v>#REF!</v>
      </c>
      <c r="AK315" s="76" t="s">
        <v>2184</v>
      </c>
      <c r="AL315" s="70"/>
      <c r="AM315" s="70"/>
      <c r="AN315" s="43"/>
      <c r="AO315" s="43"/>
      <c r="AP315" s="43"/>
      <c r="AQ315" s="43"/>
      <c r="AR315" s="43"/>
      <c r="AS315" s="43"/>
      <c r="AT315" s="43"/>
      <c r="AU315" s="43"/>
      <c r="AV315" s="43"/>
      <c r="AW315" s="43"/>
      <c r="AX315" s="43"/>
      <c r="AY315" s="43"/>
      <c r="AZ315" s="43"/>
    </row>
    <row r="316">
      <c r="A316" s="62" t="s">
        <v>2185</v>
      </c>
      <c r="B316" s="63" t="s">
        <v>703</v>
      </c>
      <c r="C316" s="64" t="s">
        <v>2186</v>
      </c>
      <c r="D316" s="47" t="s">
        <v>1523</v>
      </c>
      <c r="E316" s="64" t="s">
        <v>85</v>
      </c>
      <c r="F316" s="31" t="s">
        <v>60</v>
      </c>
      <c r="G316" s="31"/>
      <c r="H316" s="31"/>
      <c r="I316" s="31" t="s">
        <v>60</v>
      </c>
      <c r="J316" s="31"/>
      <c r="K316" s="31"/>
      <c r="L316" s="32">
        <f>IFERROR(__xludf.DUMMYFUNCTION("VLOOKUP($A316,IMPORTRANGE(""1PQtfbQLqBUP-rjYRznmgNFBLOjvAnhGzpIx7BJWq8rk"",""'Worksheet'!$B$2:$H""),7,FALSE)"),0.89)</f>
        <v>0.89</v>
      </c>
      <c r="M316" s="31" t="s">
        <v>60</v>
      </c>
      <c r="N316" s="49">
        <v>5951042.59</v>
      </c>
      <c r="O316" s="49">
        <v>5936832.29</v>
      </c>
      <c r="P316" s="49">
        <v>0.0</v>
      </c>
      <c r="Q316" s="34">
        <f t="shared" si="7"/>
        <v>0.0023878673</v>
      </c>
      <c r="R316" s="31"/>
      <c r="S316" s="31" t="s">
        <v>60</v>
      </c>
      <c r="T316" s="50">
        <v>0.0</v>
      </c>
      <c r="U316" s="51">
        <v>0.0</v>
      </c>
      <c r="V316" s="51">
        <v>0.0</v>
      </c>
      <c r="W316" s="31"/>
      <c r="X316" s="52" t="s">
        <v>209</v>
      </c>
      <c r="Y316" s="54" t="s">
        <v>114</v>
      </c>
      <c r="Z316" s="54"/>
      <c r="AA316" s="54" t="s">
        <v>114</v>
      </c>
      <c r="AB316" s="38" t="s">
        <v>115</v>
      </c>
      <c r="AC316" s="38"/>
      <c r="AD316" s="39">
        <v>5951.04</v>
      </c>
      <c r="AE316" s="39">
        <v>5279.34427</v>
      </c>
      <c r="AF316" s="39">
        <v>671.69573</v>
      </c>
      <c r="AG316" s="99" t="s">
        <v>2187</v>
      </c>
      <c r="AH316" s="42"/>
      <c r="AI316" s="42" t="str">
        <f>IFERROR(__xludf.DUMMYFUNCTION("vLOOKUP(A316,IMPORTRANGE(""https://docs.google.com/spreadsheets/d/1Rawwwdh8wntXGy8isdYNHxsNQS4n_rC8JSdPfj6vEq4"",""'500 объектов перенос на 2026'!A3:AB502""),13,0)"),"#REF!")</f>
        <v>#REF!</v>
      </c>
      <c r="AJ316" s="42" t="str">
        <f>IFERROR(__xludf.DUMMYFUNCTION("vLOOKUP(A316,IMPORTRANGE(""https://docs.google.com/spreadsheets/d/1Rawwwdh8wntXGy8isdYNHxsNQS4n_rC8JSdPfj6vEq4"",""'500 объектов перенос на 2026'!A3:AB502""),14,0)"),"#REF!")</f>
        <v>#REF!</v>
      </c>
      <c r="AK316" s="163" t="s">
        <v>114</v>
      </c>
      <c r="AL316" s="70"/>
      <c r="AM316" s="70"/>
      <c r="AN316" s="43"/>
      <c r="AO316" s="43"/>
      <c r="AP316" s="43"/>
      <c r="AQ316" s="43"/>
      <c r="AR316" s="43"/>
      <c r="AS316" s="43"/>
      <c r="AT316" s="43"/>
      <c r="AU316" s="43"/>
      <c r="AV316" s="43"/>
      <c r="AW316" s="43"/>
      <c r="AX316" s="43"/>
      <c r="AY316" s="43"/>
      <c r="AZ316" s="43"/>
    </row>
    <row r="317">
      <c r="A317" s="62" t="s">
        <v>2188</v>
      </c>
      <c r="B317" s="63" t="s">
        <v>268</v>
      </c>
      <c r="C317" s="64" t="s">
        <v>2189</v>
      </c>
      <c r="D317" s="47" t="s">
        <v>323</v>
      </c>
      <c r="E317" s="64" t="s">
        <v>85</v>
      </c>
      <c r="F317" s="31" t="s">
        <v>40</v>
      </c>
      <c r="G317" s="31" t="s">
        <v>41</v>
      </c>
      <c r="H317" s="31" t="s">
        <v>828</v>
      </c>
      <c r="I317" s="31" t="s">
        <v>40</v>
      </c>
      <c r="J317" s="31" t="s">
        <v>61</v>
      </c>
      <c r="K317" s="31"/>
      <c r="L317" s="32">
        <f>IFERROR(__xludf.DUMMYFUNCTION("VLOOKUP($A317,IMPORTRANGE(""1PQtfbQLqBUP-rjYRznmgNFBLOjvAnhGzpIx7BJWq8rk"",""'Worksheet'!$B$2:$H""),7,FALSE)"),0.9)</f>
        <v>0.9</v>
      </c>
      <c r="M317" s="31" t="s">
        <v>40</v>
      </c>
      <c r="N317" s="49">
        <v>2.57151776E7</v>
      </c>
      <c r="O317" s="49">
        <v>1.260308032E7</v>
      </c>
      <c r="P317" s="49">
        <f t="shared" ref="P317:P320" si="46">N317-O317</f>
        <v>13112097.28</v>
      </c>
      <c r="Q317" s="34">
        <f t="shared" si="7"/>
        <v>0.5098972087</v>
      </c>
      <c r="R317" s="31"/>
      <c r="S317" s="31" t="s">
        <v>40</v>
      </c>
      <c r="T317" s="50" t="s">
        <v>2190</v>
      </c>
      <c r="U317" s="51">
        <v>0.0</v>
      </c>
      <c r="V317" s="51" t="s">
        <v>2190</v>
      </c>
      <c r="W317" s="31"/>
      <c r="X317" s="52" t="s">
        <v>49</v>
      </c>
      <c r="Y317" s="54" t="s">
        <v>2191</v>
      </c>
      <c r="Z317" s="54" t="s">
        <v>851</v>
      </c>
      <c r="AA317" s="68">
        <v>46265.0</v>
      </c>
      <c r="AB317" s="56"/>
      <c r="AC317" s="38"/>
      <c r="AD317" s="39">
        <v>25715.18</v>
      </c>
      <c r="AE317" s="39">
        <v>12603.08032</v>
      </c>
      <c r="AF317" s="40">
        <v>13112.09968</v>
      </c>
      <c r="AG317" s="57" t="s">
        <v>2192</v>
      </c>
      <c r="AH317" s="42" t="s">
        <v>49</v>
      </c>
      <c r="AI317" s="42" t="str">
        <f>IFERROR(__xludf.DUMMYFUNCTION("vLOOKUP(A317,IMPORTRANGE(""https://docs.google.com/spreadsheets/d/1Rawwwdh8wntXGy8isdYNHxsNQS4n_rC8JSdPfj6vEq4"",""'500 объектов перенос на 2026'!A3:AB502""),13,0)"),"#REF!")</f>
        <v>#REF!</v>
      </c>
      <c r="AJ317" s="42" t="str">
        <f>IFERROR(__xludf.DUMMYFUNCTION("vLOOKUP(A317,IMPORTRANGE(""https://docs.google.com/spreadsheets/d/1Rawwwdh8wntXGy8isdYNHxsNQS4n_rC8JSdPfj6vEq4"",""'500 объектов перенос на 2026'!A3:AB502""),14,0)"),"#REF!")</f>
        <v>#REF!</v>
      </c>
      <c r="AK317" s="58" t="s">
        <v>2193</v>
      </c>
      <c r="AL317" s="94" t="s">
        <v>2062</v>
      </c>
      <c r="AM317" s="94"/>
      <c r="AN317" s="96" t="s">
        <v>2063</v>
      </c>
      <c r="AO317" s="43"/>
      <c r="AP317" s="43"/>
      <c r="AQ317" s="43"/>
      <c r="AR317" s="43"/>
      <c r="AS317" s="43"/>
      <c r="AT317" s="43"/>
      <c r="AU317" s="43"/>
      <c r="AV317" s="43"/>
      <c r="AW317" s="43"/>
      <c r="AX317" s="43"/>
      <c r="AY317" s="43"/>
      <c r="AZ317" s="43"/>
    </row>
    <row r="318">
      <c r="A318" s="62" t="s">
        <v>2194</v>
      </c>
      <c r="B318" s="63" t="s">
        <v>703</v>
      </c>
      <c r="C318" s="64" t="s">
        <v>2195</v>
      </c>
      <c r="D318" s="47" t="s">
        <v>1523</v>
      </c>
      <c r="E318" s="64" t="s">
        <v>85</v>
      </c>
      <c r="F318" s="31" t="s">
        <v>60</v>
      </c>
      <c r="G318" s="31"/>
      <c r="H318" s="31"/>
      <c r="I318" s="31" t="s">
        <v>60</v>
      </c>
      <c r="J318" s="31"/>
      <c r="K318" s="31"/>
      <c r="L318" s="32">
        <f>IFERROR(__xludf.DUMMYFUNCTION("VLOOKUP($A318,IMPORTRANGE(""1PQtfbQLqBUP-rjYRznmgNFBLOjvAnhGzpIx7BJWq8rk"",""'Worksheet'!$B$2:$H""),7,FALSE)"),0.97)</f>
        <v>0.97</v>
      </c>
      <c r="M318" s="31" t="s">
        <v>60</v>
      </c>
      <c r="N318" s="49">
        <v>1.10336646E7</v>
      </c>
      <c r="O318" s="49">
        <v>1.10336646E7</v>
      </c>
      <c r="P318" s="49">
        <f t="shared" si="46"/>
        <v>0</v>
      </c>
      <c r="Q318" s="34">
        <f t="shared" si="7"/>
        <v>0</v>
      </c>
      <c r="R318" s="31"/>
      <c r="S318" s="31" t="s">
        <v>60</v>
      </c>
      <c r="T318" s="91"/>
      <c r="U318" s="51"/>
      <c r="V318" s="51"/>
      <c r="W318" s="31"/>
      <c r="X318" s="52" t="s">
        <v>803</v>
      </c>
      <c r="Y318" s="54" t="s">
        <v>114</v>
      </c>
      <c r="Z318" s="74"/>
      <c r="AA318" s="54" t="s">
        <v>114</v>
      </c>
      <c r="AB318" s="38" t="s">
        <v>115</v>
      </c>
      <c r="AC318" s="38"/>
      <c r="AD318" s="39">
        <v>32322.88</v>
      </c>
      <c r="AE318" s="39">
        <v>19521.6346</v>
      </c>
      <c r="AF318" s="40">
        <v>12801.2454</v>
      </c>
      <c r="AG318" s="168" t="s">
        <v>2196</v>
      </c>
      <c r="AH318" s="42"/>
      <c r="AI318" s="42" t="str">
        <f>IFERROR(__xludf.DUMMYFUNCTION("vLOOKUP(A318,IMPORTRANGE(""https://docs.google.com/spreadsheets/d/1Rawwwdh8wntXGy8isdYNHxsNQS4n_rC8JSdPfj6vEq4"",""'500 объектов перенос на 2026'!A3:AB502""),13,0)"),"#REF!")</f>
        <v>#REF!</v>
      </c>
      <c r="AJ318" s="42" t="str">
        <f>IFERROR(__xludf.DUMMYFUNCTION("vLOOKUP(A318,IMPORTRANGE(""https://docs.google.com/spreadsheets/d/1Rawwwdh8wntXGy8isdYNHxsNQS4n_rC8JSdPfj6vEq4"",""'500 объектов перенос на 2026'!A3:AB502""),14,0)"),"#REF!")</f>
        <v>#REF!</v>
      </c>
      <c r="AK318" s="163" t="s">
        <v>114</v>
      </c>
      <c r="AL318" s="70"/>
      <c r="AM318" s="70"/>
      <c r="AN318" s="43"/>
      <c r="AO318" s="43"/>
      <c r="AP318" s="43"/>
      <c r="AQ318" s="43"/>
      <c r="AR318" s="43"/>
      <c r="AS318" s="43"/>
      <c r="AT318" s="43"/>
      <c r="AU318" s="43"/>
      <c r="AV318" s="43"/>
      <c r="AW318" s="43"/>
      <c r="AX318" s="43"/>
      <c r="AY318" s="43"/>
      <c r="AZ318" s="43"/>
    </row>
    <row r="319">
      <c r="A319" s="62" t="s">
        <v>2197</v>
      </c>
      <c r="B319" s="63" t="s">
        <v>1274</v>
      </c>
      <c r="C319" s="64" t="s">
        <v>2198</v>
      </c>
      <c r="D319" s="47" t="s">
        <v>112</v>
      </c>
      <c r="E319" s="64" t="s">
        <v>85</v>
      </c>
      <c r="F319" s="31" t="s">
        <v>60</v>
      </c>
      <c r="G319" s="31"/>
      <c r="H319" s="31"/>
      <c r="I319" s="31" t="s">
        <v>40</v>
      </c>
      <c r="J319" s="31" t="s">
        <v>61</v>
      </c>
      <c r="K319" s="31" t="s">
        <v>72</v>
      </c>
      <c r="L319" s="32">
        <f>IFERROR(__xludf.DUMMYFUNCTION("VLOOKUP($A319,IMPORTRANGE(""1PQtfbQLqBUP-rjYRznmgNFBLOjvAnhGzpIx7BJWq8rk"",""'Worksheet'!$B$2:$H""),7,FALSE)"),0.95)</f>
        <v>0.95</v>
      </c>
      <c r="M319" s="31" t="s">
        <v>45</v>
      </c>
      <c r="N319" s="49">
        <v>4.152331E7</v>
      </c>
      <c r="O319" s="49">
        <v>2.844084157E7</v>
      </c>
      <c r="P319" s="49">
        <f t="shared" si="46"/>
        <v>13082468.43</v>
      </c>
      <c r="Q319" s="34">
        <f t="shared" si="7"/>
        <v>0.3150632363</v>
      </c>
      <c r="R319" s="31"/>
      <c r="S319" s="31" t="s">
        <v>45</v>
      </c>
      <c r="T319" s="50" t="s">
        <v>2199</v>
      </c>
      <c r="U319" s="51" t="s">
        <v>2200</v>
      </c>
      <c r="V319" s="51" t="s">
        <v>2201</v>
      </c>
      <c r="W319" s="31"/>
      <c r="X319" s="52" t="s">
        <v>1453</v>
      </c>
      <c r="Y319" s="54" t="s">
        <v>2202</v>
      </c>
      <c r="Z319" s="54" t="s">
        <v>1455</v>
      </c>
      <c r="AA319" s="74">
        <v>46235.0</v>
      </c>
      <c r="AB319" s="56"/>
      <c r="AC319" s="38" t="s">
        <v>1349</v>
      </c>
      <c r="AD319" s="39">
        <v>41523.31</v>
      </c>
      <c r="AE319" s="39">
        <v>28440.84157</v>
      </c>
      <c r="AF319" s="40">
        <v>13082.46843</v>
      </c>
      <c r="AG319" s="99" t="s">
        <v>2203</v>
      </c>
      <c r="AH319" s="42"/>
      <c r="AI319" s="42" t="str">
        <f>IFERROR(__xludf.DUMMYFUNCTION("vLOOKUP(A319,IMPORTRANGE(""https://docs.google.com/spreadsheets/d/1Rawwwdh8wntXGy8isdYNHxsNQS4n_rC8JSdPfj6vEq4"",""'500 объектов перенос на 2026'!A3:AB502""),13,0)"),"#REF!")</f>
        <v>#REF!</v>
      </c>
      <c r="AJ319" s="42" t="str">
        <f>IFERROR(__xludf.DUMMYFUNCTION("vLOOKUP(A319,IMPORTRANGE(""https://docs.google.com/spreadsheets/d/1Rawwwdh8wntXGy8isdYNHxsNQS4n_rC8JSdPfj6vEq4"",""'500 объектов перенос на 2026'!A3:AB502""),14,0)"),"#REF!")</f>
        <v>#REF!</v>
      </c>
      <c r="AK319" s="75" t="s">
        <v>2204</v>
      </c>
      <c r="AL319" s="70" t="s">
        <v>2205</v>
      </c>
      <c r="AM319" s="70"/>
      <c r="AN319" s="70"/>
      <c r="AO319" s="96"/>
      <c r="AP319" s="96"/>
      <c r="AQ319" s="96"/>
      <c r="AR319" s="96"/>
      <c r="AS319" s="96"/>
      <c r="AT319" s="96"/>
      <c r="AU319" s="96"/>
      <c r="AV319" s="96"/>
      <c r="AW319" s="96"/>
      <c r="AX319" s="96"/>
      <c r="AY319" s="96"/>
      <c r="AZ319" s="96"/>
    </row>
    <row r="320">
      <c r="A320" s="62" t="s">
        <v>2206</v>
      </c>
      <c r="B320" s="63" t="s">
        <v>703</v>
      </c>
      <c r="C320" s="64" t="s">
        <v>2207</v>
      </c>
      <c r="D320" s="47" t="s">
        <v>1523</v>
      </c>
      <c r="E320" s="64" t="s">
        <v>85</v>
      </c>
      <c r="F320" s="31" t="s">
        <v>60</v>
      </c>
      <c r="G320" s="31"/>
      <c r="H320" s="31"/>
      <c r="I320" s="31" t="s">
        <v>60</v>
      </c>
      <c r="J320" s="31"/>
      <c r="K320" s="31"/>
      <c r="L320" s="32" t="str">
        <f>IFERROR(__xludf.DUMMYFUNCTION("VLOOKUP($A320,IMPORTRANGE(""1PQtfbQLqBUP-rjYRznmgNFBLOjvAnhGzpIx7BJWq8rk"",""'Worksheet'!$B$2:$H""),7,FALSE)"),"#N/A")</f>
        <v>#N/A</v>
      </c>
      <c r="M320" s="31" t="s">
        <v>60</v>
      </c>
      <c r="N320" s="49">
        <v>2.103689436E7</v>
      </c>
      <c r="O320" s="49">
        <v>2.103689436E7</v>
      </c>
      <c r="P320" s="49">
        <f t="shared" si="46"/>
        <v>0</v>
      </c>
      <c r="Q320" s="34">
        <f t="shared" si="7"/>
        <v>0</v>
      </c>
      <c r="R320" s="31"/>
      <c r="S320" s="31" t="s">
        <v>60</v>
      </c>
      <c r="T320" s="91"/>
      <c r="U320" s="51"/>
      <c r="V320" s="51"/>
      <c r="W320" s="31"/>
      <c r="X320" s="52" t="s">
        <v>803</v>
      </c>
      <c r="Y320" s="54" t="s">
        <v>114</v>
      </c>
      <c r="Z320" s="74"/>
      <c r="AA320" s="54" t="s">
        <v>114</v>
      </c>
      <c r="AB320" s="38" t="s">
        <v>115</v>
      </c>
      <c r="AC320" s="38"/>
      <c r="AD320" s="39">
        <v>81596.03</v>
      </c>
      <c r="AE320" s="39">
        <v>21036.89436</v>
      </c>
      <c r="AF320" s="40">
        <v>60559.13564</v>
      </c>
      <c r="AG320" s="168" t="s">
        <v>2208</v>
      </c>
      <c r="AH320" s="42"/>
      <c r="AI320" s="42" t="str">
        <f>IFERROR(__xludf.DUMMYFUNCTION("vLOOKUP(A320,IMPORTRANGE(""https://docs.google.com/spreadsheets/d/1Rawwwdh8wntXGy8isdYNHxsNQS4n_rC8JSdPfj6vEq4"",""'500 объектов перенос на 2026'!A3:AB502""),13,0)"),"#REF!")</f>
        <v>#REF!</v>
      </c>
      <c r="AJ320" s="42" t="str">
        <f>IFERROR(__xludf.DUMMYFUNCTION("vLOOKUP(A320,IMPORTRANGE(""https://docs.google.com/spreadsheets/d/1Rawwwdh8wntXGy8isdYNHxsNQS4n_rC8JSdPfj6vEq4"",""'500 объектов перенос на 2026'!A3:AB502""),14,0)"),"#REF!")</f>
        <v>#REF!</v>
      </c>
      <c r="AK320" s="163" t="s">
        <v>114</v>
      </c>
      <c r="AL320" s="70"/>
      <c r="AM320" s="70"/>
      <c r="AN320" s="43"/>
      <c r="AO320" s="43"/>
      <c r="AP320" s="43"/>
      <c r="AQ320" s="43"/>
      <c r="AR320" s="43"/>
      <c r="AS320" s="43"/>
      <c r="AT320" s="43"/>
      <c r="AU320" s="43"/>
      <c r="AV320" s="43"/>
      <c r="AW320" s="43"/>
      <c r="AX320" s="43"/>
      <c r="AY320" s="43"/>
      <c r="AZ320" s="43"/>
    </row>
    <row r="321">
      <c r="A321" s="62" t="s">
        <v>2209</v>
      </c>
      <c r="B321" s="63" t="s">
        <v>703</v>
      </c>
      <c r="C321" s="64" t="s">
        <v>2210</v>
      </c>
      <c r="D321" s="47" t="s">
        <v>1523</v>
      </c>
      <c r="E321" s="64" t="s">
        <v>85</v>
      </c>
      <c r="F321" s="31" t="s">
        <v>60</v>
      </c>
      <c r="G321" s="31"/>
      <c r="H321" s="31"/>
      <c r="I321" s="31" t="s">
        <v>60</v>
      </c>
      <c r="J321" s="31"/>
      <c r="K321" s="31"/>
      <c r="L321" s="32">
        <f>IFERROR(__xludf.DUMMYFUNCTION("VLOOKUP($A321,IMPORTRANGE(""1PQtfbQLqBUP-rjYRznmgNFBLOjvAnhGzpIx7BJWq8rk"",""'Worksheet'!$B$2:$H""),7,FALSE)"),0.97)</f>
        <v>0.97</v>
      </c>
      <c r="M321" s="31" t="s">
        <v>60</v>
      </c>
      <c r="N321" s="49">
        <v>1.2354662E7</v>
      </c>
      <c r="O321" s="49">
        <v>1.077994456E7</v>
      </c>
      <c r="P321" s="49">
        <v>0.0</v>
      </c>
      <c r="Q321" s="34">
        <f t="shared" si="7"/>
        <v>0.1274593704</v>
      </c>
      <c r="R321" s="31"/>
      <c r="S321" s="31" t="s">
        <v>60</v>
      </c>
      <c r="T321" s="50">
        <v>0.0</v>
      </c>
      <c r="U321" s="51">
        <v>0.0</v>
      </c>
      <c r="V321" s="51">
        <v>0.0</v>
      </c>
      <c r="W321" s="31"/>
      <c r="X321" s="52" t="s">
        <v>209</v>
      </c>
      <c r="Y321" s="54" t="s">
        <v>114</v>
      </c>
      <c r="Z321" s="54"/>
      <c r="AA321" s="54" t="s">
        <v>114</v>
      </c>
      <c r="AB321" s="38" t="s">
        <v>115</v>
      </c>
      <c r="AC321" s="38"/>
      <c r="AD321" s="39">
        <v>12354.66</v>
      </c>
      <c r="AE321" s="39">
        <v>15000.90456</v>
      </c>
      <c r="AF321" s="39">
        <v>-2646.24456</v>
      </c>
      <c r="AG321" s="168" t="s">
        <v>2211</v>
      </c>
      <c r="AH321" s="42"/>
      <c r="AI321" s="42" t="str">
        <f>IFERROR(__xludf.DUMMYFUNCTION("vLOOKUP(A321,IMPORTRANGE(""https://docs.google.com/spreadsheets/d/1Rawwwdh8wntXGy8isdYNHxsNQS4n_rC8JSdPfj6vEq4"",""'500 объектов перенос на 2026'!A3:AB502""),13,0)"),"#REF!")</f>
        <v>#REF!</v>
      </c>
      <c r="AJ321" s="42" t="str">
        <f>IFERROR(__xludf.DUMMYFUNCTION("vLOOKUP(A321,IMPORTRANGE(""https://docs.google.com/spreadsheets/d/1Rawwwdh8wntXGy8isdYNHxsNQS4n_rC8JSdPfj6vEq4"",""'500 объектов перенос на 2026'!A3:AB502""),14,0)"),"#REF!")</f>
        <v>#REF!</v>
      </c>
      <c r="AK321" s="163" t="s">
        <v>114</v>
      </c>
      <c r="AL321" s="70"/>
      <c r="AM321" s="70"/>
      <c r="AN321" s="43"/>
      <c r="AO321" s="43"/>
      <c r="AP321" s="43"/>
      <c r="AQ321" s="43"/>
      <c r="AR321" s="43"/>
      <c r="AS321" s="43"/>
      <c r="AT321" s="43"/>
      <c r="AU321" s="43"/>
      <c r="AV321" s="43"/>
      <c r="AW321" s="43"/>
      <c r="AX321" s="43"/>
      <c r="AY321" s="43"/>
      <c r="AZ321" s="43"/>
    </row>
    <row r="322">
      <c r="A322" s="62" t="s">
        <v>2212</v>
      </c>
      <c r="B322" s="63" t="s">
        <v>703</v>
      </c>
      <c r="C322" s="64" t="s">
        <v>2213</v>
      </c>
      <c r="D322" s="47" t="s">
        <v>1523</v>
      </c>
      <c r="E322" s="64" t="s">
        <v>85</v>
      </c>
      <c r="F322" s="31" t="s">
        <v>60</v>
      </c>
      <c r="G322" s="31"/>
      <c r="H322" s="31"/>
      <c r="I322" s="31" t="s">
        <v>60</v>
      </c>
      <c r="J322" s="31"/>
      <c r="K322" s="31"/>
      <c r="L322" s="32">
        <f>IFERROR(__xludf.DUMMYFUNCTION("VLOOKUP($A322,IMPORTRANGE(""1PQtfbQLqBUP-rjYRznmgNFBLOjvAnhGzpIx7BJWq8rk"",""'Worksheet'!$B$2:$H""),7,FALSE)"),0.62)</f>
        <v>0.62</v>
      </c>
      <c r="M322" s="31" t="s">
        <v>60</v>
      </c>
      <c r="N322" s="49">
        <v>1845768.13</v>
      </c>
      <c r="O322" s="49">
        <v>1143599.25</v>
      </c>
      <c r="P322" s="49">
        <v>0.0</v>
      </c>
      <c r="Q322" s="34">
        <f t="shared" si="7"/>
        <v>0.3804209579</v>
      </c>
      <c r="R322" s="31"/>
      <c r="S322" s="31" t="s">
        <v>60</v>
      </c>
      <c r="T322" s="50">
        <v>0.0</v>
      </c>
      <c r="U322" s="117">
        <v>0.0</v>
      </c>
      <c r="V322" s="51">
        <v>0.0</v>
      </c>
      <c r="W322" s="31"/>
      <c r="X322" s="52" t="s">
        <v>209</v>
      </c>
      <c r="Y322" s="54" t="s">
        <v>114</v>
      </c>
      <c r="Z322" s="54"/>
      <c r="AA322" s="54" t="s">
        <v>114</v>
      </c>
      <c r="AB322" s="38" t="s">
        <v>115</v>
      </c>
      <c r="AC322" s="38"/>
      <c r="AD322" s="39">
        <v>1845.77</v>
      </c>
      <c r="AE322" s="39">
        <v>1470.06925</v>
      </c>
      <c r="AF322" s="39">
        <v>375.70075</v>
      </c>
      <c r="AG322" s="168" t="s">
        <v>2214</v>
      </c>
      <c r="AH322" s="42"/>
      <c r="AI322" s="42" t="str">
        <f>IFERROR(__xludf.DUMMYFUNCTION("vLOOKUP(A322,IMPORTRANGE(""https://docs.google.com/spreadsheets/d/1Rawwwdh8wntXGy8isdYNHxsNQS4n_rC8JSdPfj6vEq4"",""'500 объектов перенос на 2026'!A3:AB502""),13,0)"),"#REF!")</f>
        <v>#REF!</v>
      </c>
      <c r="AJ322" s="42" t="str">
        <f>IFERROR(__xludf.DUMMYFUNCTION("vLOOKUP(A322,IMPORTRANGE(""https://docs.google.com/spreadsheets/d/1Rawwwdh8wntXGy8isdYNHxsNQS4n_rC8JSdPfj6vEq4"",""'500 объектов перенос на 2026'!A3:AB502""),14,0)"),"#REF!")</f>
        <v>#REF!</v>
      </c>
      <c r="AK322" s="163" t="s">
        <v>114</v>
      </c>
      <c r="AL322" s="70"/>
      <c r="AM322" s="70"/>
      <c r="AN322" s="43"/>
      <c r="AO322" s="43"/>
      <c r="AP322" s="43"/>
      <c r="AQ322" s="43"/>
      <c r="AR322" s="43"/>
      <c r="AS322" s="43"/>
      <c r="AT322" s="43"/>
      <c r="AU322" s="43"/>
      <c r="AV322" s="43"/>
      <c r="AW322" s="43"/>
      <c r="AX322" s="43"/>
      <c r="AY322" s="43"/>
      <c r="AZ322" s="43"/>
    </row>
    <row r="323">
      <c r="A323" s="62" t="s">
        <v>2215</v>
      </c>
      <c r="B323" s="63" t="s">
        <v>703</v>
      </c>
      <c r="C323" s="64" t="s">
        <v>2216</v>
      </c>
      <c r="D323" s="47" t="s">
        <v>1523</v>
      </c>
      <c r="E323" s="64" t="s">
        <v>85</v>
      </c>
      <c r="F323" s="31" t="s">
        <v>60</v>
      </c>
      <c r="G323" s="31"/>
      <c r="H323" s="31"/>
      <c r="I323" s="31" t="s">
        <v>60</v>
      </c>
      <c r="J323" s="31"/>
      <c r="K323" s="31"/>
      <c r="L323" s="32">
        <f>IFERROR(__xludf.DUMMYFUNCTION("VLOOKUP($A323,IMPORTRANGE(""1PQtfbQLqBUP-rjYRznmgNFBLOjvAnhGzpIx7BJWq8rk"",""'Worksheet'!$B$2:$H""),7,FALSE)"),1.0)</f>
        <v>1</v>
      </c>
      <c r="M323" s="31" t="s">
        <v>60</v>
      </c>
      <c r="N323" s="49">
        <v>5.6006323238E8</v>
      </c>
      <c r="O323" s="49">
        <v>4.3175027577E8</v>
      </c>
      <c r="P323" s="49">
        <v>0.0</v>
      </c>
      <c r="Q323" s="34">
        <f t="shared" si="7"/>
        <v>0.2291044103</v>
      </c>
      <c r="R323" s="31"/>
      <c r="S323" s="31" t="s">
        <v>60</v>
      </c>
      <c r="T323" s="50"/>
      <c r="U323" s="51"/>
      <c r="V323" s="51"/>
      <c r="W323" s="31"/>
      <c r="X323" s="52" t="s">
        <v>803</v>
      </c>
      <c r="Y323" s="54" t="s">
        <v>114</v>
      </c>
      <c r="Z323" s="74"/>
      <c r="AA323" s="54" t="s">
        <v>114</v>
      </c>
      <c r="AB323" s="38" t="s">
        <v>115</v>
      </c>
      <c r="AC323" s="38"/>
      <c r="AD323" s="39">
        <v>560063.23</v>
      </c>
      <c r="AE323" s="39">
        <v>431750.2978</v>
      </c>
      <c r="AF323" s="40">
        <v>128312.9322</v>
      </c>
      <c r="AG323" s="173" t="s">
        <v>2217</v>
      </c>
      <c r="AH323" s="42"/>
      <c r="AI323" s="42" t="str">
        <f>IFERROR(__xludf.DUMMYFUNCTION("vLOOKUP(A323,IMPORTRANGE(""https://docs.google.com/spreadsheets/d/1Rawwwdh8wntXGy8isdYNHxsNQS4n_rC8JSdPfj6vEq4"",""'500 объектов перенос на 2026'!A3:AB502""),13,0)"),"#REF!")</f>
        <v>#REF!</v>
      </c>
      <c r="AJ323" s="42" t="str">
        <f>IFERROR(__xludf.DUMMYFUNCTION("vLOOKUP(A323,IMPORTRANGE(""https://docs.google.com/spreadsheets/d/1Rawwwdh8wntXGy8isdYNHxsNQS4n_rC8JSdPfj6vEq4"",""'500 объектов перенос на 2026'!A3:AB502""),14,0)"),"#REF!")</f>
        <v>#REF!</v>
      </c>
      <c r="AK323" s="163" t="s">
        <v>114</v>
      </c>
      <c r="AL323" s="70"/>
      <c r="AM323" s="70"/>
      <c r="AN323" s="43"/>
      <c r="AO323" s="43"/>
      <c r="AP323" s="43"/>
      <c r="AQ323" s="43"/>
      <c r="AR323" s="43"/>
      <c r="AS323" s="43"/>
      <c r="AT323" s="43"/>
      <c r="AU323" s="43"/>
      <c r="AV323" s="43"/>
      <c r="AW323" s="43"/>
      <c r="AX323" s="43"/>
      <c r="AY323" s="43"/>
      <c r="AZ323" s="43"/>
    </row>
    <row r="324">
      <c r="A324" s="62" t="s">
        <v>2218</v>
      </c>
      <c r="B324" s="63" t="s">
        <v>268</v>
      </c>
      <c r="C324" s="144" t="s">
        <v>2219</v>
      </c>
      <c r="D324" s="47" t="s">
        <v>1041</v>
      </c>
      <c r="E324" s="64" t="s">
        <v>85</v>
      </c>
      <c r="F324" s="31" t="s">
        <v>60</v>
      </c>
      <c r="G324" s="31"/>
      <c r="H324" s="31"/>
      <c r="I324" s="31" t="s">
        <v>60</v>
      </c>
      <c r="J324" s="31"/>
      <c r="K324" s="31"/>
      <c r="L324" s="32">
        <f>IFERROR(__xludf.DUMMYFUNCTION("VLOOKUP($A324,IMPORTRANGE(""1PQtfbQLqBUP-rjYRznmgNFBLOjvAnhGzpIx7BJWq8rk"",""'Worksheet'!$B$2:$H""),7,FALSE)"),0.92)</f>
        <v>0.92</v>
      </c>
      <c r="M324" s="31" t="s">
        <v>40</v>
      </c>
      <c r="N324" s="49">
        <v>2.420789E7</v>
      </c>
      <c r="O324" s="49">
        <v>1.117398509E7</v>
      </c>
      <c r="P324" s="49">
        <f t="shared" ref="P324:P325" si="47">N324-O324</f>
        <v>13033904.91</v>
      </c>
      <c r="Q324" s="34">
        <f t="shared" si="7"/>
        <v>0.5384155707</v>
      </c>
      <c r="R324" s="31"/>
      <c r="S324" s="31" t="s">
        <v>40</v>
      </c>
      <c r="T324" s="50" t="s">
        <v>2220</v>
      </c>
      <c r="U324" s="51">
        <v>0.0</v>
      </c>
      <c r="V324" s="51" t="s">
        <v>2220</v>
      </c>
      <c r="W324" s="31" t="s">
        <v>506</v>
      </c>
      <c r="X324" s="52" t="s">
        <v>1582</v>
      </c>
      <c r="Y324" s="54" t="s">
        <v>1569</v>
      </c>
      <c r="Z324" s="54" t="s">
        <v>851</v>
      </c>
      <c r="AA324" s="68">
        <v>46251.0</v>
      </c>
      <c r="AB324" s="56"/>
      <c r="AC324" s="38" t="s">
        <v>2221</v>
      </c>
      <c r="AD324" s="39">
        <v>24207.89</v>
      </c>
      <c r="AE324" s="39">
        <v>11173.98509</v>
      </c>
      <c r="AF324" s="40">
        <v>13033.90491</v>
      </c>
      <c r="AG324" s="57" t="s">
        <v>2222</v>
      </c>
      <c r="AH324" s="42" t="s">
        <v>49</v>
      </c>
      <c r="AI324" s="42" t="str">
        <f>IFERROR(__xludf.DUMMYFUNCTION("vLOOKUP(A324,IMPORTRANGE(""https://docs.google.com/spreadsheets/d/1Rawwwdh8wntXGy8isdYNHxsNQS4n_rC8JSdPfj6vEq4"",""'500 объектов перенос на 2026'!A3:AB502""),13,0)"),"#REF!")</f>
        <v>#REF!</v>
      </c>
      <c r="AJ324" s="42" t="str">
        <f>IFERROR(__xludf.DUMMYFUNCTION("vLOOKUP(A324,IMPORTRANGE(""https://docs.google.com/spreadsheets/d/1Rawwwdh8wntXGy8isdYNHxsNQS4n_rC8JSdPfj6vEq4"",""'500 объектов перенос на 2026'!A3:AB502""),14,0)"),"#REF!")</f>
        <v>#REF!</v>
      </c>
      <c r="AK324" s="75" t="s">
        <v>1271</v>
      </c>
      <c r="AL324" s="94" t="s">
        <v>1272</v>
      </c>
      <c r="AM324" s="94"/>
      <c r="AN324" s="43"/>
      <c r="AO324" s="43"/>
      <c r="AP324" s="43"/>
      <c r="AQ324" s="43"/>
      <c r="AR324" s="43"/>
      <c r="AS324" s="43"/>
      <c r="AT324" s="43"/>
      <c r="AU324" s="43"/>
      <c r="AV324" s="43"/>
      <c r="AW324" s="43"/>
      <c r="AX324" s="43"/>
      <c r="AY324" s="43"/>
      <c r="AZ324" s="43"/>
    </row>
    <row r="325">
      <c r="A325" s="62" t="s">
        <v>2223</v>
      </c>
      <c r="B325" s="63" t="s">
        <v>1274</v>
      </c>
      <c r="C325" s="64" t="s">
        <v>2224</v>
      </c>
      <c r="D325" s="47" t="s">
        <v>112</v>
      </c>
      <c r="E325" s="64" t="s">
        <v>85</v>
      </c>
      <c r="F325" s="31" t="s">
        <v>40</v>
      </c>
      <c r="G325" s="31" t="s">
        <v>156</v>
      </c>
      <c r="H325" s="31" t="s">
        <v>157</v>
      </c>
      <c r="I325" s="31" t="s">
        <v>40</v>
      </c>
      <c r="J325" s="31" t="s">
        <v>61</v>
      </c>
      <c r="K325" s="31"/>
      <c r="L325" s="32">
        <f>IFERROR(__xludf.DUMMYFUNCTION("VLOOKUP($A325,IMPORTRANGE(""1PQtfbQLqBUP-rjYRznmgNFBLOjvAnhGzpIx7BJWq8rk"",""'Worksheet'!$B$2:$H""),7,FALSE)"),0.95)</f>
        <v>0.95</v>
      </c>
      <c r="M325" s="31" t="s">
        <v>40</v>
      </c>
      <c r="N325" s="49">
        <v>2.58704E7</v>
      </c>
      <c r="O325" s="49">
        <v>1.29352E7</v>
      </c>
      <c r="P325" s="49">
        <f t="shared" si="47"/>
        <v>12935200</v>
      </c>
      <c r="Q325" s="34">
        <f t="shared" si="7"/>
        <v>0.5</v>
      </c>
      <c r="R325" s="31"/>
      <c r="S325" s="31" t="s">
        <v>40</v>
      </c>
      <c r="T325" s="50" t="s">
        <v>2225</v>
      </c>
      <c r="U325" s="117">
        <v>0.0</v>
      </c>
      <c r="V325" s="51" t="s">
        <v>2225</v>
      </c>
      <c r="W325" s="31"/>
      <c r="X325" s="52" t="s">
        <v>2226</v>
      </c>
      <c r="Y325" s="54" t="s">
        <v>2227</v>
      </c>
      <c r="Z325" s="54" t="s">
        <v>1455</v>
      </c>
      <c r="AA325" s="74">
        <v>46266.0</v>
      </c>
      <c r="AB325" s="56"/>
      <c r="AC325" s="38"/>
      <c r="AD325" s="39">
        <v>25870.4</v>
      </c>
      <c r="AE325" s="39">
        <v>12935.2</v>
      </c>
      <c r="AF325" s="40">
        <v>12935.2</v>
      </c>
      <c r="AG325" s="99" t="s">
        <v>2228</v>
      </c>
      <c r="AH325" s="42"/>
      <c r="AI325" s="42" t="str">
        <f>IFERROR(__xludf.DUMMYFUNCTION("vLOOKUP(A325,IMPORTRANGE(""https://docs.google.com/spreadsheets/d/1Rawwwdh8wntXGy8isdYNHxsNQS4n_rC8JSdPfj6vEq4"",""'500 объектов перенос на 2026'!A3:AB502""),13,0)"),"#REF!")</f>
        <v>#REF!</v>
      </c>
      <c r="AJ325" s="42" t="str">
        <f>IFERROR(__xludf.DUMMYFUNCTION("vLOOKUP(A325,IMPORTRANGE(""https://docs.google.com/spreadsheets/d/1Rawwwdh8wntXGy8isdYNHxsNQS4n_rC8JSdPfj6vEq4"",""'500 объектов перенос на 2026'!A3:AB502""),14,0)"),"#REF!")</f>
        <v>#REF!</v>
      </c>
      <c r="AK325" s="75" t="s">
        <v>2229</v>
      </c>
      <c r="AL325" s="70" t="s">
        <v>2230</v>
      </c>
      <c r="AM325" s="70"/>
      <c r="AN325" s="70"/>
      <c r="AO325" s="96"/>
      <c r="AP325" s="96"/>
      <c r="AQ325" s="96"/>
      <c r="AR325" s="96"/>
      <c r="AS325" s="96"/>
      <c r="AT325" s="96"/>
      <c r="AU325" s="96"/>
      <c r="AV325" s="96"/>
      <c r="AW325" s="96"/>
      <c r="AX325" s="96"/>
      <c r="AY325" s="96"/>
      <c r="AZ325" s="96"/>
    </row>
    <row r="326">
      <c r="A326" s="62" t="s">
        <v>2231</v>
      </c>
      <c r="B326" s="63" t="s">
        <v>703</v>
      </c>
      <c r="C326" s="64" t="s">
        <v>2232</v>
      </c>
      <c r="D326" s="47" t="s">
        <v>1523</v>
      </c>
      <c r="E326" s="64" t="s">
        <v>85</v>
      </c>
      <c r="F326" s="31" t="s">
        <v>60</v>
      </c>
      <c r="G326" s="31"/>
      <c r="H326" s="31"/>
      <c r="I326" s="31" t="s">
        <v>60</v>
      </c>
      <c r="J326" s="31"/>
      <c r="K326" s="31"/>
      <c r="L326" s="32">
        <f>IFERROR(__xludf.DUMMYFUNCTION("VLOOKUP($A326,IMPORTRANGE(""1PQtfbQLqBUP-rjYRznmgNFBLOjvAnhGzpIx7BJWq8rk"",""'Worksheet'!$B$2:$H""),7,FALSE)"),0.87)</f>
        <v>0.87</v>
      </c>
      <c r="M326" s="31" t="s">
        <v>60</v>
      </c>
      <c r="N326" s="49">
        <v>6113335.03</v>
      </c>
      <c r="O326" s="49">
        <v>5310281.59</v>
      </c>
      <c r="P326" s="49">
        <v>0.0</v>
      </c>
      <c r="Q326" s="34">
        <f t="shared" si="7"/>
        <v>0.1313609406</v>
      </c>
      <c r="R326" s="31"/>
      <c r="S326" s="31" t="s">
        <v>60</v>
      </c>
      <c r="T326" s="91">
        <v>0.0</v>
      </c>
      <c r="U326" s="51">
        <v>0.0</v>
      </c>
      <c r="V326" s="51">
        <v>0.0</v>
      </c>
      <c r="W326" s="31"/>
      <c r="X326" s="52" t="s">
        <v>209</v>
      </c>
      <c r="Y326" s="54" t="s">
        <v>114</v>
      </c>
      <c r="Z326" s="54"/>
      <c r="AA326" s="54" t="s">
        <v>114</v>
      </c>
      <c r="AB326" s="38" t="s">
        <v>115</v>
      </c>
      <c r="AC326" s="38"/>
      <c r="AD326" s="39">
        <v>6113.34</v>
      </c>
      <c r="AE326" s="39">
        <v>5310.28159</v>
      </c>
      <c r="AF326" s="39">
        <v>803.05841</v>
      </c>
      <c r="AG326" s="99" t="s">
        <v>2233</v>
      </c>
      <c r="AH326" s="42"/>
      <c r="AI326" s="42" t="str">
        <f>IFERROR(__xludf.DUMMYFUNCTION("vLOOKUP(A326,IMPORTRANGE(""https://docs.google.com/spreadsheets/d/1Rawwwdh8wntXGy8isdYNHxsNQS4n_rC8JSdPfj6vEq4"",""'500 объектов перенос на 2026'!A3:AB502""),13,0)"),"#REF!")</f>
        <v>#REF!</v>
      </c>
      <c r="AJ326" s="42" t="str">
        <f>IFERROR(__xludf.DUMMYFUNCTION("vLOOKUP(A326,IMPORTRANGE(""https://docs.google.com/spreadsheets/d/1Rawwwdh8wntXGy8isdYNHxsNQS4n_rC8JSdPfj6vEq4"",""'500 объектов перенос на 2026'!A3:AB502""),14,0)"),"#REF!")</f>
        <v>#REF!</v>
      </c>
      <c r="AK326" s="163" t="s">
        <v>114</v>
      </c>
      <c r="AL326" s="70"/>
      <c r="AM326" s="70"/>
      <c r="AN326" s="43"/>
      <c r="AO326" s="43"/>
      <c r="AP326" s="43"/>
      <c r="AQ326" s="43"/>
      <c r="AR326" s="43"/>
      <c r="AS326" s="43"/>
      <c r="AT326" s="43"/>
      <c r="AU326" s="43"/>
      <c r="AV326" s="43"/>
      <c r="AW326" s="43"/>
      <c r="AX326" s="43"/>
      <c r="AY326" s="43"/>
      <c r="AZ326" s="43"/>
    </row>
    <row r="327">
      <c r="A327" s="62" t="s">
        <v>2234</v>
      </c>
      <c r="B327" s="63" t="s">
        <v>625</v>
      </c>
      <c r="C327" s="90" t="s">
        <v>2235</v>
      </c>
      <c r="D327" s="47" t="s">
        <v>2048</v>
      </c>
      <c r="E327" s="64" t="s">
        <v>85</v>
      </c>
      <c r="F327" s="31" t="s">
        <v>60</v>
      </c>
      <c r="G327" s="31"/>
      <c r="H327" s="31"/>
      <c r="I327" s="31" t="s">
        <v>40</v>
      </c>
      <c r="J327" s="31" t="s">
        <v>102</v>
      </c>
      <c r="K327" s="31" t="s">
        <v>62</v>
      </c>
      <c r="L327" s="32">
        <f>IFERROR(__xludf.DUMMYFUNCTION("VLOOKUP($A327,IMPORTRANGE(""1PQtfbQLqBUP-rjYRznmgNFBLOjvAnhGzpIx7BJWq8rk"",""'Worksheet'!$B$2:$H""),7,FALSE)"),0.57)</f>
        <v>0.57</v>
      </c>
      <c r="M327" s="31" t="s">
        <v>40</v>
      </c>
      <c r="N327" s="49">
        <v>2.01891566E7</v>
      </c>
      <c r="O327" s="49">
        <v>7311792.0</v>
      </c>
      <c r="P327" s="49">
        <f>N327-O327</f>
        <v>12877364.6</v>
      </c>
      <c r="Q327" s="34">
        <f t="shared" si="7"/>
        <v>0.6378356885</v>
      </c>
      <c r="R327" s="31"/>
      <c r="S327" s="31" t="s">
        <v>40</v>
      </c>
      <c r="T327" s="91" t="s">
        <v>2236</v>
      </c>
      <c r="U327" s="51">
        <v>0.0</v>
      </c>
      <c r="V327" s="51" t="s">
        <v>2236</v>
      </c>
      <c r="W327" s="31"/>
      <c r="X327" s="52" t="s">
        <v>2050</v>
      </c>
      <c r="Y327" s="54" t="s">
        <v>2237</v>
      </c>
      <c r="Z327" s="54" t="s">
        <v>274</v>
      </c>
      <c r="AA327" s="68">
        <v>46253.0</v>
      </c>
      <c r="AB327" s="56"/>
      <c r="AC327" s="38"/>
      <c r="AD327" s="39">
        <v>24372.64</v>
      </c>
      <c r="AE327" s="39">
        <v>7311.792</v>
      </c>
      <c r="AF327" s="40">
        <v>17060.848</v>
      </c>
      <c r="AG327" s="57" t="s">
        <v>2238</v>
      </c>
      <c r="AH327" s="42" t="s">
        <v>49</v>
      </c>
      <c r="AI327" s="42" t="str">
        <f>IFERROR(__xludf.DUMMYFUNCTION("vLOOKUP(A327,IMPORTRANGE(""https://docs.google.com/spreadsheets/d/1Rawwwdh8wntXGy8isdYNHxsNQS4n_rC8JSdPfj6vEq4"",""'500 объектов перенос на 2026'!A3:AB502""),13,0)"),"#REF!")</f>
        <v>#REF!</v>
      </c>
      <c r="AJ327" s="42" t="str">
        <f>IFERROR(__xludf.DUMMYFUNCTION("vLOOKUP(A327,IMPORTRANGE(""https://docs.google.com/spreadsheets/d/1Rawwwdh8wntXGy8isdYNHxsNQS4n_rC8JSdPfj6vEq4"",""'500 объектов перенос на 2026'!A3:AB502""),14,0)"),"#REF!")</f>
        <v>#REF!</v>
      </c>
      <c r="AK327" s="140"/>
      <c r="AL327" s="119"/>
      <c r="AM327" s="119"/>
      <c r="AN327" s="43"/>
      <c r="AO327" s="43"/>
      <c r="AP327" s="43"/>
      <c r="AQ327" s="43"/>
      <c r="AR327" s="43"/>
      <c r="AS327" s="43"/>
      <c r="AT327" s="43"/>
      <c r="AU327" s="43"/>
      <c r="AV327" s="43"/>
      <c r="AW327" s="43"/>
      <c r="AX327" s="43"/>
      <c r="AY327" s="43"/>
      <c r="AZ327" s="43"/>
    </row>
    <row r="328">
      <c r="A328" s="62" t="s">
        <v>2239</v>
      </c>
      <c r="B328" s="63" t="s">
        <v>703</v>
      </c>
      <c r="C328" s="64" t="s">
        <v>2240</v>
      </c>
      <c r="D328" s="47" t="s">
        <v>1523</v>
      </c>
      <c r="E328" s="64" t="s">
        <v>85</v>
      </c>
      <c r="F328" s="31" t="s">
        <v>60</v>
      </c>
      <c r="G328" s="31"/>
      <c r="H328" s="31"/>
      <c r="I328" s="31" t="s">
        <v>60</v>
      </c>
      <c r="J328" s="31"/>
      <c r="K328" s="31"/>
      <c r="L328" s="32">
        <f>IFERROR(__xludf.DUMMYFUNCTION("VLOOKUP($A328,IMPORTRANGE(""1PQtfbQLqBUP-rjYRznmgNFBLOjvAnhGzpIx7BJWq8rk"",""'Worksheet'!$B$2:$H""),7,FALSE)"),1.0)</f>
        <v>1</v>
      </c>
      <c r="M328" s="31" t="s">
        <v>60</v>
      </c>
      <c r="N328" s="49">
        <v>1642579.62</v>
      </c>
      <c r="O328" s="49">
        <v>1548426.85</v>
      </c>
      <c r="P328" s="49">
        <v>0.0</v>
      </c>
      <c r="Q328" s="34">
        <f t="shared" si="7"/>
        <v>0.05732006464</v>
      </c>
      <c r="R328" s="31"/>
      <c r="S328" s="31" t="s">
        <v>60</v>
      </c>
      <c r="T328" s="50">
        <v>0.0</v>
      </c>
      <c r="U328" s="51">
        <v>0.0</v>
      </c>
      <c r="V328" s="51">
        <v>0.0</v>
      </c>
      <c r="W328" s="31"/>
      <c r="X328" s="52" t="s">
        <v>209</v>
      </c>
      <c r="Y328" s="54" t="s">
        <v>114</v>
      </c>
      <c r="Z328" s="54"/>
      <c r="AA328" s="54" t="s">
        <v>114</v>
      </c>
      <c r="AB328" s="38" t="s">
        <v>115</v>
      </c>
      <c r="AC328" s="38"/>
      <c r="AD328" s="39">
        <v>1642.58</v>
      </c>
      <c r="AE328" s="39">
        <v>1236.01494</v>
      </c>
      <c r="AF328" s="39">
        <v>406.56506</v>
      </c>
      <c r="AG328" s="99" t="s">
        <v>2241</v>
      </c>
      <c r="AH328" s="42"/>
      <c r="AI328" s="42" t="str">
        <f>IFERROR(__xludf.DUMMYFUNCTION("vLOOKUP(A328,IMPORTRANGE(""https://docs.google.com/spreadsheets/d/1Rawwwdh8wntXGy8isdYNHxsNQS4n_rC8JSdPfj6vEq4"",""'500 объектов перенос на 2026'!A3:AB502""),13,0)"),"#REF!")</f>
        <v>#REF!</v>
      </c>
      <c r="AJ328" s="42" t="str">
        <f>IFERROR(__xludf.DUMMYFUNCTION("vLOOKUP(A328,IMPORTRANGE(""https://docs.google.com/spreadsheets/d/1Rawwwdh8wntXGy8isdYNHxsNQS4n_rC8JSdPfj6vEq4"",""'500 объектов перенос на 2026'!A3:AB502""),14,0)"),"#REF!")</f>
        <v>#REF!</v>
      </c>
      <c r="AK328" s="163" t="s">
        <v>114</v>
      </c>
      <c r="AL328" s="70"/>
      <c r="AM328" s="70"/>
      <c r="AN328" s="43"/>
      <c r="AO328" s="43"/>
      <c r="AP328" s="43"/>
      <c r="AQ328" s="43"/>
      <c r="AR328" s="43"/>
      <c r="AS328" s="43"/>
      <c r="AT328" s="43"/>
      <c r="AU328" s="43"/>
      <c r="AV328" s="43"/>
      <c r="AW328" s="43"/>
      <c r="AX328" s="43"/>
      <c r="AY328" s="43"/>
      <c r="AZ328" s="43"/>
    </row>
    <row r="329">
      <c r="A329" s="62" t="s">
        <v>2242</v>
      </c>
      <c r="B329" s="63" t="s">
        <v>703</v>
      </c>
      <c r="C329" s="64" t="s">
        <v>2243</v>
      </c>
      <c r="D329" s="47" t="s">
        <v>1523</v>
      </c>
      <c r="E329" s="64" t="s">
        <v>85</v>
      </c>
      <c r="F329" s="31" t="s">
        <v>60</v>
      </c>
      <c r="G329" s="31"/>
      <c r="H329" s="31"/>
      <c r="I329" s="31" t="s">
        <v>60</v>
      </c>
      <c r="J329" s="31"/>
      <c r="K329" s="31"/>
      <c r="L329" s="32" t="str">
        <f>IFERROR(__xludf.DUMMYFUNCTION("VLOOKUP($A329,IMPORTRANGE(""1PQtfbQLqBUP-rjYRznmgNFBLOjvAnhGzpIx7BJWq8rk"",""'Worksheet'!$B$2:$H""),7,FALSE)"),"#N/A")</f>
        <v>#N/A</v>
      </c>
      <c r="M329" s="31" t="s">
        <v>60</v>
      </c>
      <c r="N329" s="49">
        <v>4063310.82</v>
      </c>
      <c r="O329" s="49">
        <v>4063310.82</v>
      </c>
      <c r="P329" s="49">
        <f t="shared" ref="P329:P334" si="48">N329-O329</f>
        <v>0</v>
      </c>
      <c r="Q329" s="34">
        <f t="shared" si="7"/>
        <v>0</v>
      </c>
      <c r="R329" s="31"/>
      <c r="S329" s="31" t="s">
        <v>60</v>
      </c>
      <c r="T329" s="50"/>
      <c r="U329" s="51"/>
      <c r="V329" s="51"/>
      <c r="W329" s="31"/>
      <c r="X329" s="52" t="s">
        <v>45</v>
      </c>
      <c r="Y329" s="54" t="s">
        <v>114</v>
      </c>
      <c r="Z329" s="74"/>
      <c r="AA329" s="54" t="s">
        <v>114</v>
      </c>
      <c r="AB329" s="38" t="s">
        <v>115</v>
      </c>
      <c r="AC329" s="38"/>
      <c r="AD329" s="39">
        <v>24286.18</v>
      </c>
      <c r="AE329" s="39">
        <v>4063.31082</v>
      </c>
      <c r="AF329" s="40">
        <v>20222.86918</v>
      </c>
      <c r="AG329" s="168" t="s">
        <v>2244</v>
      </c>
      <c r="AH329" s="42"/>
      <c r="AI329" s="42" t="str">
        <f>IFERROR(__xludf.DUMMYFUNCTION("vLOOKUP(A329,IMPORTRANGE(""https://docs.google.com/spreadsheets/d/1Rawwwdh8wntXGy8isdYNHxsNQS4n_rC8JSdPfj6vEq4"",""'500 объектов перенос на 2026'!A3:AB502""),13,0)"),"#REF!")</f>
        <v>#REF!</v>
      </c>
      <c r="AJ329" s="42" t="str">
        <f>IFERROR(__xludf.DUMMYFUNCTION("vLOOKUP(A329,IMPORTRANGE(""https://docs.google.com/spreadsheets/d/1Rawwwdh8wntXGy8isdYNHxsNQS4n_rC8JSdPfj6vEq4"",""'500 объектов перенос на 2026'!A3:AB502""),14,0)"),"#REF!")</f>
        <v>#REF!</v>
      </c>
      <c r="AK329" s="163" t="s">
        <v>114</v>
      </c>
      <c r="AL329" s="70"/>
      <c r="AM329" s="70"/>
      <c r="AN329" s="43"/>
      <c r="AO329" s="43"/>
      <c r="AP329" s="43"/>
      <c r="AQ329" s="43"/>
      <c r="AR329" s="43"/>
      <c r="AS329" s="43"/>
      <c r="AT329" s="43"/>
      <c r="AU329" s="43"/>
      <c r="AV329" s="43"/>
      <c r="AW329" s="43"/>
      <c r="AX329" s="43"/>
      <c r="AY329" s="43"/>
      <c r="AZ329" s="43"/>
    </row>
    <row r="330">
      <c r="A330" s="62" t="s">
        <v>2245</v>
      </c>
      <c r="B330" s="63" t="s">
        <v>703</v>
      </c>
      <c r="C330" s="64" t="s">
        <v>2246</v>
      </c>
      <c r="D330" s="47" t="s">
        <v>1523</v>
      </c>
      <c r="E330" s="64" t="s">
        <v>85</v>
      </c>
      <c r="F330" s="31" t="s">
        <v>60</v>
      </c>
      <c r="G330" s="31"/>
      <c r="H330" s="31"/>
      <c r="I330" s="31" t="s">
        <v>60</v>
      </c>
      <c r="J330" s="31"/>
      <c r="K330" s="31"/>
      <c r="L330" s="32">
        <f>IFERROR(__xludf.DUMMYFUNCTION("VLOOKUP($A330,IMPORTRANGE(""1PQtfbQLqBUP-rjYRznmgNFBLOjvAnhGzpIx7BJWq8rk"",""'Worksheet'!$B$2:$H""),7,FALSE)"),1.0)</f>
        <v>1</v>
      </c>
      <c r="M330" s="31" t="s">
        <v>60</v>
      </c>
      <c r="N330" s="49">
        <v>1.338933922E7</v>
      </c>
      <c r="O330" s="49">
        <v>1.338933922E7</v>
      </c>
      <c r="P330" s="49">
        <f t="shared" si="48"/>
        <v>0</v>
      </c>
      <c r="Q330" s="34">
        <f t="shared" si="7"/>
        <v>0</v>
      </c>
      <c r="R330" s="31"/>
      <c r="S330" s="31" t="s">
        <v>60</v>
      </c>
      <c r="T330" s="50"/>
      <c r="U330" s="51"/>
      <c r="V330" s="51"/>
      <c r="W330" s="31"/>
      <c r="X330" s="52" t="s">
        <v>45</v>
      </c>
      <c r="Y330" s="54" t="s">
        <v>114</v>
      </c>
      <c r="Z330" s="74"/>
      <c r="AA330" s="54" t="s">
        <v>114</v>
      </c>
      <c r="AB330" s="38" t="s">
        <v>115</v>
      </c>
      <c r="AC330" s="38"/>
      <c r="AD330" s="39">
        <v>38920.22</v>
      </c>
      <c r="AE330" s="39">
        <v>21173.37922</v>
      </c>
      <c r="AF330" s="40">
        <v>17746.84078</v>
      </c>
      <c r="AG330" s="168" t="s">
        <v>2247</v>
      </c>
      <c r="AH330" s="174"/>
      <c r="AI330" s="42" t="str">
        <f>IFERROR(__xludf.DUMMYFUNCTION("vLOOKUP(A330,IMPORTRANGE(""https://docs.google.com/spreadsheets/d/1Rawwwdh8wntXGy8isdYNHxsNQS4n_rC8JSdPfj6vEq4"",""'500 объектов перенос на 2026'!A3:AB502""),13,0)"),"#REF!")</f>
        <v>#REF!</v>
      </c>
      <c r="AJ330" s="42" t="str">
        <f>IFERROR(__xludf.DUMMYFUNCTION("vLOOKUP(A330,IMPORTRANGE(""https://docs.google.com/spreadsheets/d/1Rawwwdh8wntXGy8isdYNHxsNQS4n_rC8JSdPfj6vEq4"",""'500 объектов перенос на 2026'!A3:AB502""),14,0)"),"#REF!")</f>
        <v>#REF!</v>
      </c>
      <c r="AK330" s="163" t="s">
        <v>114</v>
      </c>
      <c r="AL330" s="70"/>
      <c r="AM330" s="70"/>
      <c r="AN330" s="43"/>
      <c r="AO330" s="43"/>
      <c r="AP330" s="43"/>
      <c r="AQ330" s="43"/>
      <c r="AR330" s="43"/>
      <c r="AS330" s="43"/>
      <c r="AT330" s="43"/>
      <c r="AU330" s="43"/>
      <c r="AV330" s="43"/>
      <c r="AW330" s="43"/>
      <c r="AX330" s="43"/>
      <c r="AY330" s="43"/>
      <c r="AZ330" s="43"/>
    </row>
    <row r="331">
      <c r="A331" s="62" t="s">
        <v>2248</v>
      </c>
      <c r="B331" s="63" t="s">
        <v>703</v>
      </c>
      <c r="C331" s="64" t="s">
        <v>2249</v>
      </c>
      <c r="D331" s="47" t="s">
        <v>1523</v>
      </c>
      <c r="E331" s="64" t="s">
        <v>85</v>
      </c>
      <c r="F331" s="31" t="s">
        <v>60</v>
      </c>
      <c r="G331" s="31"/>
      <c r="H331" s="31"/>
      <c r="I331" s="31" t="s">
        <v>60</v>
      </c>
      <c r="J331" s="31"/>
      <c r="K331" s="31"/>
      <c r="L331" s="32">
        <f>IFERROR(__xludf.DUMMYFUNCTION("VLOOKUP($A331,IMPORTRANGE(""1PQtfbQLqBUP-rjYRznmgNFBLOjvAnhGzpIx7BJWq8rk"",""'Worksheet'!$B$2:$H""),7,FALSE)"),1.0)</f>
        <v>1</v>
      </c>
      <c r="M331" s="31" t="s">
        <v>60</v>
      </c>
      <c r="N331" s="49">
        <v>2876109.64</v>
      </c>
      <c r="O331" s="49">
        <v>2876109.64</v>
      </c>
      <c r="P331" s="49">
        <f t="shared" si="48"/>
        <v>0</v>
      </c>
      <c r="Q331" s="34">
        <f t="shared" si="7"/>
        <v>0</v>
      </c>
      <c r="R331" s="31"/>
      <c r="S331" s="31" t="s">
        <v>60</v>
      </c>
      <c r="T331" s="50"/>
      <c r="U331" s="51"/>
      <c r="V331" s="51"/>
      <c r="W331" s="31"/>
      <c r="X331" s="52" t="s">
        <v>45</v>
      </c>
      <c r="Y331" s="54" t="s">
        <v>114</v>
      </c>
      <c r="Z331" s="74"/>
      <c r="AA331" s="54" t="s">
        <v>114</v>
      </c>
      <c r="AB331" s="38" t="s">
        <v>115</v>
      </c>
      <c r="AC331" s="38"/>
      <c r="AD331" s="39">
        <v>6132.5</v>
      </c>
      <c r="AE331" s="39">
        <v>2876.10964</v>
      </c>
      <c r="AF331" s="40">
        <v>3256.39036</v>
      </c>
      <c r="AG331" s="168" t="s">
        <v>2250</v>
      </c>
      <c r="AH331" s="42"/>
      <c r="AI331" s="42" t="str">
        <f>IFERROR(__xludf.DUMMYFUNCTION("vLOOKUP(A331,IMPORTRANGE(""https://docs.google.com/spreadsheets/d/1Rawwwdh8wntXGy8isdYNHxsNQS4n_rC8JSdPfj6vEq4"",""'500 объектов перенос на 2026'!A3:AB502""),13,0)"),"#REF!")</f>
        <v>#REF!</v>
      </c>
      <c r="AJ331" s="42" t="str">
        <f>IFERROR(__xludf.DUMMYFUNCTION("vLOOKUP(A331,IMPORTRANGE(""https://docs.google.com/spreadsheets/d/1Rawwwdh8wntXGy8isdYNHxsNQS4n_rC8JSdPfj6vEq4"",""'500 объектов перенос на 2026'!A3:AB502""),14,0)"),"#REF!")</f>
        <v>#REF!</v>
      </c>
      <c r="AK331" s="163" t="s">
        <v>114</v>
      </c>
      <c r="AL331" s="70"/>
      <c r="AM331" s="70"/>
      <c r="AN331" s="43"/>
      <c r="AO331" s="43"/>
      <c r="AP331" s="43"/>
      <c r="AQ331" s="43"/>
      <c r="AR331" s="43"/>
      <c r="AS331" s="43"/>
      <c r="AT331" s="43"/>
      <c r="AU331" s="43"/>
      <c r="AV331" s="43"/>
      <c r="AW331" s="43"/>
      <c r="AX331" s="43"/>
      <c r="AY331" s="43"/>
      <c r="AZ331" s="43"/>
    </row>
    <row r="332">
      <c r="A332" s="62" t="s">
        <v>2251</v>
      </c>
      <c r="B332" s="63" t="s">
        <v>250</v>
      </c>
      <c r="C332" s="90" t="s">
        <v>2252</v>
      </c>
      <c r="D332" s="47" t="s">
        <v>1755</v>
      </c>
      <c r="E332" s="64" t="s">
        <v>85</v>
      </c>
      <c r="F332" s="31" t="s">
        <v>60</v>
      </c>
      <c r="G332" s="31"/>
      <c r="H332" s="31"/>
      <c r="I332" s="31" t="s">
        <v>60</v>
      </c>
      <c r="J332" s="31"/>
      <c r="K332" s="31"/>
      <c r="L332" s="32">
        <f>IFERROR(__xludf.DUMMYFUNCTION("VLOOKUP($A332,IMPORTRANGE(""1PQtfbQLqBUP-rjYRznmgNFBLOjvAnhGzpIx7BJWq8rk"",""'Worksheet'!$B$2:$H""),7,FALSE)"),0.99)</f>
        <v>0.99</v>
      </c>
      <c r="M332" s="31" t="s">
        <v>45</v>
      </c>
      <c r="N332" s="49">
        <v>7.599367913E7</v>
      </c>
      <c r="O332" s="49">
        <v>6.410232828E7</v>
      </c>
      <c r="P332" s="49">
        <f t="shared" si="48"/>
        <v>11891350.85</v>
      </c>
      <c r="Q332" s="34">
        <f t="shared" si="7"/>
        <v>0.1564781569</v>
      </c>
      <c r="R332" s="31"/>
      <c r="S332" s="31" t="s">
        <v>45</v>
      </c>
      <c r="T332" s="65">
        <v>6.622393913E7</v>
      </c>
      <c r="U332" s="67">
        <v>5.48556155E7</v>
      </c>
      <c r="V332" s="117">
        <f>T332-U332</f>
        <v>11368323.63</v>
      </c>
      <c r="W332" s="31" t="s">
        <v>183</v>
      </c>
      <c r="X332" s="52" t="s">
        <v>1141</v>
      </c>
      <c r="Y332" s="54" t="s">
        <v>1756</v>
      </c>
      <c r="Z332" s="54" t="s">
        <v>75</v>
      </c>
      <c r="AA332" s="175">
        <v>46203.0</v>
      </c>
      <c r="AB332" s="56"/>
      <c r="AC332" s="38" t="s">
        <v>1143</v>
      </c>
      <c r="AD332" s="39">
        <v>75993.67</v>
      </c>
      <c r="AE332" s="39">
        <v>64102.32828</v>
      </c>
      <c r="AF332" s="40">
        <v>11891.34172</v>
      </c>
      <c r="AG332" s="57" t="s">
        <v>2253</v>
      </c>
      <c r="AH332" s="85" t="s">
        <v>789</v>
      </c>
      <c r="AI332" s="42" t="str">
        <f>IFERROR(__xludf.DUMMYFUNCTION("vLOOKUP(A332,IMPORTRANGE(""https://docs.google.com/spreadsheets/d/1Rawwwdh8wntXGy8isdYNHxsNQS4n_rC8JSdPfj6vEq4"",""'500 объектов перенос на 2026'!A3:AB502""),13,0)"),"#REF!")</f>
        <v>#REF!</v>
      </c>
      <c r="AJ332" s="42" t="str">
        <f>IFERROR(__xludf.DUMMYFUNCTION("vLOOKUP(A332,IMPORTRANGE(""https://docs.google.com/spreadsheets/d/1Rawwwdh8wntXGy8isdYNHxsNQS4n_rC8JSdPfj6vEq4"",""'500 объектов перенос на 2026'!A3:AB502""),14,0)"),"#REF!")</f>
        <v>#REF!</v>
      </c>
      <c r="AK332" s="76" t="s">
        <v>2254</v>
      </c>
      <c r="AL332" s="70"/>
      <c r="AM332" s="70"/>
      <c r="AN332" s="43"/>
      <c r="AO332" s="43"/>
      <c r="AP332" s="43"/>
      <c r="AQ332" s="43"/>
      <c r="AR332" s="43"/>
      <c r="AS332" s="43"/>
      <c r="AT332" s="43"/>
      <c r="AU332" s="43"/>
      <c r="AV332" s="43"/>
      <c r="AW332" s="43"/>
      <c r="AX332" s="43"/>
      <c r="AY332" s="43"/>
      <c r="AZ332" s="43"/>
    </row>
    <row r="333">
      <c r="A333" s="62" t="s">
        <v>2255</v>
      </c>
      <c r="B333" s="63" t="s">
        <v>225</v>
      </c>
      <c r="C333" s="64" t="s">
        <v>2256</v>
      </c>
      <c r="D333" s="47" t="s">
        <v>2175</v>
      </c>
      <c r="E333" s="64" t="s">
        <v>59</v>
      </c>
      <c r="F333" s="31" t="s">
        <v>60</v>
      </c>
      <c r="G333" s="31"/>
      <c r="H333" s="31"/>
      <c r="I333" s="31" t="s">
        <v>40</v>
      </c>
      <c r="J333" s="31" t="s">
        <v>102</v>
      </c>
      <c r="K333" s="31" t="s">
        <v>72</v>
      </c>
      <c r="L333" s="32">
        <f>IFERROR(__xludf.DUMMYFUNCTION("VLOOKUP($A333,IMPORTRANGE(""1PQtfbQLqBUP-rjYRznmgNFBLOjvAnhGzpIx7BJWq8rk"",""'Worksheet'!$B$2:$H""),7,FALSE)"),0.75)</f>
        <v>0.75</v>
      </c>
      <c r="M333" s="31" t="s">
        <v>45</v>
      </c>
      <c r="N333" s="49">
        <v>1.9035682E7</v>
      </c>
      <c r="O333" s="49">
        <v>7145789.44</v>
      </c>
      <c r="P333" s="49">
        <f t="shared" si="48"/>
        <v>11889892.56</v>
      </c>
      <c r="Q333" s="34">
        <f t="shared" si="7"/>
        <v>0.6246107999</v>
      </c>
      <c r="R333" s="31"/>
      <c r="S333" s="31" t="s">
        <v>45</v>
      </c>
      <c r="T333" s="65" t="s">
        <v>2257</v>
      </c>
      <c r="U333" s="67" t="s">
        <v>2258</v>
      </c>
      <c r="V333" s="67" t="s">
        <v>2259</v>
      </c>
      <c r="W333" s="31"/>
      <c r="X333" s="52" t="s">
        <v>2179</v>
      </c>
      <c r="Y333" s="54" t="s">
        <v>2180</v>
      </c>
      <c r="Z333" s="54" t="s">
        <v>2260</v>
      </c>
      <c r="AA333" s="68">
        <v>46232.0</v>
      </c>
      <c r="AB333" s="56"/>
      <c r="AC333" s="38"/>
      <c r="AD333" s="39">
        <v>19035.68</v>
      </c>
      <c r="AE333" s="39">
        <v>7145.78589</v>
      </c>
      <c r="AF333" s="40">
        <v>11889.89411</v>
      </c>
      <c r="AG333" s="99" t="s">
        <v>2261</v>
      </c>
      <c r="AH333" s="42" t="s">
        <v>2262</v>
      </c>
      <c r="AI333" s="42" t="str">
        <f>IFERROR(__xludf.DUMMYFUNCTION("vLOOKUP(A333,IMPORTRANGE(""https://docs.google.com/spreadsheets/d/1Rawwwdh8wntXGy8isdYNHxsNQS4n_rC8JSdPfj6vEq4"",""'500 объектов перенос на 2026'!A3:AB502""),13,0)"),"#REF!")</f>
        <v>#REF!</v>
      </c>
      <c r="AJ333" s="42" t="str">
        <f>IFERROR(__xludf.DUMMYFUNCTION("vLOOKUP(A333,IMPORTRANGE(""https://docs.google.com/spreadsheets/d/1Rawwwdh8wntXGy8isdYNHxsNQS4n_rC8JSdPfj6vEq4"",""'500 объектов перенос на 2026'!A3:AB502""),14,0)"),"#REF!")</f>
        <v>#REF!</v>
      </c>
      <c r="AK333" s="76" t="s">
        <v>2263</v>
      </c>
      <c r="AL333" s="70"/>
      <c r="AM333" s="70"/>
      <c r="AN333" s="43"/>
      <c r="AO333" s="43"/>
      <c r="AP333" s="43"/>
      <c r="AQ333" s="43"/>
      <c r="AR333" s="43"/>
      <c r="AS333" s="43"/>
      <c r="AT333" s="43"/>
      <c r="AU333" s="43"/>
      <c r="AV333" s="43"/>
      <c r="AW333" s="43"/>
      <c r="AX333" s="43"/>
      <c r="AY333" s="43"/>
      <c r="AZ333" s="43"/>
    </row>
    <row r="334">
      <c r="A334" s="62" t="s">
        <v>2264</v>
      </c>
      <c r="B334" s="63" t="s">
        <v>225</v>
      </c>
      <c r="C334" s="64" t="s">
        <v>2265</v>
      </c>
      <c r="D334" s="47" t="s">
        <v>2266</v>
      </c>
      <c r="E334" s="64" t="s">
        <v>85</v>
      </c>
      <c r="F334" s="31" t="s">
        <v>40</v>
      </c>
      <c r="G334" s="31" t="s">
        <v>156</v>
      </c>
      <c r="H334" s="31" t="s">
        <v>779</v>
      </c>
      <c r="I334" s="31" t="s">
        <v>60</v>
      </c>
      <c r="J334" s="31"/>
      <c r="K334" s="31"/>
      <c r="L334" s="32">
        <f>IFERROR(__xludf.DUMMYFUNCTION("VLOOKUP($A334,IMPORTRANGE(""1PQtfbQLqBUP-rjYRznmgNFBLOjvAnhGzpIx7BJWq8rk"",""'Worksheet'!$B$2:$H""),7,FALSE)"),0.99)</f>
        <v>0.99</v>
      </c>
      <c r="M334" s="31" t="s">
        <v>40</v>
      </c>
      <c r="N334" s="49">
        <v>1.697E7</v>
      </c>
      <c r="O334" s="49">
        <v>5091000.0</v>
      </c>
      <c r="P334" s="49">
        <f t="shared" si="48"/>
        <v>11879000</v>
      </c>
      <c r="Q334" s="34">
        <f t="shared" si="7"/>
        <v>0.7</v>
      </c>
      <c r="R334" s="31"/>
      <c r="S334" s="31" t="s">
        <v>40</v>
      </c>
      <c r="T334" s="155">
        <v>1.61215E7</v>
      </c>
      <c r="U334" s="172">
        <v>0.0</v>
      </c>
      <c r="V334" s="172">
        <v>1.61215E7</v>
      </c>
      <c r="W334" s="31"/>
      <c r="X334" s="52" t="s">
        <v>49</v>
      </c>
      <c r="Y334" s="54" t="s">
        <v>2267</v>
      </c>
      <c r="Z334" s="54" t="s">
        <v>2268</v>
      </c>
      <c r="AA334" s="68">
        <v>46232.0</v>
      </c>
      <c r="AB334" s="56"/>
      <c r="AC334" s="38"/>
      <c r="AD334" s="39">
        <v>16970.0</v>
      </c>
      <c r="AE334" s="39">
        <v>5091.0</v>
      </c>
      <c r="AF334" s="40">
        <v>11879.0</v>
      </c>
      <c r="AG334" s="57" t="s">
        <v>2269</v>
      </c>
      <c r="AH334" s="42" t="s">
        <v>2270</v>
      </c>
      <c r="AI334" s="42" t="str">
        <f>IFERROR(__xludf.DUMMYFUNCTION("vLOOKUP(A334,IMPORTRANGE(""https://docs.google.com/spreadsheets/d/1Rawwwdh8wntXGy8isdYNHxsNQS4n_rC8JSdPfj6vEq4"",""'500 объектов перенос на 2026'!A3:AB502""),13,0)"),"#REF!")</f>
        <v>#REF!</v>
      </c>
      <c r="AJ334" s="42" t="str">
        <f>IFERROR(__xludf.DUMMYFUNCTION("vLOOKUP(A334,IMPORTRANGE(""https://docs.google.com/spreadsheets/d/1Rawwwdh8wntXGy8isdYNHxsNQS4n_rC8JSdPfj6vEq4"",""'500 объектов перенос на 2026'!A3:AB502""),14,0)"),"#REF!")</f>
        <v>#REF!</v>
      </c>
      <c r="AK334" s="76" t="s">
        <v>2271</v>
      </c>
      <c r="AL334" s="70"/>
      <c r="AM334" s="70"/>
      <c r="AN334" s="43"/>
      <c r="AO334" s="43"/>
      <c r="AP334" s="43"/>
      <c r="AQ334" s="43"/>
      <c r="AR334" s="43"/>
      <c r="AS334" s="43"/>
      <c r="AT334" s="43"/>
      <c r="AU334" s="43"/>
      <c r="AV334" s="43"/>
      <c r="AW334" s="43"/>
      <c r="AX334" s="43"/>
      <c r="AY334" s="43"/>
      <c r="AZ334" s="43"/>
    </row>
    <row r="335">
      <c r="A335" s="62" t="s">
        <v>2272</v>
      </c>
      <c r="B335" s="63" t="s">
        <v>703</v>
      </c>
      <c r="C335" s="64" t="s">
        <v>2273</v>
      </c>
      <c r="D335" s="47" t="s">
        <v>1523</v>
      </c>
      <c r="E335" s="64" t="s">
        <v>85</v>
      </c>
      <c r="F335" s="31" t="s">
        <v>60</v>
      </c>
      <c r="G335" s="31"/>
      <c r="H335" s="31"/>
      <c r="I335" s="31" t="s">
        <v>60</v>
      </c>
      <c r="J335" s="31"/>
      <c r="K335" s="31"/>
      <c r="L335" s="32">
        <f>IFERROR(__xludf.DUMMYFUNCTION("VLOOKUP($A335,IMPORTRANGE(""1PQtfbQLqBUP-rjYRznmgNFBLOjvAnhGzpIx7BJWq8rk"",""'Worksheet'!$B$2:$H""),7,FALSE)"),0.97)</f>
        <v>0.97</v>
      </c>
      <c r="M335" s="31" t="s">
        <v>60</v>
      </c>
      <c r="N335" s="49">
        <v>1.955561735E7</v>
      </c>
      <c r="O335" s="49">
        <v>1.056586618E7</v>
      </c>
      <c r="P335" s="49">
        <v>0.0</v>
      </c>
      <c r="Q335" s="34">
        <f t="shared" si="7"/>
        <v>0.4597017322</v>
      </c>
      <c r="R335" s="31"/>
      <c r="S335" s="31" t="s">
        <v>60</v>
      </c>
      <c r="T335" s="91">
        <v>0.0</v>
      </c>
      <c r="U335" s="51">
        <v>0.0</v>
      </c>
      <c r="V335" s="51">
        <v>0.0</v>
      </c>
      <c r="W335" s="31"/>
      <c r="X335" s="52" t="s">
        <v>209</v>
      </c>
      <c r="Y335" s="54" t="s">
        <v>114</v>
      </c>
      <c r="Z335" s="54"/>
      <c r="AA335" s="54" t="s">
        <v>114</v>
      </c>
      <c r="AB335" s="38" t="s">
        <v>115</v>
      </c>
      <c r="AC335" s="38"/>
      <c r="AD335" s="39">
        <v>19555.0</v>
      </c>
      <c r="AE335" s="39">
        <v>19193.2</v>
      </c>
      <c r="AF335" s="39">
        <f t="shared" ref="AF335:AF336" si="49">AD335-AE335</f>
        <v>361.8</v>
      </c>
      <c r="AG335" s="99" t="s">
        <v>2274</v>
      </c>
      <c r="AH335" s="42"/>
      <c r="AI335" s="42" t="str">
        <f>IFERROR(__xludf.DUMMYFUNCTION("vLOOKUP(A335,IMPORTRANGE(""https://docs.google.com/spreadsheets/d/1Rawwwdh8wntXGy8isdYNHxsNQS4n_rC8JSdPfj6vEq4"",""'500 объектов перенос на 2026'!A3:AB502""),13,0)"),"#REF!")</f>
        <v>#REF!</v>
      </c>
      <c r="AJ335" s="42" t="str">
        <f>IFERROR(__xludf.DUMMYFUNCTION("vLOOKUP(A335,IMPORTRANGE(""https://docs.google.com/spreadsheets/d/1Rawwwdh8wntXGy8isdYNHxsNQS4n_rC8JSdPfj6vEq4"",""'500 объектов перенос на 2026'!A3:AB502""),14,0)"),"#REF!")</f>
        <v>#REF!</v>
      </c>
      <c r="AK335" s="163" t="s">
        <v>114</v>
      </c>
      <c r="AL335" s="70"/>
      <c r="AM335" s="70"/>
      <c r="AN335" s="43"/>
      <c r="AO335" s="43"/>
      <c r="AP335" s="43"/>
      <c r="AQ335" s="43"/>
      <c r="AR335" s="43"/>
      <c r="AS335" s="43"/>
      <c r="AT335" s="43"/>
      <c r="AU335" s="43"/>
      <c r="AV335" s="43"/>
      <c r="AW335" s="43"/>
      <c r="AX335" s="43"/>
      <c r="AY335" s="43"/>
      <c r="AZ335" s="43"/>
    </row>
    <row r="336">
      <c r="A336" s="62" t="s">
        <v>2275</v>
      </c>
      <c r="B336" s="63" t="s">
        <v>703</v>
      </c>
      <c r="C336" s="64" t="s">
        <v>2276</v>
      </c>
      <c r="D336" s="47" t="s">
        <v>1523</v>
      </c>
      <c r="E336" s="64" t="s">
        <v>85</v>
      </c>
      <c r="F336" s="31" t="s">
        <v>60</v>
      </c>
      <c r="G336" s="31"/>
      <c r="H336" s="31"/>
      <c r="I336" s="31" t="s">
        <v>60</v>
      </c>
      <c r="J336" s="31"/>
      <c r="K336" s="31"/>
      <c r="L336" s="32">
        <f>IFERROR(__xludf.DUMMYFUNCTION("VLOOKUP($A336,IMPORTRANGE(""1PQtfbQLqBUP-rjYRznmgNFBLOjvAnhGzpIx7BJWq8rk"",""'Worksheet'!$B$2:$H""),7,FALSE)"),1.0)</f>
        <v>1</v>
      </c>
      <c r="M336" s="31" t="s">
        <v>60</v>
      </c>
      <c r="N336" s="49">
        <v>9728411.03</v>
      </c>
      <c r="O336" s="49">
        <v>9476141.19</v>
      </c>
      <c r="P336" s="49">
        <v>0.0</v>
      </c>
      <c r="Q336" s="34">
        <f t="shared" si="7"/>
        <v>0.0259312481</v>
      </c>
      <c r="R336" s="31"/>
      <c r="S336" s="31" t="s">
        <v>60</v>
      </c>
      <c r="T336" s="91">
        <v>0.0</v>
      </c>
      <c r="U336" s="51">
        <v>0.0</v>
      </c>
      <c r="V336" s="51">
        <v>0.0</v>
      </c>
      <c r="W336" s="31"/>
      <c r="X336" s="52" t="s">
        <v>209</v>
      </c>
      <c r="Y336" s="54" t="s">
        <v>114</v>
      </c>
      <c r="Z336" s="54"/>
      <c r="AA336" s="54" t="s">
        <v>114</v>
      </c>
      <c r="AB336" s="38" t="s">
        <v>115</v>
      </c>
      <c r="AC336" s="38"/>
      <c r="AD336" s="39">
        <v>9728.4</v>
      </c>
      <c r="AE336" s="39">
        <v>9476.1</v>
      </c>
      <c r="AF336" s="39">
        <f t="shared" si="49"/>
        <v>252.3</v>
      </c>
      <c r="AG336" s="168" t="s">
        <v>2277</v>
      </c>
      <c r="AH336" s="42"/>
      <c r="AI336" s="42" t="str">
        <f>IFERROR(__xludf.DUMMYFUNCTION("vLOOKUP(A336,IMPORTRANGE(""https://docs.google.com/spreadsheets/d/1Rawwwdh8wntXGy8isdYNHxsNQS4n_rC8JSdPfj6vEq4"",""'500 объектов перенос на 2026'!A3:AB502""),13,0)"),"#REF!")</f>
        <v>#REF!</v>
      </c>
      <c r="AJ336" s="42" t="str">
        <f>IFERROR(__xludf.DUMMYFUNCTION("vLOOKUP(A336,IMPORTRANGE(""https://docs.google.com/spreadsheets/d/1Rawwwdh8wntXGy8isdYNHxsNQS4n_rC8JSdPfj6vEq4"",""'500 объектов перенос на 2026'!A3:AB502""),14,0)"),"#REF!")</f>
        <v>#REF!</v>
      </c>
      <c r="AK336" s="163" t="s">
        <v>114</v>
      </c>
      <c r="AL336" s="70"/>
      <c r="AM336" s="70"/>
      <c r="AN336" s="43"/>
      <c r="AO336" s="43"/>
      <c r="AP336" s="43"/>
      <c r="AQ336" s="43"/>
      <c r="AR336" s="43"/>
      <c r="AS336" s="43"/>
      <c r="AT336" s="43"/>
      <c r="AU336" s="43"/>
      <c r="AV336" s="43"/>
      <c r="AW336" s="43"/>
      <c r="AX336" s="43"/>
      <c r="AY336" s="43"/>
      <c r="AZ336" s="43"/>
    </row>
    <row r="337">
      <c r="A337" s="62" t="s">
        <v>2278</v>
      </c>
      <c r="B337" s="63" t="s">
        <v>703</v>
      </c>
      <c r="C337" s="64" t="s">
        <v>2279</v>
      </c>
      <c r="D337" s="47" t="s">
        <v>1523</v>
      </c>
      <c r="E337" s="64" t="s">
        <v>85</v>
      </c>
      <c r="F337" s="31" t="s">
        <v>60</v>
      </c>
      <c r="G337" s="31"/>
      <c r="H337" s="31"/>
      <c r="I337" s="31" t="s">
        <v>60</v>
      </c>
      <c r="J337" s="31"/>
      <c r="K337" s="31"/>
      <c r="L337" s="32">
        <f>IFERROR(__xludf.DUMMYFUNCTION("VLOOKUP($A337,IMPORTRANGE(""1PQtfbQLqBUP-rjYRznmgNFBLOjvAnhGzpIx7BJWq8rk"",""'Worksheet'!$B$2:$H""),7,FALSE)"),0.97)</f>
        <v>0.97</v>
      </c>
      <c r="M337" s="31" t="s">
        <v>60</v>
      </c>
      <c r="N337" s="49">
        <v>1.639409168E7</v>
      </c>
      <c r="O337" s="49">
        <v>1.600472885E7</v>
      </c>
      <c r="P337" s="49">
        <v>0.0</v>
      </c>
      <c r="Q337" s="34">
        <f t="shared" si="7"/>
        <v>0.0237501923</v>
      </c>
      <c r="R337" s="31"/>
      <c r="S337" s="31" t="s">
        <v>60</v>
      </c>
      <c r="T337" s="91">
        <v>0.0</v>
      </c>
      <c r="U337" s="51">
        <v>0.0</v>
      </c>
      <c r="V337" s="51">
        <v>0.0</v>
      </c>
      <c r="W337" s="31"/>
      <c r="X337" s="52" t="s">
        <v>209</v>
      </c>
      <c r="Y337" s="54" t="s">
        <v>114</v>
      </c>
      <c r="Z337" s="54"/>
      <c r="AA337" s="54" t="s">
        <v>114</v>
      </c>
      <c r="AB337" s="38" t="s">
        <v>115</v>
      </c>
      <c r="AC337" s="38"/>
      <c r="AD337" s="39">
        <v>16394.09</v>
      </c>
      <c r="AE337" s="39">
        <v>14295.45921</v>
      </c>
      <c r="AF337" s="39">
        <v>2098.63079</v>
      </c>
      <c r="AG337" s="99" t="s">
        <v>2280</v>
      </c>
      <c r="AH337" s="42"/>
      <c r="AI337" s="42" t="str">
        <f>IFERROR(__xludf.DUMMYFUNCTION("vLOOKUP(A337,IMPORTRANGE(""https://docs.google.com/spreadsheets/d/1Rawwwdh8wntXGy8isdYNHxsNQS4n_rC8JSdPfj6vEq4"",""'500 объектов перенос на 2026'!A3:AB502""),13,0)"),"#REF!")</f>
        <v>#REF!</v>
      </c>
      <c r="AJ337" s="42" t="str">
        <f>IFERROR(__xludf.DUMMYFUNCTION("vLOOKUP(A337,IMPORTRANGE(""https://docs.google.com/spreadsheets/d/1Rawwwdh8wntXGy8isdYNHxsNQS4n_rC8JSdPfj6vEq4"",""'500 объектов перенос на 2026'!A3:AB502""),14,0)"),"#REF!")</f>
        <v>#REF!</v>
      </c>
      <c r="AK337" s="163" t="s">
        <v>114</v>
      </c>
      <c r="AL337" s="70"/>
      <c r="AM337" s="70"/>
      <c r="AN337" s="43"/>
      <c r="AO337" s="43"/>
      <c r="AP337" s="43"/>
      <c r="AQ337" s="43"/>
      <c r="AR337" s="43"/>
      <c r="AS337" s="43"/>
      <c r="AT337" s="43"/>
      <c r="AU337" s="43"/>
      <c r="AV337" s="43"/>
      <c r="AW337" s="43"/>
      <c r="AX337" s="43"/>
      <c r="AY337" s="43"/>
      <c r="AZ337" s="43"/>
    </row>
    <row r="338">
      <c r="A338" s="62" t="s">
        <v>2281</v>
      </c>
      <c r="B338" s="63" t="s">
        <v>703</v>
      </c>
      <c r="C338" s="64" t="s">
        <v>2282</v>
      </c>
      <c r="D338" s="47" t="s">
        <v>1523</v>
      </c>
      <c r="E338" s="64" t="s">
        <v>85</v>
      </c>
      <c r="F338" s="31" t="s">
        <v>60</v>
      </c>
      <c r="G338" s="31"/>
      <c r="H338" s="31"/>
      <c r="I338" s="31" t="s">
        <v>60</v>
      </c>
      <c r="J338" s="31"/>
      <c r="K338" s="31"/>
      <c r="L338" s="32">
        <f>IFERROR(__xludf.DUMMYFUNCTION("VLOOKUP($A338,IMPORTRANGE(""1PQtfbQLqBUP-rjYRznmgNFBLOjvAnhGzpIx7BJWq8rk"",""'Worksheet'!$B$2:$H""),7,FALSE)"),1.0)</f>
        <v>1</v>
      </c>
      <c r="M338" s="31" t="s">
        <v>60</v>
      </c>
      <c r="N338" s="49">
        <v>2.392725967E7</v>
      </c>
      <c r="O338" s="49">
        <v>1.986378836E7</v>
      </c>
      <c r="P338" s="49">
        <v>0.0</v>
      </c>
      <c r="Q338" s="34">
        <f t="shared" si="7"/>
        <v>0.1698260213</v>
      </c>
      <c r="R338" s="31"/>
      <c r="S338" s="31" t="s">
        <v>60</v>
      </c>
      <c r="T338" s="91">
        <v>0.0</v>
      </c>
      <c r="U338" s="51">
        <v>0.0</v>
      </c>
      <c r="V338" s="51">
        <v>0.0</v>
      </c>
      <c r="W338" s="31"/>
      <c r="X338" s="52" t="s">
        <v>209</v>
      </c>
      <c r="Y338" s="54" t="s">
        <v>114</v>
      </c>
      <c r="Z338" s="54"/>
      <c r="AA338" s="54" t="s">
        <v>114</v>
      </c>
      <c r="AB338" s="38" t="s">
        <v>115</v>
      </c>
      <c r="AC338" s="38"/>
      <c r="AD338" s="39">
        <v>23927.6</v>
      </c>
      <c r="AE338" s="39">
        <v>17655.5514</v>
      </c>
      <c r="AF338" s="39">
        <v>6272.0486</v>
      </c>
      <c r="AG338" s="99" t="s">
        <v>2283</v>
      </c>
      <c r="AH338" s="42"/>
      <c r="AI338" s="42" t="str">
        <f>IFERROR(__xludf.DUMMYFUNCTION("vLOOKUP(A338,IMPORTRANGE(""https://docs.google.com/spreadsheets/d/1Rawwwdh8wntXGy8isdYNHxsNQS4n_rC8JSdPfj6vEq4"",""'500 объектов перенос на 2026'!A3:AB502""),13,0)"),"#REF!")</f>
        <v>#REF!</v>
      </c>
      <c r="AJ338" s="42" t="str">
        <f>IFERROR(__xludf.DUMMYFUNCTION("vLOOKUP(A338,IMPORTRANGE(""https://docs.google.com/spreadsheets/d/1Rawwwdh8wntXGy8isdYNHxsNQS4n_rC8JSdPfj6vEq4"",""'500 объектов перенос на 2026'!A3:AB502""),14,0)"),"#REF!")</f>
        <v>#REF!</v>
      </c>
      <c r="AK338" s="163" t="s">
        <v>114</v>
      </c>
      <c r="AL338" s="70"/>
      <c r="AM338" s="70"/>
      <c r="AN338" s="43"/>
      <c r="AO338" s="43"/>
      <c r="AP338" s="43"/>
      <c r="AQ338" s="43"/>
      <c r="AR338" s="43"/>
      <c r="AS338" s="43"/>
      <c r="AT338" s="43"/>
      <c r="AU338" s="43"/>
      <c r="AV338" s="43"/>
      <c r="AW338" s="43"/>
      <c r="AX338" s="43"/>
      <c r="AY338" s="43"/>
      <c r="AZ338" s="43"/>
    </row>
    <row r="339">
      <c r="A339" s="62" t="s">
        <v>2284</v>
      </c>
      <c r="B339" s="63" t="s">
        <v>703</v>
      </c>
      <c r="C339" s="64" t="s">
        <v>2285</v>
      </c>
      <c r="D339" s="47" t="s">
        <v>1523</v>
      </c>
      <c r="E339" s="64" t="s">
        <v>85</v>
      </c>
      <c r="F339" s="31" t="s">
        <v>60</v>
      </c>
      <c r="G339" s="31"/>
      <c r="H339" s="31"/>
      <c r="I339" s="31" t="s">
        <v>60</v>
      </c>
      <c r="J339" s="31"/>
      <c r="K339" s="31"/>
      <c r="L339" s="32">
        <f>IFERROR(__xludf.DUMMYFUNCTION("VLOOKUP($A339,IMPORTRANGE(""1PQtfbQLqBUP-rjYRznmgNFBLOjvAnhGzpIx7BJWq8rk"",""'Worksheet'!$B$2:$H""),7,FALSE)"),0.99)</f>
        <v>0.99</v>
      </c>
      <c r="M339" s="31" t="s">
        <v>60</v>
      </c>
      <c r="N339" s="49">
        <v>5750611.28</v>
      </c>
      <c r="O339" s="49">
        <v>5505187.73</v>
      </c>
      <c r="P339" s="49">
        <v>0.0</v>
      </c>
      <c r="Q339" s="34">
        <f t="shared" si="7"/>
        <v>0.04267781946</v>
      </c>
      <c r="R339" s="31"/>
      <c r="S339" s="31" t="s">
        <v>60</v>
      </c>
      <c r="T339" s="91">
        <v>0.0</v>
      </c>
      <c r="U339" s="51">
        <v>0.0</v>
      </c>
      <c r="V339" s="51">
        <v>0.0</v>
      </c>
      <c r="W339" s="31"/>
      <c r="X339" s="52" t="s">
        <v>209</v>
      </c>
      <c r="Y339" s="54" t="s">
        <v>114</v>
      </c>
      <c r="Z339" s="54"/>
      <c r="AA339" s="54" t="s">
        <v>114</v>
      </c>
      <c r="AB339" s="38" t="s">
        <v>115</v>
      </c>
      <c r="AC339" s="38"/>
      <c r="AD339" s="39">
        <v>5750.61</v>
      </c>
      <c r="AE339" s="39">
        <v>5505.18773</v>
      </c>
      <c r="AF339" s="39">
        <v>245.42227</v>
      </c>
      <c r="AG339" s="99" t="s">
        <v>2286</v>
      </c>
      <c r="AH339" s="42"/>
      <c r="AI339" s="42" t="str">
        <f>IFERROR(__xludf.DUMMYFUNCTION("vLOOKUP(A339,IMPORTRANGE(""https://docs.google.com/spreadsheets/d/1Rawwwdh8wntXGy8isdYNHxsNQS4n_rC8JSdPfj6vEq4"",""'500 объектов перенос на 2026'!A3:AB502""),13,0)"),"#REF!")</f>
        <v>#REF!</v>
      </c>
      <c r="AJ339" s="42" t="str">
        <f>IFERROR(__xludf.DUMMYFUNCTION("vLOOKUP(A339,IMPORTRANGE(""https://docs.google.com/spreadsheets/d/1Rawwwdh8wntXGy8isdYNHxsNQS4n_rC8JSdPfj6vEq4"",""'500 объектов перенос на 2026'!A3:AB502""),14,0)"),"#REF!")</f>
        <v>#REF!</v>
      </c>
      <c r="AK339" s="163" t="s">
        <v>114</v>
      </c>
      <c r="AL339" s="70"/>
      <c r="AM339" s="70"/>
      <c r="AN339" s="43"/>
      <c r="AO339" s="43"/>
      <c r="AP339" s="43"/>
      <c r="AQ339" s="43"/>
      <c r="AR339" s="43"/>
      <c r="AS339" s="43"/>
      <c r="AT339" s="43"/>
      <c r="AU339" s="43"/>
      <c r="AV339" s="43"/>
      <c r="AW339" s="43"/>
      <c r="AX339" s="43"/>
      <c r="AY339" s="43"/>
      <c r="AZ339" s="43"/>
    </row>
    <row r="340">
      <c r="A340" s="114" t="s">
        <v>2287</v>
      </c>
      <c r="B340" s="63" t="s">
        <v>703</v>
      </c>
      <c r="C340" s="64" t="s">
        <v>2288</v>
      </c>
      <c r="D340" s="47" t="s">
        <v>1523</v>
      </c>
      <c r="E340" s="64" t="s">
        <v>85</v>
      </c>
      <c r="F340" s="31" t="s">
        <v>60</v>
      </c>
      <c r="G340" s="31"/>
      <c r="H340" s="31"/>
      <c r="I340" s="31" t="s">
        <v>60</v>
      </c>
      <c r="J340" s="31"/>
      <c r="K340" s="31"/>
      <c r="L340" s="32">
        <f>IFERROR(__xludf.DUMMYFUNCTION("VLOOKUP($A340,IMPORTRANGE(""1PQtfbQLqBUP-rjYRznmgNFBLOjvAnhGzpIx7BJWq8rk"",""'Worksheet'!$B$2:$H""),7,FALSE)"),0.99)</f>
        <v>0.99</v>
      </c>
      <c r="M340" s="31" t="s">
        <v>60</v>
      </c>
      <c r="N340" s="49">
        <v>4114470.38</v>
      </c>
      <c r="O340" s="49">
        <v>4085583.64</v>
      </c>
      <c r="P340" s="49">
        <v>0.0</v>
      </c>
      <c r="Q340" s="34">
        <f t="shared" si="7"/>
        <v>0.007020767519</v>
      </c>
      <c r="R340" s="31"/>
      <c r="S340" s="31" t="s">
        <v>60</v>
      </c>
      <c r="T340" s="91">
        <v>0.0</v>
      </c>
      <c r="U340" s="51">
        <v>0.0</v>
      </c>
      <c r="V340" s="51">
        <v>0.0</v>
      </c>
      <c r="W340" s="31"/>
      <c r="X340" s="52" t="s">
        <v>209</v>
      </c>
      <c r="Y340" s="54" t="s">
        <v>114</v>
      </c>
      <c r="Z340" s="54"/>
      <c r="AA340" s="54" t="s">
        <v>114</v>
      </c>
      <c r="AB340" s="38" t="s">
        <v>115</v>
      </c>
      <c r="AC340" s="38"/>
      <c r="AD340" s="39">
        <v>4114.47</v>
      </c>
      <c r="AE340" s="39">
        <v>4085.58824</v>
      </c>
      <c r="AF340" s="39">
        <v>28.88176</v>
      </c>
      <c r="AG340" s="99" t="s">
        <v>2289</v>
      </c>
      <c r="AH340" s="42"/>
      <c r="AI340" s="42" t="str">
        <f>IFERROR(__xludf.DUMMYFUNCTION("vLOOKUP(A340,IMPORTRANGE(""https://docs.google.com/spreadsheets/d/1Rawwwdh8wntXGy8isdYNHxsNQS4n_rC8JSdPfj6vEq4"",""'500 объектов перенос на 2026'!A3:AB502""),13,0)"),"#REF!")</f>
        <v>#REF!</v>
      </c>
      <c r="AJ340" s="42" t="str">
        <f>IFERROR(__xludf.DUMMYFUNCTION("vLOOKUP(A340,IMPORTRANGE(""https://docs.google.com/spreadsheets/d/1Rawwwdh8wntXGy8isdYNHxsNQS4n_rC8JSdPfj6vEq4"",""'500 объектов перенос на 2026'!A3:AB502""),14,0)"),"#REF!")</f>
        <v>#REF!</v>
      </c>
      <c r="AK340" s="163" t="s">
        <v>114</v>
      </c>
      <c r="AL340" s="70"/>
      <c r="AM340" s="70"/>
      <c r="AN340" s="43"/>
      <c r="AO340" s="43"/>
      <c r="AP340" s="43"/>
      <c r="AQ340" s="43"/>
      <c r="AR340" s="43"/>
      <c r="AS340" s="43"/>
      <c r="AT340" s="43"/>
      <c r="AU340" s="43"/>
      <c r="AV340" s="43"/>
      <c r="AW340" s="43"/>
      <c r="AX340" s="43"/>
      <c r="AY340" s="43"/>
      <c r="AZ340" s="43"/>
    </row>
    <row r="341">
      <c r="A341" s="62" t="s">
        <v>2290</v>
      </c>
      <c r="B341" s="63" t="s">
        <v>56</v>
      </c>
      <c r="C341" s="64" t="s">
        <v>2291</v>
      </c>
      <c r="D341" s="47" t="s">
        <v>311</v>
      </c>
      <c r="E341" s="64" t="s">
        <v>85</v>
      </c>
      <c r="F341" s="31" t="s">
        <v>60</v>
      </c>
      <c r="G341" s="31"/>
      <c r="H341" s="31"/>
      <c r="I341" s="31" t="s">
        <v>40</v>
      </c>
      <c r="J341" s="31" t="s">
        <v>61</v>
      </c>
      <c r="K341" s="31" t="s">
        <v>62</v>
      </c>
      <c r="L341" s="32">
        <f>IFERROR(__xludf.DUMMYFUNCTION("VLOOKUP($A341,IMPORTRANGE(""1PQtfbQLqBUP-rjYRznmgNFBLOjvAnhGzpIx7BJWq8rk"",""'Worksheet'!$B$2:$H""),7,FALSE)"),0.9)</f>
        <v>0.9</v>
      </c>
      <c r="M341" s="31" t="s">
        <v>45</v>
      </c>
      <c r="N341" s="49">
        <v>1.1299687267E8</v>
      </c>
      <c r="O341" s="49">
        <v>1.0143031375E8</v>
      </c>
      <c r="P341" s="49">
        <f t="shared" ref="P341:P358" si="50">N341-O341</f>
        <v>11566558.92</v>
      </c>
      <c r="Q341" s="34">
        <f t="shared" si="7"/>
        <v>0.1023617614</v>
      </c>
      <c r="R341" s="31"/>
      <c r="S341" s="31" t="s">
        <v>45</v>
      </c>
      <c r="T341" s="72" t="s">
        <v>2292</v>
      </c>
      <c r="U341" s="67" t="s">
        <v>2293</v>
      </c>
      <c r="V341" s="67" t="s">
        <v>2294</v>
      </c>
      <c r="W341" s="31"/>
      <c r="X341" s="52" t="s">
        <v>2295</v>
      </c>
      <c r="Y341" s="54" t="s">
        <v>2296</v>
      </c>
      <c r="Z341" s="74"/>
      <c r="AA341" s="68">
        <v>46233.0</v>
      </c>
      <c r="AB341" s="56"/>
      <c r="AC341" s="38"/>
      <c r="AD341" s="39">
        <v>112996.87</v>
      </c>
      <c r="AE341" s="39">
        <v>101430.3224</v>
      </c>
      <c r="AF341" s="40">
        <v>11566.54756</v>
      </c>
      <c r="AG341" s="99" t="s">
        <v>2297</v>
      </c>
      <c r="AH341" s="69" t="s">
        <v>66</v>
      </c>
      <c r="AI341" s="42" t="str">
        <f>IFERROR(__xludf.DUMMYFUNCTION("vLOOKUP(A341,IMPORTRANGE(""https://docs.google.com/spreadsheets/d/1Rawwwdh8wntXGy8isdYNHxsNQS4n_rC8JSdPfj6vEq4"",""'500 объектов перенос на 2026'!A3:AB502""),13,0)"),"#REF!")</f>
        <v>#REF!</v>
      </c>
      <c r="AJ341" s="42" t="str">
        <f>IFERROR(__xludf.DUMMYFUNCTION("vLOOKUP(A341,IMPORTRANGE(""https://docs.google.com/spreadsheets/d/1Rawwwdh8wntXGy8isdYNHxsNQS4n_rC8JSdPfj6vEq4"",""'500 объектов перенос на 2026'!A3:AB502""),14,0)"),"#REF!")</f>
        <v>#REF!</v>
      </c>
      <c r="AK341" s="58" t="s">
        <v>2298</v>
      </c>
      <c r="AL341" s="70" t="s">
        <v>1173</v>
      </c>
      <c r="AM341" s="70"/>
      <c r="AN341" s="43"/>
      <c r="AO341" s="43"/>
      <c r="AP341" s="43"/>
      <c r="AQ341" s="43"/>
      <c r="AR341" s="43"/>
      <c r="AS341" s="43"/>
      <c r="AT341" s="43"/>
      <c r="AU341" s="43"/>
      <c r="AV341" s="43"/>
      <c r="AW341" s="43"/>
      <c r="AX341" s="43"/>
      <c r="AY341" s="43"/>
      <c r="AZ341" s="43"/>
    </row>
    <row r="342">
      <c r="A342" s="62" t="s">
        <v>2299</v>
      </c>
      <c r="B342" s="63" t="s">
        <v>826</v>
      </c>
      <c r="C342" s="64" t="s">
        <v>2300</v>
      </c>
      <c r="D342" s="47" t="s">
        <v>323</v>
      </c>
      <c r="E342" s="64" t="s">
        <v>85</v>
      </c>
      <c r="F342" s="31" t="s">
        <v>40</v>
      </c>
      <c r="G342" s="31" t="s">
        <v>41</v>
      </c>
      <c r="H342" s="31" t="s">
        <v>260</v>
      </c>
      <c r="I342" s="31" t="s">
        <v>60</v>
      </c>
      <c r="J342" s="31"/>
      <c r="K342" s="31"/>
      <c r="L342" s="32">
        <f>IFERROR(__xludf.DUMMYFUNCTION("VLOOKUP($A342,IMPORTRANGE(""1PQtfbQLqBUP-rjYRznmgNFBLOjvAnhGzpIx7BJWq8rk"",""'Worksheet'!$B$2:$H""),7,FALSE)"),0.9)</f>
        <v>0.9</v>
      </c>
      <c r="M342" s="31" t="s">
        <v>40</v>
      </c>
      <c r="N342" s="49">
        <v>2.1520561E7</v>
      </c>
      <c r="O342" s="49">
        <v>1.022872264E7</v>
      </c>
      <c r="P342" s="49">
        <f t="shared" si="50"/>
        <v>11291838.36</v>
      </c>
      <c r="Q342" s="34">
        <f t="shared" si="7"/>
        <v>0.5247000002</v>
      </c>
      <c r="R342" s="31"/>
      <c r="S342" s="31" t="s">
        <v>45</v>
      </c>
      <c r="T342" s="50">
        <v>2.044453295E7</v>
      </c>
      <c r="U342" s="51">
        <v>9717286.51</v>
      </c>
      <c r="V342" s="51">
        <f>T342-U342</f>
        <v>10727246.44</v>
      </c>
      <c r="W342" s="31"/>
      <c r="X342" s="52">
        <v>9717286.51</v>
      </c>
      <c r="Y342" s="54" t="s">
        <v>2043</v>
      </c>
      <c r="Z342" s="54" t="s">
        <v>1602</v>
      </c>
      <c r="AA342" s="74">
        <v>46266.0</v>
      </c>
      <c r="AB342" s="56"/>
      <c r="AC342" s="38"/>
      <c r="AD342" s="39">
        <v>21520.561</v>
      </c>
      <c r="AE342" s="39">
        <v>10228.72264</v>
      </c>
      <c r="AF342" s="40">
        <v>11291.83836</v>
      </c>
      <c r="AG342" s="57" t="s">
        <v>2301</v>
      </c>
      <c r="AH342" s="42" t="s">
        <v>49</v>
      </c>
      <c r="AI342" s="42" t="str">
        <f>IFERROR(__xludf.DUMMYFUNCTION("vLOOKUP(A342,IMPORTRANGE(""https://docs.google.com/spreadsheets/d/1Rawwwdh8wntXGy8isdYNHxsNQS4n_rC8JSdPfj6vEq4"",""'500 объектов перенос на 2026'!A3:AB502""),13,0)"),"#REF!")</f>
        <v>#REF!</v>
      </c>
      <c r="AJ342" s="42" t="str">
        <f>IFERROR(__xludf.DUMMYFUNCTION("vLOOKUP(A342,IMPORTRANGE(""https://docs.google.com/spreadsheets/d/1Rawwwdh8wntXGy8isdYNHxsNQS4n_rC8JSdPfj6vEq4"",""'500 объектов перенос на 2026'!A3:AB502""),14,0)"),"#REF!")</f>
        <v>#REF!</v>
      </c>
      <c r="AK342" s="76" t="s">
        <v>2302</v>
      </c>
      <c r="AL342" s="94" t="s">
        <v>1604</v>
      </c>
      <c r="AM342" s="94"/>
      <c r="AN342" s="43"/>
      <c r="AO342" s="43"/>
      <c r="AP342" s="43"/>
      <c r="AQ342" s="43"/>
      <c r="AR342" s="43"/>
      <c r="AS342" s="43"/>
      <c r="AT342" s="43"/>
      <c r="AU342" s="43"/>
      <c r="AV342" s="43"/>
      <c r="AW342" s="43"/>
      <c r="AX342" s="43"/>
      <c r="AY342" s="43"/>
      <c r="AZ342" s="43"/>
    </row>
    <row r="343">
      <c r="A343" s="78" t="s">
        <v>2303</v>
      </c>
      <c r="B343" s="63" t="s">
        <v>653</v>
      </c>
      <c r="C343" s="64" t="s">
        <v>2304</v>
      </c>
      <c r="D343" s="47" t="s">
        <v>1546</v>
      </c>
      <c r="E343" s="64" t="s">
        <v>85</v>
      </c>
      <c r="F343" s="31" t="s">
        <v>60</v>
      </c>
      <c r="G343" s="31"/>
      <c r="H343" s="31"/>
      <c r="I343" s="31" t="s">
        <v>60</v>
      </c>
      <c r="J343" s="31"/>
      <c r="K343" s="31"/>
      <c r="L343" s="32" t="str">
        <f>IFERROR(__xludf.DUMMYFUNCTION("VLOOKUP($A343,IMPORTRANGE(""1PQtfbQLqBUP-rjYRznmgNFBLOjvAnhGzpIx7BJWq8rk"",""'Worksheet'!$B$2:$H""),7,FALSE)"),"#N/A")</f>
        <v>#N/A</v>
      </c>
      <c r="M343" s="31" t="s">
        <v>60</v>
      </c>
      <c r="N343" s="49">
        <v>8.1856E7</v>
      </c>
      <c r="O343" s="49">
        <v>8.1856E7</v>
      </c>
      <c r="P343" s="49">
        <f t="shared" si="50"/>
        <v>0</v>
      </c>
      <c r="Q343" s="34">
        <f t="shared" si="7"/>
        <v>0</v>
      </c>
      <c r="R343" s="31"/>
      <c r="S343" s="31" t="s">
        <v>60</v>
      </c>
      <c r="T343" s="91" t="s">
        <v>2305</v>
      </c>
      <c r="U343" s="117" t="s">
        <v>2306</v>
      </c>
      <c r="V343" s="51" t="s">
        <v>2307</v>
      </c>
      <c r="W343" s="31"/>
      <c r="X343" s="52" t="s">
        <v>2308</v>
      </c>
      <c r="Y343" s="54"/>
      <c r="Z343" s="54"/>
      <c r="AA343" s="54" t="s">
        <v>114</v>
      </c>
      <c r="AB343" s="38" t="s">
        <v>115</v>
      </c>
      <c r="AC343" s="38"/>
      <c r="AD343" s="39">
        <v>116889.53</v>
      </c>
      <c r="AE343" s="39">
        <v>86177.1613</v>
      </c>
      <c r="AF343" s="39">
        <v>30712.3687</v>
      </c>
      <c r="AG343" s="57" t="s">
        <v>2309</v>
      </c>
      <c r="AH343" s="42" t="s">
        <v>1191</v>
      </c>
      <c r="AI343" s="42" t="s">
        <v>1191</v>
      </c>
      <c r="AJ343" s="42" t="s">
        <v>1191</v>
      </c>
      <c r="AK343" s="76" t="s">
        <v>114</v>
      </c>
      <c r="AL343" s="70"/>
      <c r="AM343" s="70"/>
      <c r="AN343" s="43"/>
      <c r="AO343" s="43"/>
      <c r="AP343" s="43"/>
      <c r="AQ343" s="43"/>
      <c r="AR343" s="43"/>
      <c r="AS343" s="43"/>
      <c r="AT343" s="43"/>
      <c r="AU343" s="43"/>
      <c r="AV343" s="43"/>
      <c r="AW343" s="43"/>
      <c r="AX343" s="43"/>
      <c r="AY343" s="43"/>
      <c r="AZ343" s="43"/>
    </row>
    <row r="344">
      <c r="A344" s="62" t="s">
        <v>2310</v>
      </c>
      <c r="B344" s="63" t="s">
        <v>70</v>
      </c>
      <c r="C344" s="90" t="s">
        <v>2311</v>
      </c>
      <c r="D344" s="47" t="s">
        <v>38</v>
      </c>
      <c r="E344" s="64" t="s">
        <v>59</v>
      </c>
      <c r="F344" s="31" t="s">
        <v>60</v>
      </c>
      <c r="G344" s="31"/>
      <c r="H344" s="31"/>
      <c r="I344" s="31" t="s">
        <v>60</v>
      </c>
      <c r="J344" s="31"/>
      <c r="K344" s="31"/>
      <c r="L344" s="32">
        <f>IFERROR(__xludf.DUMMYFUNCTION("VLOOKUP($A344,IMPORTRANGE(""1PQtfbQLqBUP-rjYRznmgNFBLOjvAnhGzpIx7BJWq8rk"",""'Worksheet'!$B$2:$H""),7,FALSE)"),0.98)</f>
        <v>0.98</v>
      </c>
      <c r="M344" s="31" t="s">
        <v>45</v>
      </c>
      <c r="N344" s="49">
        <v>2.24775E7</v>
      </c>
      <c r="O344" s="49">
        <v>1.123875E7</v>
      </c>
      <c r="P344" s="49">
        <f t="shared" si="50"/>
        <v>11238750</v>
      </c>
      <c r="Q344" s="34">
        <f t="shared" si="7"/>
        <v>0.5</v>
      </c>
      <c r="R344" s="31"/>
      <c r="S344" s="31" t="s">
        <v>45</v>
      </c>
      <c r="T344" s="72">
        <v>1.992683594E7</v>
      </c>
      <c r="U344" s="51">
        <v>0.0</v>
      </c>
      <c r="V344" s="67">
        <v>1.992683594E7</v>
      </c>
      <c r="W344" s="31" t="s">
        <v>183</v>
      </c>
      <c r="X344" s="52" t="s">
        <v>507</v>
      </c>
      <c r="Y344" s="73" t="s">
        <v>2312</v>
      </c>
      <c r="Z344" s="54" t="s">
        <v>75</v>
      </c>
      <c r="AA344" s="74">
        <v>46234.0</v>
      </c>
      <c r="AB344" s="56"/>
      <c r="AC344" s="38"/>
      <c r="AD344" s="39">
        <v>22477.5</v>
      </c>
      <c r="AE344" s="39">
        <v>11238.75</v>
      </c>
      <c r="AF344" s="40">
        <v>11238.75</v>
      </c>
      <c r="AG344" s="57" t="s">
        <v>2313</v>
      </c>
      <c r="AH344" s="42" t="s">
        <v>66</v>
      </c>
      <c r="AI344" s="42" t="str">
        <f>IFERROR(__xludf.DUMMYFUNCTION("vLOOKUP(A344,IMPORTRANGE(""https://docs.google.com/spreadsheets/d/1Rawwwdh8wntXGy8isdYNHxsNQS4n_rC8JSdPfj6vEq4"",""'500 объектов перенос на 2026'!A3:AB502""),13,0)"),"#REF!")</f>
        <v>#REF!</v>
      </c>
      <c r="AJ344" s="42" t="str">
        <f>IFERROR(__xludf.DUMMYFUNCTION("vLOOKUP(A344,IMPORTRANGE(""https://docs.google.com/spreadsheets/d/1Rawwwdh8wntXGy8isdYNHxsNQS4n_rC8JSdPfj6vEq4"",""'500 объектов перенос на 2026'!A3:AB502""),14,0)"),"#REF!")</f>
        <v>#REF!</v>
      </c>
      <c r="AK344" s="176" t="s">
        <v>2314</v>
      </c>
      <c r="AL344" s="70" t="s">
        <v>2315</v>
      </c>
      <c r="AM344" s="70"/>
      <c r="AN344" s="96" t="s">
        <v>2316</v>
      </c>
      <c r="AO344" s="43"/>
      <c r="AP344" s="43"/>
      <c r="AQ344" s="43"/>
      <c r="AR344" s="43"/>
      <c r="AS344" s="43"/>
      <c r="AT344" s="43"/>
      <c r="AU344" s="43"/>
      <c r="AV344" s="43"/>
      <c r="AW344" s="43"/>
      <c r="AX344" s="43"/>
      <c r="AY344" s="43"/>
      <c r="AZ344" s="43"/>
    </row>
    <row r="345">
      <c r="A345" s="62" t="s">
        <v>2317</v>
      </c>
      <c r="B345" s="63" t="s">
        <v>400</v>
      </c>
      <c r="C345" s="64" t="s">
        <v>2318</v>
      </c>
      <c r="D345" s="47" t="s">
        <v>1048</v>
      </c>
      <c r="E345" s="64" t="s">
        <v>324</v>
      </c>
      <c r="F345" s="31" t="s">
        <v>60</v>
      </c>
      <c r="G345" s="31"/>
      <c r="H345" s="31"/>
      <c r="I345" s="31" t="s">
        <v>40</v>
      </c>
      <c r="J345" s="31" t="s">
        <v>102</v>
      </c>
      <c r="K345" s="31" t="s">
        <v>72</v>
      </c>
      <c r="L345" s="32">
        <f>IFERROR(__xludf.DUMMYFUNCTION("VLOOKUP($A345,IMPORTRANGE(""1PQtfbQLqBUP-rjYRznmgNFBLOjvAnhGzpIx7BJWq8rk"",""'Worksheet'!$B$2:$H""),7,FALSE)"),0.72)</f>
        <v>0.72</v>
      </c>
      <c r="M345" s="31" t="s">
        <v>45</v>
      </c>
      <c r="N345" s="49">
        <v>3.277325E7</v>
      </c>
      <c r="O345" s="49">
        <v>2.200142002E7</v>
      </c>
      <c r="P345" s="49">
        <f t="shared" si="50"/>
        <v>10771829.98</v>
      </c>
      <c r="Q345" s="34">
        <f t="shared" si="7"/>
        <v>0.3286775031</v>
      </c>
      <c r="R345" s="31"/>
      <c r="S345" s="31" t="s">
        <v>45</v>
      </c>
      <c r="T345" s="50"/>
      <c r="U345" s="51"/>
      <c r="V345" s="51"/>
      <c r="W345" s="31"/>
      <c r="X345" s="52" t="s">
        <v>113</v>
      </c>
      <c r="Y345" s="54" t="s">
        <v>2319</v>
      </c>
      <c r="Z345" s="54" t="s">
        <v>1749</v>
      </c>
      <c r="AA345" s="74">
        <v>46223.0</v>
      </c>
      <c r="AB345" s="56"/>
      <c r="AC345" s="38"/>
      <c r="AD345" s="39">
        <v>32773.25</v>
      </c>
      <c r="AE345" s="39">
        <v>22166.05482</v>
      </c>
      <c r="AF345" s="39">
        <v>10607.19518</v>
      </c>
      <c r="AG345" s="57" t="s">
        <v>2320</v>
      </c>
      <c r="AH345" s="42" t="s">
        <v>1054</v>
      </c>
      <c r="AI345" s="42" t="str">
        <f>IFERROR(__xludf.DUMMYFUNCTION("vLOOKUP(A345,IMPORTRANGE(""https://docs.google.com/spreadsheets/d/1Rawwwdh8wntXGy8isdYNHxsNQS4n_rC8JSdPfj6vEq4"",""'500 объектов перенос на 2026'!A3:AB502""),13,0)"),"#REF!")</f>
        <v>#REF!</v>
      </c>
      <c r="AJ345" s="42" t="str">
        <f>IFERROR(__xludf.DUMMYFUNCTION("vLOOKUP(A345,IMPORTRANGE(""https://docs.google.com/spreadsheets/d/1Rawwwdh8wntXGy8isdYNHxsNQS4n_rC8JSdPfj6vEq4"",""'500 объектов перенос на 2026'!A3:AB502""),14,0)"),"#REF!")</f>
        <v>#REF!</v>
      </c>
      <c r="AK345" s="76" t="s">
        <v>2321</v>
      </c>
      <c r="AL345" s="70"/>
      <c r="AM345" s="70"/>
      <c r="AN345" s="43"/>
      <c r="AO345" s="43"/>
      <c r="AP345" s="43"/>
      <c r="AQ345" s="43"/>
      <c r="AR345" s="43"/>
      <c r="AS345" s="43"/>
      <c r="AT345" s="43"/>
      <c r="AU345" s="43"/>
      <c r="AV345" s="43"/>
      <c r="AW345" s="43"/>
      <c r="AX345" s="43"/>
      <c r="AY345" s="43"/>
      <c r="AZ345" s="43"/>
    </row>
    <row r="346">
      <c r="A346" s="78" t="s">
        <v>2322</v>
      </c>
      <c r="B346" s="63" t="s">
        <v>653</v>
      </c>
      <c r="C346" s="64" t="s">
        <v>2323</v>
      </c>
      <c r="D346" s="47" t="s">
        <v>2083</v>
      </c>
      <c r="E346" s="64" t="s">
        <v>85</v>
      </c>
      <c r="F346" s="31" t="s">
        <v>60</v>
      </c>
      <c r="G346" s="31"/>
      <c r="H346" s="31"/>
      <c r="I346" s="31" t="s">
        <v>60</v>
      </c>
      <c r="J346" s="31"/>
      <c r="K346" s="31"/>
      <c r="L346" s="32" t="str">
        <f>IFERROR(__xludf.DUMMYFUNCTION("VLOOKUP($A346,IMPORTRANGE(""1PQtfbQLqBUP-rjYRznmgNFBLOjvAnhGzpIx7BJWq8rk"",""'Worksheet'!$B$2:$H""),7,FALSE)"),"#N/A")</f>
        <v>#N/A</v>
      </c>
      <c r="M346" s="31" t="s">
        <v>60</v>
      </c>
      <c r="N346" s="49">
        <v>1.512069323E7</v>
      </c>
      <c r="O346" s="49">
        <v>1.512069323E7</v>
      </c>
      <c r="P346" s="49">
        <f t="shared" si="50"/>
        <v>0</v>
      </c>
      <c r="Q346" s="34">
        <f t="shared" si="7"/>
        <v>0</v>
      </c>
      <c r="R346" s="31"/>
      <c r="S346" s="31" t="s">
        <v>60</v>
      </c>
      <c r="T346" s="91">
        <f>N346*0.95</f>
        <v>14364658.57</v>
      </c>
      <c r="U346" s="117">
        <f>T346</f>
        <v>14364658.57</v>
      </c>
      <c r="V346" s="51">
        <v>0.0</v>
      </c>
      <c r="W346" s="31"/>
      <c r="X346" s="52" t="s">
        <v>2308</v>
      </c>
      <c r="Y346" s="54"/>
      <c r="Z346" s="54"/>
      <c r="AA346" s="54" t="s">
        <v>114</v>
      </c>
      <c r="AB346" s="38" t="s">
        <v>115</v>
      </c>
      <c r="AC346" s="38"/>
      <c r="AD346" s="39">
        <v>22484.99</v>
      </c>
      <c r="AE346" s="39">
        <v>15120.69323</v>
      </c>
      <c r="AF346" s="39">
        <v>7364.29677</v>
      </c>
      <c r="AG346" s="57" t="s">
        <v>2324</v>
      </c>
      <c r="AH346" s="42" t="s">
        <v>1191</v>
      </c>
      <c r="AI346" s="42" t="s">
        <v>1191</v>
      </c>
      <c r="AJ346" s="42" t="s">
        <v>1191</v>
      </c>
      <c r="AK346" s="76" t="s">
        <v>114</v>
      </c>
      <c r="AL346" s="70"/>
      <c r="AM346" s="70"/>
      <c r="AN346" s="43"/>
      <c r="AO346" s="43"/>
      <c r="AP346" s="43"/>
      <c r="AQ346" s="43"/>
      <c r="AR346" s="43"/>
      <c r="AS346" s="43"/>
      <c r="AT346" s="43"/>
      <c r="AU346" s="43"/>
      <c r="AV346" s="43"/>
      <c r="AW346" s="43"/>
      <c r="AX346" s="43"/>
      <c r="AY346" s="43"/>
      <c r="AZ346" s="43"/>
    </row>
    <row r="347">
      <c r="A347" s="62" t="s">
        <v>2325</v>
      </c>
      <c r="B347" s="63" t="s">
        <v>1586</v>
      </c>
      <c r="C347" s="64" t="s">
        <v>2326</v>
      </c>
      <c r="D347" s="47" t="s">
        <v>1276</v>
      </c>
      <c r="E347" s="64" t="s">
        <v>85</v>
      </c>
      <c r="F347" s="31" t="s">
        <v>60</v>
      </c>
      <c r="G347" s="31"/>
      <c r="H347" s="31"/>
      <c r="I347" s="31" t="s">
        <v>40</v>
      </c>
      <c r="J347" s="31" t="s">
        <v>61</v>
      </c>
      <c r="K347" s="31" t="s">
        <v>72</v>
      </c>
      <c r="L347" s="32">
        <f>IFERROR(__xludf.DUMMYFUNCTION("VLOOKUP($A347,IMPORTRANGE(""1PQtfbQLqBUP-rjYRznmgNFBLOjvAnhGzpIx7BJWq8rk"",""'Worksheet'!$B$2:$H""),7,FALSE)"),0.9)</f>
        <v>0.9</v>
      </c>
      <c r="M347" s="31" t="s">
        <v>45</v>
      </c>
      <c r="N347" s="49">
        <v>4.237589033E7</v>
      </c>
      <c r="O347" s="49">
        <v>3.179114289E7</v>
      </c>
      <c r="P347" s="49">
        <f t="shared" si="50"/>
        <v>10584747.44</v>
      </c>
      <c r="Q347" s="34">
        <f t="shared" si="7"/>
        <v>0.2497823021</v>
      </c>
      <c r="R347" s="31"/>
      <c r="S347" s="31" t="s">
        <v>45</v>
      </c>
      <c r="T347" s="72" t="s">
        <v>2327</v>
      </c>
      <c r="U347" s="67" t="s">
        <v>2328</v>
      </c>
      <c r="V347" s="67" t="s">
        <v>2329</v>
      </c>
      <c r="W347" s="31"/>
      <c r="X347" s="52" t="s">
        <v>1592</v>
      </c>
      <c r="Y347" s="54" t="s">
        <v>2128</v>
      </c>
      <c r="Z347" s="54" t="s">
        <v>1594</v>
      </c>
      <c r="AA347" s="68">
        <v>46232.0</v>
      </c>
      <c r="AB347" s="56"/>
      <c r="AC347" s="38" t="s">
        <v>1595</v>
      </c>
      <c r="AD347" s="39">
        <v>55060.63</v>
      </c>
      <c r="AE347" s="39">
        <v>31791.14289</v>
      </c>
      <c r="AF347" s="40">
        <v>23269.48711</v>
      </c>
      <c r="AG347" s="57" t="s">
        <v>2330</v>
      </c>
      <c r="AH347" s="42" t="s">
        <v>2331</v>
      </c>
      <c r="AI347" s="42" t="str">
        <f>IFERROR(__xludf.DUMMYFUNCTION("vLOOKUP(A347,IMPORTRANGE(""https://docs.google.com/spreadsheets/d/1Rawwwdh8wntXGy8isdYNHxsNQS4n_rC8JSdPfj6vEq4"",""'500 объектов перенос на 2026'!A3:AB502""),13,0)"),"#REF!")</f>
        <v>#REF!</v>
      </c>
      <c r="AJ347" s="42" t="str">
        <f>IFERROR(__xludf.DUMMYFUNCTION("vLOOKUP(A347,IMPORTRANGE(""https://docs.google.com/spreadsheets/d/1Rawwwdh8wntXGy8isdYNHxsNQS4n_rC8JSdPfj6vEq4"",""'500 объектов перенос на 2026'!A3:AB502""),14,0)"),"#REF!")</f>
        <v>#REF!</v>
      </c>
      <c r="AK347" s="76" t="s">
        <v>2332</v>
      </c>
      <c r="AL347" s="70"/>
      <c r="AM347" s="70"/>
      <c r="AN347" s="43"/>
      <c r="AO347" s="43"/>
      <c r="AP347" s="43"/>
      <c r="AQ347" s="43"/>
      <c r="AR347" s="43"/>
      <c r="AS347" s="43"/>
      <c r="AT347" s="43"/>
      <c r="AU347" s="43"/>
      <c r="AV347" s="43"/>
      <c r="AW347" s="43"/>
      <c r="AX347" s="43"/>
      <c r="AY347" s="43"/>
      <c r="AZ347" s="43"/>
    </row>
    <row r="348">
      <c r="A348" s="62" t="s">
        <v>2333</v>
      </c>
      <c r="B348" s="63" t="s">
        <v>625</v>
      </c>
      <c r="C348" s="90" t="s">
        <v>2334</v>
      </c>
      <c r="D348" s="47" t="s">
        <v>705</v>
      </c>
      <c r="E348" s="64" t="s">
        <v>85</v>
      </c>
      <c r="F348" s="31" t="s">
        <v>60</v>
      </c>
      <c r="G348" s="31"/>
      <c r="H348" s="31"/>
      <c r="I348" s="31" t="s">
        <v>40</v>
      </c>
      <c r="J348" s="31" t="s">
        <v>61</v>
      </c>
      <c r="K348" s="31" t="s">
        <v>72</v>
      </c>
      <c r="L348" s="32">
        <f>IFERROR(__xludf.DUMMYFUNCTION("VLOOKUP($A348,IMPORTRANGE(""1PQtfbQLqBUP-rjYRznmgNFBLOjvAnhGzpIx7BJWq8rk"",""'Worksheet'!$B$2:$H""),7,FALSE)"),0.95)</f>
        <v>0.95</v>
      </c>
      <c r="M348" s="31" t="s">
        <v>45</v>
      </c>
      <c r="N348" s="49">
        <v>7.966045426E7</v>
      </c>
      <c r="O348" s="49">
        <v>6.929242482E7</v>
      </c>
      <c r="P348" s="49">
        <f t="shared" si="50"/>
        <v>10368029.44</v>
      </c>
      <c r="Q348" s="34">
        <f t="shared" si="7"/>
        <v>0.1301527783</v>
      </c>
      <c r="R348" s="31"/>
      <c r="S348" s="31" t="s">
        <v>45</v>
      </c>
      <c r="T348" s="91" t="s">
        <v>2335</v>
      </c>
      <c r="U348" s="117" t="s">
        <v>2336</v>
      </c>
      <c r="V348" s="51" t="s">
        <v>2337</v>
      </c>
      <c r="W348" s="31"/>
      <c r="X348" s="52" t="s">
        <v>2338</v>
      </c>
      <c r="Y348" s="54" t="s">
        <v>2339</v>
      </c>
      <c r="Z348" s="54" t="s">
        <v>274</v>
      </c>
      <c r="AA348" s="68">
        <v>46254.0</v>
      </c>
      <c r="AB348" s="56"/>
      <c r="AC348" s="38"/>
      <c r="AD348" s="39">
        <v>79660.54</v>
      </c>
      <c r="AE348" s="39">
        <v>69292.42482</v>
      </c>
      <c r="AF348" s="40">
        <v>10368.11518</v>
      </c>
      <c r="AG348" s="57" t="s">
        <v>2340</v>
      </c>
      <c r="AH348" s="42" t="s">
        <v>2341</v>
      </c>
      <c r="AI348" s="42" t="str">
        <f>IFERROR(__xludf.DUMMYFUNCTION("vLOOKUP(A348,IMPORTRANGE(""https://docs.google.com/spreadsheets/d/1Rawwwdh8wntXGy8isdYNHxsNQS4n_rC8JSdPfj6vEq4"",""'500 объектов перенос на 2026'!A3:AB502""),13,0)"),"#REF!")</f>
        <v>#REF!</v>
      </c>
      <c r="AJ348" s="42" t="str">
        <f>IFERROR(__xludf.DUMMYFUNCTION("vLOOKUP(A348,IMPORTRANGE(""https://docs.google.com/spreadsheets/d/1Rawwwdh8wntXGy8isdYNHxsNQS4n_rC8JSdPfj6vEq4"",""'500 объектов перенос на 2026'!A3:AB502""),14,0)"),"#REF!")</f>
        <v>#REF!</v>
      </c>
      <c r="AK348" s="140"/>
      <c r="AL348" s="119"/>
      <c r="AM348" s="119"/>
      <c r="AN348" s="43"/>
      <c r="AO348" s="43"/>
      <c r="AP348" s="43"/>
      <c r="AQ348" s="43"/>
      <c r="AR348" s="43"/>
      <c r="AS348" s="43"/>
      <c r="AT348" s="43"/>
      <c r="AU348" s="43"/>
      <c r="AV348" s="43"/>
      <c r="AW348" s="43"/>
      <c r="AX348" s="43"/>
      <c r="AY348" s="43"/>
      <c r="AZ348" s="43"/>
    </row>
    <row r="349">
      <c r="A349" s="62" t="s">
        <v>2342</v>
      </c>
      <c r="B349" s="63" t="s">
        <v>296</v>
      </c>
      <c r="C349" s="64" t="s">
        <v>2343</v>
      </c>
      <c r="D349" s="47" t="s">
        <v>246</v>
      </c>
      <c r="E349" s="64" t="s">
        <v>59</v>
      </c>
      <c r="F349" s="31" t="s">
        <v>60</v>
      </c>
      <c r="G349" s="31"/>
      <c r="H349" s="31"/>
      <c r="I349" s="31" t="s">
        <v>60</v>
      </c>
      <c r="J349" s="31"/>
      <c r="K349" s="31"/>
      <c r="L349" s="32" t="str">
        <f>IFERROR(__xludf.DUMMYFUNCTION("VLOOKUP($A349,IMPORTRANGE(""1PQtfbQLqBUP-rjYRznmgNFBLOjvAnhGzpIx7BJWq8rk"",""'Worksheet'!$B$2:$H""),7,FALSE)"),"#N/A")</f>
        <v>#N/A</v>
      </c>
      <c r="M349" s="31" t="s">
        <v>40</v>
      </c>
      <c r="N349" s="49">
        <v>2.274914972E7</v>
      </c>
      <c r="O349" s="49">
        <v>1.2612648E7</v>
      </c>
      <c r="P349" s="49">
        <f t="shared" si="50"/>
        <v>10136501.72</v>
      </c>
      <c r="Q349" s="34">
        <f t="shared" si="7"/>
        <v>0.4455771686</v>
      </c>
      <c r="R349" s="31"/>
      <c r="S349" s="31" t="s">
        <v>45</v>
      </c>
      <c r="T349" s="155">
        <f>N349-N349*0.05</f>
        <v>21611692.23</v>
      </c>
      <c r="U349" s="172">
        <v>0.0</v>
      </c>
      <c r="V349" s="51">
        <v>0.0</v>
      </c>
      <c r="W349" s="31" t="s">
        <v>183</v>
      </c>
      <c r="X349" s="52" t="s">
        <v>46</v>
      </c>
      <c r="Y349" s="73" t="s">
        <v>2344</v>
      </c>
      <c r="Z349" s="54" t="s">
        <v>2345</v>
      </c>
      <c r="AA349" s="68">
        <v>46232.0</v>
      </c>
      <c r="AB349" s="56"/>
      <c r="AC349" s="38"/>
      <c r="AD349" s="39">
        <v>39044.94</v>
      </c>
      <c r="AE349" s="102">
        <v>0.0</v>
      </c>
      <c r="AF349" s="40">
        <v>39044.94</v>
      </c>
      <c r="AG349" s="57" t="s">
        <v>2346</v>
      </c>
      <c r="AH349" s="57" t="s">
        <v>1515</v>
      </c>
      <c r="AI349" s="42" t="str">
        <f>IFERROR(__xludf.DUMMYFUNCTION("vLOOKUP(A349,IMPORTRANGE(""https://docs.google.com/spreadsheets/d/1Rawwwdh8wntXGy8isdYNHxsNQS4n_rC8JSdPfj6vEq4"",""'500 объектов перенос на 2026'!A3:AB502""),13,0)"),"#REF!")</f>
        <v>#REF!</v>
      </c>
      <c r="AJ349" s="42" t="str">
        <f>IFERROR(__xludf.DUMMYFUNCTION("vLOOKUP(A349,IMPORTRANGE(""https://docs.google.com/spreadsheets/d/1Rawwwdh8wntXGy8isdYNHxsNQS4n_rC8JSdPfj6vEq4"",""'500 объектов перенос на 2026'!A3:AB502""),14,0)"),"#REF!")</f>
        <v>#REF!</v>
      </c>
      <c r="AK349" s="76" t="s">
        <v>1516</v>
      </c>
      <c r="AL349" s="70"/>
      <c r="AM349" s="70"/>
      <c r="AN349" s="43"/>
      <c r="AO349" s="43"/>
      <c r="AP349" s="43"/>
      <c r="AQ349" s="43"/>
      <c r="AR349" s="43"/>
      <c r="AS349" s="43"/>
      <c r="AT349" s="43"/>
      <c r="AU349" s="43"/>
      <c r="AV349" s="43"/>
      <c r="AW349" s="43"/>
      <c r="AX349" s="43"/>
      <c r="AY349" s="43"/>
      <c r="AZ349" s="43"/>
    </row>
    <row r="350">
      <c r="A350" s="62" t="s">
        <v>2347</v>
      </c>
      <c r="B350" s="63" t="s">
        <v>400</v>
      </c>
      <c r="C350" s="64" t="s">
        <v>2348</v>
      </c>
      <c r="D350" s="47" t="s">
        <v>1041</v>
      </c>
      <c r="E350" s="90" t="s">
        <v>85</v>
      </c>
      <c r="F350" s="31" t="s">
        <v>60</v>
      </c>
      <c r="G350" s="31"/>
      <c r="H350" s="31"/>
      <c r="I350" s="31" t="s">
        <v>60</v>
      </c>
      <c r="J350" s="31"/>
      <c r="K350" s="31"/>
      <c r="L350" s="32">
        <f>IFERROR(__xludf.DUMMYFUNCTION("VLOOKUP($A350,IMPORTRANGE(""1PQtfbQLqBUP-rjYRznmgNFBLOjvAnhGzpIx7BJWq8rk"",""'Worksheet'!$B$2:$H""),7,FALSE)"),0.95)</f>
        <v>0.95</v>
      </c>
      <c r="M350" s="31" t="s">
        <v>45</v>
      </c>
      <c r="N350" s="49">
        <v>3.90280299E7</v>
      </c>
      <c r="O350" s="49">
        <v>2.891738034E7</v>
      </c>
      <c r="P350" s="49">
        <f t="shared" si="50"/>
        <v>10110649.56</v>
      </c>
      <c r="Q350" s="34">
        <f t="shared" si="7"/>
        <v>0.2590612333</v>
      </c>
      <c r="R350" s="31"/>
      <c r="S350" s="31" t="s">
        <v>45</v>
      </c>
      <c r="T350" s="91"/>
      <c r="U350" s="51" t="s">
        <v>2349</v>
      </c>
      <c r="V350" s="51"/>
      <c r="W350" s="31" t="s">
        <v>148</v>
      </c>
      <c r="X350" s="52" t="s">
        <v>803</v>
      </c>
      <c r="Y350" s="54" t="s">
        <v>2350</v>
      </c>
      <c r="Z350" s="54" t="s">
        <v>2351</v>
      </c>
      <c r="AA350" s="74">
        <v>46218.0</v>
      </c>
      <c r="AB350" s="56"/>
      <c r="AC350" s="38"/>
      <c r="AD350" s="39">
        <v>39028.04</v>
      </c>
      <c r="AE350" s="39">
        <v>28993.5499</v>
      </c>
      <c r="AF350" s="40">
        <v>10034.4901</v>
      </c>
      <c r="AG350" s="57" t="s">
        <v>2352</v>
      </c>
      <c r="AH350" s="42" t="s">
        <v>1338</v>
      </c>
      <c r="AI350" s="42" t="str">
        <f>IFERROR(__xludf.DUMMYFUNCTION("vLOOKUP(A350,IMPORTRANGE(""https://docs.google.com/spreadsheets/d/1Rawwwdh8wntXGy8isdYNHxsNQS4n_rC8JSdPfj6vEq4"",""'500 объектов перенос на 2026'!A3:AB502""),13,0)"),"#REF!")</f>
        <v>#REF!</v>
      </c>
      <c r="AJ350" s="42" t="str">
        <f>IFERROR(__xludf.DUMMYFUNCTION("vLOOKUP(A350,IMPORTRANGE(""https://docs.google.com/spreadsheets/d/1Rawwwdh8wntXGy8isdYNHxsNQS4n_rC8JSdPfj6vEq4"",""'500 объектов перенос на 2026'!A3:AB502""),14,0)"),"#REF!")</f>
        <v>#REF!</v>
      </c>
      <c r="AK350" s="58" t="s">
        <v>2353</v>
      </c>
      <c r="AL350" s="70" t="s">
        <v>2354</v>
      </c>
      <c r="AM350" s="70"/>
      <c r="AN350" s="43"/>
      <c r="AO350" s="43"/>
      <c r="AP350" s="43"/>
      <c r="AQ350" s="43"/>
      <c r="AR350" s="43"/>
      <c r="AS350" s="43"/>
      <c r="AT350" s="43"/>
      <c r="AU350" s="43"/>
      <c r="AV350" s="43"/>
      <c r="AW350" s="43"/>
      <c r="AX350" s="43"/>
      <c r="AY350" s="43"/>
      <c r="AZ350" s="43"/>
    </row>
    <row r="351">
      <c r="A351" s="62" t="s">
        <v>2355</v>
      </c>
      <c r="B351" s="63" t="s">
        <v>605</v>
      </c>
      <c r="C351" s="64" t="s">
        <v>2356</v>
      </c>
      <c r="D351" s="30" t="s">
        <v>1210</v>
      </c>
      <c r="E351" s="64" t="s">
        <v>85</v>
      </c>
      <c r="F351" s="31" t="s">
        <v>40</v>
      </c>
      <c r="G351" s="31" t="s">
        <v>299</v>
      </c>
      <c r="H351" s="31" t="s">
        <v>343</v>
      </c>
      <c r="I351" s="31" t="s">
        <v>40</v>
      </c>
      <c r="J351" s="31" t="s">
        <v>102</v>
      </c>
      <c r="K351" s="31"/>
      <c r="L351" s="32">
        <f>IFERROR(__xludf.DUMMYFUNCTION("VLOOKUP($A351,IMPORTRANGE(""1PQtfbQLqBUP-rjYRznmgNFBLOjvAnhGzpIx7BJWq8rk"",""'Worksheet'!$B$2:$H""),7,FALSE)"),0.96)</f>
        <v>0.96</v>
      </c>
      <c r="M351" s="31" t="s">
        <v>40</v>
      </c>
      <c r="N351" s="49">
        <v>1.3851E7</v>
      </c>
      <c r="O351" s="49">
        <v>3906562.3</v>
      </c>
      <c r="P351" s="49">
        <f t="shared" si="50"/>
        <v>9944437.7</v>
      </c>
      <c r="Q351" s="34">
        <f t="shared" si="7"/>
        <v>0.7179581041</v>
      </c>
      <c r="R351" s="31"/>
      <c r="S351" s="31" t="s">
        <v>40</v>
      </c>
      <c r="T351" s="72" t="s">
        <v>2357</v>
      </c>
      <c r="U351" s="67">
        <v>0.0</v>
      </c>
      <c r="V351" s="67" t="s">
        <v>2357</v>
      </c>
      <c r="W351" s="31"/>
      <c r="X351" s="52" t="s">
        <v>49</v>
      </c>
      <c r="Y351" s="54" t="s">
        <v>2358</v>
      </c>
      <c r="Z351" s="54" t="s">
        <v>2359</v>
      </c>
      <c r="AA351" s="74">
        <v>46265.0</v>
      </c>
      <c r="AB351" s="56"/>
      <c r="AC351" s="38" t="s">
        <v>1214</v>
      </c>
      <c r="AD351" s="39">
        <v>13851.0</v>
      </c>
      <c r="AE351" s="39">
        <v>3906.5623</v>
      </c>
      <c r="AF351" s="40">
        <v>9944.4377</v>
      </c>
      <c r="AG351" s="99" t="s">
        <v>2360</v>
      </c>
      <c r="AH351" s="85"/>
      <c r="AI351" s="177" t="str">
        <f>IFERROR(__xludf.DUMMYFUNCTION("vLOOKUP(A351,IMPORTRANGE(""https://docs.google.com/spreadsheets/d/1Rawwwdh8wntXGy8isdYNHxsNQS4n_rC8JSdPfj6vEq4"",""'500 объектов перенос на 2026'!A3:AB502""),13,0)"),"#REF!")</f>
        <v>#REF!</v>
      </c>
      <c r="AJ351" s="177" t="str">
        <f>IFERROR(__xludf.DUMMYFUNCTION("vLOOKUP(A351,IMPORTRANGE(""https://docs.google.com/spreadsheets/d/1Rawwwdh8wntXGy8isdYNHxsNQS4n_rC8JSdPfj6vEq4"",""'500 объектов перенос на 2026'!A3:AB502""),14,0)"),"#REF!")</f>
        <v>#REF!</v>
      </c>
      <c r="AK351" s="58" t="s">
        <v>2361</v>
      </c>
      <c r="AL351" s="76"/>
      <c r="AM351" s="76"/>
      <c r="AN351" s="151"/>
      <c r="AO351" s="43"/>
      <c r="AP351" s="43"/>
      <c r="AQ351" s="43"/>
      <c r="AR351" s="43"/>
      <c r="AS351" s="43"/>
      <c r="AT351" s="43"/>
      <c r="AU351" s="43"/>
      <c r="AV351" s="43"/>
      <c r="AW351" s="43"/>
      <c r="AX351" s="43"/>
      <c r="AY351" s="43"/>
      <c r="AZ351" s="43"/>
    </row>
    <row r="352">
      <c r="A352" s="62" t="s">
        <v>2362</v>
      </c>
      <c r="B352" s="63" t="s">
        <v>653</v>
      </c>
      <c r="C352" s="64" t="s">
        <v>2363</v>
      </c>
      <c r="D352" s="47" t="s">
        <v>2364</v>
      </c>
      <c r="E352" s="64" t="s">
        <v>85</v>
      </c>
      <c r="F352" s="31" t="s">
        <v>40</v>
      </c>
      <c r="G352" s="31" t="s">
        <v>156</v>
      </c>
      <c r="H352" s="31" t="s">
        <v>779</v>
      </c>
      <c r="I352" s="31" t="s">
        <v>40</v>
      </c>
      <c r="J352" s="31" t="s">
        <v>61</v>
      </c>
      <c r="K352" s="31"/>
      <c r="L352" s="32">
        <f>IFERROR(__xludf.DUMMYFUNCTION("VLOOKUP($A352,IMPORTRANGE(""1PQtfbQLqBUP-rjYRznmgNFBLOjvAnhGzpIx7BJWq8rk"",""'Worksheet'!$B$2:$H""),7,FALSE)"),0.8)</f>
        <v>0.8</v>
      </c>
      <c r="M352" s="31" t="s">
        <v>40</v>
      </c>
      <c r="N352" s="49">
        <v>1.9841024E7</v>
      </c>
      <c r="O352" s="127">
        <v>9920512.0</v>
      </c>
      <c r="P352" s="49">
        <f t="shared" si="50"/>
        <v>9920512</v>
      </c>
      <c r="Q352" s="34">
        <f t="shared" si="7"/>
        <v>0.5</v>
      </c>
      <c r="R352" s="31"/>
      <c r="S352" s="31" t="s">
        <v>40</v>
      </c>
      <c r="T352" s="91" t="s">
        <v>2365</v>
      </c>
      <c r="U352" s="51">
        <v>0.0</v>
      </c>
      <c r="V352" s="51" t="s">
        <v>2365</v>
      </c>
      <c r="W352" s="31"/>
      <c r="X352" s="52" t="s">
        <v>2366</v>
      </c>
      <c r="Y352" s="54" t="s">
        <v>2367</v>
      </c>
      <c r="Z352" s="74"/>
      <c r="AA352" s="74">
        <v>46254.0</v>
      </c>
      <c r="AB352" s="56"/>
      <c r="AC352" s="38" t="s">
        <v>507</v>
      </c>
      <c r="AD352" s="39">
        <v>19841.02</v>
      </c>
      <c r="AE352" s="39">
        <v>9920.512</v>
      </c>
      <c r="AF352" s="40">
        <v>9920.508</v>
      </c>
      <c r="AG352" s="57" t="s">
        <v>2368</v>
      </c>
      <c r="AH352" s="42" t="s">
        <v>980</v>
      </c>
      <c r="AI352" s="42" t="str">
        <f>IFERROR(__xludf.DUMMYFUNCTION("vLOOKUP(A352,IMPORTRANGE(""https://docs.google.com/spreadsheets/d/1Rawwwdh8wntXGy8isdYNHxsNQS4n_rC8JSdPfj6vEq4"",""'500 объектов перенос на 2026'!A3:AB502""),13,0)"),"#REF!")</f>
        <v>#REF!</v>
      </c>
      <c r="AJ352" s="42" t="str">
        <f>IFERROR(__xludf.DUMMYFUNCTION("vLOOKUP(A352,IMPORTRANGE(""https://docs.google.com/spreadsheets/d/1Rawwwdh8wntXGy8isdYNHxsNQS4n_rC8JSdPfj6vEq4"",""'500 объектов перенос на 2026'!A3:AB502""),14,0)"),"#REF!")</f>
        <v>#REF!</v>
      </c>
      <c r="AK352" s="76" t="s">
        <v>2369</v>
      </c>
      <c r="AL352" s="70"/>
      <c r="AM352" s="70"/>
      <c r="AN352" s="43"/>
      <c r="AO352" s="43"/>
      <c r="AP352" s="43"/>
      <c r="AQ352" s="43"/>
      <c r="AR352" s="43"/>
      <c r="AS352" s="43"/>
      <c r="AT352" s="43"/>
      <c r="AU352" s="43"/>
      <c r="AV352" s="43"/>
      <c r="AW352" s="43"/>
      <c r="AX352" s="43"/>
      <c r="AY352" s="43"/>
      <c r="AZ352" s="43"/>
    </row>
    <row r="353">
      <c r="A353" s="78" t="s">
        <v>2370</v>
      </c>
      <c r="B353" s="63" t="s">
        <v>653</v>
      </c>
      <c r="C353" s="64" t="s">
        <v>2371</v>
      </c>
      <c r="D353" s="47" t="s">
        <v>1358</v>
      </c>
      <c r="E353" s="64" t="s">
        <v>85</v>
      </c>
      <c r="F353" s="31" t="s">
        <v>60</v>
      </c>
      <c r="G353" s="31"/>
      <c r="H353" s="31"/>
      <c r="I353" s="31" t="s">
        <v>60</v>
      </c>
      <c r="J353" s="31"/>
      <c r="K353" s="31"/>
      <c r="L353" s="32" t="str">
        <f>IFERROR(__xludf.DUMMYFUNCTION("VLOOKUP($A353,IMPORTRANGE(""1PQtfbQLqBUP-rjYRznmgNFBLOjvAnhGzpIx7BJWq8rk"",""'Worksheet'!$B$2:$H""),7,FALSE)"),"#N/A")</f>
        <v>#N/A</v>
      </c>
      <c r="M353" s="31" t="s">
        <v>60</v>
      </c>
      <c r="N353" s="49">
        <v>1.916934484E7</v>
      </c>
      <c r="O353" s="49">
        <v>1.916934484E7</v>
      </c>
      <c r="P353" s="49">
        <f t="shared" si="50"/>
        <v>0</v>
      </c>
      <c r="Q353" s="34">
        <f t="shared" si="7"/>
        <v>0</v>
      </c>
      <c r="R353" s="31"/>
      <c r="S353" s="31" t="s">
        <v>60</v>
      </c>
      <c r="T353" s="91">
        <f>N353*0.95</f>
        <v>18210877.6</v>
      </c>
      <c r="U353" s="117">
        <f>T353</f>
        <v>18210877.6</v>
      </c>
      <c r="V353" s="51">
        <v>0.0</v>
      </c>
      <c r="W353" s="31"/>
      <c r="X353" s="52" t="s">
        <v>2308</v>
      </c>
      <c r="Y353" s="54"/>
      <c r="Z353" s="54"/>
      <c r="AA353" s="54" t="s">
        <v>114</v>
      </c>
      <c r="AB353" s="38" t="s">
        <v>115</v>
      </c>
      <c r="AC353" s="38"/>
      <c r="AD353" s="39">
        <v>19240.0</v>
      </c>
      <c r="AE353" s="39">
        <v>19240.0</v>
      </c>
      <c r="AF353" s="39">
        <v>0.0</v>
      </c>
      <c r="AG353" s="57" t="s">
        <v>2372</v>
      </c>
      <c r="AH353" s="42" t="s">
        <v>1191</v>
      </c>
      <c r="AI353" s="42" t="s">
        <v>1191</v>
      </c>
      <c r="AJ353" s="42" t="s">
        <v>1191</v>
      </c>
      <c r="AK353" s="76" t="s">
        <v>114</v>
      </c>
      <c r="AL353" s="70"/>
      <c r="AM353" s="70"/>
      <c r="AN353" s="43"/>
      <c r="AO353" s="43"/>
      <c r="AP353" s="43"/>
      <c r="AQ353" s="43"/>
      <c r="AR353" s="43"/>
      <c r="AS353" s="43"/>
      <c r="AT353" s="43"/>
      <c r="AU353" s="43"/>
      <c r="AV353" s="43"/>
      <c r="AW353" s="43"/>
      <c r="AX353" s="43"/>
      <c r="AY353" s="43"/>
      <c r="AZ353" s="43"/>
    </row>
    <row r="354">
      <c r="A354" s="62" t="s">
        <v>2373</v>
      </c>
      <c r="B354" s="63" t="s">
        <v>1274</v>
      </c>
      <c r="C354" s="90" t="s">
        <v>2374</v>
      </c>
      <c r="D354" s="47" t="s">
        <v>1276</v>
      </c>
      <c r="E354" s="64" t="s">
        <v>324</v>
      </c>
      <c r="F354" s="31" t="s">
        <v>60</v>
      </c>
      <c r="G354" s="31"/>
      <c r="H354" s="31"/>
      <c r="I354" s="31" t="s">
        <v>40</v>
      </c>
      <c r="J354" s="31" t="s">
        <v>102</v>
      </c>
      <c r="K354" s="31" t="s">
        <v>72</v>
      </c>
      <c r="L354" s="32">
        <f>IFERROR(__xludf.DUMMYFUNCTION("VLOOKUP($A354,IMPORTRANGE(""1PQtfbQLqBUP-rjYRznmgNFBLOjvAnhGzpIx7BJWq8rk"",""'Worksheet'!$B$2:$H""),7,FALSE)"),0.78)</f>
        <v>0.78</v>
      </c>
      <c r="M354" s="31" t="s">
        <v>45</v>
      </c>
      <c r="N354" s="49">
        <v>8.018206229E7</v>
      </c>
      <c r="O354" s="49">
        <v>7.047116742E7</v>
      </c>
      <c r="P354" s="49">
        <f t="shared" si="50"/>
        <v>9710894.87</v>
      </c>
      <c r="Q354" s="34">
        <f t="shared" si="7"/>
        <v>0.121110565</v>
      </c>
      <c r="R354" s="31"/>
      <c r="S354" s="31" t="s">
        <v>45</v>
      </c>
      <c r="T354" s="50" t="s">
        <v>2375</v>
      </c>
      <c r="U354" s="51" t="s">
        <v>2376</v>
      </c>
      <c r="V354" s="51" t="s">
        <v>2377</v>
      </c>
      <c r="W354" s="31"/>
      <c r="X354" s="52" t="s">
        <v>1348</v>
      </c>
      <c r="Y354" s="54" t="s">
        <v>2378</v>
      </c>
      <c r="Z354" s="54" t="s">
        <v>2379</v>
      </c>
      <c r="AA354" s="68">
        <v>46266.0</v>
      </c>
      <c r="AB354" s="56"/>
      <c r="AC354" s="38" t="s">
        <v>1349</v>
      </c>
      <c r="AD354" s="39">
        <v>80471.18</v>
      </c>
      <c r="AE354" s="39">
        <v>63471.81644</v>
      </c>
      <c r="AF354" s="40">
        <v>16999.36356</v>
      </c>
      <c r="AG354" s="99" t="s">
        <v>2380</v>
      </c>
      <c r="AH354" s="42"/>
      <c r="AI354" s="42" t="str">
        <f>IFERROR(__xludf.DUMMYFUNCTION("vLOOKUP(A354,IMPORTRANGE(""https://docs.google.com/spreadsheets/d/1Rawwwdh8wntXGy8isdYNHxsNQS4n_rC8JSdPfj6vEq4"",""'500 объектов перенос на 2026'!A3:AB502""),13,0)"),"#REF!")</f>
        <v>#REF!</v>
      </c>
      <c r="AJ354" s="42" t="str">
        <f>IFERROR(__xludf.DUMMYFUNCTION("vLOOKUP(A354,IMPORTRANGE(""https://docs.google.com/spreadsheets/d/1Rawwwdh8wntXGy8isdYNHxsNQS4n_rC8JSdPfj6vEq4"",""'500 объектов перенос на 2026'!A3:AB502""),14,0)"),"#REF!")</f>
        <v>#REF!</v>
      </c>
      <c r="AK354" s="76" t="s">
        <v>2381</v>
      </c>
      <c r="AL354" s="70"/>
      <c r="AM354" s="70"/>
      <c r="AN354" s="96"/>
      <c r="AO354" s="96"/>
      <c r="AP354" s="96"/>
      <c r="AQ354" s="96"/>
      <c r="AR354" s="96"/>
      <c r="AS354" s="96"/>
      <c r="AT354" s="96"/>
      <c r="AU354" s="96"/>
      <c r="AV354" s="96"/>
      <c r="AW354" s="96"/>
      <c r="AX354" s="96"/>
      <c r="AY354" s="96"/>
      <c r="AZ354" s="96"/>
    </row>
    <row r="355">
      <c r="A355" s="62" t="s">
        <v>2382</v>
      </c>
      <c r="B355" s="63" t="s">
        <v>400</v>
      </c>
      <c r="C355" s="64" t="s">
        <v>2383</v>
      </c>
      <c r="D355" s="47" t="s">
        <v>1744</v>
      </c>
      <c r="E355" s="64" t="s">
        <v>85</v>
      </c>
      <c r="F355" s="31" t="s">
        <v>60</v>
      </c>
      <c r="G355" s="31"/>
      <c r="H355" s="31"/>
      <c r="I355" s="31" t="s">
        <v>60</v>
      </c>
      <c r="J355" s="31"/>
      <c r="K355" s="31"/>
      <c r="L355" s="32">
        <f>IFERROR(__xludf.DUMMYFUNCTION("VLOOKUP($A355,IMPORTRANGE(""1PQtfbQLqBUP-rjYRznmgNFBLOjvAnhGzpIx7BJWq8rk"",""'Worksheet'!$B$2:$H""),7,FALSE)"),0.98)</f>
        <v>0.98</v>
      </c>
      <c r="M355" s="31" t="s">
        <v>45</v>
      </c>
      <c r="N355" s="49">
        <v>6.077631141E7</v>
      </c>
      <c r="O355" s="49">
        <v>5.116110141E7</v>
      </c>
      <c r="P355" s="49">
        <f t="shared" si="50"/>
        <v>9615210</v>
      </c>
      <c r="Q355" s="34">
        <f t="shared" si="7"/>
        <v>0.158206541</v>
      </c>
      <c r="R355" s="31"/>
      <c r="S355" s="31" t="s">
        <v>45</v>
      </c>
      <c r="T355" s="50"/>
      <c r="U355" s="51"/>
      <c r="V355" s="51"/>
      <c r="W355" s="31" t="s">
        <v>506</v>
      </c>
      <c r="X355" s="52" t="s">
        <v>1155</v>
      </c>
      <c r="Y355" s="54" t="s">
        <v>1748</v>
      </c>
      <c r="Z355" s="54" t="s">
        <v>1749</v>
      </c>
      <c r="AA355" s="74">
        <v>46233.0</v>
      </c>
      <c r="AB355" s="56"/>
      <c r="AC355" s="38"/>
      <c r="AD355" s="39">
        <v>60776.32</v>
      </c>
      <c r="AE355" s="39">
        <v>51161.10141</v>
      </c>
      <c r="AF355" s="40">
        <v>9615.21859</v>
      </c>
      <c r="AG355" s="57" t="s">
        <v>2384</v>
      </c>
      <c r="AH355" s="42" t="s">
        <v>745</v>
      </c>
      <c r="AI355" s="42" t="str">
        <f>IFERROR(__xludf.DUMMYFUNCTION("vLOOKUP(A355,IMPORTRANGE(""https://docs.google.com/spreadsheets/d/1Rawwwdh8wntXGy8isdYNHxsNQS4n_rC8JSdPfj6vEq4"",""'500 объектов перенос на 2026'!A3:AB502""),13,0)"),"#REF!")</f>
        <v>#REF!</v>
      </c>
      <c r="AJ355" s="42" t="str">
        <f>IFERROR(__xludf.DUMMYFUNCTION("vLOOKUP(A355,IMPORTRANGE(""https://docs.google.com/spreadsheets/d/1Rawwwdh8wntXGy8isdYNHxsNQS4n_rC8JSdPfj6vEq4"",""'500 объектов перенос на 2026'!A3:AB502""),14,0)"),"#REF!")</f>
        <v>#REF!</v>
      </c>
      <c r="AK355" s="76" t="s">
        <v>1752</v>
      </c>
      <c r="AL355" s="70"/>
      <c r="AM355" s="70"/>
      <c r="AN355" s="43"/>
      <c r="AO355" s="43"/>
      <c r="AP355" s="43"/>
      <c r="AQ355" s="43"/>
      <c r="AR355" s="43"/>
      <c r="AS355" s="43"/>
      <c r="AT355" s="43"/>
      <c r="AU355" s="43"/>
      <c r="AV355" s="43"/>
      <c r="AW355" s="43"/>
      <c r="AX355" s="43"/>
      <c r="AY355" s="43"/>
      <c r="AZ355" s="43"/>
    </row>
    <row r="356">
      <c r="A356" s="62" t="s">
        <v>2385</v>
      </c>
      <c r="B356" s="63" t="s">
        <v>1299</v>
      </c>
      <c r="C356" s="64" t="s">
        <v>2386</v>
      </c>
      <c r="D356" s="47" t="s">
        <v>2048</v>
      </c>
      <c r="E356" s="64" t="s">
        <v>85</v>
      </c>
      <c r="F356" s="31" t="s">
        <v>60</v>
      </c>
      <c r="G356" s="31"/>
      <c r="H356" s="31"/>
      <c r="I356" s="31" t="s">
        <v>40</v>
      </c>
      <c r="J356" s="31" t="s">
        <v>102</v>
      </c>
      <c r="K356" s="31" t="s">
        <v>280</v>
      </c>
      <c r="L356" s="32">
        <f>IFERROR(__xludf.DUMMYFUNCTION("VLOOKUP($A356,IMPORTRANGE(""1PQtfbQLqBUP-rjYRznmgNFBLOjvAnhGzpIx7BJWq8rk"",""'Worksheet'!$B$2:$H""),7,FALSE)"),0.75)</f>
        <v>0.75</v>
      </c>
      <c r="M356" s="31" t="s">
        <v>284</v>
      </c>
      <c r="N356" s="49">
        <v>2.403697903E7</v>
      </c>
      <c r="O356" s="49">
        <v>1.4421771E7</v>
      </c>
      <c r="P356" s="49">
        <f t="shared" si="50"/>
        <v>9615208.03</v>
      </c>
      <c r="Q356" s="34">
        <f t="shared" si="7"/>
        <v>0.4000173241</v>
      </c>
      <c r="R356" s="31"/>
      <c r="S356" s="31" t="s">
        <v>45</v>
      </c>
      <c r="T356" s="72" t="s">
        <v>2387</v>
      </c>
      <c r="U356" s="67" t="s">
        <v>2388</v>
      </c>
      <c r="V356" s="67" t="s">
        <v>2389</v>
      </c>
      <c r="W356" s="31"/>
      <c r="X356" s="52" t="s">
        <v>2104</v>
      </c>
      <c r="Y356" s="54" t="s">
        <v>2390</v>
      </c>
      <c r="Z356" s="74"/>
      <c r="AA356" s="74">
        <v>46203.0</v>
      </c>
      <c r="AB356" s="56"/>
      <c r="AC356" s="38"/>
      <c r="AD356" s="39">
        <v>48072.57</v>
      </c>
      <c r="AE356" s="39">
        <v>14421.771</v>
      </c>
      <c r="AF356" s="40">
        <v>33650.799</v>
      </c>
      <c r="AG356" s="57" t="s">
        <v>2391</v>
      </c>
      <c r="AH356" s="42" t="s">
        <v>1308</v>
      </c>
      <c r="AI356" s="42" t="str">
        <f>IFERROR(__xludf.DUMMYFUNCTION("vLOOKUP(A356,IMPORTRANGE(""https://docs.google.com/spreadsheets/d/1Rawwwdh8wntXGy8isdYNHxsNQS4n_rC8JSdPfj6vEq4"",""'500 объектов перенос на 2026'!A3:AB502""),13,0)"),"#REF!")</f>
        <v>#REF!</v>
      </c>
      <c r="AJ356" s="42" t="str">
        <f>IFERROR(__xludf.DUMMYFUNCTION("vLOOKUP(A356,IMPORTRANGE(""https://docs.google.com/spreadsheets/d/1Rawwwdh8wntXGy8isdYNHxsNQS4n_rC8JSdPfj6vEq4"",""'500 объектов перенос на 2026'!A3:AB502""),14,0)"),"#REF!")</f>
        <v>#REF!</v>
      </c>
      <c r="AK356" s="76" t="s">
        <v>2392</v>
      </c>
      <c r="AL356" s="70"/>
      <c r="AM356" s="70"/>
      <c r="AN356" s="43"/>
      <c r="AO356" s="43"/>
      <c r="AP356" s="43"/>
      <c r="AQ356" s="43"/>
      <c r="AR356" s="43"/>
      <c r="AS356" s="43"/>
      <c r="AT356" s="43"/>
      <c r="AU356" s="43"/>
      <c r="AV356" s="43"/>
      <c r="AW356" s="43"/>
      <c r="AX356" s="43"/>
      <c r="AY356" s="43"/>
      <c r="AZ356" s="43"/>
    </row>
    <row r="357">
      <c r="A357" s="62" t="s">
        <v>2393</v>
      </c>
      <c r="B357" s="63" t="s">
        <v>1586</v>
      </c>
      <c r="C357" s="64" t="s">
        <v>2394</v>
      </c>
      <c r="D357" s="47" t="s">
        <v>1276</v>
      </c>
      <c r="E357" s="64" t="s">
        <v>85</v>
      </c>
      <c r="F357" s="31" t="s">
        <v>60</v>
      </c>
      <c r="G357" s="31"/>
      <c r="H357" s="31"/>
      <c r="I357" s="31" t="s">
        <v>40</v>
      </c>
      <c r="J357" s="31" t="s">
        <v>61</v>
      </c>
      <c r="K357" s="31" t="s">
        <v>72</v>
      </c>
      <c r="L357" s="32">
        <f>IFERROR(__xludf.DUMMYFUNCTION("VLOOKUP($A357,IMPORTRANGE(""1PQtfbQLqBUP-rjYRznmgNFBLOjvAnhGzpIx7BJWq8rk"",""'Worksheet'!$B$2:$H""),7,FALSE)"),0.9)</f>
        <v>0.9</v>
      </c>
      <c r="M357" s="31" t="s">
        <v>45</v>
      </c>
      <c r="N357" s="49">
        <v>4.790691513E7</v>
      </c>
      <c r="O357" s="49">
        <v>3.830777661E7</v>
      </c>
      <c r="P357" s="49">
        <f t="shared" si="50"/>
        <v>9599138.52</v>
      </c>
      <c r="Q357" s="34">
        <f t="shared" si="7"/>
        <v>0.2003706249</v>
      </c>
      <c r="R357" s="31"/>
      <c r="S357" s="31" t="s">
        <v>45</v>
      </c>
      <c r="T357" s="72" t="s">
        <v>2395</v>
      </c>
      <c r="U357" s="67" t="s">
        <v>2396</v>
      </c>
      <c r="V357" s="67" t="s">
        <v>2397</v>
      </c>
      <c r="W357" s="31"/>
      <c r="X357" s="52" t="s">
        <v>1592</v>
      </c>
      <c r="Y357" s="54" t="s">
        <v>2128</v>
      </c>
      <c r="Z357" s="54" t="s">
        <v>1594</v>
      </c>
      <c r="AA357" s="68">
        <v>46232.0</v>
      </c>
      <c r="AB357" s="56"/>
      <c r="AC357" s="38" t="s">
        <v>1595</v>
      </c>
      <c r="AD357" s="39">
        <v>65427.51</v>
      </c>
      <c r="AE357" s="39">
        <v>38307.77661</v>
      </c>
      <c r="AF357" s="40">
        <v>27119.73339</v>
      </c>
      <c r="AG357" s="57" t="s">
        <v>2398</v>
      </c>
      <c r="AH357" s="42" t="s">
        <v>2399</v>
      </c>
      <c r="AI357" s="42" t="str">
        <f>IFERROR(__xludf.DUMMYFUNCTION("vLOOKUP(A357,IMPORTRANGE(""https://docs.google.com/spreadsheets/d/1Rawwwdh8wntXGy8isdYNHxsNQS4n_rC8JSdPfj6vEq4"",""'500 объектов перенос на 2026'!A3:AB502""),13,0)"),"#REF!")</f>
        <v>#REF!</v>
      </c>
      <c r="AJ357" s="42" t="str">
        <f>IFERROR(__xludf.DUMMYFUNCTION("vLOOKUP(A357,IMPORTRANGE(""https://docs.google.com/spreadsheets/d/1Rawwwdh8wntXGy8isdYNHxsNQS4n_rC8JSdPfj6vEq4"",""'500 объектов перенос на 2026'!A3:AB502""),14,0)"),"#REF!")</f>
        <v>#REF!</v>
      </c>
      <c r="AK357" s="76" t="s">
        <v>2332</v>
      </c>
      <c r="AL357" s="70"/>
      <c r="AM357" s="70"/>
      <c r="AN357" s="43"/>
      <c r="AO357" s="43"/>
      <c r="AP357" s="43"/>
      <c r="AQ357" s="43"/>
      <c r="AR357" s="43"/>
      <c r="AS357" s="43"/>
      <c r="AT357" s="43"/>
      <c r="AU357" s="43"/>
      <c r="AV357" s="43"/>
      <c r="AW357" s="43"/>
      <c r="AX357" s="43"/>
      <c r="AY357" s="43"/>
      <c r="AZ357" s="43"/>
    </row>
    <row r="358">
      <c r="A358" s="62" t="s">
        <v>2400</v>
      </c>
      <c r="B358" s="63" t="s">
        <v>1274</v>
      </c>
      <c r="C358" s="90" t="s">
        <v>2401</v>
      </c>
      <c r="D358" s="47" t="s">
        <v>1276</v>
      </c>
      <c r="E358" s="64" t="s">
        <v>324</v>
      </c>
      <c r="F358" s="31" t="s">
        <v>60</v>
      </c>
      <c r="G358" s="31"/>
      <c r="H358" s="31"/>
      <c r="I358" s="31" t="s">
        <v>40</v>
      </c>
      <c r="J358" s="31" t="s">
        <v>102</v>
      </c>
      <c r="K358" s="31" t="s">
        <v>72</v>
      </c>
      <c r="L358" s="32">
        <f>IFERROR(__xludf.DUMMYFUNCTION("VLOOKUP($A358,IMPORTRANGE(""1PQtfbQLqBUP-rjYRznmgNFBLOjvAnhGzpIx7BJWq8rk"",""'Worksheet'!$B$2:$H""),7,FALSE)"),0.87)</f>
        <v>0.87</v>
      </c>
      <c r="M358" s="31" t="s">
        <v>45</v>
      </c>
      <c r="N358" s="49">
        <v>7.590756282E7</v>
      </c>
      <c r="O358" s="49">
        <v>6.653918885E7</v>
      </c>
      <c r="P358" s="49">
        <f t="shared" si="50"/>
        <v>9368373.97</v>
      </c>
      <c r="Q358" s="34">
        <f t="shared" si="7"/>
        <v>0.1234181895</v>
      </c>
      <c r="R358" s="31"/>
      <c r="S358" s="31" t="s">
        <v>45</v>
      </c>
      <c r="T358" s="50" t="s">
        <v>2402</v>
      </c>
      <c r="U358" s="51" t="s">
        <v>2403</v>
      </c>
      <c r="V358" s="51" t="s">
        <v>2404</v>
      </c>
      <c r="W358" s="31"/>
      <c r="X358" s="52" t="s">
        <v>1348</v>
      </c>
      <c r="Y358" s="54" t="s">
        <v>2405</v>
      </c>
      <c r="Z358" s="54" t="s">
        <v>2379</v>
      </c>
      <c r="AA358" s="68">
        <v>46266.0</v>
      </c>
      <c r="AB358" s="56"/>
      <c r="AC358" s="38" t="s">
        <v>1349</v>
      </c>
      <c r="AD358" s="39">
        <v>76539.2</v>
      </c>
      <c r="AE358" s="39">
        <v>60632.03321</v>
      </c>
      <c r="AF358" s="40">
        <v>15907.16679</v>
      </c>
      <c r="AG358" s="99" t="s">
        <v>2406</v>
      </c>
      <c r="AH358" s="42"/>
      <c r="AI358" s="42" t="str">
        <f>IFERROR(__xludf.DUMMYFUNCTION("vLOOKUP(A358,IMPORTRANGE(""https://docs.google.com/spreadsheets/d/1Rawwwdh8wntXGy8isdYNHxsNQS4n_rC8JSdPfj6vEq4"",""'500 объектов перенос на 2026'!A3:AB502""),13,0)"),"#REF!")</f>
        <v>#REF!</v>
      </c>
      <c r="AJ358" s="42" t="str">
        <f>IFERROR(__xludf.DUMMYFUNCTION("vLOOKUP(A358,IMPORTRANGE(""https://docs.google.com/spreadsheets/d/1Rawwwdh8wntXGy8isdYNHxsNQS4n_rC8JSdPfj6vEq4"",""'500 объектов перенос на 2026'!A3:AB502""),14,0)"),"#REF!")</f>
        <v>#REF!</v>
      </c>
      <c r="AK358" s="76" t="s">
        <v>2407</v>
      </c>
      <c r="AL358" s="70"/>
      <c r="AM358" s="70"/>
      <c r="AN358" s="96"/>
      <c r="AO358" s="96"/>
      <c r="AP358" s="96"/>
      <c r="AQ358" s="96"/>
      <c r="AR358" s="96"/>
      <c r="AS358" s="96"/>
      <c r="AT358" s="96"/>
      <c r="AU358" s="96"/>
      <c r="AV358" s="96"/>
      <c r="AW358" s="96"/>
      <c r="AX358" s="96"/>
      <c r="AY358" s="96"/>
      <c r="AZ358" s="96"/>
    </row>
    <row r="359">
      <c r="A359" s="78" t="s">
        <v>2408</v>
      </c>
      <c r="B359" s="63" t="s">
        <v>653</v>
      </c>
      <c r="C359" s="64" t="s">
        <v>2409</v>
      </c>
      <c r="D359" s="47" t="s">
        <v>1149</v>
      </c>
      <c r="E359" s="64" t="s">
        <v>85</v>
      </c>
      <c r="F359" s="31" t="s">
        <v>60</v>
      </c>
      <c r="G359" s="31"/>
      <c r="H359" s="31"/>
      <c r="I359" s="31" t="s">
        <v>60</v>
      </c>
      <c r="J359" s="31"/>
      <c r="K359" s="31"/>
      <c r="L359" s="32" t="str">
        <f>IFERROR(__xludf.DUMMYFUNCTION("VLOOKUP($A359,IMPORTRANGE(""1PQtfbQLqBUP-rjYRznmgNFBLOjvAnhGzpIx7BJWq8rk"",""'Worksheet'!$B$2:$H""),7,FALSE)"),"#N/A")</f>
        <v>#N/A</v>
      </c>
      <c r="M359" s="31" t="s">
        <v>60</v>
      </c>
      <c r="N359" s="49">
        <v>2.585184E7</v>
      </c>
      <c r="O359" s="49">
        <v>2.521436214E7</v>
      </c>
      <c r="P359" s="49">
        <v>0.0</v>
      </c>
      <c r="Q359" s="34">
        <f t="shared" si="7"/>
        <v>0.02465889701</v>
      </c>
      <c r="R359" s="31"/>
      <c r="S359" s="31" t="s">
        <v>60</v>
      </c>
      <c r="T359" s="91">
        <f t="shared" ref="T359:T360" si="51">N359*0.95</f>
        <v>24559248</v>
      </c>
      <c r="U359" s="117">
        <f t="shared" ref="U359:U360" si="52">T359</f>
        <v>24559248</v>
      </c>
      <c r="V359" s="51">
        <v>0.0</v>
      </c>
      <c r="W359" s="31"/>
      <c r="X359" s="52" t="s">
        <v>2308</v>
      </c>
      <c r="Y359" s="54"/>
      <c r="Z359" s="54"/>
      <c r="AA359" s="54" t="s">
        <v>114</v>
      </c>
      <c r="AB359" s="38" t="s">
        <v>115</v>
      </c>
      <c r="AC359" s="38"/>
      <c r="AD359" s="39">
        <v>25851.84</v>
      </c>
      <c r="AE359" s="39">
        <v>25270.02464</v>
      </c>
      <c r="AF359" s="39">
        <v>581.81536</v>
      </c>
      <c r="AG359" s="57" t="s">
        <v>2410</v>
      </c>
      <c r="AH359" s="42" t="s">
        <v>2411</v>
      </c>
      <c r="AI359" s="42" t="s">
        <v>2411</v>
      </c>
      <c r="AJ359" s="42" t="s">
        <v>2411</v>
      </c>
      <c r="AK359" s="76" t="s">
        <v>114</v>
      </c>
      <c r="AL359" s="70"/>
      <c r="AM359" s="70"/>
      <c r="AN359" s="43"/>
      <c r="AO359" s="43"/>
      <c r="AP359" s="43"/>
      <c r="AQ359" s="43"/>
      <c r="AR359" s="43"/>
      <c r="AS359" s="43"/>
      <c r="AT359" s="43"/>
      <c r="AU359" s="43"/>
      <c r="AV359" s="43"/>
      <c r="AW359" s="43"/>
      <c r="AX359" s="43"/>
      <c r="AY359" s="43"/>
      <c r="AZ359" s="43"/>
    </row>
    <row r="360">
      <c r="A360" s="78" t="s">
        <v>2412</v>
      </c>
      <c r="B360" s="63" t="s">
        <v>653</v>
      </c>
      <c r="C360" s="64" t="s">
        <v>2413</v>
      </c>
      <c r="D360" s="47" t="s">
        <v>871</v>
      </c>
      <c r="E360" s="64" t="s">
        <v>85</v>
      </c>
      <c r="F360" s="31" t="s">
        <v>60</v>
      </c>
      <c r="G360" s="31"/>
      <c r="H360" s="31"/>
      <c r="I360" s="31" t="s">
        <v>60</v>
      </c>
      <c r="J360" s="31"/>
      <c r="K360" s="31"/>
      <c r="L360" s="32" t="str">
        <f>IFERROR(__xludf.DUMMYFUNCTION("VLOOKUP($A360,IMPORTRANGE(""1PQtfbQLqBUP-rjYRznmgNFBLOjvAnhGzpIx7BJWq8rk"",""'Worksheet'!$B$2:$H""),7,FALSE)"),"#N/A")</f>
        <v>#N/A</v>
      </c>
      <c r="M360" s="31" t="s">
        <v>60</v>
      </c>
      <c r="N360" s="49">
        <v>3.531760245E7</v>
      </c>
      <c r="O360" s="49">
        <v>2.953390758E7</v>
      </c>
      <c r="P360" s="49">
        <v>0.0</v>
      </c>
      <c r="Q360" s="34">
        <f t="shared" si="7"/>
        <v>0.1637623867</v>
      </c>
      <c r="R360" s="31"/>
      <c r="S360" s="31" t="s">
        <v>60</v>
      </c>
      <c r="T360" s="91">
        <f t="shared" si="51"/>
        <v>33551722.33</v>
      </c>
      <c r="U360" s="117">
        <f t="shared" si="52"/>
        <v>33551722.33</v>
      </c>
      <c r="V360" s="51">
        <v>0.0</v>
      </c>
      <c r="W360" s="31"/>
      <c r="X360" s="52" t="s">
        <v>2308</v>
      </c>
      <c r="Y360" s="54"/>
      <c r="Z360" s="54"/>
      <c r="AA360" s="54" t="s">
        <v>114</v>
      </c>
      <c r="AB360" s="38" t="s">
        <v>115</v>
      </c>
      <c r="AC360" s="38"/>
      <c r="AD360" s="39">
        <v>30636.0</v>
      </c>
      <c r="AE360" s="39">
        <v>29645.09795</v>
      </c>
      <c r="AF360" s="39">
        <v>990.90205</v>
      </c>
      <c r="AG360" s="57" t="s">
        <v>2414</v>
      </c>
      <c r="AH360" s="42" t="s">
        <v>2411</v>
      </c>
      <c r="AI360" s="42" t="s">
        <v>2411</v>
      </c>
      <c r="AJ360" s="42" t="s">
        <v>2411</v>
      </c>
      <c r="AK360" s="76" t="s">
        <v>114</v>
      </c>
      <c r="AL360" s="70"/>
      <c r="AM360" s="70"/>
      <c r="AN360" s="43"/>
      <c r="AO360" s="43"/>
      <c r="AP360" s="43"/>
      <c r="AQ360" s="43"/>
      <c r="AR360" s="43"/>
      <c r="AS360" s="43"/>
      <c r="AT360" s="43"/>
      <c r="AU360" s="43"/>
      <c r="AV360" s="43"/>
      <c r="AW360" s="43"/>
      <c r="AX360" s="43"/>
      <c r="AY360" s="43"/>
      <c r="AZ360" s="43"/>
    </row>
    <row r="361">
      <c r="A361" s="62" t="s">
        <v>2415</v>
      </c>
      <c r="B361" s="63" t="s">
        <v>56</v>
      </c>
      <c r="C361" s="64" t="s">
        <v>2416</v>
      </c>
      <c r="D361" s="47" t="s">
        <v>1041</v>
      </c>
      <c r="E361" s="64" t="s">
        <v>85</v>
      </c>
      <c r="F361" s="31" t="s">
        <v>60</v>
      </c>
      <c r="G361" s="31"/>
      <c r="H361" s="31"/>
      <c r="I361" s="31" t="s">
        <v>40</v>
      </c>
      <c r="J361" s="31" t="s">
        <v>61</v>
      </c>
      <c r="K361" s="31" t="s">
        <v>62</v>
      </c>
      <c r="L361" s="32">
        <f>IFERROR(__xludf.DUMMYFUNCTION("VLOOKUP($A361,IMPORTRANGE(""1PQtfbQLqBUP-rjYRznmgNFBLOjvAnhGzpIx7BJWq8rk"",""'Worksheet'!$B$2:$H""),7,FALSE)"),0.95)</f>
        <v>0.95</v>
      </c>
      <c r="M361" s="31" t="s">
        <v>45</v>
      </c>
      <c r="N361" s="49">
        <v>3.496283E7</v>
      </c>
      <c r="O361" s="49">
        <v>2.574939144E7</v>
      </c>
      <c r="P361" s="49">
        <f t="shared" ref="P361:P362" si="53">N361-O361</f>
        <v>9213438.56</v>
      </c>
      <c r="Q361" s="34">
        <f t="shared" si="7"/>
        <v>0.263520961</v>
      </c>
      <c r="R361" s="31"/>
      <c r="S361" s="31" t="s">
        <v>45</v>
      </c>
      <c r="T361" s="72" t="s">
        <v>2417</v>
      </c>
      <c r="U361" s="67" t="s">
        <v>2418</v>
      </c>
      <c r="V361" s="67" t="s">
        <v>2419</v>
      </c>
      <c r="W361" s="31"/>
      <c r="X361" s="52" t="s">
        <v>2420</v>
      </c>
      <c r="Y361" s="54" t="s">
        <v>2421</v>
      </c>
      <c r="Z361" s="68"/>
      <c r="AA361" s="68">
        <v>46233.0</v>
      </c>
      <c r="AB361" s="56"/>
      <c r="AC361" s="38"/>
      <c r="AD361" s="39">
        <v>40972.93</v>
      </c>
      <c r="AE361" s="39">
        <v>25749.39144</v>
      </c>
      <c r="AF361" s="40">
        <v>15223.53856</v>
      </c>
      <c r="AG361" s="57" t="s">
        <v>2422</v>
      </c>
      <c r="AH361" s="69" t="s">
        <v>66</v>
      </c>
      <c r="AI361" s="42" t="str">
        <f>IFERROR(__xludf.DUMMYFUNCTION("vLOOKUP(A361,IMPORTRANGE(""https://docs.google.com/spreadsheets/d/1Rawwwdh8wntXGy8isdYNHxsNQS4n_rC8JSdPfj6vEq4"",""'500 объектов перенос на 2026'!A3:AB502""),13,0)"),"#REF!")</f>
        <v>#REF!</v>
      </c>
      <c r="AJ361" s="42" t="str">
        <f>IFERROR(__xludf.DUMMYFUNCTION("vLOOKUP(A361,IMPORTRANGE(""https://docs.google.com/spreadsheets/d/1Rawwwdh8wntXGy8isdYNHxsNQS4n_rC8JSdPfj6vEq4"",""'500 объектов перенос на 2026'!A3:AB502""),14,0)"),"#REF!")</f>
        <v>#REF!</v>
      </c>
      <c r="AK361" s="178" t="s">
        <v>2423</v>
      </c>
      <c r="AL361" s="70" t="s">
        <v>2424</v>
      </c>
      <c r="AM361" s="70"/>
      <c r="AN361" s="96" t="s">
        <v>2425</v>
      </c>
      <c r="AO361" s="43"/>
      <c r="AP361" s="43"/>
      <c r="AQ361" s="43"/>
      <c r="AR361" s="43"/>
      <c r="AS361" s="43"/>
      <c r="AT361" s="43"/>
      <c r="AU361" s="43"/>
      <c r="AV361" s="43"/>
      <c r="AW361" s="43"/>
      <c r="AX361" s="43"/>
      <c r="AY361" s="43"/>
      <c r="AZ361" s="43"/>
    </row>
    <row r="362">
      <c r="A362" s="62" t="s">
        <v>2426</v>
      </c>
      <c r="B362" s="63" t="s">
        <v>625</v>
      </c>
      <c r="C362" s="90" t="s">
        <v>2427</v>
      </c>
      <c r="D362" s="47" t="s">
        <v>2048</v>
      </c>
      <c r="E362" s="64" t="s">
        <v>85</v>
      </c>
      <c r="F362" s="31" t="s">
        <v>60</v>
      </c>
      <c r="G362" s="31"/>
      <c r="H362" s="31"/>
      <c r="I362" s="31" t="s">
        <v>40</v>
      </c>
      <c r="J362" s="31" t="s">
        <v>102</v>
      </c>
      <c r="K362" s="31" t="s">
        <v>62</v>
      </c>
      <c r="L362" s="32">
        <f>IFERROR(__xludf.DUMMYFUNCTION("VLOOKUP($A362,IMPORTRANGE(""1PQtfbQLqBUP-rjYRznmgNFBLOjvAnhGzpIx7BJWq8rk"",""'Worksheet'!$B$2:$H""),7,FALSE)"),0.57)</f>
        <v>0.57</v>
      </c>
      <c r="M362" s="31" t="s">
        <v>40</v>
      </c>
      <c r="N362" s="49">
        <v>1.356552868E7</v>
      </c>
      <c r="O362" s="49">
        <v>4493280.0</v>
      </c>
      <c r="P362" s="49">
        <f t="shared" si="53"/>
        <v>9072248.68</v>
      </c>
      <c r="Q362" s="34">
        <f t="shared" si="7"/>
        <v>0.6687722163</v>
      </c>
      <c r="R362" s="31"/>
      <c r="S362" s="31" t="s">
        <v>40</v>
      </c>
      <c r="T362" s="50" t="s">
        <v>2428</v>
      </c>
      <c r="U362" s="51">
        <v>0.0</v>
      </c>
      <c r="V362" s="51" t="s">
        <v>2428</v>
      </c>
      <c r="W362" s="31"/>
      <c r="X362" s="52" t="s">
        <v>2050</v>
      </c>
      <c r="Y362" s="54" t="s">
        <v>2237</v>
      </c>
      <c r="Z362" s="54" t="s">
        <v>274</v>
      </c>
      <c r="AA362" s="68">
        <v>46253.0</v>
      </c>
      <c r="AB362" s="56"/>
      <c r="AC362" s="38"/>
      <c r="AD362" s="39">
        <v>14977.6</v>
      </c>
      <c r="AE362" s="39">
        <v>4493.28</v>
      </c>
      <c r="AF362" s="40">
        <v>10484.32</v>
      </c>
      <c r="AG362" s="57" t="s">
        <v>2429</v>
      </c>
      <c r="AH362" s="42" t="s">
        <v>272</v>
      </c>
      <c r="AI362" s="42" t="str">
        <f>IFERROR(__xludf.DUMMYFUNCTION("vLOOKUP(A362,IMPORTRANGE(""https://docs.google.com/spreadsheets/d/1Rawwwdh8wntXGy8isdYNHxsNQS4n_rC8JSdPfj6vEq4"",""'500 объектов перенос на 2026'!A3:AB502""),13,0)"),"#REF!")</f>
        <v>#REF!</v>
      </c>
      <c r="AJ362" s="42" t="str">
        <f>IFERROR(__xludf.DUMMYFUNCTION("vLOOKUP(A362,IMPORTRANGE(""https://docs.google.com/spreadsheets/d/1Rawwwdh8wntXGy8isdYNHxsNQS4n_rC8JSdPfj6vEq4"",""'500 объектов перенос на 2026'!A3:AB502""),14,0)"),"#REF!")</f>
        <v>#REF!</v>
      </c>
      <c r="AK362" s="140"/>
      <c r="AL362" s="119"/>
      <c r="AM362" s="119"/>
      <c r="AN362" s="43"/>
      <c r="AO362" s="43"/>
      <c r="AP362" s="43"/>
      <c r="AQ362" s="43"/>
      <c r="AR362" s="43"/>
      <c r="AS362" s="43"/>
      <c r="AT362" s="43"/>
      <c r="AU362" s="43"/>
      <c r="AV362" s="43"/>
      <c r="AW362" s="43"/>
      <c r="AX362" s="43"/>
      <c r="AY362" s="43"/>
      <c r="AZ362" s="43"/>
    </row>
    <row r="363">
      <c r="A363" s="62" t="s">
        <v>2430</v>
      </c>
      <c r="B363" s="63" t="s">
        <v>2431</v>
      </c>
      <c r="C363" s="64" t="s">
        <v>2432</v>
      </c>
      <c r="D363" s="47" t="s">
        <v>1276</v>
      </c>
      <c r="E363" s="64" t="s">
        <v>85</v>
      </c>
      <c r="F363" s="31" t="s">
        <v>60</v>
      </c>
      <c r="G363" s="31"/>
      <c r="H363" s="31"/>
      <c r="I363" s="31" t="s">
        <v>60</v>
      </c>
      <c r="J363" s="31"/>
      <c r="K363" s="31"/>
      <c r="L363" s="32">
        <f>IFERROR(__xludf.DUMMYFUNCTION("VLOOKUP($A363,IMPORTRANGE(""1PQtfbQLqBUP-rjYRznmgNFBLOjvAnhGzpIx7BJWq8rk"",""'Worksheet'!$B$2:$H""),7,FALSE)"),0.95)</f>
        <v>0.95</v>
      </c>
      <c r="M363" s="31" t="s">
        <v>60</v>
      </c>
      <c r="N363" s="49">
        <v>1.5925677557E8</v>
      </c>
      <c r="O363" s="49">
        <v>1.510208035E8</v>
      </c>
      <c r="P363" s="49">
        <v>0.0</v>
      </c>
      <c r="Q363" s="34">
        <f t="shared" si="7"/>
        <v>0.05171504974</v>
      </c>
      <c r="R363" s="31"/>
      <c r="S363" s="31" t="s">
        <v>60</v>
      </c>
      <c r="T363" s="135" t="s">
        <v>2433</v>
      </c>
      <c r="U363" s="135" t="s">
        <v>2433</v>
      </c>
      <c r="V363" s="51">
        <v>0.0</v>
      </c>
      <c r="W363" s="31"/>
      <c r="X363" s="52" t="s">
        <v>2434</v>
      </c>
      <c r="Y363" s="54" t="s">
        <v>2435</v>
      </c>
      <c r="Z363" s="74"/>
      <c r="AA363" s="74"/>
      <c r="AB363" s="179"/>
      <c r="AC363" s="37"/>
      <c r="AD363" s="39">
        <v>159256.78</v>
      </c>
      <c r="AE363" s="39">
        <v>151020.7958</v>
      </c>
      <c r="AF363" s="40">
        <v>8235.98418</v>
      </c>
      <c r="AG363" s="99" t="s">
        <v>2436</v>
      </c>
      <c r="AH363" s="42" t="s">
        <v>2104</v>
      </c>
      <c r="AI363" s="42" t="str">
        <f>IFERROR(__xludf.DUMMYFUNCTION("vLOOKUP(A363,IMPORTRANGE(""https://docs.google.com/spreadsheets/d/1Rawwwdh8wntXGy8isdYNHxsNQS4n_rC8JSdPfj6vEq4"",""'500 объектов перенос на 2026'!A3:AB502""),13,0)"),"#REF!")</f>
        <v>#REF!</v>
      </c>
      <c r="AJ363" s="42" t="str">
        <f>IFERROR(__xludf.DUMMYFUNCTION("vLOOKUP(A363,IMPORTRANGE(""https://docs.google.com/spreadsheets/d/1Rawwwdh8wntXGy8isdYNHxsNQS4n_rC8JSdPfj6vEq4"",""'500 объектов перенос на 2026'!A3:AB502""),14,0)"),"#REF!")</f>
        <v>#REF!</v>
      </c>
      <c r="AK363" s="76" t="s">
        <v>2435</v>
      </c>
      <c r="AL363" s="70"/>
      <c r="AM363" s="70"/>
      <c r="AN363" s="43"/>
      <c r="AO363" s="43"/>
      <c r="AP363" s="43"/>
      <c r="AQ363" s="43"/>
      <c r="AR363" s="43"/>
      <c r="AS363" s="43"/>
      <c r="AT363" s="43"/>
      <c r="AU363" s="43"/>
      <c r="AV363" s="43"/>
      <c r="AW363" s="43"/>
      <c r="AX363" s="43"/>
      <c r="AY363" s="43"/>
      <c r="AZ363" s="43"/>
    </row>
    <row r="364">
      <c r="A364" s="78" t="s">
        <v>2437</v>
      </c>
      <c r="B364" s="63" t="s">
        <v>2431</v>
      </c>
      <c r="C364" s="64" t="s">
        <v>2438</v>
      </c>
      <c r="D364" s="47" t="s">
        <v>1276</v>
      </c>
      <c r="E364" s="64" t="s">
        <v>85</v>
      </c>
      <c r="F364" s="31" t="s">
        <v>60</v>
      </c>
      <c r="G364" s="31"/>
      <c r="H364" s="31"/>
      <c r="I364" s="31" t="s">
        <v>60</v>
      </c>
      <c r="J364" s="31"/>
      <c r="K364" s="31"/>
      <c r="L364" s="32" t="str">
        <f>IFERROR(__xludf.DUMMYFUNCTION("VLOOKUP($A364,IMPORTRANGE(""1PQtfbQLqBUP-rjYRznmgNFBLOjvAnhGzpIx7BJWq8rk"",""'Worksheet'!$B$2:$H""),7,FALSE)"),"#N/A")</f>
        <v>#N/A</v>
      </c>
      <c r="M364" s="31" t="s">
        <v>60</v>
      </c>
      <c r="N364" s="49">
        <v>3.198955E7</v>
      </c>
      <c r="O364" s="49">
        <v>3.137779691E7</v>
      </c>
      <c r="P364" s="49">
        <v>0.0</v>
      </c>
      <c r="Q364" s="34">
        <f t="shared" si="7"/>
        <v>0.01912352909</v>
      </c>
      <c r="R364" s="31"/>
      <c r="S364" s="31" t="s">
        <v>60</v>
      </c>
      <c r="T364" s="135" t="s">
        <v>2439</v>
      </c>
      <c r="U364" s="135" t="s">
        <v>2439</v>
      </c>
      <c r="V364" s="51">
        <v>0.0</v>
      </c>
      <c r="W364" s="31"/>
      <c r="X364" s="52" t="s">
        <v>209</v>
      </c>
      <c r="Y364" s="54"/>
      <c r="Z364" s="54"/>
      <c r="AA364" s="54" t="s">
        <v>114</v>
      </c>
      <c r="AB364" s="38" t="s">
        <v>115</v>
      </c>
      <c r="AC364" s="38"/>
      <c r="AD364" s="39">
        <v>31989.55</v>
      </c>
      <c r="AE364" s="39">
        <v>31377.79691</v>
      </c>
      <c r="AF364" s="39">
        <v>611.75309</v>
      </c>
      <c r="AG364" s="57" t="s">
        <v>2440</v>
      </c>
      <c r="AH364" s="42" t="s">
        <v>2441</v>
      </c>
      <c r="AI364" s="42" t="str">
        <f>IFERROR(__xludf.DUMMYFUNCTION("vLOOKUP(A364,IMPORTRANGE(""https://docs.google.com/spreadsheets/d/1Rawwwdh8wntXGy8isdYNHxsNQS4n_rC8JSdPfj6vEq4"",""'500 объектов перенос на 2026'!A3:AB502""),13,0)"),"#REF!")</f>
        <v>#REF!</v>
      </c>
      <c r="AJ364" s="42" t="str">
        <f>IFERROR(__xludf.DUMMYFUNCTION("vLOOKUP(A364,IMPORTRANGE(""https://docs.google.com/spreadsheets/d/1Rawwwdh8wntXGy8isdYNHxsNQS4n_rC8JSdPfj6vEq4"",""'500 объектов перенос на 2026'!A3:AB502""),14,0)"),"#REF!")</f>
        <v>#REF!</v>
      </c>
      <c r="AK364" s="76" t="s">
        <v>114</v>
      </c>
      <c r="AL364" s="70"/>
      <c r="AM364" s="70"/>
      <c r="AN364" s="43"/>
      <c r="AO364" s="43"/>
      <c r="AP364" s="43"/>
      <c r="AQ364" s="43"/>
      <c r="AR364" s="43"/>
      <c r="AS364" s="43"/>
      <c r="AT364" s="43"/>
      <c r="AU364" s="43"/>
      <c r="AV364" s="43"/>
      <c r="AW364" s="43"/>
      <c r="AX364" s="43"/>
      <c r="AY364" s="43"/>
      <c r="AZ364" s="43"/>
    </row>
    <row r="365">
      <c r="A365" s="78" t="s">
        <v>2442</v>
      </c>
      <c r="B365" s="63" t="s">
        <v>2431</v>
      </c>
      <c r="C365" s="90" t="s">
        <v>2443</v>
      </c>
      <c r="D365" s="47" t="s">
        <v>1276</v>
      </c>
      <c r="E365" s="64" t="s">
        <v>85</v>
      </c>
      <c r="F365" s="31" t="s">
        <v>60</v>
      </c>
      <c r="G365" s="31"/>
      <c r="H365" s="31"/>
      <c r="I365" s="31" t="s">
        <v>60</v>
      </c>
      <c r="J365" s="31"/>
      <c r="K365" s="31"/>
      <c r="L365" s="32" t="str">
        <f>IFERROR(__xludf.DUMMYFUNCTION("VLOOKUP($A365,IMPORTRANGE(""1PQtfbQLqBUP-rjYRznmgNFBLOjvAnhGzpIx7BJWq8rk"",""'Worksheet'!$B$2:$H""),7,FALSE)"),"#N/A")</f>
        <v>#N/A</v>
      </c>
      <c r="M365" s="31" t="s">
        <v>60</v>
      </c>
      <c r="N365" s="49">
        <v>5.861831E7</v>
      </c>
      <c r="O365" s="49">
        <v>4.985963579E7</v>
      </c>
      <c r="P365" s="49">
        <v>0.0</v>
      </c>
      <c r="Q365" s="34">
        <f t="shared" si="7"/>
        <v>0.1494187432</v>
      </c>
      <c r="R365" s="31"/>
      <c r="S365" s="31" t="s">
        <v>60</v>
      </c>
      <c r="T365" s="134" t="s">
        <v>2444</v>
      </c>
      <c r="U365" s="135" t="s">
        <v>2444</v>
      </c>
      <c r="V365" s="51">
        <v>0.0</v>
      </c>
      <c r="W365" s="31"/>
      <c r="X365" s="52" t="s">
        <v>209</v>
      </c>
      <c r="Y365" s="54"/>
      <c r="Z365" s="54"/>
      <c r="AA365" s="54" t="s">
        <v>114</v>
      </c>
      <c r="AB365" s="38" t="s">
        <v>115</v>
      </c>
      <c r="AC365" s="38"/>
      <c r="AD365" s="39">
        <v>58618.31</v>
      </c>
      <c r="AE365" s="39">
        <v>49859.63579</v>
      </c>
      <c r="AF365" s="39">
        <v>8758.67421</v>
      </c>
      <c r="AG365" s="57" t="s">
        <v>2445</v>
      </c>
      <c r="AH365" s="42" t="s">
        <v>2446</v>
      </c>
      <c r="AI365" s="42" t="str">
        <f>IFERROR(__xludf.DUMMYFUNCTION("vLOOKUP(A365,IMPORTRANGE(""https://docs.google.com/spreadsheets/d/1Rawwwdh8wntXGy8isdYNHxsNQS4n_rC8JSdPfj6vEq4"",""'500 объектов перенос на 2026'!A3:AB502""),13,0)"),"#REF!")</f>
        <v>#REF!</v>
      </c>
      <c r="AJ365" s="42" t="str">
        <f>IFERROR(__xludf.DUMMYFUNCTION("vLOOKUP(A365,IMPORTRANGE(""https://docs.google.com/spreadsheets/d/1Rawwwdh8wntXGy8isdYNHxsNQS4n_rC8JSdPfj6vEq4"",""'500 объектов перенос на 2026'!A3:AB502""),14,0)"),"#REF!")</f>
        <v>#REF!</v>
      </c>
      <c r="AK365" s="76" t="s">
        <v>114</v>
      </c>
      <c r="AL365" s="70"/>
      <c r="AM365" s="70"/>
      <c r="AN365" s="43"/>
      <c r="AO365" s="43"/>
      <c r="AP365" s="43"/>
      <c r="AQ365" s="43"/>
      <c r="AR365" s="43"/>
      <c r="AS365" s="43"/>
      <c r="AT365" s="43"/>
      <c r="AU365" s="43"/>
      <c r="AV365" s="43"/>
      <c r="AW365" s="43"/>
      <c r="AX365" s="43"/>
      <c r="AY365" s="43"/>
      <c r="AZ365" s="43"/>
    </row>
    <row r="366">
      <c r="A366" s="78" t="s">
        <v>2447</v>
      </c>
      <c r="B366" s="63" t="s">
        <v>2090</v>
      </c>
      <c r="C366" s="150" t="s">
        <v>2448</v>
      </c>
      <c r="D366" s="47" t="s">
        <v>727</v>
      </c>
      <c r="E366" s="64" t="s">
        <v>39</v>
      </c>
      <c r="F366" s="31" t="s">
        <v>60</v>
      </c>
      <c r="G366" s="31"/>
      <c r="H366" s="31"/>
      <c r="I366" s="31" t="s">
        <v>60</v>
      </c>
      <c r="J366" s="31"/>
      <c r="K366" s="31"/>
      <c r="L366" s="32" t="str">
        <f>IFERROR(__xludf.DUMMYFUNCTION("VLOOKUP($A366,IMPORTRANGE(""1PQtfbQLqBUP-rjYRznmgNFBLOjvAnhGzpIx7BJWq8rk"",""'Worksheet'!$B$2:$H""),7,FALSE)"),"#N/A")</f>
        <v>#N/A</v>
      </c>
      <c r="M366" s="31" t="s">
        <v>60</v>
      </c>
      <c r="N366" s="49">
        <v>2.586563585E7</v>
      </c>
      <c r="O366" s="49">
        <v>2.586563585E7</v>
      </c>
      <c r="P366" s="49">
        <f t="shared" ref="P366:P371" si="54">N366-O366</f>
        <v>0</v>
      </c>
      <c r="Q366" s="34">
        <f t="shared" si="7"/>
        <v>0</v>
      </c>
      <c r="R366" s="31"/>
      <c r="S366" s="31" t="s">
        <v>60</v>
      </c>
      <c r="T366" s="88" t="s">
        <v>2449</v>
      </c>
      <c r="U366" s="88" t="s">
        <v>2449</v>
      </c>
      <c r="V366" s="88">
        <v>0.0</v>
      </c>
      <c r="W366" s="31"/>
      <c r="X366" s="52" t="s">
        <v>113</v>
      </c>
      <c r="Y366" s="54"/>
      <c r="Z366" s="54"/>
      <c r="AA366" s="54" t="s">
        <v>114</v>
      </c>
      <c r="AB366" s="38" t="s">
        <v>115</v>
      </c>
      <c r="AC366" s="38"/>
      <c r="AD366" s="39">
        <v>11343.92</v>
      </c>
      <c r="AE366" s="39">
        <v>25865.63585</v>
      </c>
      <c r="AF366" s="39">
        <v>-14521.71585</v>
      </c>
      <c r="AG366" s="57" t="s">
        <v>2450</v>
      </c>
      <c r="AH366" s="42" t="s">
        <v>2446</v>
      </c>
      <c r="AI366" s="42" t="str">
        <f>IFERROR(__xludf.DUMMYFUNCTION("vLOOKUP(A366,IMPORTRANGE(""https://docs.google.com/spreadsheets/d/1Rawwwdh8wntXGy8isdYNHxsNQS4n_rC8JSdPfj6vEq4"",""'500 объектов перенос на 2026'!A3:AB502""),13,0)"),"#REF!")</f>
        <v>#REF!</v>
      </c>
      <c r="AJ366" s="42" t="str">
        <f>IFERROR(__xludf.DUMMYFUNCTION("vLOOKUP(A366,IMPORTRANGE(""https://docs.google.com/spreadsheets/d/1Rawwwdh8wntXGy8isdYNHxsNQS4n_rC8JSdPfj6vEq4"",""'500 объектов перенос на 2026'!A3:AB502""),14,0)"),"#REF!")</f>
        <v>#REF!</v>
      </c>
      <c r="AK366" s="76" t="s">
        <v>114</v>
      </c>
      <c r="AL366" s="70"/>
      <c r="AM366" s="70"/>
      <c r="AN366" s="43"/>
      <c r="AO366" s="43"/>
      <c r="AP366" s="43"/>
      <c r="AQ366" s="43"/>
      <c r="AR366" s="43"/>
      <c r="AS366" s="43"/>
      <c r="AT366" s="43"/>
      <c r="AU366" s="43"/>
      <c r="AV366" s="43"/>
      <c r="AW366" s="43"/>
      <c r="AX366" s="43"/>
      <c r="AY366" s="43"/>
      <c r="AZ366" s="43"/>
    </row>
    <row r="367">
      <c r="A367" s="78" t="s">
        <v>2451</v>
      </c>
      <c r="B367" s="63" t="s">
        <v>2090</v>
      </c>
      <c r="C367" s="150" t="s">
        <v>2452</v>
      </c>
      <c r="D367" s="47" t="s">
        <v>727</v>
      </c>
      <c r="E367" s="64" t="s">
        <v>39</v>
      </c>
      <c r="F367" s="31" t="s">
        <v>60</v>
      </c>
      <c r="G367" s="31"/>
      <c r="H367" s="31"/>
      <c r="I367" s="31" t="s">
        <v>60</v>
      </c>
      <c r="J367" s="31"/>
      <c r="K367" s="31"/>
      <c r="L367" s="32" t="str">
        <f>IFERROR(__xludf.DUMMYFUNCTION("VLOOKUP($A367,IMPORTRANGE(""1PQtfbQLqBUP-rjYRznmgNFBLOjvAnhGzpIx7BJWq8rk"",""'Worksheet'!$B$2:$H""),7,FALSE)"),"#N/A")</f>
        <v>#N/A</v>
      </c>
      <c r="M367" s="31" t="s">
        <v>60</v>
      </c>
      <c r="N367" s="49">
        <v>3.044298657E7</v>
      </c>
      <c r="O367" s="49">
        <v>3.044298657E7</v>
      </c>
      <c r="P367" s="49">
        <f t="shared" si="54"/>
        <v>0</v>
      </c>
      <c r="Q367" s="34">
        <f t="shared" si="7"/>
        <v>0</v>
      </c>
      <c r="R367" s="31"/>
      <c r="S367" s="31" t="s">
        <v>60</v>
      </c>
      <c r="T367" s="88" t="s">
        <v>2453</v>
      </c>
      <c r="U367" s="88" t="s">
        <v>2453</v>
      </c>
      <c r="V367" s="88">
        <v>0.0</v>
      </c>
      <c r="W367" s="31"/>
      <c r="X367" s="52" t="s">
        <v>113</v>
      </c>
      <c r="Y367" s="54"/>
      <c r="Z367" s="54"/>
      <c r="AA367" s="54" t="s">
        <v>114</v>
      </c>
      <c r="AB367" s="38" t="s">
        <v>115</v>
      </c>
      <c r="AC367" s="38"/>
      <c r="AD367" s="39">
        <v>30442.99</v>
      </c>
      <c r="AE367" s="39">
        <v>30442.98657</v>
      </c>
      <c r="AF367" s="39">
        <v>0.00343</v>
      </c>
      <c r="AG367" s="57" t="s">
        <v>2454</v>
      </c>
      <c r="AH367" s="42" t="s">
        <v>2446</v>
      </c>
      <c r="AI367" s="42" t="str">
        <f>IFERROR(__xludf.DUMMYFUNCTION("vLOOKUP(A367,IMPORTRANGE(""https://docs.google.com/spreadsheets/d/1Rawwwdh8wntXGy8isdYNHxsNQS4n_rC8JSdPfj6vEq4"",""'500 объектов перенос на 2026'!A3:AB502""),13,0)"),"#REF!")</f>
        <v>#REF!</v>
      </c>
      <c r="AJ367" s="42" t="str">
        <f>IFERROR(__xludf.DUMMYFUNCTION("vLOOKUP(A367,IMPORTRANGE(""https://docs.google.com/spreadsheets/d/1Rawwwdh8wntXGy8isdYNHxsNQS4n_rC8JSdPfj6vEq4"",""'500 объектов перенос на 2026'!A3:AB502""),14,0)"),"#REF!")</f>
        <v>#REF!</v>
      </c>
      <c r="AK367" s="76" t="s">
        <v>114</v>
      </c>
      <c r="AL367" s="70"/>
      <c r="AM367" s="70"/>
      <c r="AN367" s="43"/>
      <c r="AO367" s="43"/>
      <c r="AP367" s="43"/>
      <c r="AQ367" s="43"/>
      <c r="AR367" s="43"/>
      <c r="AS367" s="43"/>
      <c r="AT367" s="43"/>
      <c r="AU367" s="43"/>
      <c r="AV367" s="43"/>
      <c r="AW367" s="43"/>
      <c r="AX367" s="43"/>
      <c r="AY367" s="43"/>
      <c r="AZ367" s="43"/>
    </row>
    <row r="368">
      <c r="A368" s="62" t="s">
        <v>2455</v>
      </c>
      <c r="B368" s="63" t="s">
        <v>826</v>
      </c>
      <c r="C368" s="104" t="s">
        <v>2456</v>
      </c>
      <c r="D368" s="47" t="s">
        <v>727</v>
      </c>
      <c r="E368" s="64" t="s">
        <v>85</v>
      </c>
      <c r="F368" s="31" t="s">
        <v>60</v>
      </c>
      <c r="G368" s="31"/>
      <c r="H368" s="31"/>
      <c r="I368" s="31" t="s">
        <v>40</v>
      </c>
      <c r="J368" s="31" t="s">
        <v>61</v>
      </c>
      <c r="K368" s="31" t="s">
        <v>72</v>
      </c>
      <c r="L368" s="32">
        <f>IFERROR(__xludf.DUMMYFUNCTION("VLOOKUP($A368,IMPORTRANGE(""1PQtfbQLqBUP-rjYRznmgNFBLOjvAnhGzpIx7BJWq8rk"",""'Worksheet'!$B$2:$H""),7,FALSE)"),0.96)</f>
        <v>0.96</v>
      </c>
      <c r="M368" s="31" t="s">
        <v>40</v>
      </c>
      <c r="N368" s="49">
        <v>1.264E7</v>
      </c>
      <c r="O368" s="49">
        <v>3601766.08</v>
      </c>
      <c r="P368" s="49">
        <f t="shared" si="54"/>
        <v>9038233.92</v>
      </c>
      <c r="Q368" s="34">
        <f t="shared" si="7"/>
        <v>0.7150501519</v>
      </c>
      <c r="R368" s="31"/>
      <c r="S368" s="31" t="s">
        <v>45</v>
      </c>
      <c r="T368" s="84">
        <v>1.2008E7</v>
      </c>
      <c r="U368" s="84">
        <v>3421677.78</v>
      </c>
      <c r="V368" s="84">
        <f>T368-U368</f>
        <v>8586322.22</v>
      </c>
      <c r="W368" s="31"/>
      <c r="X368" s="52">
        <v>3421677.78</v>
      </c>
      <c r="Y368" s="54" t="s">
        <v>2457</v>
      </c>
      <c r="Z368" s="54" t="s">
        <v>830</v>
      </c>
      <c r="AA368" s="74">
        <v>46235.0</v>
      </c>
      <c r="AB368" s="56"/>
      <c r="AC368" s="38"/>
      <c r="AD368" s="39">
        <v>12640.0</v>
      </c>
      <c r="AE368" s="39">
        <v>3601.76608</v>
      </c>
      <c r="AF368" s="40">
        <v>9038.23392</v>
      </c>
      <c r="AG368" s="57" t="s">
        <v>2458</v>
      </c>
      <c r="AH368" s="42" t="s">
        <v>1120</v>
      </c>
      <c r="AI368" s="42" t="str">
        <f>IFERROR(__xludf.DUMMYFUNCTION("vLOOKUP(A368,IMPORTRANGE(""https://docs.google.com/spreadsheets/d/1Rawwwdh8wntXGy8isdYNHxsNQS4n_rC8JSdPfj6vEq4"",""'500 объектов перенос на 2026'!A3:AB502""),13,0)"),"#REF!")</f>
        <v>#REF!</v>
      </c>
      <c r="AJ368" s="42" t="str">
        <f>IFERROR(__xludf.DUMMYFUNCTION("vLOOKUP(A368,IMPORTRANGE(""https://docs.google.com/spreadsheets/d/1Rawwwdh8wntXGy8isdYNHxsNQS4n_rC8JSdPfj6vEq4"",""'500 объектов перенос на 2026'!A3:AB502""),14,0)"),"#REF!")</f>
        <v>#REF!</v>
      </c>
      <c r="AK368" s="76" t="s">
        <v>2459</v>
      </c>
      <c r="AL368" s="70" t="s">
        <v>1122</v>
      </c>
      <c r="AM368" s="70"/>
      <c r="AN368" s="43"/>
      <c r="AO368" s="43"/>
      <c r="AP368" s="43"/>
      <c r="AQ368" s="43"/>
      <c r="AR368" s="43"/>
      <c r="AS368" s="43"/>
      <c r="AT368" s="43"/>
      <c r="AU368" s="43"/>
      <c r="AV368" s="43"/>
      <c r="AW368" s="43"/>
      <c r="AX368" s="43"/>
      <c r="AY368" s="43"/>
      <c r="AZ368" s="43"/>
    </row>
    <row r="369">
      <c r="A369" s="62" t="s">
        <v>2460</v>
      </c>
      <c r="B369" s="63" t="s">
        <v>725</v>
      </c>
      <c r="C369" s="180" t="s">
        <v>2461</v>
      </c>
      <c r="D369" s="47" t="s">
        <v>727</v>
      </c>
      <c r="E369" s="64" t="s">
        <v>85</v>
      </c>
      <c r="F369" s="31" t="s">
        <v>60</v>
      </c>
      <c r="G369" s="31"/>
      <c r="H369" s="31"/>
      <c r="I369" s="31" t="s">
        <v>60</v>
      </c>
      <c r="J369" s="31"/>
      <c r="K369" s="31"/>
      <c r="L369" s="32" t="str">
        <f>IFERROR(__xludf.DUMMYFUNCTION("VLOOKUP($A369,IMPORTRANGE(""1PQtfbQLqBUP-rjYRznmgNFBLOjvAnhGzpIx7BJWq8rk"",""'Worksheet'!$B$2:$H""),7,FALSE)"),"#N/A")</f>
        <v>#N/A</v>
      </c>
      <c r="M369" s="31" t="s">
        <v>40</v>
      </c>
      <c r="N369" s="49">
        <v>1.271881517E7</v>
      </c>
      <c r="O369" s="49">
        <v>3744158.69</v>
      </c>
      <c r="P369" s="49">
        <f t="shared" si="54"/>
        <v>8974656.48</v>
      </c>
      <c r="Q369" s="34">
        <f t="shared" si="7"/>
        <v>0.7056204812</v>
      </c>
      <c r="R369" s="31" t="s">
        <v>1032</v>
      </c>
      <c r="S369" s="31" t="s">
        <v>60</v>
      </c>
      <c r="T369" s="72" t="s">
        <v>2462</v>
      </c>
      <c r="U369" s="67" t="s">
        <v>2462</v>
      </c>
      <c r="V369" s="67">
        <v>0.0</v>
      </c>
      <c r="W369" s="31"/>
      <c r="X369" s="52" t="s">
        <v>2434</v>
      </c>
      <c r="Y369" s="54" t="s">
        <v>2463</v>
      </c>
      <c r="Z369" s="54" t="s">
        <v>1336</v>
      </c>
      <c r="AA369" s="74">
        <v>46235.0</v>
      </c>
      <c r="AB369" s="56"/>
      <c r="AC369" s="38"/>
      <c r="AD369" s="39">
        <v>12480.53</v>
      </c>
      <c r="AE369" s="39">
        <v>0.0</v>
      </c>
      <c r="AF369" s="40">
        <v>12480.53</v>
      </c>
      <c r="AG369" s="57" t="s">
        <v>2464</v>
      </c>
      <c r="AH369" s="85" t="s">
        <v>2465</v>
      </c>
      <c r="AI369" s="42" t="str">
        <f>IFERROR(__xludf.DUMMYFUNCTION("vLOOKUP(A369,IMPORTRANGE(""https://docs.google.com/spreadsheets/d/1Rawwwdh8wntXGy8isdYNHxsNQS4n_rC8JSdPfj6vEq4"",""'500 объектов перенос на 2026'!A3:AB502""),13,0)"),"#REF!")</f>
        <v>#REF!</v>
      </c>
      <c r="AJ369" s="42" t="str">
        <f>IFERROR(__xludf.DUMMYFUNCTION("vLOOKUP(A369,IMPORTRANGE(""https://docs.google.com/spreadsheets/d/1Rawwwdh8wntXGy8isdYNHxsNQS4n_rC8JSdPfj6vEq4"",""'500 объектов перенос на 2026'!A3:AB502""),14,0)"),"#REF!")</f>
        <v>#REF!</v>
      </c>
      <c r="AK369" s="76" t="s">
        <v>2466</v>
      </c>
      <c r="AL369" s="76" t="s">
        <v>2467</v>
      </c>
      <c r="AM369" s="70"/>
      <c r="AN369" s="96"/>
      <c r="AO369" s="43"/>
      <c r="AP369" s="43"/>
      <c r="AQ369" s="43"/>
      <c r="AR369" s="43"/>
      <c r="AS369" s="43"/>
      <c r="AT369" s="43"/>
      <c r="AU369" s="43"/>
      <c r="AV369" s="43"/>
      <c r="AW369" s="43"/>
      <c r="AX369" s="43"/>
      <c r="AY369" s="43"/>
      <c r="AZ369" s="43"/>
    </row>
    <row r="370">
      <c r="A370" s="62" t="s">
        <v>2468</v>
      </c>
      <c r="B370" s="63" t="s">
        <v>99</v>
      </c>
      <c r="C370" s="144" t="s">
        <v>2469</v>
      </c>
      <c r="D370" s="47" t="s">
        <v>2470</v>
      </c>
      <c r="E370" s="64" t="s">
        <v>85</v>
      </c>
      <c r="F370" s="31" t="s">
        <v>60</v>
      </c>
      <c r="G370" s="31"/>
      <c r="H370" s="31"/>
      <c r="I370" s="31" t="s">
        <v>60</v>
      </c>
      <c r="J370" s="31"/>
      <c r="K370" s="31"/>
      <c r="L370" s="32">
        <f>IFERROR(__xludf.DUMMYFUNCTION("VLOOKUP($A370,IMPORTRANGE(""1PQtfbQLqBUP-rjYRznmgNFBLOjvAnhGzpIx7BJWq8rk"",""'Worksheet'!$B$2:$H""),7,FALSE)"),1.0)</f>
        <v>1</v>
      </c>
      <c r="M370" s="31" t="s">
        <v>60</v>
      </c>
      <c r="N370" s="49">
        <v>1.74384E7</v>
      </c>
      <c r="O370" s="49">
        <v>8719200.0</v>
      </c>
      <c r="P370" s="49">
        <f t="shared" si="54"/>
        <v>8719200</v>
      </c>
      <c r="Q370" s="34">
        <f t="shared" si="7"/>
        <v>0.5</v>
      </c>
      <c r="R370" s="31"/>
      <c r="S370" s="31" t="s">
        <v>60</v>
      </c>
      <c r="T370" s="91">
        <f>N370*0.95</f>
        <v>16566480</v>
      </c>
      <c r="U370" s="51">
        <v>0.0</v>
      </c>
      <c r="V370" s="117">
        <v>1.656648E7</v>
      </c>
      <c r="W370" s="31"/>
      <c r="X370" s="52" t="s">
        <v>1150</v>
      </c>
      <c r="Y370" s="54" t="s">
        <v>1762</v>
      </c>
      <c r="Z370" s="54" t="s">
        <v>1152</v>
      </c>
      <c r="AA370" s="74">
        <v>46207.0</v>
      </c>
      <c r="AB370" s="56"/>
      <c r="AC370" s="38" t="s">
        <v>1153</v>
      </c>
      <c r="AD370" s="39">
        <v>17438.4</v>
      </c>
      <c r="AE370" s="39">
        <v>8719.2</v>
      </c>
      <c r="AF370" s="40">
        <v>8719.2</v>
      </c>
      <c r="AG370" s="57" t="s">
        <v>2471</v>
      </c>
      <c r="AH370" s="42" t="s">
        <v>1155</v>
      </c>
      <c r="AI370" s="42" t="str">
        <f>IFERROR(__xludf.DUMMYFUNCTION("vLOOKUP(A370,IMPORTRANGE(""https://docs.google.com/spreadsheets/d/1Rawwwdh8wntXGy8isdYNHxsNQS4n_rC8JSdPfj6vEq4"",""'500 объектов перенос на 2026'!A3:AB502""),13,0)"),"#REF!")</f>
        <v>#REF!</v>
      </c>
      <c r="AJ370" s="42" t="str">
        <f>IFERROR(__xludf.DUMMYFUNCTION("vLOOKUP(A370,IMPORTRANGE(""https://docs.google.com/spreadsheets/d/1Rawwwdh8wntXGy8isdYNHxsNQS4n_rC8JSdPfj6vEq4"",""'500 объектов перенос на 2026'!A3:AB502""),14,0)"),"#REF!")</f>
        <v>#REF!</v>
      </c>
      <c r="AK370" s="76" t="s">
        <v>2472</v>
      </c>
      <c r="AL370" s="76"/>
      <c r="AM370" s="70"/>
      <c r="AN370" s="43"/>
      <c r="AO370" s="43"/>
      <c r="AP370" s="43"/>
      <c r="AQ370" s="43"/>
      <c r="AR370" s="43"/>
      <c r="AS370" s="43"/>
      <c r="AT370" s="43"/>
      <c r="AU370" s="43"/>
      <c r="AV370" s="43"/>
      <c r="AW370" s="43"/>
      <c r="AX370" s="43"/>
      <c r="AY370" s="43"/>
      <c r="AZ370" s="43"/>
    </row>
    <row r="371">
      <c r="A371" s="62" t="s">
        <v>2473</v>
      </c>
      <c r="B371" s="63" t="s">
        <v>268</v>
      </c>
      <c r="C371" s="64" t="s">
        <v>2474</v>
      </c>
      <c r="D371" s="47" t="s">
        <v>323</v>
      </c>
      <c r="E371" s="64" t="s">
        <v>85</v>
      </c>
      <c r="F371" s="31" t="s">
        <v>40</v>
      </c>
      <c r="G371" s="31" t="s">
        <v>156</v>
      </c>
      <c r="H371" s="31" t="s">
        <v>828</v>
      </c>
      <c r="I371" s="31" t="s">
        <v>40</v>
      </c>
      <c r="J371" s="31" t="s">
        <v>61</v>
      </c>
      <c r="K371" s="31"/>
      <c r="L371" s="32">
        <f>IFERROR(__xludf.DUMMYFUNCTION("VLOOKUP($A371,IMPORTRANGE(""1PQtfbQLqBUP-rjYRznmgNFBLOjvAnhGzpIx7BJWq8rk"",""'Worksheet'!$B$2:$H""),7,FALSE)"),0.95)</f>
        <v>0.95</v>
      </c>
      <c r="M371" s="31" t="s">
        <v>40</v>
      </c>
      <c r="N371" s="49">
        <v>1.691788E7</v>
      </c>
      <c r="O371" s="49">
        <v>8291500.21</v>
      </c>
      <c r="P371" s="49">
        <f t="shared" si="54"/>
        <v>8626379.79</v>
      </c>
      <c r="Q371" s="34">
        <f t="shared" si="7"/>
        <v>0.5098972088</v>
      </c>
      <c r="R371" s="31"/>
      <c r="S371" s="31" t="s">
        <v>40</v>
      </c>
      <c r="T371" s="50" t="s">
        <v>2475</v>
      </c>
      <c r="U371" s="51">
        <v>0.0</v>
      </c>
      <c r="V371" s="51" t="s">
        <v>2475</v>
      </c>
      <c r="W371" s="31"/>
      <c r="X371" s="52" t="s">
        <v>49</v>
      </c>
      <c r="Y371" s="54" t="s">
        <v>2476</v>
      </c>
      <c r="Z371" s="54" t="s">
        <v>851</v>
      </c>
      <c r="AA371" s="68">
        <v>46280.0</v>
      </c>
      <c r="AB371" s="56"/>
      <c r="AC371" s="38"/>
      <c r="AD371" s="39">
        <v>16917.88</v>
      </c>
      <c r="AE371" s="39">
        <v>8291.50021</v>
      </c>
      <c r="AF371" s="40">
        <v>8626.37979</v>
      </c>
      <c r="AG371" s="57" t="s">
        <v>2477</v>
      </c>
      <c r="AH371" s="42" t="s">
        <v>49</v>
      </c>
      <c r="AI371" s="42" t="str">
        <f>IFERROR(__xludf.DUMMYFUNCTION("vLOOKUP(A371,IMPORTRANGE(""https://docs.google.com/spreadsheets/d/1Rawwwdh8wntXGy8isdYNHxsNQS4n_rC8JSdPfj6vEq4"",""'500 объектов перенос на 2026'!A3:AB502""),13,0)"),"#REF!")</f>
        <v>#REF!</v>
      </c>
      <c r="AJ371" s="42" t="str">
        <f>IFERROR(__xludf.DUMMYFUNCTION("vLOOKUP(A371,IMPORTRANGE(""https://docs.google.com/spreadsheets/d/1Rawwwdh8wntXGy8isdYNHxsNQS4n_rC8JSdPfj6vEq4"",""'500 объектов перенос на 2026'!A3:AB502""),14,0)"),"#REF!")</f>
        <v>#REF!</v>
      </c>
      <c r="AK371" s="58" t="s">
        <v>2478</v>
      </c>
      <c r="AL371" s="151" t="s">
        <v>2062</v>
      </c>
      <c r="AM371" s="94"/>
      <c r="AN371" s="96" t="s">
        <v>2063</v>
      </c>
      <c r="AO371" s="43"/>
      <c r="AP371" s="43"/>
      <c r="AQ371" s="43"/>
      <c r="AR371" s="43"/>
      <c r="AS371" s="43"/>
      <c r="AT371" s="43"/>
      <c r="AU371" s="43"/>
      <c r="AV371" s="43"/>
      <c r="AW371" s="43"/>
      <c r="AX371" s="43"/>
      <c r="AY371" s="43"/>
      <c r="AZ371" s="43"/>
    </row>
    <row r="372">
      <c r="A372" s="78" t="s">
        <v>2479</v>
      </c>
      <c r="B372" s="63" t="s">
        <v>894</v>
      </c>
      <c r="C372" s="64" t="s">
        <v>2480</v>
      </c>
      <c r="D372" s="47" t="s">
        <v>1331</v>
      </c>
      <c r="E372" s="64" t="s">
        <v>39</v>
      </c>
      <c r="F372" s="31" t="s">
        <v>60</v>
      </c>
      <c r="G372" s="31"/>
      <c r="H372" s="31"/>
      <c r="I372" s="31" t="s">
        <v>60</v>
      </c>
      <c r="J372" s="31"/>
      <c r="K372" s="31"/>
      <c r="L372" s="32" t="str">
        <f>IFERROR(__xludf.DUMMYFUNCTION("VLOOKUP($A372,IMPORTRANGE(""1PQtfbQLqBUP-rjYRznmgNFBLOjvAnhGzpIx7BJWq8rk"",""'Worksheet'!$B$2:$H""),7,FALSE)"),"#N/A")</f>
        <v>#N/A</v>
      </c>
      <c r="M372" s="31" t="s">
        <v>60</v>
      </c>
      <c r="N372" s="49">
        <v>2.200406E7</v>
      </c>
      <c r="O372" s="49">
        <v>1.968264354E7</v>
      </c>
      <c r="P372" s="49">
        <v>0.0</v>
      </c>
      <c r="Q372" s="34">
        <f t="shared" si="7"/>
        <v>0.1054994606</v>
      </c>
      <c r="R372" s="31"/>
      <c r="S372" s="31" t="s">
        <v>60</v>
      </c>
      <c r="T372" s="155">
        <f>N372</f>
        <v>22004060</v>
      </c>
      <c r="U372" s="172">
        <f t="shared" ref="U372:U373" si="55">T372</f>
        <v>22004060</v>
      </c>
      <c r="V372" s="51">
        <v>0.0</v>
      </c>
      <c r="W372" s="31"/>
      <c r="X372" s="52" t="s">
        <v>2308</v>
      </c>
      <c r="Y372" s="54"/>
      <c r="Z372" s="54"/>
      <c r="AA372" s="54" t="s">
        <v>114</v>
      </c>
      <c r="AB372" s="38" t="s">
        <v>115</v>
      </c>
      <c r="AC372" s="38"/>
      <c r="AD372" s="39">
        <v>22004.06</v>
      </c>
      <c r="AE372" s="39">
        <v>19834.10019</v>
      </c>
      <c r="AF372" s="39">
        <v>2169.95981</v>
      </c>
      <c r="AG372" s="57" t="s">
        <v>2481</v>
      </c>
      <c r="AH372" s="42" t="s">
        <v>2411</v>
      </c>
      <c r="AI372" s="42" t="s">
        <v>2411</v>
      </c>
      <c r="AJ372" s="42" t="s">
        <v>2411</v>
      </c>
      <c r="AK372" s="76" t="s">
        <v>114</v>
      </c>
      <c r="AL372" s="76"/>
      <c r="AM372" s="70"/>
      <c r="AN372" s="43"/>
      <c r="AO372" s="43"/>
      <c r="AP372" s="43"/>
      <c r="AQ372" s="43"/>
      <c r="AR372" s="43"/>
      <c r="AS372" s="43"/>
      <c r="AT372" s="43"/>
      <c r="AU372" s="43"/>
      <c r="AV372" s="43"/>
      <c r="AW372" s="43"/>
      <c r="AX372" s="43"/>
      <c r="AY372" s="43"/>
      <c r="AZ372" s="43"/>
    </row>
    <row r="373">
      <c r="A373" s="62" t="s">
        <v>2482</v>
      </c>
      <c r="B373" s="63" t="s">
        <v>894</v>
      </c>
      <c r="C373" s="64" t="s">
        <v>2483</v>
      </c>
      <c r="D373" s="47" t="s">
        <v>1331</v>
      </c>
      <c r="E373" s="64" t="s">
        <v>324</v>
      </c>
      <c r="F373" s="31" t="s">
        <v>60</v>
      </c>
      <c r="G373" s="31"/>
      <c r="H373" s="31"/>
      <c r="I373" s="31" t="s">
        <v>60</v>
      </c>
      <c r="J373" s="31"/>
      <c r="K373" s="31"/>
      <c r="L373" s="32">
        <f>IFERROR(__xludf.DUMMYFUNCTION("VLOOKUP($A373,IMPORTRANGE(""1PQtfbQLqBUP-rjYRznmgNFBLOjvAnhGzpIx7BJWq8rk"",""'Worksheet'!$B$2:$H""),7,FALSE)"),1.0)</f>
        <v>1</v>
      </c>
      <c r="M373" s="31" t="s">
        <v>60</v>
      </c>
      <c r="N373" s="49">
        <v>2.367253574E7</v>
      </c>
      <c r="O373" s="49">
        <v>2.010668897E7</v>
      </c>
      <c r="P373" s="49">
        <v>0.0</v>
      </c>
      <c r="Q373" s="34">
        <f t="shared" si="7"/>
        <v>0.1506322267</v>
      </c>
      <c r="R373" s="31"/>
      <c r="S373" s="31" t="s">
        <v>60</v>
      </c>
      <c r="T373" s="50">
        <f>0.95*N373</f>
        <v>22488908.95</v>
      </c>
      <c r="U373" s="50">
        <f t="shared" si="55"/>
        <v>22488908.95</v>
      </c>
      <c r="V373" s="51">
        <v>0.0</v>
      </c>
      <c r="W373" s="31"/>
      <c r="X373" s="52" t="s">
        <v>2308</v>
      </c>
      <c r="Y373" s="54"/>
      <c r="Z373" s="54"/>
      <c r="AA373" s="54" t="s">
        <v>114</v>
      </c>
      <c r="AB373" s="38" t="s">
        <v>115</v>
      </c>
      <c r="AC373" s="38"/>
      <c r="AD373" s="39">
        <v>23672.54</v>
      </c>
      <c r="AE373" s="39">
        <v>18908.94463</v>
      </c>
      <c r="AF373" s="40">
        <v>4763.59537</v>
      </c>
      <c r="AG373" s="57" t="s">
        <v>2484</v>
      </c>
      <c r="AH373" s="42" t="s">
        <v>11</v>
      </c>
      <c r="AI373" s="42" t="s">
        <v>11</v>
      </c>
      <c r="AJ373" s="42" t="s">
        <v>11</v>
      </c>
      <c r="AK373" s="76" t="s">
        <v>114</v>
      </c>
      <c r="AL373" s="76"/>
      <c r="AM373" s="70"/>
      <c r="AN373" s="43"/>
      <c r="AO373" s="43"/>
      <c r="AP373" s="43"/>
      <c r="AQ373" s="43"/>
      <c r="AR373" s="43"/>
      <c r="AS373" s="43"/>
      <c r="AT373" s="43"/>
      <c r="AU373" s="43"/>
      <c r="AV373" s="43"/>
      <c r="AW373" s="43"/>
      <c r="AX373" s="43"/>
      <c r="AY373" s="43"/>
      <c r="AZ373" s="43"/>
    </row>
    <row r="374">
      <c r="A374" s="62" t="s">
        <v>2485</v>
      </c>
      <c r="B374" s="63" t="s">
        <v>400</v>
      </c>
      <c r="C374" s="64" t="s">
        <v>2486</v>
      </c>
      <c r="D374" s="47" t="s">
        <v>1546</v>
      </c>
      <c r="E374" s="64" t="s">
        <v>85</v>
      </c>
      <c r="F374" s="31" t="s">
        <v>60</v>
      </c>
      <c r="G374" s="31"/>
      <c r="H374" s="31"/>
      <c r="I374" s="31" t="s">
        <v>60</v>
      </c>
      <c r="J374" s="31"/>
      <c r="K374" s="31"/>
      <c r="L374" s="32">
        <f>IFERROR(__xludf.DUMMYFUNCTION("VLOOKUP($A374,IMPORTRANGE(""1PQtfbQLqBUP-rjYRznmgNFBLOjvAnhGzpIx7BJWq8rk"",""'Worksheet'!$B$2:$H""),7,FALSE)"),1.0)</f>
        <v>1</v>
      </c>
      <c r="M374" s="31" t="s">
        <v>60</v>
      </c>
      <c r="N374" s="49">
        <v>2.501933275E7</v>
      </c>
      <c r="O374" s="49">
        <v>2.138397348E7</v>
      </c>
      <c r="P374" s="49">
        <f t="shared" ref="P374:P375" si="56">N374-O374</f>
        <v>3635359.27</v>
      </c>
      <c r="Q374" s="34">
        <f t="shared" si="7"/>
        <v>0.1453020073</v>
      </c>
      <c r="R374" s="31"/>
      <c r="S374" s="31" t="s">
        <v>60</v>
      </c>
      <c r="T374" s="50"/>
      <c r="U374" s="50" t="s">
        <v>2487</v>
      </c>
      <c r="V374" s="51" t="s">
        <v>2488</v>
      </c>
      <c r="W374" s="31" t="s">
        <v>148</v>
      </c>
      <c r="X374" s="52" t="s">
        <v>49</v>
      </c>
      <c r="Y374" s="54" t="s">
        <v>2489</v>
      </c>
      <c r="Z374" s="54" t="s">
        <v>2490</v>
      </c>
      <c r="AA374" s="54" t="s">
        <v>1219</v>
      </c>
      <c r="AB374" s="143"/>
      <c r="AC374" s="35"/>
      <c r="AD374" s="39">
        <v>25495.96</v>
      </c>
      <c r="AE374" s="39">
        <v>12747.98</v>
      </c>
      <c r="AF374" s="40">
        <v>12747.98</v>
      </c>
      <c r="AG374" s="57" t="s">
        <v>2491</v>
      </c>
      <c r="AH374" s="42" t="s">
        <v>51</v>
      </c>
      <c r="AI374" s="42" t="str">
        <f>IFERROR(__xludf.DUMMYFUNCTION("vLOOKUP(A374,IMPORTRANGE(""https://docs.google.com/spreadsheets/d/1Rawwwdh8wntXGy8isdYNHxsNQS4n_rC8JSdPfj6vEq4"",""'500 объектов перенос на 2026'!A3:AB502""),13,0)"),"#REF!")</f>
        <v>#REF!</v>
      </c>
      <c r="AJ374" s="42" t="str">
        <f>IFERROR(__xludf.DUMMYFUNCTION("vLOOKUP(A374,IMPORTRANGE(""https://docs.google.com/spreadsheets/d/1Rawwwdh8wntXGy8isdYNHxsNQS4n_rC8JSdPfj6vEq4"",""'500 объектов перенос на 2026'!A3:AB502""),14,0)"),"#REF!")</f>
        <v>#REF!</v>
      </c>
      <c r="AK374" s="138" t="s">
        <v>11</v>
      </c>
      <c r="AL374" s="138"/>
      <c r="AM374" s="110"/>
      <c r="AN374" s="181" t="s">
        <v>2492</v>
      </c>
      <c r="AO374" s="181"/>
      <c r="AP374" s="181"/>
      <c r="AQ374" s="181"/>
      <c r="AR374" s="181"/>
      <c r="AS374" s="181"/>
      <c r="AT374" s="181"/>
      <c r="AU374" s="181"/>
      <c r="AV374" s="181"/>
      <c r="AW374" s="181"/>
      <c r="AX374" s="181"/>
      <c r="AY374" s="181"/>
      <c r="AZ374" s="181"/>
    </row>
    <row r="375">
      <c r="A375" s="78" t="s">
        <v>2493</v>
      </c>
      <c r="B375" s="63" t="s">
        <v>894</v>
      </c>
      <c r="C375" s="64" t="s">
        <v>2494</v>
      </c>
      <c r="D375" s="47" t="s">
        <v>2495</v>
      </c>
      <c r="E375" s="64" t="s">
        <v>85</v>
      </c>
      <c r="F375" s="31" t="s">
        <v>60</v>
      </c>
      <c r="G375" s="31"/>
      <c r="H375" s="31"/>
      <c r="I375" s="31" t="s">
        <v>60</v>
      </c>
      <c r="J375" s="31"/>
      <c r="K375" s="31"/>
      <c r="L375" s="32" t="str">
        <f>IFERROR(__xludf.DUMMYFUNCTION("VLOOKUP($A375,IMPORTRANGE(""1PQtfbQLqBUP-rjYRznmgNFBLOjvAnhGzpIx7BJWq8rk"",""'Worksheet'!$B$2:$H""),7,FALSE)"),"#N/A")</f>
        <v>#N/A</v>
      </c>
      <c r="M375" s="31" t="s">
        <v>60</v>
      </c>
      <c r="N375" s="49">
        <v>9.648258645E7</v>
      </c>
      <c r="O375" s="49">
        <v>9.648258645E7</v>
      </c>
      <c r="P375" s="49">
        <f t="shared" si="56"/>
        <v>0</v>
      </c>
      <c r="Q375" s="34">
        <f t="shared" si="7"/>
        <v>0</v>
      </c>
      <c r="R375" s="31"/>
      <c r="S375" s="31" t="s">
        <v>60</v>
      </c>
      <c r="T375" s="50">
        <f t="shared" ref="T375:T377" si="57">0.95*N375</f>
        <v>91658457.13</v>
      </c>
      <c r="U375" s="51">
        <f t="shared" ref="U375:U377" si="58">T375</f>
        <v>91658457.13</v>
      </c>
      <c r="V375" s="51">
        <v>0.0</v>
      </c>
      <c r="W375" s="31"/>
      <c r="X375" s="52" t="s">
        <v>2308</v>
      </c>
      <c r="Y375" s="54"/>
      <c r="Z375" s="54"/>
      <c r="AA375" s="54" t="s">
        <v>114</v>
      </c>
      <c r="AB375" s="38" t="s">
        <v>115</v>
      </c>
      <c r="AC375" s="38"/>
      <c r="AD375" s="39">
        <v>99480.24</v>
      </c>
      <c r="AE375" s="39">
        <v>99480.24082</v>
      </c>
      <c r="AF375" s="39">
        <v>-8.2E-4</v>
      </c>
      <c r="AG375" s="57" t="s">
        <v>2496</v>
      </c>
      <c r="AH375" s="42" t="s">
        <v>1191</v>
      </c>
      <c r="AI375" s="42" t="s">
        <v>1191</v>
      </c>
      <c r="AJ375" s="42" t="s">
        <v>1191</v>
      </c>
      <c r="AK375" s="76" t="s">
        <v>114</v>
      </c>
      <c r="AL375" s="76"/>
      <c r="AM375" s="70"/>
      <c r="AN375" s="43"/>
      <c r="AO375" s="43"/>
      <c r="AP375" s="43"/>
      <c r="AQ375" s="43"/>
      <c r="AR375" s="43"/>
      <c r="AS375" s="43"/>
      <c r="AT375" s="43"/>
      <c r="AU375" s="43"/>
      <c r="AV375" s="43"/>
      <c r="AW375" s="43"/>
      <c r="AX375" s="43"/>
      <c r="AY375" s="43"/>
      <c r="AZ375" s="43"/>
    </row>
    <row r="376">
      <c r="A376" s="78" t="s">
        <v>2497</v>
      </c>
      <c r="B376" s="63" t="s">
        <v>894</v>
      </c>
      <c r="C376" s="64" t="s">
        <v>2498</v>
      </c>
      <c r="D376" s="47" t="s">
        <v>885</v>
      </c>
      <c r="E376" s="64" t="s">
        <v>85</v>
      </c>
      <c r="F376" s="31" t="s">
        <v>60</v>
      </c>
      <c r="G376" s="31"/>
      <c r="H376" s="31"/>
      <c r="I376" s="31" t="s">
        <v>60</v>
      </c>
      <c r="J376" s="31"/>
      <c r="K376" s="31"/>
      <c r="L376" s="32" t="str">
        <f>IFERROR(__xludf.DUMMYFUNCTION("VLOOKUP($A376,IMPORTRANGE(""1PQtfbQLqBUP-rjYRznmgNFBLOjvAnhGzpIx7BJWq8rk"",""'Worksheet'!$B$2:$H""),7,FALSE)"),"#N/A")</f>
        <v>#N/A</v>
      </c>
      <c r="M376" s="31" t="s">
        <v>60</v>
      </c>
      <c r="N376" s="49">
        <v>2.001495566E7</v>
      </c>
      <c r="O376" s="49">
        <v>1.130989587E7</v>
      </c>
      <c r="P376" s="49">
        <v>0.0</v>
      </c>
      <c r="Q376" s="34">
        <f t="shared" si="7"/>
        <v>0.4349277579</v>
      </c>
      <c r="R376" s="31"/>
      <c r="S376" s="31" t="s">
        <v>60</v>
      </c>
      <c r="T376" s="50">
        <f t="shared" si="57"/>
        <v>19014207.88</v>
      </c>
      <c r="U376" s="50">
        <f t="shared" si="58"/>
        <v>19014207.88</v>
      </c>
      <c r="V376" s="51">
        <v>0.0</v>
      </c>
      <c r="W376" s="31"/>
      <c r="X376" s="52" t="s">
        <v>2308</v>
      </c>
      <c r="Y376" s="54"/>
      <c r="Z376" s="54"/>
      <c r="AA376" s="54" t="s">
        <v>114</v>
      </c>
      <c r="AB376" s="38" t="s">
        <v>115</v>
      </c>
      <c r="AC376" s="38"/>
      <c r="AD376" s="39">
        <v>20014.96</v>
      </c>
      <c r="AE376" s="39">
        <v>11481.77611</v>
      </c>
      <c r="AF376" s="39">
        <v>8533.18389</v>
      </c>
      <c r="AG376" s="57" t="s">
        <v>2499</v>
      </c>
      <c r="AH376" s="42" t="s">
        <v>1191</v>
      </c>
      <c r="AI376" s="42" t="str">
        <f>IFERROR(__xludf.DUMMYFUNCTION("vLOOKUP(A376,IMPORTRANGE(""https://docs.google.com/spreadsheets/d/1Rawwwdh8wntXGy8isdYNHxsNQS4n_rC8JSdPfj6vEq4"",""'500 объектов перенос на 2026'!A3:AB502""),13,0)"),"#REF!")</f>
        <v>#REF!</v>
      </c>
      <c r="AJ376" s="42" t="str">
        <f>IFERROR(__xludf.DUMMYFUNCTION("vLOOKUP(A376,IMPORTRANGE(""https://docs.google.com/spreadsheets/d/1Rawwwdh8wntXGy8isdYNHxsNQS4n_rC8JSdPfj6vEq4"",""'500 объектов перенос на 2026'!A3:AB502""),14,0)"),"#REF!")</f>
        <v>#REF!</v>
      </c>
      <c r="AK376" s="76" t="s">
        <v>114</v>
      </c>
      <c r="AL376" s="76"/>
      <c r="AM376" s="70"/>
      <c r="AN376" s="43"/>
      <c r="AO376" s="43"/>
      <c r="AP376" s="43"/>
      <c r="AQ376" s="43"/>
      <c r="AR376" s="43"/>
      <c r="AS376" s="43"/>
      <c r="AT376" s="43"/>
      <c r="AU376" s="43"/>
      <c r="AV376" s="43"/>
      <c r="AW376" s="43"/>
      <c r="AX376" s="43"/>
      <c r="AY376" s="43"/>
      <c r="AZ376" s="43"/>
    </row>
    <row r="377">
      <c r="A377" s="78" t="s">
        <v>2500</v>
      </c>
      <c r="B377" s="63" t="s">
        <v>894</v>
      </c>
      <c r="C377" s="64" t="s">
        <v>2501</v>
      </c>
      <c r="D377" s="47" t="s">
        <v>885</v>
      </c>
      <c r="E377" s="64" t="s">
        <v>85</v>
      </c>
      <c r="F377" s="31" t="s">
        <v>60</v>
      </c>
      <c r="G377" s="31"/>
      <c r="H377" s="31"/>
      <c r="I377" s="31" t="s">
        <v>60</v>
      </c>
      <c r="J377" s="31"/>
      <c r="K377" s="31"/>
      <c r="L377" s="32" t="str">
        <f>IFERROR(__xludf.DUMMYFUNCTION("VLOOKUP($A377,IMPORTRANGE(""1PQtfbQLqBUP-rjYRznmgNFBLOjvAnhGzpIx7BJWq8rk"",""'Worksheet'!$B$2:$H""),7,FALSE)"),"#N/A")</f>
        <v>#N/A</v>
      </c>
      <c r="M377" s="31" t="s">
        <v>60</v>
      </c>
      <c r="N377" s="49">
        <v>1.239055E7</v>
      </c>
      <c r="O377" s="49">
        <v>5587696.84</v>
      </c>
      <c r="P377" s="49">
        <v>0.0</v>
      </c>
      <c r="Q377" s="34">
        <f t="shared" si="7"/>
        <v>0.5490356086</v>
      </c>
      <c r="R377" s="31"/>
      <c r="S377" s="31" t="s">
        <v>60</v>
      </c>
      <c r="T377" s="50">
        <f t="shared" si="57"/>
        <v>11771022.5</v>
      </c>
      <c r="U377" s="51">
        <f t="shared" si="58"/>
        <v>11771022.5</v>
      </c>
      <c r="V377" s="51">
        <v>0.0</v>
      </c>
      <c r="W377" s="31"/>
      <c r="X377" s="52" t="s">
        <v>2308</v>
      </c>
      <c r="Y377" s="54"/>
      <c r="Z377" s="54"/>
      <c r="AA377" s="54" t="s">
        <v>114</v>
      </c>
      <c r="AB377" s="38" t="s">
        <v>115</v>
      </c>
      <c r="AC377" s="38"/>
      <c r="AD377" s="39">
        <v>12390.55</v>
      </c>
      <c r="AE377" s="39">
        <v>5629.58832</v>
      </c>
      <c r="AF377" s="39">
        <v>6760.96168</v>
      </c>
      <c r="AG377" s="57" t="s">
        <v>2502</v>
      </c>
      <c r="AH377" s="42" t="s">
        <v>1191</v>
      </c>
      <c r="AI377" s="42" t="str">
        <f>IFERROR(__xludf.DUMMYFUNCTION("vLOOKUP(A377,IMPORTRANGE(""https://docs.google.com/spreadsheets/d/1Rawwwdh8wntXGy8isdYNHxsNQS4n_rC8JSdPfj6vEq4"",""'500 объектов перенос на 2026'!A3:AB502""),13,0)"),"#REF!")</f>
        <v>#REF!</v>
      </c>
      <c r="AJ377" s="42" t="str">
        <f>IFERROR(__xludf.DUMMYFUNCTION("vLOOKUP(A377,IMPORTRANGE(""https://docs.google.com/spreadsheets/d/1Rawwwdh8wntXGy8isdYNHxsNQS4n_rC8JSdPfj6vEq4"",""'500 объектов перенос на 2026'!A3:AB502""),14,0)"),"#REF!")</f>
        <v>#REF!</v>
      </c>
      <c r="AK377" s="76" t="s">
        <v>114</v>
      </c>
      <c r="AL377" s="76"/>
      <c r="AM377" s="70"/>
      <c r="AN377" s="43"/>
      <c r="AO377" s="43"/>
      <c r="AP377" s="43"/>
      <c r="AQ377" s="43"/>
      <c r="AR377" s="43"/>
      <c r="AS377" s="43"/>
      <c r="AT377" s="43"/>
      <c r="AU377" s="43"/>
      <c r="AV377" s="43"/>
      <c r="AW377" s="43"/>
      <c r="AX377" s="43"/>
      <c r="AY377" s="43"/>
      <c r="AZ377" s="43"/>
    </row>
    <row r="378">
      <c r="A378" s="62" t="s">
        <v>2503</v>
      </c>
      <c r="B378" s="63" t="s">
        <v>56</v>
      </c>
      <c r="C378" s="64" t="s">
        <v>2504</v>
      </c>
      <c r="D378" s="47" t="s">
        <v>957</v>
      </c>
      <c r="E378" s="64" t="s">
        <v>39</v>
      </c>
      <c r="F378" s="31" t="s">
        <v>60</v>
      </c>
      <c r="G378" s="31"/>
      <c r="H378" s="31"/>
      <c r="I378" s="31" t="s">
        <v>60</v>
      </c>
      <c r="J378" s="31"/>
      <c r="K378" s="31"/>
      <c r="L378" s="32">
        <f>IFERROR(__xludf.DUMMYFUNCTION("VLOOKUP($A378,IMPORTRANGE(""1PQtfbQLqBUP-rjYRznmgNFBLOjvAnhGzpIx7BJWq8rk"",""'Worksheet'!$B$2:$H""),7,FALSE)"),1.0)</f>
        <v>1</v>
      </c>
      <c r="M378" s="31" t="s">
        <v>45</v>
      </c>
      <c r="N378" s="49">
        <v>8.105215824E7</v>
      </c>
      <c r="O378" s="49">
        <v>7.244893431E7</v>
      </c>
      <c r="P378" s="49">
        <f t="shared" ref="P378:P379" si="59">N378-O378</f>
        <v>8603223.93</v>
      </c>
      <c r="Q378" s="34">
        <f t="shared" si="7"/>
        <v>0.1061442917</v>
      </c>
      <c r="R378" s="31" t="s">
        <v>2505</v>
      </c>
      <c r="S378" s="31" t="s">
        <v>60</v>
      </c>
      <c r="T378" s="72" t="s">
        <v>2506</v>
      </c>
      <c r="U378" s="67" t="s">
        <v>2506</v>
      </c>
      <c r="V378" s="51">
        <v>0.0</v>
      </c>
      <c r="W378" s="31"/>
      <c r="X378" s="182" t="s">
        <v>2507</v>
      </c>
      <c r="Y378" s="54" t="s">
        <v>2508</v>
      </c>
      <c r="Z378" s="68"/>
      <c r="AA378" s="68">
        <v>46325.0</v>
      </c>
      <c r="AB378" s="56"/>
      <c r="AC378" s="38" t="s">
        <v>2509</v>
      </c>
      <c r="AD378" s="39">
        <v>81052.16</v>
      </c>
      <c r="AE378" s="39">
        <v>72448.93431</v>
      </c>
      <c r="AF378" s="40">
        <v>8603.22569</v>
      </c>
      <c r="AG378" s="57" t="s">
        <v>2510</v>
      </c>
      <c r="AH378" s="69" t="s">
        <v>1906</v>
      </c>
      <c r="AI378" s="42" t="str">
        <f>IFERROR(__xludf.DUMMYFUNCTION("vLOOKUP(A378,IMPORTRANGE(""https://docs.google.com/spreadsheets/d/1Rawwwdh8wntXGy8isdYNHxsNQS4n_rC8JSdPfj6vEq4"",""'500 объектов перенос на 2026'!A3:AB502""),13,0)"),"#REF!")</f>
        <v>#REF!</v>
      </c>
      <c r="AJ378" s="42" t="str">
        <f>IFERROR(__xludf.DUMMYFUNCTION("vLOOKUP(A378,IMPORTRANGE(""https://docs.google.com/spreadsheets/d/1Rawwwdh8wntXGy8isdYNHxsNQS4n_rC8JSdPfj6vEq4"",""'500 объектов перенос на 2026'!A3:AB502""),14,0)"),"#REF!")</f>
        <v>#REF!</v>
      </c>
      <c r="AK378" s="183" t="s">
        <v>2511</v>
      </c>
      <c r="AL378" s="76"/>
      <c r="AM378" s="70"/>
      <c r="AN378" s="184"/>
      <c r="AO378" s="184"/>
      <c r="AP378" s="184"/>
      <c r="AQ378" s="184"/>
      <c r="AR378" s="184"/>
      <c r="AS378" s="184"/>
      <c r="AT378" s="184"/>
      <c r="AU378" s="184"/>
      <c r="AV378" s="184"/>
      <c r="AW378" s="184"/>
      <c r="AX378" s="184"/>
      <c r="AY378" s="184"/>
      <c r="AZ378" s="184"/>
    </row>
    <row r="379">
      <c r="A379" s="62" t="s">
        <v>2512</v>
      </c>
      <c r="B379" s="63" t="s">
        <v>992</v>
      </c>
      <c r="C379" s="64" t="s">
        <v>2513</v>
      </c>
      <c r="D379" s="47" t="s">
        <v>848</v>
      </c>
      <c r="E379" s="64" t="s">
        <v>85</v>
      </c>
      <c r="F379" s="31" t="s">
        <v>40</v>
      </c>
      <c r="G379" s="31" t="s">
        <v>41</v>
      </c>
      <c r="H379" s="31" t="s">
        <v>343</v>
      </c>
      <c r="I379" s="31" t="s">
        <v>40</v>
      </c>
      <c r="J379" s="31" t="s">
        <v>61</v>
      </c>
      <c r="K379" s="31"/>
      <c r="L379" s="32">
        <f>IFERROR(__xludf.DUMMYFUNCTION("VLOOKUP($A379,IMPORTRANGE(""1PQtfbQLqBUP-rjYRznmgNFBLOjvAnhGzpIx7BJWq8rk"",""'Worksheet'!$B$2:$H""),7,FALSE)"),0.74)</f>
        <v>0.74</v>
      </c>
      <c r="M379" s="31" t="s">
        <v>40</v>
      </c>
      <c r="N379" s="49">
        <v>1.16301E7</v>
      </c>
      <c r="O379" s="49">
        <v>3316829.31</v>
      </c>
      <c r="P379" s="49">
        <f t="shared" si="59"/>
        <v>8313270.69</v>
      </c>
      <c r="Q379" s="34">
        <f t="shared" si="7"/>
        <v>0.7148064668</v>
      </c>
      <c r="R379" s="31"/>
      <c r="S379" s="31" t="s">
        <v>40</v>
      </c>
      <c r="T379" s="88" t="s">
        <v>2514</v>
      </c>
      <c r="U379" s="51">
        <v>0.0</v>
      </c>
      <c r="V379" s="88" t="s">
        <v>2514</v>
      </c>
      <c r="W379" s="31"/>
      <c r="X379" s="52" t="s">
        <v>2515</v>
      </c>
      <c r="Y379" s="73" t="s">
        <v>2516</v>
      </c>
      <c r="Z379" s="68"/>
      <c r="AA379" s="68">
        <v>46265.0</v>
      </c>
      <c r="AB379" s="56"/>
      <c r="AC379" s="38" t="s">
        <v>2517</v>
      </c>
      <c r="AD379" s="39">
        <v>11630.1</v>
      </c>
      <c r="AE379" s="39">
        <v>3316.82931</v>
      </c>
      <c r="AF379" s="40">
        <v>8313.27069</v>
      </c>
      <c r="AG379" s="57" t="s">
        <v>2518</v>
      </c>
      <c r="AH379" s="42" t="s">
        <v>2519</v>
      </c>
      <c r="AI379" s="42" t="str">
        <f>IFERROR(__xludf.DUMMYFUNCTION("vLOOKUP(A379,IMPORTRANGE(""https://docs.google.com/spreadsheets/d/1Rawwwdh8wntXGy8isdYNHxsNQS4n_rC8JSdPfj6vEq4"",""'500 объектов перенос на 2026'!A3:AB502""),13,0)"),"#REF!")</f>
        <v>#REF!</v>
      </c>
      <c r="AJ379" s="42" t="str">
        <f>IFERROR(__xludf.DUMMYFUNCTION("vLOOKUP(A379,IMPORTRANGE(""https://docs.google.com/spreadsheets/d/1Rawwwdh8wntXGy8isdYNHxsNQS4n_rC8JSdPfj6vEq4"",""'500 объектов перенос на 2026'!A3:AB502""),14,0)"),"#REF!")</f>
        <v>#REF!</v>
      </c>
      <c r="AK379" s="86" t="s">
        <v>2520</v>
      </c>
      <c r="AL379" s="86"/>
      <c r="AM379" s="87"/>
      <c r="AN379" s="43"/>
      <c r="AO379" s="43"/>
      <c r="AP379" s="43"/>
      <c r="AQ379" s="43"/>
      <c r="AR379" s="43"/>
      <c r="AS379" s="43"/>
      <c r="AT379" s="43"/>
      <c r="AU379" s="43"/>
      <c r="AV379" s="43"/>
      <c r="AW379" s="43"/>
      <c r="AX379" s="43"/>
      <c r="AY379" s="43"/>
      <c r="AZ379" s="43"/>
    </row>
    <row r="380">
      <c r="A380" s="62" t="s">
        <v>2521</v>
      </c>
      <c r="B380" s="63" t="s">
        <v>894</v>
      </c>
      <c r="C380" s="64" t="s">
        <v>2522</v>
      </c>
      <c r="D380" s="47" t="s">
        <v>1331</v>
      </c>
      <c r="E380" s="64" t="s">
        <v>85</v>
      </c>
      <c r="F380" s="31" t="s">
        <v>60</v>
      </c>
      <c r="G380" s="31"/>
      <c r="H380" s="31"/>
      <c r="I380" s="31" t="s">
        <v>60</v>
      </c>
      <c r="J380" s="31"/>
      <c r="K380" s="31"/>
      <c r="L380" s="32">
        <f>IFERROR(__xludf.DUMMYFUNCTION("VLOOKUP($A380,IMPORTRANGE(""1PQtfbQLqBUP-rjYRznmgNFBLOjvAnhGzpIx7BJWq8rk"",""'Worksheet'!$B$2:$H""),7,FALSE)"),0.93)</f>
        <v>0.93</v>
      </c>
      <c r="M380" s="31" t="s">
        <v>60</v>
      </c>
      <c r="N380" s="49">
        <v>8.517680556E7</v>
      </c>
      <c r="O380" s="49">
        <v>6.881294014E7</v>
      </c>
      <c r="P380" s="49">
        <v>0.0</v>
      </c>
      <c r="Q380" s="34">
        <f t="shared" si="7"/>
        <v>0.192116449</v>
      </c>
      <c r="R380" s="31"/>
      <c r="S380" s="31" t="s">
        <v>60</v>
      </c>
      <c r="T380" s="50" t="s">
        <v>2523</v>
      </c>
      <c r="U380" s="51" t="s">
        <v>2524</v>
      </c>
      <c r="V380" s="51" t="s">
        <v>2525</v>
      </c>
      <c r="W380" s="31"/>
      <c r="X380" s="52" t="s">
        <v>2526</v>
      </c>
      <c r="Y380" s="54"/>
      <c r="Z380" s="54"/>
      <c r="AA380" s="54" t="s">
        <v>114</v>
      </c>
      <c r="AB380" s="38" t="s">
        <v>115</v>
      </c>
      <c r="AC380" s="38" t="s">
        <v>901</v>
      </c>
      <c r="AD380" s="39">
        <v>85176.81</v>
      </c>
      <c r="AE380" s="39">
        <v>64022.76607</v>
      </c>
      <c r="AF380" s="40">
        <v>21154.04393</v>
      </c>
      <c r="AG380" s="57" t="s">
        <v>2527</v>
      </c>
      <c r="AH380" s="42" t="s">
        <v>1219</v>
      </c>
      <c r="AI380" s="42" t="s">
        <v>1219</v>
      </c>
      <c r="AJ380" s="42" t="s">
        <v>1219</v>
      </c>
      <c r="AK380" s="76" t="s">
        <v>114</v>
      </c>
      <c r="AL380" s="76"/>
      <c r="AM380" s="70"/>
      <c r="AN380" s="43"/>
      <c r="AO380" s="43"/>
      <c r="AP380" s="43"/>
      <c r="AQ380" s="43"/>
      <c r="AR380" s="43"/>
      <c r="AS380" s="43"/>
      <c r="AT380" s="43"/>
      <c r="AU380" s="43"/>
      <c r="AV380" s="43"/>
      <c r="AW380" s="43"/>
      <c r="AX380" s="43"/>
      <c r="AY380" s="43"/>
      <c r="AZ380" s="43"/>
    </row>
    <row r="381">
      <c r="A381" s="78" t="s">
        <v>2528</v>
      </c>
      <c r="B381" s="63" t="s">
        <v>2529</v>
      </c>
      <c r="C381" s="64" t="s">
        <v>2530</v>
      </c>
      <c r="D381" s="47" t="s">
        <v>1947</v>
      </c>
      <c r="E381" s="64" t="s">
        <v>324</v>
      </c>
      <c r="F381" s="31" t="s">
        <v>60</v>
      </c>
      <c r="G381" s="31"/>
      <c r="H381" s="31"/>
      <c r="I381" s="31" t="s">
        <v>60</v>
      </c>
      <c r="J381" s="31"/>
      <c r="K381" s="31"/>
      <c r="L381" s="32" t="str">
        <f>IFERROR(__xludf.DUMMYFUNCTION("VLOOKUP($A381,IMPORTRANGE(""1PQtfbQLqBUP-rjYRznmgNFBLOjvAnhGzpIx7BJWq8rk"",""'Worksheet'!$B$2:$H""),7,FALSE)"),"#N/A")</f>
        <v>#N/A</v>
      </c>
      <c r="M381" s="31" t="s">
        <v>60</v>
      </c>
      <c r="N381" s="49">
        <v>3.593970534E7</v>
      </c>
      <c r="O381" s="49">
        <v>3.593970534E7</v>
      </c>
      <c r="P381" s="49">
        <f t="shared" ref="P381:P384" si="61">N381-O381</f>
        <v>0</v>
      </c>
      <c r="Q381" s="34">
        <f t="shared" si="7"/>
        <v>0</v>
      </c>
      <c r="R381" s="31"/>
      <c r="S381" s="31" t="s">
        <v>60</v>
      </c>
      <c r="T381" s="50">
        <f t="shared" ref="T381:U381" si="60">N381*0.95</f>
        <v>34142720.07</v>
      </c>
      <c r="U381" s="50">
        <f t="shared" si="60"/>
        <v>34142720.07</v>
      </c>
      <c r="V381" s="51">
        <v>0.0</v>
      </c>
      <c r="W381" s="31"/>
      <c r="X381" s="52" t="s">
        <v>113</v>
      </c>
      <c r="Y381" s="54"/>
      <c r="Z381" s="54"/>
      <c r="AA381" s="54" t="s">
        <v>114</v>
      </c>
      <c r="AB381" s="38" t="s">
        <v>115</v>
      </c>
      <c r="AC381" s="38"/>
      <c r="AD381" s="39">
        <v>35939.71</v>
      </c>
      <c r="AE381" s="39">
        <v>8211.0</v>
      </c>
      <c r="AF381" s="39">
        <v>27728.71</v>
      </c>
      <c r="AG381" s="57" t="s">
        <v>2531</v>
      </c>
      <c r="AH381" s="42" t="s">
        <v>2532</v>
      </c>
      <c r="AI381" s="42" t="str">
        <f>IFERROR(__xludf.DUMMYFUNCTION("vLOOKUP(A381,IMPORTRANGE(""https://docs.google.com/spreadsheets/d/1Rawwwdh8wntXGy8isdYNHxsNQS4n_rC8JSdPfj6vEq4"",""'500 объектов перенос на 2026'!A3:AB502""),13,0)"),"#REF!")</f>
        <v>#REF!</v>
      </c>
      <c r="AJ381" s="42" t="str">
        <f>IFERROR(__xludf.DUMMYFUNCTION("vLOOKUP(A381,IMPORTRANGE(""https://docs.google.com/spreadsheets/d/1Rawwwdh8wntXGy8isdYNHxsNQS4n_rC8JSdPfj6vEq4"",""'500 объектов перенос на 2026'!A3:AB502""),14,0)"),"#REF!")</f>
        <v>#REF!</v>
      </c>
      <c r="AK381" s="76" t="s">
        <v>114</v>
      </c>
      <c r="AL381" s="76"/>
      <c r="AM381" s="70"/>
      <c r="AN381" s="43"/>
      <c r="AO381" s="43"/>
      <c r="AP381" s="43"/>
      <c r="AQ381" s="43"/>
      <c r="AR381" s="43"/>
      <c r="AS381" s="43"/>
      <c r="AT381" s="43"/>
      <c r="AU381" s="43"/>
      <c r="AV381" s="43"/>
      <c r="AW381" s="43"/>
      <c r="AX381" s="43"/>
      <c r="AY381" s="43"/>
      <c r="AZ381" s="43"/>
    </row>
    <row r="382">
      <c r="A382" s="62" t="s">
        <v>2533</v>
      </c>
      <c r="B382" s="63" t="s">
        <v>605</v>
      </c>
      <c r="C382" s="64" t="s">
        <v>2534</v>
      </c>
      <c r="D382" s="47" t="s">
        <v>1210</v>
      </c>
      <c r="E382" s="64" t="s">
        <v>85</v>
      </c>
      <c r="F382" s="31" t="s">
        <v>40</v>
      </c>
      <c r="G382" s="31" t="s">
        <v>41</v>
      </c>
      <c r="H382" s="31" t="s">
        <v>260</v>
      </c>
      <c r="I382" s="31" t="s">
        <v>40</v>
      </c>
      <c r="J382" s="31" t="s">
        <v>61</v>
      </c>
      <c r="K382" s="31"/>
      <c r="L382" s="32">
        <f>IFERROR(__xludf.DUMMYFUNCTION("VLOOKUP($A382,IMPORTRANGE(""1PQtfbQLqBUP-rjYRznmgNFBLOjvAnhGzpIx7BJWq8rk"",""'Worksheet'!$B$2:$H""),7,FALSE)"),0.96)</f>
        <v>0.96</v>
      </c>
      <c r="M382" s="31" t="s">
        <v>40</v>
      </c>
      <c r="N382" s="49">
        <v>1.099492E7</v>
      </c>
      <c r="O382" s="49">
        <v>3133550.0</v>
      </c>
      <c r="P382" s="49">
        <f t="shared" si="61"/>
        <v>7861370</v>
      </c>
      <c r="Q382" s="34">
        <f t="shared" si="7"/>
        <v>0.7150002001</v>
      </c>
      <c r="R382" s="31"/>
      <c r="S382" s="31" t="s">
        <v>40</v>
      </c>
      <c r="T382" s="72" t="s">
        <v>2535</v>
      </c>
      <c r="U382" s="67">
        <v>0.0</v>
      </c>
      <c r="V382" s="72" t="s">
        <v>2535</v>
      </c>
      <c r="W382" s="31"/>
      <c r="X382" s="52" t="s">
        <v>49</v>
      </c>
      <c r="Y382" s="124" t="s">
        <v>2536</v>
      </c>
      <c r="Z382" s="54" t="s">
        <v>1213</v>
      </c>
      <c r="AA382" s="74">
        <v>46280.0</v>
      </c>
      <c r="AB382" s="56"/>
      <c r="AC382" s="38" t="s">
        <v>1214</v>
      </c>
      <c r="AD382" s="39">
        <v>10994.92</v>
      </c>
      <c r="AE382" s="39">
        <v>3133.55</v>
      </c>
      <c r="AF382" s="40">
        <v>7861.37</v>
      </c>
      <c r="AG382" s="99" t="s">
        <v>2537</v>
      </c>
      <c r="AH382" s="85"/>
      <c r="AI382" s="42" t="str">
        <f>IFERROR(__xludf.DUMMYFUNCTION("vLOOKUP(A382,IMPORTRANGE(""https://docs.google.com/spreadsheets/d/1Rawwwdh8wntXGy8isdYNHxsNQS4n_rC8JSdPfj6vEq4"",""'500 объектов перенос на 2026'!A3:AB502""),13,0)"),"#REF!")</f>
        <v>#REF!</v>
      </c>
      <c r="AJ382" s="42" t="str">
        <f>IFERROR(__xludf.DUMMYFUNCTION("vLOOKUP(A382,IMPORTRANGE(""https://docs.google.com/spreadsheets/d/1Rawwwdh8wntXGy8isdYNHxsNQS4n_rC8JSdPfj6vEq4"",""'500 объектов перенос на 2026'!A3:AB502""),14,0)"),"#REF!")</f>
        <v>#REF!</v>
      </c>
      <c r="AK382" s="58" t="s">
        <v>2538</v>
      </c>
      <c r="AL382" s="76"/>
      <c r="AM382" s="76"/>
      <c r="AN382" s="151"/>
      <c r="AO382" s="43"/>
      <c r="AP382" s="43"/>
      <c r="AQ382" s="43"/>
      <c r="AR382" s="43"/>
      <c r="AS382" s="43"/>
      <c r="AT382" s="43"/>
      <c r="AU382" s="43"/>
      <c r="AV382" s="43"/>
      <c r="AW382" s="43"/>
      <c r="AX382" s="43"/>
      <c r="AY382" s="43"/>
      <c r="AZ382" s="43"/>
    </row>
    <row r="383">
      <c r="A383" s="62" t="s">
        <v>2539</v>
      </c>
      <c r="B383" s="111" t="s">
        <v>70</v>
      </c>
      <c r="C383" s="144" t="s">
        <v>2540</v>
      </c>
      <c r="D383" s="47" t="s">
        <v>2541</v>
      </c>
      <c r="E383" s="64" t="s">
        <v>85</v>
      </c>
      <c r="F383" s="31" t="s">
        <v>60</v>
      </c>
      <c r="G383" s="31"/>
      <c r="H383" s="31"/>
      <c r="I383" s="31" t="s">
        <v>40</v>
      </c>
      <c r="J383" s="31" t="s">
        <v>102</v>
      </c>
      <c r="K383" s="31" t="s">
        <v>280</v>
      </c>
      <c r="L383" s="32">
        <f>IFERROR(__xludf.DUMMYFUNCTION("VLOOKUP($A383,IMPORTRANGE(""1PQtfbQLqBUP-rjYRznmgNFBLOjvAnhGzpIx7BJWq8rk"",""'Worksheet'!$B$2:$H""),7,FALSE)"),0.43)</f>
        <v>0.43</v>
      </c>
      <c r="M383" s="31" t="s">
        <v>284</v>
      </c>
      <c r="N383" s="49">
        <v>9.3216E7</v>
      </c>
      <c r="O383" s="49">
        <v>4.6608E7</v>
      </c>
      <c r="P383" s="49">
        <f t="shared" si="61"/>
        <v>46608000</v>
      </c>
      <c r="Q383" s="34">
        <f t="shared" si="7"/>
        <v>0.5</v>
      </c>
      <c r="R383" s="31"/>
      <c r="S383" s="31" t="s">
        <v>45</v>
      </c>
      <c r="T383" s="50">
        <v>8.85552E7</v>
      </c>
      <c r="U383" s="51">
        <v>4.42776E7</v>
      </c>
      <c r="V383" s="51">
        <v>4.42776E7</v>
      </c>
      <c r="W383" s="31"/>
      <c r="X383" s="52" t="s">
        <v>2542</v>
      </c>
      <c r="Y383" s="54" t="s">
        <v>2543</v>
      </c>
      <c r="Z383" s="54"/>
      <c r="AA383" s="54"/>
      <c r="AB383" s="56"/>
      <c r="AC383" s="38" t="s">
        <v>284</v>
      </c>
      <c r="AD383" s="39">
        <v>93216.0</v>
      </c>
      <c r="AE383" s="39">
        <v>46608.0</v>
      </c>
      <c r="AF383" s="39">
        <v>46608.0</v>
      </c>
      <c r="AG383" s="57" t="s">
        <v>2544</v>
      </c>
      <c r="AH383" s="42" t="s">
        <v>284</v>
      </c>
      <c r="AI383" s="42" t="str">
        <f>IFERROR(__xludf.DUMMYFUNCTION("vLOOKUP(A383,IMPORTRANGE(""https://docs.google.com/spreadsheets/d/1Rawwwdh8wntXGy8isdYNHxsNQS4n_rC8JSdPfj6vEq4"",""'500 объектов перенос на 2026'!A3:AB502""),13,0)"),"#REF!")</f>
        <v>#REF!</v>
      </c>
      <c r="AJ383" s="42" t="str">
        <f>IFERROR(__xludf.DUMMYFUNCTION("vLOOKUP(A383,IMPORTRANGE(""https://docs.google.com/spreadsheets/d/1Rawwwdh8wntXGy8isdYNHxsNQS4n_rC8JSdPfj6vEq4"",""'500 объектов перенос на 2026'!A3:AB502""),14,0)"),"#REF!")</f>
        <v>#REF!</v>
      </c>
      <c r="AK383" s="76" t="s">
        <v>2545</v>
      </c>
      <c r="AL383" s="76"/>
      <c r="AM383" s="70"/>
      <c r="AN383" s="43"/>
      <c r="AO383" s="43"/>
      <c r="AP383" s="43"/>
      <c r="AQ383" s="43"/>
      <c r="AR383" s="43"/>
      <c r="AS383" s="43"/>
      <c r="AT383" s="43"/>
      <c r="AU383" s="43"/>
      <c r="AV383" s="43"/>
      <c r="AW383" s="43"/>
      <c r="AX383" s="43"/>
      <c r="AY383" s="43"/>
      <c r="AZ383" s="43"/>
    </row>
    <row r="384">
      <c r="A384" s="78" t="s">
        <v>2546</v>
      </c>
      <c r="B384" s="63" t="s">
        <v>70</v>
      </c>
      <c r="C384" s="64" t="s">
        <v>2547</v>
      </c>
      <c r="D384" s="47" t="s">
        <v>38</v>
      </c>
      <c r="E384" s="64" t="s">
        <v>85</v>
      </c>
      <c r="F384" s="31" t="s">
        <v>60</v>
      </c>
      <c r="G384" s="31"/>
      <c r="H384" s="31"/>
      <c r="I384" s="31" t="s">
        <v>60</v>
      </c>
      <c r="J384" s="31"/>
      <c r="K384" s="31"/>
      <c r="L384" s="32" t="str">
        <f>IFERROR(__xludf.DUMMYFUNCTION("VLOOKUP($A384,IMPORTRANGE(""1PQtfbQLqBUP-rjYRznmgNFBLOjvAnhGzpIx7BJWq8rk"",""'Worksheet'!$B$2:$H""),7,FALSE)"),"#N/A")</f>
        <v>#N/A</v>
      </c>
      <c r="M384" s="185" t="s">
        <v>60</v>
      </c>
      <c r="N384" s="49">
        <v>2.06576778858E9</v>
      </c>
      <c r="O384" s="49">
        <v>2.06576778858E9</v>
      </c>
      <c r="P384" s="49">
        <f t="shared" si="61"/>
        <v>0</v>
      </c>
      <c r="Q384" s="34">
        <f t="shared" si="7"/>
        <v>0</v>
      </c>
      <c r="R384" s="31"/>
      <c r="S384" s="31" t="s">
        <v>45</v>
      </c>
      <c r="T384" s="88">
        <v>2.00916548058E9</v>
      </c>
      <c r="U384" s="88">
        <v>9.0663611138E8</v>
      </c>
      <c r="V384" s="88">
        <v>1.1025293692E9</v>
      </c>
      <c r="W384" s="31" t="s">
        <v>183</v>
      </c>
      <c r="X384" s="52" t="s">
        <v>2548</v>
      </c>
      <c r="Y384" s="54" t="s">
        <v>2549</v>
      </c>
      <c r="Z384" s="54" t="s">
        <v>2550</v>
      </c>
      <c r="AA384" s="54" t="s">
        <v>114</v>
      </c>
      <c r="AB384" s="38" t="s">
        <v>115</v>
      </c>
      <c r="AC384" s="38"/>
      <c r="AD384" s="39">
        <v>2065767.78</v>
      </c>
      <c r="AE384" s="39">
        <v>2065767.793</v>
      </c>
      <c r="AF384" s="39">
        <v>-0.01348</v>
      </c>
      <c r="AG384" s="57" t="s">
        <v>2551</v>
      </c>
      <c r="AH384" s="42" t="s">
        <v>66</v>
      </c>
      <c r="AI384" s="42" t="str">
        <f>IFERROR(__xludf.DUMMYFUNCTION("vLOOKUP(A384,IMPORTRANGE(""https://docs.google.com/spreadsheets/d/1Rawwwdh8wntXGy8isdYNHxsNQS4n_rC8JSdPfj6vEq4"",""'500 объектов перенос на 2026'!A3:AB502""),13,0)"),"#REF!")</f>
        <v>#REF!</v>
      </c>
      <c r="AJ384" s="42" t="str">
        <f>IFERROR(__xludf.DUMMYFUNCTION("vLOOKUP(A384,IMPORTRANGE(""https://docs.google.com/spreadsheets/d/1Rawwwdh8wntXGy8isdYNHxsNQS4n_rC8JSdPfj6vEq4"",""'500 объектов перенос на 2026'!A3:AB502""),14,0)"),"#REF!")</f>
        <v>#REF!</v>
      </c>
      <c r="AK384" s="76" t="s">
        <v>2552</v>
      </c>
      <c r="AL384" s="76"/>
      <c r="AM384" s="70"/>
      <c r="AN384" s="43"/>
      <c r="AO384" s="43"/>
      <c r="AP384" s="43"/>
      <c r="AQ384" s="43"/>
      <c r="AR384" s="43"/>
      <c r="AS384" s="43"/>
      <c r="AT384" s="43"/>
      <c r="AU384" s="43"/>
      <c r="AV384" s="43"/>
      <c r="AW384" s="43"/>
      <c r="AX384" s="43"/>
      <c r="AY384" s="43"/>
      <c r="AZ384" s="43"/>
    </row>
    <row r="385">
      <c r="A385" s="78" t="s">
        <v>2553</v>
      </c>
      <c r="B385" s="63" t="s">
        <v>70</v>
      </c>
      <c r="C385" s="64" t="s">
        <v>2554</v>
      </c>
      <c r="D385" s="47" t="s">
        <v>227</v>
      </c>
      <c r="E385" s="64" t="s">
        <v>59</v>
      </c>
      <c r="F385" s="31" t="s">
        <v>60</v>
      </c>
      <c r="G385" s="31"/>
      <c r="H385" s="31"/>
      <c r="I385" s="31" t="s">
        <v>60</v>
      </c>
      <c r="J385" s="31"/>
      <c r="K385" s="31"/>
      <c r="L385" s="32" t="str">
        <f>IFERROR(__xludf.DUMMYFUNCTION("VLOOKUP($A385,IMPORTRANGE(""1PQtfbQLqBUP-rjYRznmgNFBLOjvAnhGzpIx7BJWq8rk"",""'Worksheet'!$B$2:$H""),7,FALSE)"),"#N/A")</f>
        <v>#N/A</v>
      </c>
      <c r="M385" s="31" t="s">
        <v>60</v>
      </c>
      <c r="N385" s="49">
        <v>7.81336E7</v>
      </c>
      <c r="O385" s="49">
        <v>7.315448555E7</v>
      </c>
      <c r="P385" s="49">
        <v>0.0</v>
      </c>
      <c r="Q385" s="34">
        <f t="shared" si="7"/>
        <v>0.06372565004</v>
      </c>
      <c r="R385" s="31"/>
      <c r="S385" s="31" t="s">
        <v>60</v>
      </c>
      <c r="T385" s="50">
        <v>7.422692E7</v>
      </c>
      <c r="U385" s="51">
        <v>6.949676127E7</v>
      </c>
      <c r="V385" s="51">
        <v>4730158.73</v>
      </c>
      <c r="W385" s="31"/>
      <c r="X385" s="52" t="s">
        <v>113</v>
      </c>
      <c r="Y385" s="54"/>
      <c r="Z385" s="54"/>
      <c r="AA385" s="54" t="s">
        <v>114</v>
      </c>
      <c r="AB385" s="38" t="s">
        <v>115</v>
      </c>
      <c r="AC385" s="38" t="s">
        <v>284</v>
      </c>
      <c r="AD385" s="39">
        <v>78133.6</v>
      </c>
      <c r="AE385" s="39">
        <v>73154.48555</v>
      </c>
      <c r="AF385" s="39">
        <v>4979.11445</v>
      </c>
      <c r="AG385" s="57" t="s">
        <v>2555</v>
      </c>
      <c r="AH385" s="42" t="s">
        <v>284</v>
      </c>
      <c r="AI385" s="42" t="str">
        <f>IFERROR(__xludf.DUMMYFUNCTION("vLOOKUP(A385,IMPORTRANGE(""https://docs.google.com/spreadsheets/d/1Rawwwdh8wntXGy8isdYNHxsNQS4n_rC8JSdPfj6vEq4"",""'500 объектов перенос на 2026'!A3:AB502""),13,0)"),"#REF!")</f>
        <v>#REF!</v>
      </c>
      <c r="AJ385" s="42" t="str">
        <f>IFERROR(__xludf.DUMMYFUNCTION("vLOOKUP(A385,IMPORTRANGE(""https://docs.google.com/spreadsheets/d/1Rawwwdh8wntXGy8isdYNHxsNQS4n_rC8JSdPfj6vEq4"",""'500 объектов перенос на 2026'!A3:AB502""),14,0)"),"#REF!")</f>
        <v>#REF!</v>
      </c>
      <c r="AK385" s="76" t="s">
        <v>114</v>
      </c>
      <c r="AL385" s="76"/>
      <c r="AM385" s="70"/>
      <c r="AN385" s="43"/>
      <c r="AO385" s="43"/>
      <c r="AP385" s="43"/>
      <c r="AQ385" s="43"/>
      <c r="AR385" s="43"/>
      <c r="AS385" s="43"/>
      <c r="AT385" s="43"/>
      <c r="AU385" s="43"/>
      <c r="AV385" s="43"/>
      <c r="AW385" s="43"/>
      <c r="AX385" s="43"/>
      <c r="AY385" s="43"/>
      <c r="AZ385" s="43"/>
    </row>
    <row r="386">
      <c r="A386" s="62" t="s">
        <v>2556</v>
      </c>
      <c r="B386" s="63" t="s">
        <v>1274</v>
      </c>
      <c r="C386" s="90" t="s">
        <v>2557</v>
      </c>
      <c r="D386" s="47" t="s">
        <v>1276</v>
      </c>
      <c r="E386" s="64" t="s">
        <v>324</v>
      </c>
      <c r="F386" s="31" t="s">
        <v>60</v>
      </c>
      <c r="G386" s="31"/>
      <c r="H386" s="31"/>
      <c r="I386" s="31" t="s">
        <v>40</v>
      </c>
      <c r="J386" s="31" t="s">
        <v>102</v>
      </c>
      <c r="K386" s="31" t="s">
        <v>72</v>
      </c>
      <c r="L386" s="32">
        <f>IFERROR(__xludf.DUMMYFUNCTION("VLOOKUP($A386,IMPORTRANGE(""1PQtfbQLqBUP-rjYRznmgNFBLOjvAnhGzpIx7BJWq8rk"",""'Worksheet'!$B$2:$H""),7,FALSE)"),0.92)</f>
        <v>0.92</v>
      </c>
      <c r="M386" s="31" t="s">
        <v>45</v>
      </c>
      <c r="N386" s="49">
        <v>6.932492527E7</v>
      </c>
      <c r="O386" s="49">
        <v>6.146888004E7</v>
      </c>
      <c r="P386" s="49">
        <f t="shared" ref="P386:P392" si="62">N386-O386</f>
        <v>7856045.23</v>
      </c>
      <c r="Q386" s="34">
        <f t="shared" si="7"/>
        <v>0.1133220872</v>
      </c>
      <c r="R386" s="31"/>
      <c r="S386" s="31" t="s">
        <v>45</v>
      </c>
      <c r="T386" s="84" t="s">
        <v>2558</v>
      </c>
      <c r="U386" s="51" t="s">
        <v>2559</v>
      </c>
      <c r="V386" s="84" t="s">
        <v>2560</v>
      </c>
      <c r="W386" s="31"/>
      <c r="X386" s="52" t="s">
        <v>1348</v>
      </c>
      <c r="Y386" s="54" t="s">
        <v>2561</v>
      </c>
      <c r="Z386" s="54" t="s">
        <v>2379</v>
      </c>
      <c r="AA386" s="68">
        <v>46266.0</v>
      </c>
      <c r="AB386" s="56"/>
      <c r="AC386" s="38" t="s">
        <v>1349</v>
      </c>
      <c r="AD386" s="39">
        <v>71468.89</v>
      </c>
      <c r="AE386" s="39">
        <v>59108.49122</v>
      </c>
      <c r="AF386" s="40">
        <v>12360.39878</v>
      </c>
      <c r="AG386" s="99" t="s">
        <v>2562</v>
      </c>
      <c r="AH386" s="42"/>
      <c r="AI386" s="42" t="str">
        <f>IFERROR(__xludf.DUMMYFUNCTION("vLOOKUP(A386,IMPORTRANGE(""https://docs.google.com/spreadsheets/d/1Rawwwdh8wntXGy8isdYNHxsNQS4n_rC8JSdPfj6vEq4"",""'500 объектов перенос на 2026'!A3:AB502""),13,0)"),"#REF!")</f>
        <v>#REF!</v>
      </c>
      <c r="AJ386" s="42" t="str">
        <f>IFERROR(__xludf.DUMMYFUNCTION("vLOOKUP(A386,IMPORTRANGE(""https://docs.google.com/spreadsheets/d/1Rawwwdh8wntXGy8isdYNHxsNQS4n_rC8JSdPfj6vEq4"",""'500 объектов перенос на 2026'!A3:AB502""),14,0)"),"#REF!")</f>
        <v>#REF!</v>
      </c>
      <c r="AK386" s="76" t="s">
        <v>2563</v>
      </c>
      <c r="AL386" s="76"/>
      <c r="AM386" s="70"/>
      <c r="AN386" s="96"/>
      <c r="AO386" s="96"/>
      <c r="AP386" s="96"/>
      <c r="AQ386" s="96"/>
      <c r="AR386" s="96"/>
      <c r="AS386" s="96"/>
      <c r="AT386" s="96"/>
      <c r="AU386" s="96"/>
      <c r="AV386" s="96"/>
      <c r="AW386" s="96"/>
      <c r="AX386" s="96"/>
      <c r="AY386" s="96"/>
      <c r="AZ386" s="96"/>
    </row>
    <row r="387">
      <c r="A387" s="62" t="s">
        <v>2564</v>
      </c>
      <c r="B387" s="63" t="s">
        <v>400</v>
      </c>
      <c r="C387" s="64" t="s">
        <v>2565</v>
      </c>
      <c r="D387" s="47" t="s">
        <v>1041</v>
      </c>
      <c r="E387" s="64" t="s">
        <v>85</v>
      </c>
      <c r="F387" s="31" t="s">
        <v>60</v>
      </c>
      <c r="G387" s="31"/>
      <c r="H387" s="31"/>
      <c r="I387" s="31" t="s">
        <v>60</v>
      </c>
      <c r="J387" s="31"/>
      <c r="K387" s="31"/>
      <c r="L387" s="32">
        <f>IFERROR(__xludf.DUMMYFUNCTION("VLOOKUP($A387,IMPORTRANGE(""1PQtfbQLqBUP-rjYRznmgNFBLOjvAnhGzpIx7BJWq8rk"",""'Worksheet'!$B$2:$H""),7,FALSE)"),0.98)</f>
        <v>0.98</v>
      </c>
      <c r="M387" s="31" t="s">
        <v>45</v>
      </c>
      <c r="N387" s="49">
        <v>1.513642375E7</v>
      </c>
      <c r="O387" s="49">
        <v>7346320.51</v>
      </c>
      <c r="P387" s="49">
        <f t="shared" si="62"/>
        <v>7790103.24</v>
      </c>
      <c r="Q387" s="34">
        <f t="shared" si="7"/>
        <v>0.5146594314</v>
      </c>
      <c r="R387" s="31"/>
      <c r="S387" s="31" t="s">
        <v>45</v>
      </c>
      <c r="T387" s="145"/>
      <c r="U387" s="51"/>
      <c r="V387" s="84"/>
      <c r="W387" s="31" t="s">
        <v>183</v>
      </c>
      <c r="X387" s="52" t="s">
        <v>803</v>
      </c>
      <c r="Y387" s="54" t="s">
        <v>2350</v>
      </c>
      <c r="Z387" s="54" t="s">
        <v>2351</v>
      </c>
      <c r="AA387" s="74">
        <v>46218.0</v>
      </c>
      <c r="AB387" s="56"/>
      <c r="AC387" s="38"/>
      <c r="AD387" s="39">
        <v>13881.78</v>
      </c>
      <c r="AE387" s="39">
        <v>7438.18375</v>
      </c>
      <c r="AF387" s="40">
        <v>6443.59625</v>
      </c>
      <c r="AG387" s="57" t="s">
        <v>2566</v>
      </c>
      <c r="AH387" s="42" t="s">
        <v>745</v>
      </c>
      <c r="AI387" s="42" t="str">
        <f>IFERROR(__xludf.DUMMYFUNCTION("vLOOKUP(A387,IMPORTRANGE(""https://docs.google.com/spreadsheets/d/1Rawwwdh8wntXGy8isdYNHxsNQS4n_rC8JSdPfj6vEq4"",""'500 объектов перенос на 2026'!A3:AB502""),13,0)"),"#REF!")</f>
        <v>#REF!</v>
      </c>
      <c r="AJ387" s="42" t="str">
        <f>IFERROR(__xludf.DUMMYFUNCTION("vLOOKUP(A387,IMPORTRANGE(""https://docs.google.com/spreadsheets/d/1Rawwwdh8wntXGy8isdYNHxsNQS4n_rC8JSdPfj6vEq4"",""'500 объектов перенос на 2026'!A3:AB502""),14,0)"),"#REF!")</f>
        <v>#REF!</v>
      </c>
      <c r="AK387" s="58" t="s">
        <v>2353</v>
      </c>
      <c r="AL387" s="76" t="s">
        <v>2354</v>
      </c>
      <c r="AM387" s="70"/>
      <c r="AN387" s="43"/>
      <c r="AO387" s="43"/>
      <c r="AP387" s="43"/>
      <c r="AQ387" s="43"/>
      <c r="AR387" s="43"/>
      <c r="AS387" s="43"/>
      <c r="AT387" s="43"/>
      <c r="AU387" s="43"/>
      <c r="AV387" s="43"/>
      <c r="AW387" s="43"/>
      <c r="AX387" s="43"/>
      <c r="AY387" s="43"/>
      <c r="AZ387" s="43"/>
    </row>
    <row r="388">
      <c r="A388" s="62" t="s">
        <v>2567</v>
      </c>
      <c r="B388" s="63" t="s">
        <v>268</v>
      </c>
      <c r="C388" s="64" t="s">
        <v>2568</v>
      </c>
      <c r="D388" s="47" t="s">
        <v>1041</v>
      </c>
      <c r="E388" s="64" t="s">
        <v>85</v>
      </c>
      <c r="F388" s="31" t="s">
        <v>40</v>
      </c>
      <c r="G388" s="31" t="s">
        <v>41</v>
      </c>
      <c r="H388" s="31" t="s">
        <v>343</v>
      </c>
      <c r="I388" s="31" t="s">
        <v>40</v>
      </c>
      <c r="J388" s="31" t="s">
        <v>61</v>
      </c>
      <c r="K388" s="31"/>
      <c r="L388" s="32">
        <f>IFERROR(__xludf.DUMMYFUNCTION("VLOOKUP($A388,IMPORTRANGE(""1PQtfbQLqBUP-rjYRznmgNFBLOjvAnhGzpIx7BJWq8rk"",""'Worksheet'!$B$2:$H""),7,FALSE)"),0.97)</f>
        <v>0.97</v>
      </c>
      <c r="M388" s="31" t="s">
        <v>40</v>
      </c>
      <c r="N388" s="49">
        <v>1.438668E7</v>
      </c>
      <c r="O388" s="49">
        <v>6761739.6</v>
      </c>
      <c r="P388" s="49">
        <f t="shared" si="62"/>
        <v>7624940.4</v>
      </c>
      <c r="Q388" s="34">
        <f t="shared" si="7"/>
        <v>0.53</v>
      </c>
      <c r="R388" s="31"/>
      <c r="S388" s="31" t="s">
        <v>40</v>
      </c>
      <c r="T388" s="84" t="s">
        <v>2569</v>
      </c>
      <c r="U388" s="84">
        <v>0.0</v>
      </c>
      <c r="V388" s="84" t="s">
        <v>2569</v>
      </c>
      <c r="W388" s="31" t="s">
        <v>506</v>
      </c>
      <c r="X388" s="52" t="s">
        <v>49</v>
      </c>
      <c r="Y388" s="160" t="s">
        <v>2570</v>
      </c>
      <c r="Z388" s="54" t="s">
        <v>851</v>
      </c>
      <c r="AA388" s="68">
        <v>46275.0</v>
      </c>
      <c r="AB388" s="56"/>
      <c r="AC388" s="38" t="s">
        <v>2571</v>
      </c>
      <c r="AD388" s="39">
        <v>14386.68</v>
      </c>
      <c r="AE388" s="39">
        <v>6761.7396</v>
      </c>
      <c r="AF388" s="40">
        <v>7624.9404</v>
      </c>
      <c r="AG388" s="57" t="s">
        <v>2572</v>
      </c>
      <c r="AH388" s="42" t="s">
        <v>49</v>
      </c>
      <c r="AI388" s="42" t="str">
        <f>IFERROR(__xludf.DUMMYFUNCTION("vLOOKUP(A388,IMPORTRANGE(""https://docs.google.com/spreadsheets/d/1Rawwwdh8wntXGy8isdYNHxsNQS4n_rC8JSdPfj6vEq4"",""'500 объектов перенос на 2026'!A3:AB502""),13,0)"),"#REF!")</f>
        <v>#REF!</v>
      </c>
      <c r="AJ388" s="42" t="str">
        <f>IFERROR(__xludf.DUMMYFUNCTION("vLOOKUP(A388,IMPORTRANGE(""https://docs.google.com/spreadsheets/d/1Rawwwdh8wntXGy8isdYNHxsNQS4n_rC8JSdPfj6vEq4"",""'500 объектов перенос на 2026'!A3:AB502""),14,0)"),"#REF!")</f>
        <v>#REF!</v>
      </c>
      <c r="AK388" s="178" t="s">
        <v>2573</v>
      </c>
      <c r="AL388" s="151" t="s">
        <v>1369</v>
      </c>
      <c r="AM388" s="94"/>
      <c r="AN388" s="43"/>
      <c r="AO388" s="43"/>
      <c r="AP388" s="43"/>
      <c r="AQ388" s="43"/>
      <c r="AR388" s="43"/>
      <c r="AS388" s="43"/>
      <c r="AT388" s="43"/>
      <c r="AU388" s="43"/>
      <c r="AV388" s="43"/>
      <c r="AW388" s="43"/>
      <c r="AX388" s="43"/>
      <c r="AY388" s="43"/>
      <c r="AZ388" s="43"/>
    </row>
    <row r="389">
      <c r="A389" s="62" t="s">
        <v>2574</v>
      </c>
      <c r="B389" s="63" t="s">
        <v>99</v>
      </c>
      <c r="C389" s="144" t="s">
        <v>2575</v>
      </c>
      <c r="D389" s="47" t="s">
        <v>2470</v>
      </c>
      <c r="E389" s="64" t="s">
        <v>85</v>
      </c>
      <c r="F389" s="31" t="s">
        <v>60</v>
      </c>
      <c r="G389" s="31"/>
      <c r="H389" s="31"/>
      <c r="I389" s="31" t="s">
        <v>60</v>
      </c>
      <c r="J389" s="31"/>
      <c r="K389" s="31"/>
      <c r="L389" s="32">
        <f>IFERROR(__xludf.DUMMYFUNCTION("VLOOKUP($A389,IMPORTRANGE(""1PQtfbQLqBUP-rjYRznmgNFBLOjvAnhGzpIx7BJWq8rk"",""'Worksheet'!$B$2:$H""),7,FALSE)"),1.0)</f>
        <v>1</v>
      </c>
      <c r="M389" s="31" t="s">
        <v>60</v>
      </c>
      <c r="N389" s="49">
        <v>1.243193254E7</v>
      </c>
      <c r="O389" s="49">
        <v>9832554.3</v>
      </c>
      <c r="P389" s="49">
        <f t="shared" si="62"/>
        <v>2599378.24</v>
      </c>
      <c r="Q389" s="34">
        <f t="shared" si="7"/>
        <v>0.2090888309</v>
      </c>
      <c r="R389" s="31"/>
      <c r="S389" s="31" t="s">
        <v>60</v>
      </c>
      <c r="T389" s="145">
        <f>N389*0.95</f>
        <v>11810335.91</v>
      </c>
      <c r="U389" s="84">
        <v>0.0</v>
      </c>
      <c r="V389" s="145">
        <v>1.1810335912999999E7</v>
      </c>
      <c r="W389" s="31"/>
      <c r="X389" s="52" t="s">
        <v>1150</v>
      </c>
      <c r="Y389" s="54" t="s">
        <v>2576</v>
      </c>
      <c r="Z389" s="54" t="s">
        <v>1152</v>
      </c>
      <c r="AA389" s="74">
        <v>46185.0</v>
      </c>
      <c r="AB389" s="56"/>
      <c r="AC389" s="38" t="s">
        <v>1153</v>
      </c>
      <c r="AD389" s="39">
        <v>14977.6</v>
      </c>
      <c r="AE389" s="39">
        <v>5242.16</v>
      </c>
      <c r="AF389" s="40">
        <v>9735.44</v>
      </c>
      <c r="AG389" s="57" t="s">
        <v>2577</v>
      </c>
      <c r="AH389" s="42" t="s">
        <v>1155</v>
      </c>
      <c r="AI389" s="42" t="str">
        <f>IFERROR(__xludf.DUMMYFUNCTION("vLOOKUP(A389,IMPORTRANGE(""https://docs.google.com/spreadsheets/d/1Rawwwdh8wntXGy8isdYNHxsNQS4n_rC8JSdPfj6vEq4"",""'500 объектов перенос на 2026'!A3:AB502""),13,0)"),"#REF!")</f>
        <v>#REF!</v>
      </c>
      <c r="AJ389" s="42" t="str">
        <f>IFERROR(__xludf.DUMMYFUNCTION("vLOOKUP(A389,IMPORTRANGE(""https://docs.google.com/spreadsheets/d/1Rawwwdh8wntXGy8isdYNHxsNQS4n_rC8JSdPfj6vEq4"",""'500 объектов перенос на 2026'!A3:AB502""),14,0)"),"#REF!")</f>
        <v>#REF!</v>
      </c>
      <c r="AK389" s="76" t="s">
        <v>2578</v>
      </c>
      <c r="AL389" s="76"/>
      <c r="AM389" s="70"/>
      <c r="AN389" s="43"/>
      <c r="AO389" s="43"/>
      <c r="AP389" s="43"/>
      <c r="AQ389" s="43"/>
      <c r="AR389" s="43"/>
      <c r="AS389" s="43"/>
      <c r="AT389" s="43"/>
      <c r="AU389" s="43"/>
      <c r="AV389" s="43"/>
      <c r="AW389" s="43"/>
      <c r="AX389" s="43"/>
      <c r="AY389" s="43"/>
      <c r="AZ389" s="43"/>
    </row>
    <row r="390">
      <c r="A390" s="78" t="s">
        <v>2579</v>
      </c>
      <c r="B390" s="63" t="s">
        <v>82</v>
      </c>
      <c r="C390" s="64" t="s">
        <v>2580</v>
      </c>
      <c r="D390" s="47" t="s">
        <v>2581</v>
      </c>
      <c r="E390" s="64" t="s">
        <v>85</v>
      </c>
      <c r="F390" s="31" t="s">
        <v>60</v>
      </c>
      <c r="G390" s="31"/>
      <c r="H390" s="31"/>
      <c r="I390" s="31" t="s">
        <v>60</v>
      </c>
      <c r="J390" s="31"/>
      <c r="K390" s="31"/>
      <c r="L390" s="32">
        <f>IFERROR(__xludf.DUMMYFUNCTION("VLOOKUP($A390,IMPORTRANGE(""1PQtfbQLqBUP-rjYRznmgNFBLOjvAnhGzpIx7BJWq8rk"",""'Worksheet'!$B$2:$H""),7,FALSE)"),1.0)</f>
        <v>1</v>
      </c>
      <c r="M390" s="31" t="s">
        <v>60</v>
      </c>
      <c r="N390" s="49">
        <v>6.296607428E7</v>
      </c>
      <c r="O390" s="49">
        <v>6.296607428E7</v>
      </c>
      <c r="P390" s="49">
        <f t="shared" si="62"/>
        <v>0</v>
      </c>
      <c r="Q390" s="34">
        <f t="shared" si="7"/>
        <v>0</v>
      </c>
      <c r="R390" s="31"/>
      <c r="S390" s="31" t="s">
        <v>60</v>
      </c>
      <c r="T390" s="50">
        <f>0.95*N390</f>
        <v>59817770.57</v>
      </c>
      <c r="U390" s="51">
        <v>5.9817770566E7</v>
      </c>
      <c r="V390" s="51">
        <v>0.0</v>
      </c>
      <c r="W390" s="31"/>
      <c r="X390" s="52" t="s">
        <v>113</v>
      </c>
      <c r="Y390" s="54"/>
      <c r="Z390" s="54"/>
      <c r="AA390" s="54" t="s">
        <v>114</v>
      </c>
      <c r="AB390" s="38" t="s">
        <v>115</v>
      </c>
      <c r="AC390" s="38"/>
      <c r="AD390" s="39">
        <v>51858.5</v>
      </c>
      <c r="AE390" s="39">
        <v>62966.07428</v>
      </c>
      <c r="AF390" s="39">
        <v>-11107.57428</v>
      </c>
      <c r="AG390" s="57" t="s">
        <v>2582</v>
      </c>
      <c r="AH390" s="42" t="s">
        <v>2532</v>
      </c>
      <c r="AI390" s="42" t="str">
        <f>IFERROR(__xludf.DUMMYFUNCTION("vLOOKUP(A390,IMPORTRANGE(""https://docs.google.com/spreadsheets/d/1Rawwwdh8wntXGy8isdYNHxsNQS4n_rC8JSdPfj6vEq4"",""'500 объектов перенос на 2026'!A3:AB502""),13,0)"),"#REF!")</f>
        <v>#REF!</v>
      </c>
      <c r="AJ390" s="42" t="str">
        <f>IFERROR(__xludf.DUMMYFUNCTION("vLOOKUP(A390,IMPORTRANGE(""https://docs.google.com/spreadsheets/d/1Rawwwdh8wntXGy8isdYNHxsNQS4n_rC8JSdPfj6vEq4"",""'500 объектов перенос на 2026'!A3:AB502""),14,0)"),"#REF!")</f>
        <v>#REF!</v>
      </c>
      <c r="AK390" s="76" t="s">
        <v>114</v>
      </c>
      <c r="AL390" s="76"/>
      <c r="AM390" s="70"/>
      <c r="AN390" s="43"/>
      <c r="AO390" s="43"/>
      <c r="AP390" s="43"/>
      <c r="AQ390" s="43"/>
      <c r="AR390" s="43"/>
      <c r="AS390" s="43"/>
      <c r="AT390" s="43"/>
      <c r="AU390" s="43"/>
      <c r="AV390" s="43"/>
      <c r="AW390" s="43"/>
      <c r="AX390" s="43"/>
      <c r="AY390" s="43"/>
      <c r="AZ390" s="43"/>
    </row>
    <row r="391">
      <c r="A391" s="62" t="s">
        <v>2583</v>
      </c>
      <c r="B391" s="63" t="s">
        <v>635</v>
      </c>
      <c r="C391" s="144" t="s">
        <v>2584</v>
      </c>
      <c r="D391" s="47" t="s">
        <v>1210</v>
      </c>
      <c r="E391" s="64" t="s">
        <v>85</v>
      </c>
      <c r="F391" s="31" t="s">
        <v>60</v>
      </c>
      <c r="G391" s="31"/>
      <c r="H391" s="31"/>
      <c r="I391" s="31" t="s">
        <v>60</v>
      </c>
      <c r="J391" s="31"/>
      <c r="K391" s="31"/>
      <c r="L391" s="32">
        <f>IFERROR(__xludf.DUMMYFUNCTION("VLOOKUP($A391,IMPORTRANGE(""1PQtfbQLqBUP-rjYRznmgNFBLOjvAnhGzpIx7BJWq8rk"",""'Worksheet'!$B$2:$H""),7,FALSE)"),0.98)</f>
        <v>0.98</v>
      </c>
      <c r="M391" s="31" t="s">
        <v>60</v>
      </c>
      <c r="N391" s="49">
        <v>1.131926474E7</v>
      </c>
      <c r="O391" s="49">
        <v>6101920.87</v>
      </c>
      <c r="P391" s="49">
        <f t="shared" si="62"/>
        <v>5217343.87</v>
      </c>
      <c r="Q391" s="34">
        <f t="shared" si="7"/>
        <v>0.4609260398</v>
      </c>
      <c r="R391" s="31"/>
      <c r="S391" s="31" t="s">
        <v>60</v>
      </c>
      <c r="T391" s="67" t="s">
        <v>2585</v>
      </c>
      <c r="U391" s="67" t="s">
        <v>2585</v>
      </c>
      <c r="V391" s="51">
        <v>0.0</v>
      </c>
      <c r="W391" s="31"/>
      <c r="X391" s="52" t="s">
        <v>1243</v>
      </c>
      <c r="Y391" s="54" t="s">
        <v>1244</v>
      </c>
      <c r="Z391" s="54" t="s">
        <v>1245</v>
      </c>
      <c r="AA391" s="68">
        <v>46203.0</v>
      </c>
      <c r="AB391" s="56"/>
      <c r="AC391" s="38" t="s">
        <v>1246</v>
      </c>
      <c r="AD391" s="39">
        <v>11319.26</v>
      </c>
      <c r="AE391" s="186">
        <v>6101920.87</v>
      </c>
      <c r="AF391" s="49">
        <f>AD391-AE391</f>
        <v>-6090601.61</v>
      </c>
      <c r="AG391" s="99" t="s">
        <v>2586</v>
      </c>
      <c r="AH391" s="85" t="s">
        <v>2587</v>
      </c>
      <c r="AI391" s="42" t="str">
        <f>IFERROR(__xludf.DUMMYFUNCTION("vLOOKUP(A391,IMPORTRANGE(""https://docs.google.com/spreadsheets/d/1Rawwwdh8wntXGy8isdYNHxsNQS4n_rC8JSdPfj6vEq4"",""'500 объектов перенос на 2026'!A3:AB502""),13,0)"),"#REF!")</f>
        <v>#REF!</v>
      </c>
      <c r="AJ391" s="42" t="str">
        <f>IFERROR(__xludf.DUMMYFUNCTION("vLOOKUP(A391,IMPORTRANGE(""https://docs.google.com/spreadsheets/d/1Rawwwdh8wntXGy8isdYNHxsNQS4n_rC8JSdPfj6vEq4"",""'500 объектов перенос на 2026'!A3:AB502""),14,0)"),"#REF!")</f>
        <v>#REF!</v>
      </c>
      <c r="AK391" s="75" t="s">
        <v>1249</v>
      </c>
      <c r="AL391" s="94" t="s">
        <v>2588</v>
      </c>
      <c r="AM391" s="70"/>
      <c r="AN391" s="43"/>
      <c r="AO391" s="43"/>
      <c r="AP391" s="43"/>
      <c r="AQ391" s="43"/>
      <c r="AR391" s="43"/>
      <c r="AS391" s="43"/>
      <c r="AT391" s="43"/>
      <c r="AU391" s="43"/>
      <c r="AV391" s="43"/>
      <c r="AW391" s="43"/>
      <c r="AX391" s="43"/>
      <c r="AY391" s="43"/>
      <c r="AZ391" s="43"/>
    </row>
    <row r="392">
      <c r="A392" s="78" t="s">
        <v>2589</v>
      </c>
      <c r="B392" s="63" t="s">
        <v>82</v>
      </c>
      <c r="C392" s="64" t="s">
        <v>2590</v>
      </c>
      <c r="D392" s="47" t="s">
        <v>2591</v>
      </c>
      <c r="E392" s="64" t="s">
        <v>324</v>
      </c>
      <c r="F392" s="31" t="s">
        <v>60</v>
      </c>
      <c r="G392" s="31"/>
      <c r="H392" s="31"/>
      <c r="I392" s="31" t="s">
        <v>60</v>
      </c>
      <c r="J392" s="31"/>
      <c r="K392" s="31"/>
      <c r="L392" s="32" t="str">
        <f>IFERROR(__xludf.DUMMYFUNCTION("VLOOKUP($A392,IMPORTRANGE(""1PQtfbQLqBUP-rjYRznmgNFBLOjvAnhGzpIx7BJWq8rk"",""'Worksheet'!$B$2:$H""),7,FALSE)"),"#N/A")</f>
        <v>#N/A</v>
      </c>
      <c r="M392" s="31" t="s">
        <v>60</v>
      </c>
      <c r="N392" s="49">
        <v>1.821590698E7</v>
      </c>
      <c r="O392" s="49">
        <v>1.821590698E7</v>
      </c>
      <c r="P392" s="49">
        <f t="shared" si="62"/>
        <v>0</v>
      </c>
      <c r="Q392" s="34">
        <f t="shared" si="7"/>
        <v>0</v>
      </c>
      <c r="R392" s="31"/>
      <c r="S392" s="31" t="s">
        <v>60</v>
      </c>
      <c r="T392" s="50" t="s">
        <v>2592</v>
      </c>
      <c r="U392" s="50" t="s">
        <v>2592</v>
      </c>
      <c r="V392" s="50">
        <v>0.0</v>
      </c>
      <c r="W392" s="31"/>
      <c r="X392" s="52" t="s">
        <v>113</v>
      </c>
      <c r="Y392" s="54"/>
      <c r="Z392" s="54"/>
      <c r="AA392" s="54" t="s">
        <v>114</v>
      </c>
      <c r="AB392" s="38" t="s">
        <v>115</v>
      </c>
      <c r="AC392" s="38"/>
      <c r="AD392" s="39">
        <v>22610.0</v>
      </c>
      <c r="AE392" s="39">
        <v>18215.90698</v>
      </c>
      <c r="AF392" s="39">
        <v>4394.09302</v>
      </c>
      <c r="AG392" s="57"/>
      <c r="AH392" s="42" t="s">
        <v>2593</v>
      </c>
      <c r="AI392" s="42" t="str">
        <f>IFERROR(__xludf.DUMMYFUNCTION("vLOOKUP(A392,IMPORTRANGE(""https://docs.google.com/spreadsheets/d/1Rawwwdh8wntXGy8isdYNHxsNQS4n_rC8JSdPfj6vEq4"",""'500 объектов перенос на 2026'!A3:AB502""),13,0)"),"#REF!")</f>
        <v>#REF!</v>
      </c>
      <c r="AJ392" s="42" t="str">
        <f>IFERROR(__xludf.DUMMYFUNCTION("vLOOKUP(A392,IMPORTRANGE(""https://docs.google.com/spreadsheets/d/1Rawwwdh8wntXGy8isdYNHxsNQS4n_rC8JSdPfj6vEq4"",""'500 объектов перенос на 2026'!A3:AB502""),14,0)"),"#REF!")</f>
        <v>#REF!</v>
      </c>
      <c r="AK392" s="76" t="s">
        <v>114</v>
      </c>
      <c r="AL392" s="76"/>
      <c r="AM392" s="70"/>
      <c r="AN392" s="43"/>
      <c r="AO392" s="43"/>
      <c r="AP392" s="43"/>
      <c r="AQ392" s="43"/>
      <c r="AR392" s="43"/>
      <c r="AS392" s="43"/>
      <c r="AT392" s="43"/>
      <c r="AU392" s="43"/>
      <c r="AV392" s="43"/>
      <c r="AW392" s="43"/>
      <c r="AX392" s="43"/>
      <c r="AY392" s="43"/>
      <c r="AZ392" s="43"/>
    </row>
    <row r="393">
      <c r="A393" s="78" t="s">
        <v>2594</v>
      </c>
      <c r="B393" s="63" t="s">
        <v>82</v>
      </c>
      <c r="C393" s="64" t="s">
        <v>2595</v>
      </c>
      <c r="D393" s="47" t="s">
        <v>2581</v>
      </c>
      <c r="E393" s="64" t="s">
        <v>85</v>
      </c>
      <c r="F393" s="31" t="s">
        <v>60</v>
      </c>
      <c r="G393" s="31"/>
      <c r="H393" s="31"/>
      <c r="I393" s="31" t="s">
        <v>60</v>
      </c>
      <c r="J393" s="31"/>
      <c r="K393" s="31"/>
      <c r="L393" s="32" t="str">
        <f>IFERROR(__xludf.DUMMYFUNCTION("VLOOKUP($A393,IMPORTRANGE(""1PQtfbQLqBUP-rjYRznmgNFBLOjvAnhGzpIx7BJWq8rk"",""'Worksheet'!$B$2:$H""),7,FALSE)"),"#N/A")</f>
        <v>#N/A</v>
      </c>
      <c r="M393" s="31" t="s">
        <v>60</v>
      </c>
      <c r="N393" s="49">
        <v>2.654096E7</v>
      </c>
      <c r="O393" s="49">
        <v>2.630810785E7</v>
      </c>
      <c r="P393" s="49">
        <v>0.0</v>
      </c>
      <c r="Q393" s="34">
        <f t="shared" si="7"/>
        <v>0.008773313023</v>
      </c>
      <c r="R393" s="31"/>
      <c r="S393" s="31" t="s">
        <v>60</v>
      </c>
      <c r="T393" s="50">
        <f>0.95*N393</f>
        <v>25213912</v>
      </c>
      <c r="U393" s="51">
        <v>2.5213912E7</v>
      </c>
      <c r="V393" s="51">
        <v>0.0</v>
      </c>
      <c r="W393" s="31"/>
      <c r="X393" s="52" t="s">
        <v>113</v>
      </c>
      <c r="Y393" s="54"/>
      <c r="Z393" s="54"/>
      <c r="AA393" s="54" t="s">
        <v>114</v>
      </c>
      <c r="AB393" s="38" t="s">
        <v>115</v>
      </c>
      <c r="AC393" s="38"/>
      <c r="AD393" s="39">
        <v>26540.96</v>
      </c>
      <c r="AE393" s="39">
        <v>26308.10785</v>
      </c>
      <c r="AF393" s="39">
        <v>232.85215</v>
      </c>
      <c r="AG393" s="57" t="s">
        <v>2596</v>
      </c>
      <c r="AH393" s="42" t="s">
        <v>253</v>
      </c>
      <c r="AI393" s="42" t="str">
        <f>IFERROR(__xludf.DUMMYFUNCTION("vLOOKUP(A393,IMPORTRANGE(""https://docs.google.com/spreadsheets/d/1Rawwwdh8wntXGy8isdYNHxsNQS4n_rC8JSdPfj6vEq4"",""'500 объектов перенос на 2026'!A3:AB502""),13,0)"),"#REF!")</f>
        <v>#REF!</v>
      </c>
      <c r="AJ393" s="42" t="str">
        <f>IFERROR(__xludf.DUMMYFUNCTION("vLOOKUP(A393,IMPORTRANGE(""https://docs.google.com/spreadsheets/d/1Rawwwdh8wntXGy8isdYNHxsNQS4n_rC8JSdPfj6vEq4"",""'500 объектов перенос на 2026'!A3:AB502""),14,0)"),"#REF!")</f>
        <v>#REF!</v>
      </c>
      <c r="AK393" s="76" t="s">
        <v>114</v>
      </c>
      <c r="AL393" s="76"/>
      <c r="AM393" s="70"/>
      <c r="AN393" s="43"/>
      <c r="AO393" s="43"/>
      <c r="AP393" s="43"/>
      <c r="AQ393" s="43"/>
      <c r="AR393" s="43"/>
      <c r="AS393" s="43"/>
      <c r="AT393" s="43"/>
      <c r="AU393" s="43"/>
      <c r="AV393" s="43"/>
      <c r="AW393" s="43"/>
      <c r="AX393" s="43"/>
      <c r="AY393" s="43"/>
      <c r="AZ393" s="43"/>
    </row>
    <row r="394">
      <c r="A394" s="122" t="s">
        <v>2597</v>
      </c>
      <c r="B394" s="63" t="s">
        <v>503</v>
      </c>
      <c r="C394" s="64" t="s">
        <v>2598</v>
      </c>
      <c r="D394" s="47" t="s">
        <v>2069</v>
      </c>
      <c r="E394" s="64" t="s">
        <v>59</v>
      </c>
      <c r="F394" s="31" t="s">
        <v>60</v>
      </c>
      <c r="G394" s="31"/>
      <c r="H394" s="31"/>
      <c r="I394" s="31" t="s">
        <v>60</v>
      </c>
      <c r="J394" s="31"/>
      <c r="K394" s="31"/>
      <c r="L394" s="32">
        <f>IFERROR(__xludf.DUMMYFUNCTION("VLOOKUP($A394,IMPORTRANGE(""1PQtfbQLqBUP-rjYRznmgNFBLOjvAnhGzpIx7BJWq8rk"",""'Worksheet'!$B$2:$H""),7,FALSE)"),1.0)</f>
        <v>1</v>
      </c>
      <c r="M394" s="31" t="s">
        <v>40</v>
      </c>
      <c r="N394" s="49">
        <v>1.037917E7</v>
      </c>
      <c r="O394" s="49">
        <v>3113751.0</v>
      </c>
      <c r="P394" s="49">
        <f>N394-O394</f>
        <v>7265419</v>
      </c>
      <c r="Q394" s="34">
        <f t="shared" si="7"/>
        <v>0.7</v>
      </c>
      <c r="R394" s="31"/>
      <c r="S394" s="31" t="s">
        <v>45</v>
      </c>
      <c r="T394" s="91"/>
      <c r="U394" s="50"/>
      <c r="V394" s="50"/>
      <c r="W394" s="31" t="s">
        <v>1503</v>
      </c>
      <c r="X394" s="52" t="s">
        <v>2599</v>
      </c>
      <c r="Y394" s="187" t="s">
        <v>2600</v>
      </c>
      <c r="Z394" s="54" t="s">
        <v>2601</v>
      </c>
      <c r="AA394" s="74">
        <v>46296.0</v>
      </c>
      <c r="AB394" s="56"/>
      <c r="AC394" s="38"/>
      <c r="AD394" s="39">
        <v>10379.17</v>
      </c>
      <c r="AE394" s="39">
        <v>3113.751</v>
      </c>
      <c r="AF394" s="40">
        <v>7265.419</v>
      </c>
      <c r="AG394" s="57" t="s">
        <v>2602</v>
      </c>
      <c r="AH394" s="42" t="s">
        <v>2603</v>
      </c>
      <c r="AI394" s="42" t="str">
        <f>IFERROR(__xludf.DUMMYFUNCTION("vLOOKUP(A394,IMPORTRANGE(""https://docs.google.com/spreadsheets/d/1Rawwwdh8wntXGy8isdYNHxsNQS4n_rC8JSdPfj6vEq4"",""'500 объектов перенос на 2026'!A3:AB502""),13,0)"),"#REF!")</f>
        <v>#REF!</v>
      </c>
      <c r="AJ394" s="42" t="str">
        <f>IFERROR(__xludf.DUMMYFUNCTION("vLOOKUP(A394,IMPORTRANGE(""https://docs.google.com/spreadsheets/d/1Rawwwdh8wntXGy8isdYNHxsNQS4n_rC8JSdPfj6vEq4"",""'500 объектов перенос на 2026'!A3:AB502""),14,0)"),"#REF!")</f>
        <v>#REF!</v>
      </c>
      <c r="AK394" s="188" t="s">
        <v>2600</v>
      </c>
      <c r="AL394" s="189"/>
      <c r="AM394" s="190"/>
      <c r="AN394" s="43"/>
      <c r="AO394" s="43"/>
      <c r="AP394" s="43"/>
      <c r="AQ394" s="43"/>
      <c r="AR394" s="43"/>
      <c r="AS394" s="43"/>
      <c r="AT394" s="43"/>
      <c r="AU394" s="43"/>
      <c r="AV394" s="43"/>
      <c r="AW394" s="43"/>
      <c r="AX394" s="43"/>
      <c r="AY394" s="43"/>
      <c r="AZ394" s="43"/>
    </row>
    <row r="395">
      <c r="A395" s="78" t="s">
        <v>2604</v>
      </c>
      <c r="B395" s="63" t="s">
        <v>82</v>
      </c>
      <c r="C395" s="64" t="s">
        <v>2605</v>
      </c>
      <c r="D395" s="47" t="s">
        <v>227</v>
      </c>
      <c r="E395" s="64" t="s">
        <v>39</v>
      </c>
      <c r="F395" s="31" t="s">
        <v>60</v>
      </c>
      <c r="G395" s="31"/>
      <c r="H395" s="31"/>
      <c r="I395" s="31" t="s">
        <v>60</v>
      </c>
      <c r="J395" s="31"/>
      <c r="K395" s="31"/>
      <c r="L395" s="32" t="str">
        <f>IFERROR(__xludf.DUMMYFUNCTION("VLOOKUP($A395,IMPORTRANGE(""1PQtfbQLqBUP-rjYRznmgNFBLOjvAnhGzpIx7BJWq8rk"",""'Worksheet'!$B$2:$H""),7,FALSE)"),"#N/A")</f>
        <v>#N/A</v>
      </c>
      <c r="M395" s="31" t="s">
        <v>60</v>
      </c>
      <c r="N395" s="49">
        <v>9.986902E7</v>
      </c>
      <c r="O395" s="49">
        <v>9.518599254E7</v>
      </c>
      <c r="P395" s="49">
        <v>0.0</v>
      </c>
      <c r="Q395" s="34">
        <f t="shared" si="7"/>
        <v>0.04689169334</v>
      </c>
      <c r="R395" s="31"/>
      <c r="S395" s="31" t="s">
        <v>60</v>
      </c>
      <c r="T395" s="50">
        <f>N395*0.95</f>
        <v>94875569</v>
      </c>
      <c r="U395" s="51">
        <v>9.4875569E7</v>
      </c>
      <c r="V395" s="51">
        <v>0.0</v>
      </c>
      <c r="W395" s="31"/>
      <c r="X395" s="52" t="s">
        <v>113</v>
      </c>
      <c r="Y395" s="54"/>
      <c r="Z395" s="54"/>
      <c r="AA395" s="54" t="s">
        <v>114</v>
      </c>
      <c r="AB395" s="38" t="s">
        <v>115</v>
      </c>
      <c r="AC395" s="38"/>
      <c r="AD395" s="39">
        <v>99869.02</v>
      </c>
      <c r="AE395" s="39">
        <v>95185.99254</v>
      </c>
      <c r="AF395" s="39">
        <v>4683.02746</v>
      </c>
      <c r="AG395" s="57" t="s">
        <v>2606</v>
      </c>
      <c r="AH395" s="42" t="s">
        <v>253</v>
      </c>
      <c r="AI395" s="42" t="str">
        <f>IFERROR(__xludf.DUMMYFUNCTION("vLOOKUP(A395,IMPORTRANGE(""https://docs.google.com/spreadsheets/d/1Rawwwdh8wntXGy8isdYNHxsNQS4n_rC8JSdPfj6vEq4"",""'500 объектов перенос на 2026'!A3:AB502""),13,0)"),"#REF!")</f>
        <v>#REF!</v>
      </c>
      <c r="AJ395" s="42" t="str">
        <f>IFERROR(__xludf.DUMMYFUNCTION("vLOOKUP(A395,IMPORTRANGE(""https://docs.google.com/spreadsheets/d/1Rawwwdh8wntXGy8isdYNHxsNQS4n_rC8JSdPfj6vEq4"",""'500 объектов перенос на 2026'!A3:AB502""),14,0)"),"#REF!")</f>
        <v>#REF!</v>
      </c>
      <c r="AK395" s="76" t="s">
        <v>114</v>
      </c>
      <c r="AL395" s="76"/>
      <c r="AM395" s="70"/>
      <c r="AN395" s="43"/>
      <c r="AO395" s="43"/>
      <c r="AP395" s="43"/>
      <c r="AQ395" s="43"/>
      <c r="AR395" s="43"/>
      <c r="AS395" s="43"/>
      <c r="AT395" s="43"/>
      <c r="AU395" s="43"/>
      <c r="AV395" s="43"/>
      <c r="AW395" s="43"/>
      <c r="AX395" s="43"/>
      <c r="AY395" s="43"/>
      <c r="AZ395" s="43"/>
    </row>
    <row r="396">
      <c r="A396" s="62" t="s">
        <v>2607</v>
      </c>
      <c r="B396" s="63" t="s">
        <v>268</v>
      </c>
      <c r="C396" s="144" t="s">
        <v>2608</v>
      </c>
      <c r="D396" s="47" t="s">
        <v>1041</v>
      </c>
      <c r="E396" s="64" t="s">
        <v>85</v>
      </c>
      <c r="F396" s="31" t="s">
        <v>60</v>
      </c>
      <c r="G396" s="31"/>
      <c r="H396" s="31"/>
      <c r="I396" s="31" t="s">
        <v>60</v>
      </c>
      <c r="J396" s="31"/>
      <c r="K396" s="31"/>
      <c r="L396" s="32">
        <f>IFERROR(__xludf.DUMMYFUNCTION("VLOOKUP($A396,IMPORTRANGE(""1PQtfbQLqBUP-rjYRznmgNFBLOjvAnhGzpIx7BJWq8rk"",""'Worksheet'!$B$2:$H""),7,FALSE)"),0.93)</f>
        <v>0.93</v>
      </c>
      <c r="M396" s="31" t="s">
        <v>40</v>
      </c>
      <c r="N396" s="49">
        <v>1.3609192E7</v>
      </c>
      <c r="O396" s="49">
        <v>6396320.24</v>
      </c>
      <c r="P396" s="49">
        <f t="shared" ref="P396:P397" si="63">N396-O396</f>
        <v>7212871.76</v>
      </c>
      <c r="Q396" s="34">
        <f t="shared" si="7"/>
        <v>0.53</v>
      </c>
      <c r="R396" s="31"/>
      <c r="S396" s="31" t="s">
        <v>40</v>
      </c>
      <c r="T396" s="50" t="s">
        <v>2609</v>
      </c>
      <c r="U396" s="50">
        <v>0.0</v>
      </c>
      <c r="V396" s="50" t="s">
        <v>2609</v>
      </c>
      <c r="W396" s="31" t="s">
        <v>506</v>
      </c>
      <c r="X396" s="52" t="s">
        <v>1582</v>
      </c>
      <c r="Y396" s="54" t="s">
        <v>2610</v>
      </c>
      <c r="Z396" s="54" t="s">
        <v>851</v>
      </c>
      <c r="AA396" s="74">
        <v>46218.0</v>
      </c>
      <c r="AB396" s="56"/>
      <c r="AC396" s="38"/>
      <c r="AD396" s="39">
        <v>13609.19</v>
      </c>
      <c r="AE396" s="39">
        <v>6396.32024</v>
      </c>
      <c r="AF396" s="40">
        <v>7212.86976</v>
      </c>
      <c r="AG396" s="57" t="s">
        <v>2611</v>
      </c>
      <c r="AH396" s="42" t="s">
        <v>2612</v>
      </c>
      <c r="AI396" s="42" t="str">
        <f>IFERROR(__xludf.DUMMYFUNCTION("vLOOKUP(A396,IMPORTRANGE(""https://docs.google.com/spreadsheets/d/1Rawwwdh8wntXGy8isdYNHxsNQS4n_rC8JSdPfj6vEq4"",""'500 объектов перенос на 2026'!A3:AB502""),13,0)"),"#REF!")</f>
        <v>#REF!</v>
      </c>
      <c r="AJ396" s="42" t="str">
        <f>IFERROR(__xludf.DUMMYFUNCTION("vLOOKUP(A396,IMPORTRANGE(""https://docs.google.com/spreadsheets/d/1Rawwwdh8wntXGy8isdYNHxsNQS4n_rC8JSdPfj6vEq4"",""'500 объектов перенос на 2026'!A3:AB502""),14,0)"),"#REF!")</f>
        <v>#REF!</v>
      </c>
      <c r="AK396" s="58" t="s">
        <v>2613</v>
      </c>
      <c r="AL396" s="151" t="s">
        <v>1272</v>
      </c>
      <c r="AM396" s="94"/>
      <c r="AN396" s="43"/>
      <c r="AO396" s="43"/>
      <c r="AP396" s="43"/>
      <c r="AQ396" s="43"/>
      <c r="AR396" s="43"/>
      <c r="AS396" s="43"/>
      <c r="AT396" s="43"/>
      <c r="AU396" s="43"/>
      <c r="AV396" s="43"/>
      <c r="AW396" s="43"/>
      <c r="AX396" s="43"/>
      <c r="AY396" s="43"/>
      <c r="AZ396" s="43"/>
    </row>
    <row r="397">
      <c r="A397" s="62" t="s">
        <v>2614</v>
      </c>
      <c r="B397" s="63" t="s">
        <v>1586</v>
      </c>
      <c r="C397" s="64" t="s">
        <v>2615</v>
      </c>
      <c r="D397" s="47" t="s">
        <v>1276</v>
      </c>
      <c r="E397" s="64" t="s">
        <v>85</v>
      </c>
      <c r="F397" s="31" t="s">
        <v>60</v>
      </c>
      <c r="G397" s="31"/>
      <c r="H397" s="31"/>
      <c r="I397" s="31" t="s">
        <v>40</v>
      </c>
      <c r="J397" s="31" t="s">
        <v>61</v>
      </c>
      <c r="K397" s="31" t="s">
        <v>72</v>
      </c>
      <c r="L397" s="32">
        <f>IFERROR(__xludf.DUMMYFUNCTION("VLOOKUP($A397,IMPORTRANGE(""1PQtfbQLqBUP-rjYRznmgNFBLOjvAnhGzpIx7BJWq8rk"",""'Worksheet'!$B$2:$H""),7,FALSE)"),0.9)</f>
        <v>0.9</v>
      </c>
      <c r="M397" s="31" t="s">
        <v>45</v>
      </c>
      <c r="N397" s="49">
        <v>2.454445162E7</v>
      </c>
      <c r="O397" s="49">
        <v>1.767796582E7</v>
      </c>
      <c r="P397" s="49">
        <f t="shared" si="63"/>
        <v>6866485.8</v>
      </c>
      <c r="Q397" s="34">
        <f t="shared" si="7"/>
        <v>0.2797571486</v>
      </c>
      <c r="R397" s="31"/>
      <c r="S397" s="31" t="s">
        <v>45</v>
      </c>
      <c r="T397" s="50" t="s">
        <v>2616</v>
      </c>
      <c r="U397" s="50" t="s">
        <v>2617</v>
      </c>
      <c r="V397" s="50" t="s">
        <v>2618</v>
      </c>
      <c r="W397" s="31"/>
      <c r="X397" s="52" t="s">
        <v>1592</v>
      </c>
      <c r="Y397" s="54" t="s">
        <v>2128</v>
      </c>
      <c r="Z397" s="54" t="s">
        <v>1594</v>
      </c>
      <c r="AA397" s="68">
        <v>46232.0</v>
      </c>
      <c r="AB397" s="56"/>
      <c r="AC397" s="38" t="s">
        <v>1595</v>
      </c>
      <c r="AD397" s="39">
        <v>20628.24</v>
      </c>
      <c r="AE397" s="39">
        <v>17677.96582</v>
      </c>
      <c r="AF397" s="40">
        <v>2950.27418</v>
      </c>
      <c r="AG397" s="57" t="s">
        <v>2619</v>
      </c>
      <c r="AH397" s="42" t="s">
        <v>2620</v>
      </c>
      <c r="AI397" s="42" t="str">
        <f>IFERROR(__xludf.DUMMYFUNCTION("vLOOKUP(A397,IMPORTRANGE(""https://docs.google.com/spreadsheets/d/1Rawwwdh8wntXGy8isdYNHxsNQS4n_rC8JSdPfj6vEq4"",""'500 объектов перенос на 2026'!A3:AB502""),13,0)"),"#REF!")</f>
        <v>#REF!</v>
      </c>
      <c r="AJ397" s="42" t="str">
        <f>IFERROR(__xludf.DUMMYFUNCTION("vLOOKUP(A397,IMPORTRANGE(""https://docs.google.com/spreadsheets/d/1Rawwwdh8wntXGy8isdYNHxsNQS4n_rC8JSdPfj6vEq4"",""'500 объектов перенос на 2026'!A3:AB502""),14,0)"),"#REF!")</f>
        <v>#REF!</v>
      </c>
      <c r="AK397" s="76" t="s">
        <v>2332</v>
      </c>
      <c r="AL397" s="76"/>
      <c r="AM397" s="70"/>
      <c r="AN397" s="96">
        <v>67938.0</v>
      </c>
      <c r="AO397" s="96"/>
      <c r="AP397" s="96"/>
      <c r="AQ397" s="96"/>
      <c r="AR397" s="96"/>
      <c r="AS397" s="96"/>
      <c r="AT397" s="96"/>
      <c r="AU397" s="96"/>
      <c r="AV397" s="96"/>
      <c r="AW397" s="96"/>
      <c r="AX397" s="96"/>
      <c r="AY397" s="96"/>
      <c r="AZ397" s="96"/>
    </row>
    <row r="398">
      <c r="A398" s="78" t="s">
        <v>2621</v>
      </c>
      <c r="B398" s="63" t="s">
        <v>82</v>
      </c>
      <c r="C398" s="64" t="s">
        <v>2622</v>
      </c>
      <c r="D398" s="47" t="s">
        <v>2623</v>
      </c>
      <c r="E398" s="64" t="s">
        <v>85</v>
      </c>
      <c r="F398" s="31" t="s">
        <v>60</v>
      </c>
      <c r="G398" s="31"/>
      <c r="H398" s="31"/>
      <c r="I398" s="31" t="s">
        <v>60</v>
      </c>
      <c r="J398" s="31"/>
      <c r="K398" s="31"/>
      <c r="L398" s="32" t="str">
        <f>IFERROR(__xludf.DUMMYFUNCTION("VLOOKUP($A398,IMPORTRANGE(""1PQtfbQLqBUP-rjYRznmgNFBLOjvAnhGzpIx7BJWq8rk"",""'Worksheet'!$B$2:$H""),7,FALSE)"),"#N/A")</f>
        <v>#N/A</v>
      </c>
      <c r="M398" s="31" t="s">
        <v>60</v>
      </c>
      <c r="N398" s="49">
        <v>2.539287E7</v>
      </c>
      <c r="O398" s="49">
        <v>2.443136368E7</v>
      </c>
      <c r="P398" s="49">
        <v>0.0</v>
      </c>
      <c r="Q398" s="34">
        <f t="shared" si="7"/>
        <v>0.03786520862</v>
      </c>
      <c r="R398" s="31"/>
      <c r="S398" s="31" t="s">
        <v>60</v>
      </c>
      <c r="T398" s="50">
        <f>0.95*N398</f>
        <v>24123226.5</v>
      </c>
      <c r="U398" s="51">
        <v>2.41232265E7</v>
      </c>
      <c r="V398" s="51">
        <v>0.0</v>
      </c>
      <c r="W398" s="31"/>
      <c r="X398" s="52" t="s">
        <v>113</v>
      </c>
      <c r="Y398" s="54"/>
      <c r="Z398" s="54"/>
      <c r="AA398" s="54" t="s">
        <v>114</v>
      </c>
      <c r="AB398" s="38" t="s">
        <v>115</v>
      </c>
      <c r="AC398" s="38"/>
      <c r="AD398" s="39">
        <v>25392.87</v>
      </c>
      <c r="AE398" s="39">
        <v>24431.36368</v>
      </c>
      <c r="AF398" s="39">
        <v>961.50632</v>
      </c>
      <c r="AG398" s="57" t="s">
        <v>2624</v>
      </c>
      <c r="AH398" s="42" t="s">
        <v>253</v>
      </c>
      <c r="AI398" s="42" t="str">
        <f>IFERROR(__xludf.DUMMYFUNCTION("vLOOKUP(A398,IMPORTRANGE(""https://docs.google.com/spreadsheets/d/1Rawwwdh8wntXGy8isdYNHxsNQS4n_rC8JSdPfj6vEq4"",""'500 объектов перенос на 2026'!A3:AB502""),13,0)"),"#REF!")</f>
        <v>#REF!</v>
      </c>
      <c r="AJ398" s="42" t="str">
        <f>IFERROR(__xludf.DUMMYFUNCTION("vLOOKUP(A398,IMPORTRANGE(""https://docs.google.com/spreadsheets/d/1Rawwwdh8wntXGy8isdYNHxsNQS4n_rC8JSdPfj6vEq4"",""'500 объектов перенос на 2026'!A3:AB502""),14,0)"),"#REF!")</f>
        <v>#REF!</v>
      </c>
      <c r="AK398" s="76" t="s">
        <v>114</v>
      </c>
      <c r="AL398" s="76"/>
      <c r="AM398" s="70"/>
      <c r="AN398" s="43"/>
      <c r="AO398" s="43"/>
      <c r="AP398" s="43"/>
      <c r="AQ398" s="43"/>
      <c r="AR398" s="43"/>
      <c r="AS398" s="43"/>
      <c r="AT398" s="43"/>
      <c r="AU398" s="43"/>
      <c r="AV398" s="43"/>
      <c r="AW398" s="43"/>
      <c r="AX398" s="43"/>
      <c r="AY398" s="43"/>
      <c r="AZ398" s="43"/>
    </row>
    <row r="399">
      <c r="A399" s="62" t="s">
        <v>2625</v>
      </c>
      <c r="B399" s="63" t="s">
        <v>142</v>
      </c>
      <c r="C399" s="64" t="s">
        <v>2626</v>
      </c>
      <c r="D399" s="47" t="s">
        <v>427</v>
      </c>
      <c r="E399" s="64" t="s">
        <v>59</v>
      </c>
      <c r="F399" s="31" t="s">
        <v>60</v>
      </c>
      <c r="G399" s="31"/>
      <c r="H399" s="31"/>
      <c r="I399" s="31" t="s">
        <v>60</v>
      </c>
      <c r="J399" s="31"/>
      <c r="K399" s="31"/>
      <c r="L399" s="32">
        <f>IFERROR(__xludf.DUMMYFUNCTION("VLOOKUP($A399,IMPORTRANGE(""1PQtfbQLqBUP-rjYRznmgNFBLOjvAnhGzpIx7BJWq8rk"",""'Worksheet'!$B$2:$H""),7,FALSE)"),0.92)</f>
        <v>0.92</v>
      </c>
      <c r="M399" s="31" t="s">
        <v>45</v>
      </c>
      <c r="N399" s="49">
        <v>3.722059242E7</v>
      </c>
      <c r="O399" s="49">
        <v>3.036841493E7</v>
      </c>
      <c r="P399" s="49">
        <f t="shared" ref="P399:P400" si="64">N399-O399</f>
        <v>6852177.49</v>
      </c>
      <c r="Q399" s="34">
        <f t="shared" si="7"/>
        <v>0.1840964113</v>
      </c>
      <c r="R399" s="31"/>
      <c r="S399" s="31" t="s">
        <v>45</v>
      </c>
      <c r="T399" s="72" t="s">
        <v>2627</v>
      </c>
      <c r="U399" s="72" t="s">
        <v>2628</v>
      </c>
      <c r="V399" s="72" t="s">
        <v>2629</v>
      </c>
      <c r="W399" s="31" t="s">
        <v>183</v>
      </c>
      <c r="X399" s="52" t="s">
        <v>1615</v>
      </c>
      <c r="Y399" s="89" t="s">
        <v>2630</v>
      </c>
      <c r="Z399" s="55"/>
      <c r="AA399" s="55">
        <v>46266.0</v>
      </c>
      <c r="AB399" s="56"/>
      <c r="AC399" s="38"/>
      <c r="AD399" s="39">
        <v>29512.61</v>
      </c>
      <c r="AE399" s="39">
        <v>42814.99493</v>
      </c>
      <c r="AF399" s="40">
        <v>-13302.38493</v>
      </c>
      <c r="AG399" s="57" t="s">
        <v>2631</v>
      </c>
      <c r="AH399" s="85" t="s">
        <v>46</v>
      </c>
      <c r="AI399" s="42" t="str">
        <f>IFERROR(__xludf.DUMMYFUNCTION("vLOOKUP(A399,IMPORTRANGE(""https://docs.google.com/spreadsheets/d/1Rawwwdh8wntXGy8isdYNHxsNQS4n_rC8JSdPfj6vEq4"",""'500 объектов перенос на 2026'!A3:AB502""),13,0)"),"#REF!")</f>
        <v>#REF!</v>
      </c>
      <c r="AJ399" s="42" t="str">
        <f>IFERROR(__xludf.DUMMYFUNCTION("vLOOKUP(A399,IMPORTRANGE(""https://docs.google.com/spreadsheets/d/1Rawwwdh8wntXGy8isdYNHxsNQS4n_rC8JSdPfj6vEq4"",""'500 объектов перенос на 2026'!A3:AB502""),14,0)"),"#REF!")</f>
        <v>#REF!</v>
      </c>
      <c r="AK399" s="138" t="s">
        <v>2632</v>
      </c>
      <c r="AL399" s="138"/>
      <c r="AM399" s="110"/>
      <c r="AN399" s="43"/>
      <c r="AO399" s="43"/>
      <c r="AP399" s="43"/>
      <c r="AQ399" s="43"/>
      <c r="AR399" s="43"/>
      <c r="AS399" s="43"/>
      <c r="AT399" s="43"/>
      <c r="AU399" s="43"/>
      <c r="AV399" s="43"/>
      <c r="AW399" s="43"/>
      <c r="AX399" s="43"/>
      <c r="AY399" s="43"/>
      <c r="AZ399" s="43"/>
    </row>
    <row r="400">
      <c r="A400" s="78" t="s">
        <v>2633</v>
      </c>
      <c r="B400" s="63" t="s">
        <v>82</v>
      </c>
      <c r="C400" s="64" t="s">
        <v>2634</v>
      </c>
      <c r="D400" s="47" t="s">
        <v>2623</v>
      </c>
      <c r="E400" s="64" t="s">
        <v>85</v>
      </c>
      <c r="F400" s="31" t="s">
        <v>60</v>
      </c>
      <c r="G400" s="31"/>
      <c r="H400" s="31"/>
      <c r="I400" s="31" t="s">
        <v>60</v>
      </c>
      <c r="J400" s="31"/>
      <c r="K400" s="31"/>
      <c r="L400" s="32" t="str">
        <f>IFERROR(__xludf.DUMMYFUNCTION("VLOOKUP($A400,IMPORTRANGE(""1PQtfbQLqBUP-rjYRznmgNFBLOjvAnhGzpIx7BJWq8rk"",""'Worksheet'!$B$2:$H""),7,FALSE)"),"#N/A")</f>
        <v>#N/A</v>
      </c>
      <c r="M400" s="31" t="s">
        <v>60</v>
      </c>
      <c r="N400" s="49">
        <v>7067134.53</v>
      </c>
      <c r="O400" s="49">
        <v>7067134.53</v>
      </c>
      <c r="P400" s="49">
        <f t="shared" si="64"/>
        <v>0</v>
      </c>
      <c r="Q400" s="34">
        <f t="shared" si="7"/>
        <v>0</v>
      </c>
      <c r="R400" s="31"/>
      <c r="S400" s="31" t="s">
        <v>60</v>
      </c>
      <c r="T400" s="50">
        <f>0.95*N400</f>
        <v>6713777.804</v>
      </c>
      <c r="U400" s="51">
        <v>6713777.8035</v>
      </c>
      <c r="V400" s="51">
        <v>0.0</v>
      </c>
      <c r="W400" s="31"/>
      <c r="X400" s="52" t="s">
        <v>113</v>
      </c>
      <c r="Y400" s="54"/>
      <c r="Z400" s="54"/>
      <c r="AA400" s="54" t="s">
        <v>114</v>
      </c>
      <c r="AB400" s="38" t="s">
        <v>115</v>
      </c>
      <c r="AC400" s="38"/>
      <c r="AD400" s="39">
        <v>7067.13</v>
      </c>
      <c r="AE400" s="39">
        <v>7067.13453</v>
      </c>
      <c r="AF400" s="39">
        <v>-0.00453</v>
      </c>
      <c r="AG400" s="57" t="s">
        <v>2635</v>
      </c>
      <c r="AH400" s="42" t="s">
        <v>2636</v>
      </c>
      <c r="AI400" s="42" t="str">
        <f>IFERROR(__xludf.DUMMYFUNCTION("vLOOKUP(A400,IMPORTRANGE(""https://docs.google.com/spreadsheets/d/1Rawwwdh8wntXGy8isdYNHxsNQS4n_rC8JSdPfj6vEq4"",""'500 объектов перенос на 2026'!A3:AB502""),13,0)"),"#REF!")</f>
        <v>#REF!</v>
      </c>
      <c r="AJ400" s="42" t="str">
        <f>IFERROR(__xludf.DUMMYFUNCTION("vLOOKUP(A400,IMPORTRANGE(""https://docs.google.com/spreadsheets/d/1Rawwwdh8wntXGy8isdYNHxsNQS4n_rC8JSdPfj6vEq4"",""'500 объектов перенос на 2026'!A3:AB502""),14,0)"),"#REF!")</f>
        <v>#REF!</v>
      </c>
      <c r="AK400" s="76" t="s">
        <v>114</v>
      </c>
      <c r="AL400" s="76"/>
      <c r="AM400" s="70"/>
      <c r="AN400" s="43"/>
      <c r="AO400" s="43"/>
      <c r="AP400" s="43"/>
      <c r="AQ400" s="43"/>
      <c r="AR400" s="43"/>
      <c r="AS400" s="43"/>
      <c r="AT400" s="43"/>
      <c r="AU400" s="43"/>
      <c r="AV400" s="43"/>
      <c r="AW400" s="43"/>
      <c r="AX400" s="43"/>
      <c r="AY400" s="43"/>
      <c r="AZ400" s="43"/>
    </row>
    <row r="401">
      <c r="A401" s="78" t="s">
        <v>2637</v>
      </c>
      <c r="B401" s="63" t="s">
        <v>82</v>
      </c>
      <c r="C401" s="64" t="s">
        <v>2638</v>
      </c>
      <c r="D401" s="47" t="s">
        <v>2639</v>
      </c>
      <c r="E401" s="64" t="s">
        <v>85</v>
      </c>
      <c r="F401" s="31" t="s">
        <v>60</v>
      </c>
      <c r="G401" s="31"/>
      <c r="H401" s="31"/>
      <c r="I401" s="31" t="s">
        <v>60</v>
      </c>
      <c r="J401" s="31"/>
      <c r="K401" s="31"/>
      <c r="L401" s="32" t="str">
        <f>IFERROR(__xludf.DUMMYFUNCTION("VLOOKUP($A401,IMPORTRANGE(""1PQtfbQLqBUP-rjYRznmgNFBLOjvAnhGzpIx7BJWq8rk"",""'Worksheet'!$B$2:$H""),7,FALSE)"),"#N/A")</f>
        <v>#N/A</v>
      </c>
      <c r="M401" s="31" t="s">
        <v>60</v>
      </c>
      <c r="N401" s="49">
        <v>7228230.0</v>
      </c>
      <c r="O401" s="49">
        <v>7119068.45</v>
      </c>
      <c r="P401" s="49">
        <v>0.0</v>
      </c>
      <c r="Q401" s="34">
        <f t="shared" si="7"/>
        <v>0.01510211352</v>
      </c>
      <c r="R401" s="31"/>
      <c r="S401" s="31" t="s">
        <v>60</v>
      </c>
      <c r="T401" s="50">
        <f>N401*0.95</f>
        <v>6866818.5</v>
      </c>
      <c r="U401" s="51">
        <v>6866818.5</v>
      </c>
      <c r="V401" s="51">
        <v>0.0</v>
      </c>
      <c r="W401" s="31"/>
      <c r="X401" s="52" t="s">
        <v>113</v>
      </c>
      <c r="Y401" s="54"/>
      <c r="Z401" s="54"/>
      <c r="AA401" s="54" t="s">
        <v>114</v>
      </c>
      <c r="AB401" s="38" t="s">
        <v>115</v>
      </c>
      <c r="AC401" s="38"/>
      <c r="AD401" s="39">
        <v>7228.23</v>
      </c>
      <c r="AE401" s="39">
        <v>7119.06845</v>
      </c>
      <c r="AF401" s="39">
        <v>109.16155</v>
      </c>
      <c r="AG401" s="57" t="s">
        <v>2640</v>
      </c>
      <c r="AH401" s="42"/>
      <c r="AI401" s="42" t="str">
        <f>IFERROR(__xludf.DUMMYFUNCTION("vLOOKUP(A401,IMPORTRANGE(""https://docs.google.com/spreadsheets/d/1Rawwwdh8wntXGy8isdYNHxsNQS4n_rC8JSdPfj6vEq4"",""'500 объектов перенос на 2026'!A3:AB502""),13,0)"),"#REF!")</f>
        <v>#REF!</v>
      </c>
      <c r="AJ401" s="42" t="str">
        <f>IFERROR(__xludf.DUMMYFUNCTION("vLOOKUP(A401,IMPORTRANGE(""https://docs.google.com/spreadsheets/d/1Rawwwdh8wntXGy8isdYNHxsNQS4n_rC8JSdPfj6vEq4"",""'500 объектов перенос на 2026'!A3:AB502""),14,0)"),"#REF!")</f>
        <v>#REF!</v>
      </c>
      <c r="AK401" s="76" t="s">
        <v>114</v>
      </c>
      <c r="AL401" s="76"/>
      <c r="AM401" s="70"/>
      <c r="AN401" s="43"/>
      <c r="AO401" s="43"/>
      <c r="AP401" s="43"/>
      <c r="AQ401" s="43"/>
      <c r="AR401" s="43"/>
      <c r="AS401" s="43"/>
      <c r="AT401" s="43"/>
      <c r="AU401" s="43"/>
      <c r="AV401" s="43"/>
      <c r="AW401" s="43"/>
      <c r="AX401" s="43"/>
      <c r="AY401" s="43"/>
      <c r="AZ401" s="43"/>
    </row>
    <row r="402">
      <c r="A402" s="62" t="s">
        <v>2641</v>
      </c>
      <c r="B402" s="63" t="s">
        <v>400</v>
      </c>
      <c r="C402" s="64" t="s">
        <v>2642</v>
      </c>
      <c r="D402" s="47" t="s">
        <v>1041</v>
      </c>
      <c r="E402" s="64" t="s">
        <v>85</v>
      </c>
      <c r="F402" s="31" t="s">
        <v>60</v>
      </c>
      <c r="G402" s="31"/>
      <c r="H402" s="31"/>
      <c r="I402" s="31" t="s">
        <v>60</v>
      </c>
      <c r="J402" s="31"/>
      <c r="K402" s="31"/>
      <c r="L402" s="32">
        <f>IFERROR(__xludf.DUMMYFUNCTION("VLOOKUP($A402,IMPORTRANGE(""1PQtfbQLqBUP-rjYRznmgNFBLOjvAnhGzpIx7BJWq8rk"",""'Worksheet'!$B$2:$H""),7,FALSE)"),0.95)</f>
        <v>0.95</v>
      </c>
      <c r="M402" s="31" t="s">
        <v>45</v>
      </c>
      <c r="N402" s="49">
        <v>1.217830197E7</v>
      </c>
      <c r="O402" s="49">
        <v>5439701.61</v>
      </c>
      <c r="P402" s="49">
        <f t="shared" ref="P402:P403" si="65">N402-O402</f>
        <v>6738600.36</v>
      </c>
      <c r="Q402" s="34">
        <f t="shared" si="7"/>
        <v>0.5533284013</v>
      </c>
      <c r="R402" s="31"/>
      <c r="S402" s="31" t="s">
        <v>45</v>
      </c>
      <c r="T402" s="50"/>
      <c r="U402" s="50"/>
      <c r="V402" s="50"/>
      <c r="W402" s="31" t="s">
        <v>506</v>
      </c>
      <c r="X402" s="52" t="s">
        <v>2643</v>
      </c>
      <c r="Y402" s="54" t="s">
        <v>2644</v>
      </c>
      <c r="Z402" s="54" t="s">
        <v>2645</v>
      </c>
      <c r="AA402" s="74">
        <v>46218.0</v>
      </c>
      <c r="AB402" s="56"/>
      <c r="AC402" s="38"/>
      <c r="AD402" s="39">
        <v>12178.31</v>
      </c>
      <c r="AE402" s="39">
        <v>5562.00197</v>
      </c>
      <c r="AF402" s="40">
        <v>6616.30803</v>
      </c>
      <c r="AG402" s="57" t="s">
        <v>2646</v>
      </c>
      <c r="AH402" s="42" t="s">
        <v>2647</v>
      </c>
      <c r="AI402" s="42" t="str">
        <f>IFERROR(__xludf.DUMMYFUNCTION("vLOOKUP(A402,IMPORTRANGE(""https://docs.google.com/spreadsheets/d/1Rawwwdh8wntXGy8isdYNHxsNQS4n_rC8JSdPfj6vEq4"",""'500 объектов перенос на 2026'!A3:AB502""),13,0)"),"#REF!")</f>
        <v>#REF!</v>
      </c>
      <c r="AJ402" s="42" t="str">
        <f>IFERROR(__xludf.DUMMYFUNCTION("vLOOKUP(A402,IMPORTRANGE(""https://docs.google.com/spreadsheets/d/1Rawwwdh8wntXGy8isdYNHxsNQS4n_rC8JSdPfj6vEq4"",""'500 объектов перенос на 2026'!A3:AB502""),14,0)"),"#REF!")</f>
        <v>#REF!</v>
      </c>
      <c r="AK402" s="58" t="s">
        <v>2353</v>
      </c>
      <c r="AL402" s="76" t="s">
        <v>2354</v>
      </c>
      <c r="AM402" s="70"/>
      <c r="AN402" s="43"/>
      <c r="AO402" s="43"/>
      <c r="AP402" s="43"/>
      <c r="AQ402" s="43"/>
      <c r="AR402" s="43"/>
      <c r="AS402" s="43"/>
      <c r="AT402" s="43"/>
      <c r="AU402" s="43"/>
      <c r="AV402" s="43"/>
      <c r="AW402" s="43"/>
      <c r="AX402" s="43"/>
      <c r="AY402" s="43"/>
      <c r="AZ402" s="43"/>
    </row>
    <row r="403">
      <c r="A403" s="78" t="s">
        <v>2648</v>
      </c>
      <c r="B403" s="63" t="s">
        <v>82</v>
      </c>
      <c r="C403" s="90" t="s">
        <v>2649</v>
      </c>
      <c r="D403" s="47" t="s">
        <v>2623</v>
      </c>
      <c r="E403" s="64" t="s">
        <v>85</v>
      </c>
      <c r="F403" s="31" t="s">
        <v>60</v>
      </c>
      <c r="G403" s="31"/>
      <c r="H403" s="31"/>
      <c r="I403" s="31" t="s">
        <v>60</v>
      </c>
      <c r="J403" s="31"/>
      <c r="K403" s="31"/>
      <c r="L403" s="32" t="str">
        <f>IFERROR(__xludf.DUMMYFUNCTION("VLOOKUP($A403,IMPORTRANGE(""1PQtfbQLqBUP-rjYRznmgNFBLOjvAnhGzpIx7BJWq8rk"",""'Worksheet'!$B$2:$H""),7,FALSE)"),"#N/A")</f>
        <v>#N/A</v>
      </c>
      <c r="M403" s="31" t="s">
        <v>60</v>
      </c>
      <c r="N403" s="49">
        <v>4.527958476E7</v>
      </c>
      <c r="O403" s="49">
        <v>4.527958476E7</v>
      </c>
      <c r="P403" s="49">
        <f t="shared" si="65"/>
        <v>0</v>
      </c>
      <c r="Q403" s="34">
        <f t="shared" si="7"/>
        <v>0</v>
      </c>
      <c r="R403" s="31"/>
      <c r="S403" s="31" t="s">
        <v>60</v>
      </c>
      <c r="T403" s="50">
        <f>0.95*N403</f>
        <v>43015605.52</v>
      </c>
      <c r="U403" s="51">
        <v>4.301560552199999E7</v>
      </c>
      <c r="V403" s="51">
        <v>0.0</v>
      </c>
      <c r="W403" s="31"/>
      <c r="X403" s="52" t="s">
        <v>113</v>
      </c>
      <c r="Y403" s="54"/>
      <c r="Z403" s="54"/>
      <c r="AA403" s="54" t="s">
        <v>114</v>
      </c>
      <c r="AB403" s="38" t="s">
        <v>115</v>
      </c>
      <c r="AC403" s="38"/>
      <c r="AD403" s="39">
        <v>44646.11</v>
      </c>
      <c r="AE403" s="39">
        <v>45279.58476</v>
      </c>
      <c r="AF403" s="39">
        <v>-633.47476</v>
      </c>
      <c r="AG403" s="57" t="s">
        <v>2650</v>
      </c>
      <c r="AH403" s="42" t="s">
        <v>253</v>
      </c>
      <c r="AI403" s="42" t="str">
        <f>IFERROR(__xludf.DUMMYFUNCTION("vLOOKUP(A403,IMPORTRANGE(""https://docs.google.com/spreadsheets/d/1Rawwwdh8wntXGy8isdYNHxsNQS4n_rC8JSdPfj6vEq4"",""'500 объектов перенос на 2026'!A3:AB502""),13,0)"),"#REF!")</f>
        <v>#REF!</v>
      </c>
      <c r="AJ403" s="42" t="str">
        <f>IFERROR(__xludf.DUMMYFUNCTION("vLOOKUP(A403,IMPORTRANGE(""https://docs.google.com/spreadsheets/d/1Rawwwdh8wntXGy8isdYNHxsNQS4n_rC8JSdPfj6vEq4"",""'500 объектов перенос на 2026'!A3:AB502""),14,0)"),"#REF!")</f>
        <v>#REF!</v>
      </c>
      <c r="AK403" s="76" t="s">
        <v>114</v>
      </c>
      <c r="AL403" s="76"/>
      <c r="AM403" s="70"/>
      <c r="AN403" s="43"/>
      <c r="AO403" s="43"/>
      <c r="AP403" s="43"/>
      <c r="AQ403" s="43"/>
      <c r="AR403" s="43"/>
      <c r="AS403" s="43"/>
      <c r="AT403" s="43"/>
      <c r="AU403" s="43"/>
      <c r="AV403" s="43"/>
      <c r="AW403" s="43"/>
      <c r="AX403" s="43"/>
      <c r="AY403" s="43"/>
      <c r="AZ403" s="43"/>
    </row>
    <row r="404">
      <c r="A404" s="78" t="s">
        <v>2651</v>
      </c>
      <c r="B404" s="63" t="s">
        <v>82</v>
      </c>
      <c r="C404" s="64" t="s">
        <v>2652</v>
      </c>
      <c r="D404" s="47" t="s">
        <v>505</v>
      </c>
      <c r="E404" s="64" t="s">
        <v>59</v>
      </c>
      <c r="F404" s="31" t="s">
        <v>60</v>
      </c>
      <c r="G404" s="31"/>
      <c r="H404" s="31"/>
      <c r="I404" s="31" t="s">
        <v>60</v>
      </c>
      <c r="J404" s="31"/>
      <c r="K404" s="31"/>
      <c r="L404" s="32" t="str">
        <f>IFERROR(__xludf.DUMMYFUNCTION("VLOOKUP($A404,IMPORTRANGE(""1PQtfbQLqBUP-rjYRznmgNFBLOjvAnhGzpIx7BJWq8rk"",""'Worksheet'!$B$2:$H""),7,FALSE)"),"#N/A")</f>
        <v>#N/A</v>
      </c>
      <c r="M404" s="31" t="s">
        <v>60</v>
      </c>
      <c r="N404" s="49">
        <v>1.539165E7</v>
      </c>
      <c r="O404" s="49">
        <v>1.479210041E7</v>
      </c>
      <c r="P404" s="49">
        <v>0.0</v>
      </c>
      <c r="Q404" s="34">
        <f t="shared" si="7"/>
        <v>0.03895291213</v>
      </c>
      <c r="R404" s="31"/>
      <c r="S404" s="31" t="s">
        <v>60</v>
      </c>
      <c r="T404" s="50">
        <f>N404*0.95</f>
        <v>14622067.5</v>
      </c>
      <c r="U404" s="51">
        <v>1.46220675E7</v>
      </c>
      <c r="V404" s="51">
        <v>0.0</v>
      </c>
      <c r="W404" s="31"/>
      <c r="X404" s="52" t="s">
        <v>113</v>
      </c>
      <c r="Y404" s="54"/>
      <c r="Z404" s="54"/>
      <c r="AA404" s="54" t="s">
        <v>114</v>
      </c>
      <c r="AB404" s="38" t="s">
        <v>115</v>
      </c>
      <c r="AC404" s="38"/>
      <c r="AD404" s="39">
        <v>15391.65</v>
      </c>
      <c r="AE404" s="39">
        <v>14792.10041</v>
      </c>
      <c r="AF404" s="39">
        <v>599.54959</v>
      </c>
      <c r="AG404" s="57" t="s">
        <v>2653</v>
      </c>
      <c r="AH404" s="42" t="s">
        <v>253</v>
      </c>
      <c r="AI404" s="42" t="str">
        <f>IFERROR(__xludf.DUMMYFUNCTION("vLOOKUP(A404,IMPORTRANGE(""https://docs.google.com/spreadsheets/d/1Rawwwdh8wntXGy8isdYNHxsNQS4n_rC8JSdPfj6vEq4"",""'500 объектов перенос на 2026'!A3:AB502""),13,0)"),"#REF!")</f>
        <v>#REF!</v>
      </c>
      <c r="AJ404" s="42" t="str">
        <f>IFERROR(__xludf.DUMMYFUNCTION("vLOOKUP(A404,IMPORTRANGE(""https://docs.google.com/spreadsheets/d/1Rawwwdh8wntXGy8isdYNHxsNQS4n_rC8JSdPfj6vEq4"",""'500 объектов перенос на 2026'!A3:AB502""),14,0)"),"#REF!")</f>
        <v>#REF!</v>
      </c>
      <c r="AK404" s="76" t="s">
        <v>114</v>
      </c>
      <c r="AL404" s="76"/>
      <c r="AM404" s="70"/>
      <c r="AN404" s="43"/>
      <c r="AO404" s="43"/>
      <c r="AP404" s="43"/>
      <c r="AQ404" s="43"/>
      <c r="AR404" s="43"/>
      <c r="AS404" s="43"/>
      <c r="AT404" s="43"/>
      <c r="AU404" s="43"/>
      <c r="AV404" s="43"/>
      <c r="AW404" s="43"/>
      <c r="AX404" s="43"/>
      <c r="AY404" s="43"/>
      <c r="AZ404" s="43"/>
    </row>
    <row r="405">
      <c r="A405" s="62" t="s">
        <v>2654</v>
      </c>
      <c r="B405" s="63" t="s">
        <v>268</v>
      </c>
      <c r="C405" s="64" t="s">
        <v>2655</v>
      </c>
      <c r="D405" s="47" t="s">
        <v>1041</v>
      </c>
      <c r="E405" s="64" t="s">
        <v>85</v>
      </c>
      <c r="F405" s="31" t="s">
        <v>40</v>
      </c>
      <c r="G405" s="31" t="s">
        <v>41</v>
      </c>
      <c r="H405" s="31" t="s">
        <v>343</v>
      </c>
      <c r="I405" s="31" t="s">
        <v>60</v>
      </c>
      <c r="J405" s="31"/>
      <c r="K405" s="31"/>
      <c r="L405" s="32">
        <f>IFERROR(__xludf.DUMMYFUNCTION("VLOOKUP($A405,IMPORTRANGE(""1PQtfbQLqBUP-rjYRznmgNFBLOjvAnhGzpIx7BJWq8rk"",""'Worksheet'!$B$2:$H""),7,FALSE)"),0.98)</f>
        <v>0.98</v>
      </c>
      <c r="M405" s="31" t="s">
        <v>40</v>
      </c>
      <c r="N405" s="49">
        <v>1.2491261E7</v>
      </c>
      <c r="O405" s="49">
        <v>5870892.67</v>
      </c>
      <c r="P405" s="49">
        <f t="shared" ref="P405:P408" si="66">N405-O405</f>
        <v>6620368.33</v>
      </c>
      <c r="Q405" s="34">
        <f t="shared" si="7"/>
        <v>0.53</v>
      </c>
      <c r="R405" s="31"/>
      <c r="S405" s="31" t="s">
        <v>40</v>
      </c>
      <c r="T405" s="50" t="s">
        <v>2656</v>
      </c>
      <c r="U405" s="50">
        <v>0.0</v>
      </c>
      <c r="V405" s="50" t="s">
        <v>2656</v>
      </c>
      <c r="W405" s="31" t="s">
        <v>506</v>
      </c>
      <c r="X405" s="52" t="s">
        <v>49</v>
      </c>
      <c r="Y405" s="54" t="s">
        <v>2657</v>
      </c>
      <c r="Z405" s="54" t="s">
        <v>851</v>
      </c>
      <c r="AA405" s="68">
        <v>46280.0</v>
      </c>
      <c r="AB405" s="56"/>
      <c r="AC405" s="38" t="s">
        <v>2571</v>
      </c>
      <c r="AD405" s="39">
        <v>12491.26</v>
      </c>
      <c r="AE405" s="39">
        <v>5870.89267</v>
      </c>
      <c r="AF405" s="40">
        <v>6620.36733</v>
      </c>
      <c r="AG405" s="57" t="s">
        <v>2658</v>
      </c>
      <c r="AH405" s="42" t="s">
        <v>854</v>
      </c>
      <c r="AI405" s="42" t="str">
        <f>IFERROR(__xludf.DUMMYFUNCTION("vLOOKUP(A405,IMPORTRANGE(""https://docs.google.com/spreadsheets/d/1Rawwwdh8wntXGy8isdYNHxsNQS4n_rC8JSdPfj6vEq4"",""'500 объектов перенос на 2026'!A3:AB502""),13,0)"),"#REF!")</f>
        <v>#REF!</v>
      </c>
      <c r="AJ405" s="42" t="str">
        <f>IFERROR(__xludf.DUMMYFUNCTION("vLOOKUP(A405,IMPORTRANGE(""https://docs.google.com/spreadsheets/d/1Rawwwdh8wntXGy8isdYNHxsNQS4n_rC8JSdPfj6vEq4"",""'500 объектов перенос на 2026'!A3:AB502""),14,0)"),"#REF!")</f>
        <v>#REF!</v>
      </c>
      <c r="AK405" s="58" t="s">
        <v>2659</v>
      </c>
      <c r="AL405" s="151" t="s">
        <v>1369</v>
      </c>
      <c r="AM405" s="94"/>
      <c r="AN405" s="43"/>
      <c r="AO405" s="43"/>
      <c r="AP405" s="43"/>
      <c r="AQ405" s="43"/>
      <c r="AR405" s="43"/>
      <c r="AS405" s="43"/>
      <c r="AT405" s="43"/>
      <c r="AU405" s="43"/>
      <c r="AV405" s="43"/>
      <c r="AW405" s="43"/>
      <c r="AX405" s="43"/>
      <c r="AY405" s="43"/>
      <c r="AZ405" s="43"/>
    </row>
    <row r="406">
      <c r="A406" s="62" t="s">
        <v>2660</v>
      </c>
      <c r="B406" s="63" t="s">
        <v>82</v>
      </c>
      <c r="C406" s="64" t="s">
        <v>2661</v>
      </c>
      <c r="D406" s="47" t="s">
        <v>2591</v>
      </c>
      <c r="E406" s="64" t="s">
        <v>324</v>
      </c>
      <c r="F406" s="31" t="s">
        <v>40</v>
      </c>
      <c r="G406" s="31" t="s">
        <v>41</v>
      </c>
      <c r="H406" s="31" t="s">
        <v>260</v>
      </c>
      <c r="I406" s="31" t="s">
        <v>60</v>
      </c>
      <c r="J406" s="31"/>
      <c r="K406" s="31"/>
      <c r="L406" s="32">
        <f>IFERROR(__xludf.DUMMYFUNCTION("VLOOKUP($A406,IMPORTRANGE(""1PQtfbQLqBUP-rjYRznmgNFBLOjvAnhGzpIx7BJWq8rk"",""'Worksheet'!$B$2:$H""),7,FALSE)"),0.98)</f>
        <v>0.98</v>
      </c>
      <c r="M406" s="31" t="s">
        <v>40</v>
      </c>
      <c r="N406" s="49">
        <v>1.295406E7</v>
      </c>
      <c r="O406" s="49">
        <v>6477030.0</v>
      </c>
      <c r="P406" s="49">
        <f t="shared" si="66"/>
        <v>6477030</v>
      </c>
      <c r="Q406" s="34">
        <f t="shared" si="7"/>
        <v>0.5</v>
      </c>
      <c r="R406" s="31"/>
      <c r="S406" s="31" t="s">
        <v>40</v>
      </c>
      <c r="T406" s="50">
        <f>N406*0.95</f>
        <v>12306357</v>
      </c>
      <c r="U406" s="50">
        <v>0.0</v>
      </c>
      <c r="V406" s="50">
        <v>1.2306357E7</v>
      </c>
      <c r="W406" s="31"/>
      <c r="X406" s="52" t="s">
        <v>2662</v>
      </c>
      <c r="Y406" s="54" t="s">
        <v>2663</v>
      </c>
      <c r="Z406" s="74"/>
      <c r="AA406" s="74">
        <v>46264.0</v>
      </c>
      <c r="AB406" s="56"/>
      <c r="AC406" s="38" t="s">
        <v>2664</v>
      </c>
      <c r="AD406" s="39">
        <v>12954.06</v>
      </c>
      <c r="AE406" s="39">
        <v>6477.03</v>
      </c>
      <c r="AF406" s="40">
        <v>6477.03</v>
      </c>
      <c r="AG406" s="57" t="s">
        <v>2665</v>
      </c>
      <c r="AH406" s="42" t="s">
        <v>103</v>
      </c>
      <c r="AI406" s="42" t="str">
        <f>IFERROR(__xludf.DUMMYFUNCTION("vLOOKUP(A406,IMPORTRANGE(""https://docs.google.com/spreadsheets/d/1Rawwwdh8wntXGy8isdYNHxsNQS4n_rC8JSdPfj6vEq4"",""'500 объектов перенос на 2026'!A3:AB502""),13,0)"),"#REF!")</f>
        <v>#REF!</v>
      </c>
      <c r="AJ406" s="42" t="str">
        <f>IFERROR(__xludf.DUMMYFUNCTION("vLOOKUP(A406,IMPORTRANGE(""https://docs.google.com/spreadsheets/d/1Rawwwdh8wntXGy8isdYNHxsNQS4n_rC8JSdPfj6vEq4"",""'500 объектов перенос на 2026'!A3:AB502""),14,0)"),"#REF!")</f>
        <v>#REF!</v>
      </c>
      <c r="AK406" s="76" t="s">
        <v>2666</v>
      </c>
      <c r="AL406" s="76"/>
      <c r="AM406" s="70"/>
      <c r="AN406" s="43"/>
      <c r="AO406" s="43"/>
      <c r="AP406" s="43"/>
      <c r="AQ406" s="43"/>
      <c r="AR406" s="43"/>
      <c r="AS406" s="43"/>
      <c r="AT406" s="43"/>
      <c r="AU406" s="43"/>
      <c r="AV406" s="43"/>
      <c r="AW406" s="43"/>
      <c r="AX406" s="43"/>
      <c r="AY406" s="43"/>
      <c r="AZ406" s="43"/>
    </row>
    <row r="407">
      <c r="A407" s="62" t="s">
        <v>2667</v>
      </c>
      <c r="B407" s="63" t="s">
        <v>725</v>
      </c>
      <c r="C407" s="104" t="s">
        <v>2668</v>
      </c>
      <c r="D407" s="47" t="s">
        <v>727</v>
      </c>
      <c r="E407" s="64" t="s">
        <v>85</v>
      </c>
      <c r="F407" s="31" t="s">
        <v>60</v>
      </c>
      <c r="G407" s="31"/>
      <c r="H407" s="31"/>
      <c r="I407" s="31" t="s">
        <v>40</v>
      </c>
      <c r="J407" s="31" t="s">
        <v>61</v>
      </c>
      <c r="K407" s="31" t="s">
        <v>72</v>
      </c>
      <c r="L407" s="32">
        <v>0.95</v>
      </c>
      <c r="M407" s="31" t="s">
        <v>40</v>
      </c>
      <c r="N407" s="49">
        <v>9203493.71</v>
      </c>
      <c r="O407" s="49">
        <v>2761048.11</v>
      </c>
      <c r="P407" s="49">
        <f t="shared" si="66"/>
        <v>6442445.6</v>
      </c>
      <c r="Q407" s="34">
        <f t="shared" si="7"/>
        <v>0.7000000003</v>
      </c>
      <c r="R407" s="31"/>
      <c r="S407" s="31" t="s">
        <v>40</v>
      </c>
      <c r="T407" s="72" t="s">
        <v>2669</v>
      </c>
      <c r="U407" s="72" t="s">
        <v>2670</v>
      </c>
      <c r="V407" s="72" t="s">
        <v>2671</v>
      </c>
      <c r="W407" s="31"/>
      <c r="X407" s="52" t="s">
        <v>2434</v>
      </c>
      <c r="Y407" s="89" t="s">
        <v>2672</v>
      </c>
      <c r="Z407" s="54" t="s">
        <v>731</v>
      </c>
      <c r="AA407" s="74">
        <v>46235.0</v>
      </c>
      <c r="AB407" s="56"/>
      <c r="AC407" s="38"/>
      <c r="AD407" s="39">
        <v>9203.49</v>
      </c>
      <c r="AE407" s="39">
        <v>0.0</v>
      </c>
      <c r="AF407" s="40">
        <v>9203.49</v>
      </c>
      <c r="AG407" s="191"/>
      <c r="AH407" s="42" t="s">
        <v>595</v>
      </c>
      <c r="AI407" s="42" t="str">
        <f>IFERROR(__xludf.DUMMYFUNCTION("vLOOKUP(A407,IMPORTRANGE(""https://docs.google.com/spreadsheets/d/1Rawwwdh8wntXGy8isdYNHxsNQS4n_rC8JSdPfj6vEq4"",""'500 объектов перенос на 2026'!A3:AB502""),13,0)"),"#REF!")</f>
        <v>#REF!</v>
      </c>
      <c r="AJ407" s="42" t="str">
        <f>IFERROR(__xludf.DUMMYFUNCTION("vLOOKUP(A407,IMPORTRANGE(""https://docs.google.com/spreadsheets/d/1Rawwwdh8wntXGy8isdYNHxsNQS4n_rC8JSdPfj6vEq4"",""'500 объектов перенос на 2026'!A3:AB502""),14,0)"),"#REF!")</f>
        <v>#REF!</v>
      </c>
      <c r="AK407" s="138" t="s">
        <v>2673</v>
      </c>
      <c r="AL407" s="138" t="s">
        <v>2674</v>
      </c>
      <c r="AM407" s="110"/>
      <c r="AN407" s="96"/>
      <c r="AO407" s="43"/>
      <c r="AP407" s="43"/>
      <c r="AQ407" s="43"/>
      <c r="AR407" s="43"/>
      <c r="AS407" s="43"/>
      <c r="AT407" s="43"/>
      <c r="AU407" s="43"/>
      <c r="AV407" s="43"/>
      <c r="AW407" s="43"/>
      <c r="AX407" s="43"/>
      <c r="AY407" s="43"/>
      <c r="AZ407" s="43"/>
    </row>
    <row r="408">
      <c r="A408" s="62" t="s">
        <v>2675</v>
      </c>
      <c r="B408" s="63" t="s">
        <v>605</v>
      </c>
      <c r="C408" s="64" t="s">
        <v>2676</v>
      </c>
      <c r="D408" s="47" t="s">
        <v>1210</v>
      </c>
      <c r="E408" s="64" t="s">
        <v>85</v>
      </c>
      <c r="F408" s="31" t="s">
        <v>40</v>
      </c>
      <c r="G408" s="31" t="s">
        <v>299</v>
      </c>
      <c r="H408" s="31" t="s">
        <v>260</v>
      </c>
      <c r="I408" s="31" t="s">
        <v>40</v>
      </c>
      <c r="J408" s="31" t="s">
        <v>61</v>
      </c>
      <c r="K408" s="31"/>
      <c r="L408" s="32">
        <f>IFERROR(__xludf.DUMMYFUNCTION("VLOOKUP($A408,IMPORTRANGE(""1PQtfbQLqBUP-rjYRznmgNFBLOjvAnhGzpIx7BJWq8rk"",""'Worksheet'!$B$2:$H""),7,FALSE)"),0.92)</f>
        <v>0.92</v>
      </c>
      <c r="M408" s="31" t="s">
        <v>40</v>
      </c>
      <c r="N408" s="49">
        <v>1.177335E7</v>
      </c>
      <c r="O408" s="49">
        <v>5534296.59</v>
      </c>
      <c r="P408" s="49">
        <f t="shared" si="66"/>
        <v>6239053.41</v>
      </c>
      <c r="Q408" s="34">
        <f t="shared" si="7"/>
        <v>0.5299301737</v>
      </c>
      <c r="R408" s="31"/>
      <c r="S408" s="31" t="s">
        <v>40</v>
      </c>
      <c r="T408" s="72" t="s">
        <v>2677</v>
      </c>
      <c r="U408" s="72">
        <v>0.0</v>
      </c>
      <c r="V408" s="72" t="s">
        <v>2677</v>
      </c>
      <c r="W408" s="31"/>
      <c r="X408" s="52" t="s">
        <v>1169</v>
      </c>
      <c r="Y408" s="124" t="s">
        <v>2678</v>
      </c>
      <c r="Z408" s="54" t="s">
        <v>2359</v>
      </c>
      <c r="AA408" s="74">
        <v>46265.0</v>
      </c>
      <c r="AB408" s="56"/>
      <c r="AC408" s="38" t="s">
        <v>1349</v>
      </c>
      <c r="AD408" s="39">
        <v>12393.0</v>
      </c>
      <c r="AE408" s="39">
        <v>6153.94659</v>
      </c>
      <c r="AF408" s="40">
        <v>6239.05341</v>
      </c>
      <c r="AG408" s="99" t="s">
        <v>2679</v>
      </c>
      <c r="AH408" s="85"/>
      <c r="AI408" s="42" t="str">
        <f>IFERROR(__xludf.DUMMYFUNCTION("vLOOKUP(A408,IMPORTRANGE(""https://docs.google.com/spreadsheets/d/1Rawwwdh8wntXGy8isdYNHxsNQS4n_rC8JSdPfj6vEq4"",""'500 объектов перенос на 2026'!A3:AB502""),13,0)"),"#REF!")</f>
        <v>#REF!</v>
      </c>
      <c r="AJ408" s="42" t="str">
        <f>IFERROR(__xludf.DUMMYFUNCTION("vLOOKUP(A408,IMPORTRANGE(""https://docs.google.com/spreadsheets/d/1Rawwwdh8wntXGy8isdYNHxsNQS4n_rC8JSdPfj6vEq4"",""'500 объектов перенос на 2026'!A3:AB502""),14,0)"),"#REF!")</f>
        <v>#REF!</v>
      </c>
      <c r="AK408" s="58" t="s">
        <v>2680</v>
      </c>
      <c r="AL408" s="76"/>
      <c r="AM408" s="76"/>
      <c r="AN408" s="151"/>
      <c r="AO408" s="43"/>
      <c r="AP408" s="43"/>
      <c r="AQ408" s="43"/>
      <c r="AR408" s="43"/>
      <c r="AS408" s="43"/>
      <c r="AT408" s="43"/>
      <c r="AU408" s="43"/>
      <c r="AV408" s="43"/>
      <c r="AW408" s="43"/>
      <c r="AX408" s="43"/>
      <c r="AY408" s="43"/>
      <c r="AZ408" s="43"/>
    </row>
    <row r="409">
      <c r="A409" s="78" t="s">
        <v>2681</v>
      </c>
      <c r="B409" s="63" t="s">
        <v>625</v>
      </c>
      <c r="C409" s="90" t="s">
        <v>2682</v>
      </c>
      <c r="D409" s="47" t="s">
        <v>1523</v>
      </c>
      <c r="E409" s="64" t="s">
        <v>85</v>
      </c>
      <c r="F409" s="31" t="s">
        <v>60</v>
      </c>
      <c r="G409" s="31"/>
      <c r="H409" s="31"/>
      <c r="I409" s="31" t="s">
        <v>60</v>
      </c>
      <c r="J409" s="31"/>
      <c r="K409" s="31"/>
      <c r="L409" s="32" t="str">
        <f>IFERROR(__xludf.DUMMYFUNCTION("VLOOKUP($A409,IMPORTRANGE(""1PQtfbQLqBUP-rjYRznmgNFBLOjvAnhGzpIx7BJWq8rk"",""'Worksheet'!$B$2:$H""),7,FALSE)"),"#N/A")</f>
        <v>#N/A</v>
      </c>
      <c r="M409" s="31" t="s">
        <v>60</v>
      </c>
      <c r="N409" s="49">
        <v>2.1800384754E8</v>
      </c>
      <c r="O409" s="49">
        <v>1.4525089973E8</v>
      </c>
      <c r="P409" s="49">
        <v>0.0</v>
      </c>
      <c r="Q409" s="34">
        <f t="shared" si="7"/>
        <v>0.3337232284</v>
      </c>
      <c r="R409" s="31"/>
      <c r="S409" s="31" t="s">
        <v>60</v>
      </c>
      <c r="T409" s="50" t="s">
        <v>2683</v>
      </c>
      <c r="U409" s="117" t="s">
        <v>2683</v>
      </c>
      <c r="V409" s="51">
        <v>0.0</v>
      </c>
      <c r="W409" s="31"/>
      <c r="X409" s="52" t="s">
        <v>113</v>
      </c>
      <c r="Y409" s="54" t="s">
        <v>437</v>
      </c>
      <c r="Z409" s="54" t="s">
        <v>437</v>
      </c>
      <c r="AA409" s="54" t="s">
        <v>114</v>
      </c>
      <c r="AB409" s="38" t="s">
        <v>115</v>
      </c>
      <c r="AC409" s="38"/>
      <c r="AD409" s="39">
        <v>218003.85</v>
      </c>
      <c r="AE409" s="39">
        <v>169375.2171</v>
      </c>
      <c r="AF409" s="39">
        <v>48628.63291</v>
      </c>
      <c r="AG409" s="57" t="s">
        <v>2684</v>
      </c>
      <c r="AH409" s="85" t="s">
        <v>2411</v>
      </c>
      <c r="AI409" s="85" t="s">
        <v>2685</v>
      </c>
      <c r="AJ409" s="85" t="s">
        <v>2411</v>
      </c>
      <c r="AK409" s="76" t="s">
        <v>114</v>
      </c>
      <c r="AL409" s="70"/>
      <c r="AM409" s="70"/>
      <c r="AN409" s="43"/>
      <c r="AO409" s="43"/>
      <c r="AP409" s="43"/>
      <c r="AQ409" s="43"/>
      <c r="AR409" s="43"/>
      <c r="AS409" s="43"/>
      <c r="AT409" s="43"/>
      <c r="AU409" s="43"/>
      <c r="AV409" s="43"/>
      <c r="AW409" s="43"/>
      <c r="AX409" s="43"/>
      <c r="AY409" s="43"/>
      <c r="AZ409" s="43"/>
    </row>
    <row r="410">
      <c r="A410" s="78" t="s">
        <v>2686</v>
      </c>
      <c r="B410" s="63" t="s">
        <v>625</v>
      </c>
      <c r="C410" s="90" t="s">
        <v>2687</v>
      </c>
      <c r="D410" s="47" t="s">
        <v>2048</v>
      </c>
      <c r="E410" s="64" t="s">
        <v>85</v>
      </c>
      <c r="F410" s="31" t="s">
        <v>60</v>
      </c>
      <c r="G410" s="31"/>
      <c r="H410" s="31"/>
      <c r="I410" s="31" t="s">
        <v>60</v>
      </c>
      <c r="J410" s="31"/>
      <c r="K410" s="31"/>
      <c r="L410" s="32" t="str">
        <f>IFERROR(__xludf.DUMMYFUNCTION("VLOOKUP($A410,IMPORTRANGE(""1PQtfbQLqBUP-rjYRznmgNFBLOjvAnhGzpIx7BJWq8rk"",""'Worksheet'!$B$2:$H""),7,FALSE)"),"#N/A")</f>
        <v>#N/A</v>
      </c>
      <c r="M410" s="31" t="s">
        <v>60</v>
      </c>
      <c r="N410" s="49">
        <v>8.909268E7</v>
      </c>
      <c r="O410" s="49">
        <v>6.831186572E7</v>
      </c>
      <c r="P410" s="49">
        <v>0.0</v>
      </c>
      <c r="Q410" s="34">
        <f t="shared" si="7"/>
        <v>0.2332494014</v>
      </c>
      <c r="R410" s="31"/>
      <c r="S410" s="31" t="s">
        <v>60</v>
      </c>
      <c r="T410" s="50" t="s">
        <v>2688</v>
      </c>
      <c r="U410" s="51" t="s">
        <v>2689</v>
      </c>
      <c r="V410" s="51" t="s">
        <v>2690</v>
      </c>
      <c r="W410" s="31"/>
      <c r="X410" s="52" t="s">
        <v>113</v>
      </c>
      <c r="Y410" s="54" t="s">
        <v>2691</v>
      </c>
      <c r="Z410" s="54" t="s">
        <v>274</v>
      </c>
      <c r="AA410" s="54" t="s">
        <v>114</v>
      </c>
      <c r="AB410" s="38" t="s">
        <v>115</v>
      </c>
      <c r="AC410" s="38"/>
      <c r="AD410" s="39">
        <v>89092.68</v>
      </c>
      <c r="AE410" s="39">
        <v>66768.7154</v>
      </c>
      <c r="AF410" s="39">
        <v>22323.9646</v>
      </c>
      <c r="AG410" s="57" t="s">
        <v>2692</v>
      </c>
      <c r="AH410" s="85" t="s">
        <v>2685</v>
      </c>
      <c r="AI410" s="85" t="s">
        <v>2685</v>
      </c>
      <c r="AJ410" s="85" t="s">
        <v>2685</v>
      </c>
      <c r="AK410" s="76" t="s">
        <v>114</v>
      </c>
      <c r="AL410" s="70"/>
      <c r="AM410" s="70"/>
      <c r="AN410" s="96"/>
      <c r="AO410" s="96"/>
      <c r="AP410" s="96"/>
      <c r="AQ410" s="96"/>
      <c r="AR410" s="96"/>
      <c r="AS410" s="96"/>
      <c r="AT410" s="96"/>
      <c r="AU410" s="96"/>
      <c r="AV410" s="96"/>
      <c r="AW410" s="96"/>
      <c r="AX410" s="96"/>
      <c r="AY410" s="96"/>
      <c r="AZ410" s="96"/>
    </row>
    <row r="411">
      <c r="A411" s="62" t="s">
        <v>2693</v>
      </c>
      <c r="B411" s="63" t="s">
        <v>1586</v>
      </c>
      <c r="C411" s="64" t="s">
        <v>2694</v>
      </c>
      <c r="D411" s="47" t="s">
        <v>1276</v>
      </c>
      <c r="E411" s="64" t="s">
        <v>85</v>
      </c>
      <c r="F411" s="31" t="s">
        <v>60</v>
      </c>
      <c r="G411" s="31"/>
      <c r="H411" s="31"/>
      <c r="I411" s="31" t="s">
        <v>40</v>
      </c>
      <c r="J411" s="31" t="s">
        <v>61</v>
      </c>
      <c r="K411" s="31" t="s">
        <v>72</v>
      </c>
      <c r="L411" s="32">
        <f>IFERROR(__xludf.DUMMYFUNCTION("VLOOKUP($A411,IMPORTRANGE(""1PQtfbQLqBUP-rjYRznmgNFBLOjvAnhGzpIx7BJWq8rk"",""'Worksheet'!$B$2:$H""),7,FALSE)"),0.9)</f>
        <v>0.9</v>
      </c>
      <c r="M411" s="31" t="s">
        <v>45</v>
      </c>
      <c r="N411" s="49">
        <v>1.87264969E7</v>
      </c>
      <c r="O411" s="49">
        <v>1.2490749E7</v>
      </c>
      <c r="P411" s="49">
        <f t="shared" ref="P411:P419" si="67">N411-O411</f>
        <v>6235747.9</v>
      </c>
      <c r="Q411" s="34">
        <f t="shared" si="7"/>
        <v>0.3329906246</v>
      </c>
      <c r="R411" s="31"/>
      <c r="S411" s="31" t="s">
        <v>45</v>
      </c>
      <c r="T411" s="65" t="s">
        <v>2695</v>
      </c>
      <c r="U411" s="67">
        <v>0.0</v>
      </c>
      <c r="V411" s="67" t="s">
        <v>2695</v>
      </c>
      <c r="W411" s="31"/>
      <c r="X411" s="52" t="s">
        <v>1592</v>
      </c>
      <c r="Y411" s="54" t="s">
        <v>2128</v>
      </c>
      <c r="Z411" s="54" t="s">
        <v>1594</v>
      </c>
      <c r="AA411" s="68">
        <v>46232.0</v>
      </c>
      <c r="AB411" s="56"/>
      <c r="AC411" s="38" t="s">
        <v>1595</v>
      </c>
      <c r="AD411" s="39">
        <v>17496.56</v>
      </c>
      <c r="AE411" s="39">
        <v>12490.749</v>
      </c>
      <c r="AF411" s="40">
        <v>5005.811</v>
      </c>
      <c r="AG411" s="57" t="s">
        <v>2696</v>
      </c>
      <c r="AH411" s="42" t="s">
        <v>2697</v>
      </c>
      <c r="AI411" s="42" t="str">
        <f>IFERROR(__xludf.DUMMYFUNCTION("vLOOKUP(A411,IMPORTRANGE(""https://docs.google.com/spreadsheets/d/1Rawwwdh8wntXGy8isdYNHxsNQS4n_rC8JSdPfj6vEq4"",""'500 объектов перенос на 2026'!A3:AB502""),13,0)"),"#REF!")</f>
        <v>#REF!</v>
      </c>
      <c r="AJ411" s="42" t="str">
        <f>IFERROR(__xludf.DUMMYFUNCTION("vLOOKUP(A411,IMPORTRANGE(""https://docs.google.com/spreadsheets/d/1Rawwwdh8wntXGy8isdYNHxsNQS4n_rC8JSdPfj6vEq4"",""'500 объектов перенос на 2026'!A3:AB502""),14,0)"),"#REF!")</f>
        <v>#REF!</v>
      </c>
      <c r="AK411" s="76" t="s">
        <v>2332</v>
      </c>
      <c r="AL411" s="70"/>
      <c r="AM411" s="70"/>
      <c r="AN411" s="43"/>
      <c r="AO411" s="43"/>
      <c r="AP411" s="43"/>
      <c r="AQ411" s="43"/>
      <c r="AR411" s="43"/>
      <c r="AS411" s="43"/>
      <c r="AT411" s="43"/>
      <c r="AU411" s="43"/>
      <c r="AV411" s="43"/>
      <c r="AW411" s="43"/>
      <c r="AX411" s="43"/>
      <c r="AY411" s="43"/>
      <c r="AZ411" s="43"/>
    </row>
    <row r="412">
      <c r="A412" s="62" t="s">
        <v>2698</v>
      </c>
      <c r="B412" s="63" t="s">
        <v>625</v>
      </c>
      <c r="C412" s="90" t="s">
        <v>2699</v>
      </c>
      <c r="D412" s="47" t="s">
        <v>2048</v>
      </c>
      <c r="E412" s="64" t="s">
        <v>85</v>
      </c>
      <c r="F412" s="31" t="s">
        <v>60</v>
      </c>
      <c r="G412" s="31"/>
      <c r="H412" s="31"/>
      <c r="I412" s="31" t="s">
        <v>40</v>
      </c>
      <c r="J412" s="31" t="s">
        <v>102</v>
      </c>
      <c r="K412" s="31" t="s">
        <v>280</v>
      </c>
      <c r="L412" s="32">
        <f>IFERROR(__xludf.DUMMYFUNCTION("VLOOKUP($A412,IMPORTRANGE(""1PQtfbQLqBUP-rjYRznmgNFBLOjvAnhGzpIx7BJWq8rk"",""'Worksheet'!$B$2:$H""),7,FALSE)"),0.65)</f>
        <v>0.65</v>
      </c>
      <c r="M412" s="31" t="s">
        <v>284</v>
      </c>
      <c r="N412" s="49">
        <v>1.776888E7</v>
      </c>
      <c r="O412" s="49">
        <v>5330664.0</v>
      </c>
      <c r="P412" s="49">
        <f t="shared" si="67"/>
        <v>12438216</v>
      </c>
      <c r="Q412" s="34">
        <f t="shared" si="7"/>
        <v>0.7</v>
      </c>
      <c r="R412" s="31"/>
      <c r="S412" s="31" t="s">
        <v>40</v>
      </c>
      <c r="T412" s="50" t="s">
        <v>2700</v>
      </c>
      <c r="U412" s="51">
        <v>0.0</v>
      </c>
      <c r="V412" s="51" t="s">
        <v>2700</v>
      </c>
      <c r="W412" s="31"/>
      <c r="X412" s="52" t="s">
        <v>2701</v>
      </c>
      <c r="Y412" s="54" t="s">
        <v>2702</v>
      </c>
      <c r="Z412" s="54" t="s">
        <v>274</v>
      </c>
      <c r="AA412" s="68">
        <v>46253.0</v>
      </c>
      <c r="AB412" s="56"/>
      <c r="AC412" s="38"/>
      <c r="AD412" s="39">
        <v>17768.88</v>
      </c>
      <c r="AE412" s="39">
        <v>5330.664</v>
      </c>
      <c r="AF412" s="40">
        <v>12438.216</v>
      </c>
      <c r="AG412" s="57" t="s">
        <v>2703</v>
      </c>
      <c r="AH412" s="42" t="s">
        <v>2704</v>
      </c>
      <c r="AI412" s="42" t="str">
        <f>IFERROR(__xludf.DUMMYFUNCTION("vLOOKUP(A412,IMPORTRANGE(""https://docs.google.com/spreadsheets/d/1Rawwwdh8wntXGy8isdYNHxsNQS4n_rC8JSdPfj6vEq4"",""'500 объектов перенос на 2026'!A3:AB502""),13,0)"),"#REF!")</f>
        <v>#REF!</v>
      </c>
      <c r="AJ412" s="42" t="str">
        <f>IFERROR(__xludf.DUMMYFUNCTION("vLOOKUP(A412,IMPORTRANGE(""https://docs.google.com/spreadsheets/d/1Rawwwdh8wntXGy8isdYNHxsNQS4n_rC8JSdPfj6vEq4"",""'500 объектов перенос на 2026'!A3:AB502""),14,0)"),"#REF!")</f>
        <v>#REF!</v>
      </c>
      <c r="AK412" s="140"/>
      <c r="AL412" s="119"/>
      <c r="AM412" s="119"/>
      <c r="AN412" s="43"/>
      <c r="AO412" s="43"/>
      <c r="AP412" s="43"/>
      <c r="AQ412" s="43"/>
      <c r="AR412" s="43"/>
      <c r="AS412" s="43"/>
      <c r="AT412" s="43"/>
      <c r="AU412" s="43"/>
      <c r="AV412" s="43"/>
      <c r="AW412" s="43"/>
      <c r="AX412" s="43"/>
      <c r="AY412" s="43"/>
      <c r="AZ412" s="43"/>
    </row>
    <row r="413">
      <c r="A413" s="62" t="s">
        <v>2705</v>
      </c>
      <c r="B413" s="63" t="s">
        <v>826</v>
      </c>
      <c r="C413" s="64" t="s">
        <v>2706</v>
      </c>
      <c r="D413" s="47" t="s">
        <v>323</v>
      </c>
      <c r="E413" s="64" t="s">
        <v>85</v>
      </c>
      <c r="F413" s="31" t="s">
        <v>40</v>
      </c>
      <c r="G413" s="31" t="s">
        <v>41</v>
      </c>
      <c r="H413" s="31" t="s">
        <v>260</v>
      </c>
      <c r="I413" s="31" t="s">
        <v>40</v>
      </c>
      <c r="J413" s="31" t="s">
        <v>61</v>
      </c>
      <c r="K413" s="31"/>
      <c r="L413" s="32">
        <f>IFERROR(__xludf.DUMMYFUNCTION("VLOOKUP($A413,IMPORTRANGE(""1PQtfbQLqBUP-rjYRznmgNFBLOjvAnhGzpIx7BJWq8rk"",""'Worksheet'!$B$2:$H""),7,FALSE)"),0.87)</f>
        <v>0.87</v>
      </c>
      <c r="M413" s="31" t="s">
        <v>40</v>
      </c>
      <c r="N413" s="49">
        <v>1.185604434E7</v>
      </c>
      <c r="O413" s="49">
        <v>5631969.21</v>
      </c>
      <c r="P413" s="49">
        <f t="shared" si="67"/>
        <v>6224075.13</v>
      </c>
      <c r="Q413" s="34">
        <f t="shared" si="7"/>
        <v>0.5249706354</v>
      </c>
      <c r="R413" s="31"/>
      <c r="S413" s="31" t="s">
        <v>45</v>
      </c>
      <c r="T413" s="50">
        <v>1.126324212E7</v>
      </c>
      <c r="U413" s="51">
        <v>5350370.75</v>
      </c>
      <c r="V413" s="51">
        <f>T413-U413</f>
        <v>5912871.37</v>
      </c>
      <c r="W413" s="31"/>
      <c r="X413" s="52">
        <v>5350370.75</v>
      </c>
      <c r="Y413" s="54" t="s">
        <v>2707</v>
      </c>
      <c r="Z413" s="54" t="s">
        <v>2708</v>
      </c>
      <c r="AA413" s="74">
        <v>46266.0</v>
      </c>
      <c r="AB413" s="56"/>
      <c r="AC413" s="38"/>
      <c r="AD413" s="39">
        <v>11856.04</v>
      </c>
      <c r="AE413" s="39">
        <v>5631.96921</v>
      </c>
      <c r="AF413" s="40">
        <v>6224.07079</v>
      </c>
      <c r="AG413" s="57" t="s">
        <v>2709</v>
      </c>
      <c r="AH413" s="42" t="s">
        <v>49</v>
      </c>
      <c r="AI413" s="42" t="str">
        <f>IFERROR(__xludf.DUMMYFUNCTION("vLOOKUP(A413,IMPORTRANGE(""https://docs.google.com/spreadsheets/d/1Rawwwdh8wntXGy8isdYNHxsNQS4n_rC8JSdPfj6vEq4"",""'500 объектов перенос на 2026'!A3:AB502""),13,0)"),"#REF!")</f>
        <v>#REF!</v>
      </c>
      <c r="AJ413" s="42" t="str">
        <f>IFERROR(__xludf.DUMMYFUNCTION("vLOOKUP(A413,IMPORTRANGE(""https://docs.google.com/spreadsheets/d/1Rawwwdh8wntXGy8isdYNHxsNQS4n_rC8JSdPfj6vEq4"",""'500 объектов перенос на 2026'!A3:AB502""),14,0)"),"#REF!")</f>
        <v>#REF!</v>
      </c>
      <c r="AK413" s="76" t="s">
        <v>2710</v>
      </c>
      <c r="AL413" s="94" t="s">
        <v>1604</v>
      </c>
      <c r="AM413" s="94"/>
      <c r="AN413" s="43"/>
      <c r="AO413" s="43"/>
      <c r="AP413" s="43"/>
      <c r="AQ413" s="43"/>
      <c r="AR413" s="43"/>
      <c r="AS413" s="43"/>
      <c r="AT413" s="43"/>
      <c r="AU413" s="43"/>
      <c r="AV413" s="43"/>
      <c r="AW413" s="43"/>
      <c r="AX413" s="43"/>
      <c r="AY413" s="43"/>
      <c r="AZ413" s="43"/>
    </row>
    <row r="414">
      <c r="A414" s="62" t="s">
        <v>2711</v>
      </c>
      <c r="B414" s="63" t="s">
        <v>605</v>
      </c>
      <c r="C414" s="64" t="s">
        <v>2712</v>
      </c>
      <c r="D414" s="47" t="s">
        <v>1210</v>
      </c>
      <c r="E414" s="64" t="s">
        <v>85</v>
      </c>
      <c r="F414" s="31" t="s">
        <v>40</v>
      </c>
      <c r="G414" s="31" t="s">
        <v>299</v>
      </c>
      <c r="H414" s="31" t="s">
        <v>260</v>
      </c>
      <c r="I414" s="31" t="s">
        <v>40</v>
      </c>
      <c r="J414" s="31" t="s">
        <v>61</v>
      </c>
      <c r="K414" s="31"/>
      <c r="L414" s="32">
        <f>IFERROR(__xludf.DUMMYFUNCTION("VLOOKUP($A414,IMPORTRANGE(""1PQtfbQLqBUP-rjYRznmgNFBLOjvAnhGzpIx7BJWq8rk"",""'Worksheet'!$B$2:$H""),7,FALSE)"),0.96)</f>
        <v>0.96</v>
      </c>
      <c r="M414" s="31" t="s">
        <v>40</v>
      </c>
      <c r="N414" s="49">
        <v>1.070975814E7</v>
      </c>
      <c r="O414" s="49">
        <v>5087135.12</v>
      </c>
      <c r="P414" s="49">
        <f t="shared" si="67"/>
        <v>5622623.02</v>
      </c>
      <c r="Q414" s="34">
        <f t="shared" si="7"/>
        <v>0.5249999997</v>
      </c>
      <c r="R414" s="31"/>
      <c r="S414" s="31" t="s">
        <v>40</v>
      </c>
      <c r="T414" s="72" t="s">
        <v>2713</v>
      </c>
      <c r="U414" s="67">
        <v>0.0</v>
      </c>
      <c r="V414" s="67" t="s">
        <v>2713</v>
      </c>
      <c r="W414" s="31"/>
      <c r="X414" s="52" t="s">
        <v>49</v>
      </c>
      <c r="Y414" s="124" t="s">
        <v>2714</v>
      </c>
      <c r="Z414" s="54" t="s">
        <v>2359</v>
      </c>
      <c r="AA414" s="74">
        <v>46280.0</v>
      </c>
      <c r="AB414" s="56"/>
      <c r="AC414" s="38" t="s">
        <v>1214</v>
      </c>
      <c r="AD414" s="39">
        <v>10709.76</v>
      </c>
      <c r="AE414" s="39">
        <v>5087.13512</v>
      </c>
      <c r="AF414" s="40">
        <v>5622.62488</v>
      </c>
      <c r="AG414" s="99" t="s">
        <v>2715</v>
      </c>
      <c r="AH414" s="85"/>
      <c r="AI414" s="42" t="str">
        <f>IFERROR(__xludf.DUMMYFUNCTION("vLOOKUP(A414,IMPORTRANGE(""https://docs.google.com/spreadsheets/d/1Rawwwdh8wntXGy8isdYNHxsNQS4n_rC8JSdPfj6vEq4"",""'500 объектов перенос на 2026'!A3:AB502""),13,0)"),"#REF!")</f>
        <v>#REF!</v>
      </c>
      <c r="AJ414" s="42" t="str">
        <f>IFERROR(__xludf.DUMMYFUNCTION("vLOOKUP(A414,IMPORTRANGE(""https://docs.google.com/spreadsheets/d/1Rawwwdh8wntXGy8isdYNHxsNQS4n_rC8JSdPfj6vEq4"",""'500 объектов перенос на 2026'!A3:AB502""),14,0)"),"#REF!")</f>
        <v>#REF!</v>
      </c>
      <c r="AK414" s="58" t="s">
        <v>2680</v>
      </c>
      <c r="AL414" s="70"/>
      <c r="AM414" s="70"/>
      <c r="AN414" s="151"/>
      <c r="AO414" s="43"/>
      <c r="AP414" s="43"/>
      <c r="AQ414" s="43"/>
      <c r="AR414" s="43"/>
      <c r="AS414" s="43"/>
      <c r="AT414" s="43"/>
      <c r="AU414" s="43"/>
      <c r="AV414" s="43"/>
      <c r="AW414" s="43"/>
      <c r="AX414" s="43"/>
      <c r="AY414" s="43"/>
      <c r="AZ414" s="43"/>
    </row>
    <row r="415">
      <c r="A415" s="62" t="s">
        <v>2716</v>
      </c>
      <c r="B415" s="63" t="s">
        <v>268</v>
      </c>
      <c r="C415" s="144" t="s">
        <v>2717</v>
      </c>
      <c r="D415" s="47" t="s">
        <v>1041</v>
      </c>
      <c r="E415" s="64" t="s">
        <v>85</v>
      </c>
      <c r="F415" s="31" t="s">
        <v>60</v>
      </c>
      <c r="G415" s="31"/>
      <c r="H415" s="31"/>
      <c r="I415" s="31" t="s">
        <v>60</v>
      </c>
      <c r="J415" s="31"/>
      <c r="K415" s="31"/>
      <c r="L415" s="32">
        <f>IFERROR(__xludf.DUMMYFUNCTION("VLOOKUP($A415,IMPORTRANGE(""1PQtfbQLqBUP-rjYRznmgNFBLOjvAnhGzpIx7BJWq8rk"",""'Worksheet'!$B$2:$H""),7,FALSE)"),0.9)</f>
        <v>0.9</v>
      </c>
      <c r="M415" s="31" t="s">
        <v>40</v>
      </c>
      <c r="N415" s="49">
        <v>9889991.55</v>
      </c>
      <c r="O415" s="49">
        <v>4648296.02</v>
      </c>
      <c r="P415" s="49">
        <f t="shared" si="67"/>
        <v>5241695.53</v>
      </c>
      <c r="Q415" s="34">
        <f t="shared" si="7"/>
        <v>0.5300000009</v>
      </c>
      <c r="R415" s="31"/>
      <c r="S415" s="31" t="s">
        <v>40</v>
      </c>
      <c r="T415" s="50" t="s">
        <v>2718</v>
      </c>
      <c r="U415" s="51">
        <v>0.0</v>
      </c>
      <c r="V415" s="51" t="s">
        <v>2718</v>
      </c>
      <c r="W415" s="31" t="s">
        <v>506</v>
      </c>
      <c r="X415" s="52" t="s">
        <v>1582</v>
      </c>
      <c r="Y415" s="54" t="s">
        <v>1569</v>
      </c>
      <c r="Z415" s="54" t="s">
        <v>851</v>
      </c>
      <c r="AA415" s="68">
        <v>46251.0</v>
      </c>
      <c r="AB415" s="56"/>
      <c r="AC415" s="38"/>
      <c r="AD415" s="39">
        <v>9889.99155</v>
      </c>
      <c r="AE415" s="39">
        <v>4648.29602</v>
      </c>
      <c r="AF415" s="40">
        <v>5241.69553</v>
      </c>
      <c r="AG415" s="57" t="s">
        <v>2719</v>
      </c>
      <c r="AH415" s="42" t="s">
        <v>49</v>
      </c>
      <c r="AI415" s="42" t="str">
        <f>IFERROR(__xludf.DUMMYFUNCTION("vLOOKUP(A415,IMPORTRANGE(""https://docs.google.com/spreadsheets/d/1Rawwwdh8wntXGy8isdYNHxsNQS4n_rC8JSdPfj6vEq4"",""'500 объектов перенос на 2026'!A3:AB502""),13,0)"),"#REF!")</f>
        <v>#REF!</v>
      </c>
      <c r="AJ415" s="42" t="str">
        <f>IFERROR(__xludf.DUMMYFUNCTION("vLOOKUP(A415,IMPORTRANGE(""https://docs.google.com/spreadsheets/d/1Rawwwdh8wntXGy8isdYNHxsNQS4n_rC8JSdPfj6vEq4"",""'500 объектов перенос на 2026'!A3:AB502""),14,0)"),"#REF!")</f>
        <v>#REF!</v>
      </c>
      <c r="AK415" s="58" t="s">
        <v>2720</v>
      </c>
      <c r="AL415" s="94" t="s">
        <v>1272</v>
      </c>
      <c r="AM415" s="94"/>
      <c r="AN415" s="43"/>
      <c r="AO415" s="43"/>
      <c r="AP415" s="43"/>
      <c r="AQ415" s="43"/>
      <c r="AR415" s="43"/>
      <c r="AS415" s="43"/>
      <c r="AT415" s="43"/>
      <c r="AU415" s="43"/>
      <c r="AV415" s="43"/>
      <c r="AW415" s="43"/>
      <c r="AX415" s="43"/>
      <c r="AY415" s="43"/>
      <c r="AZ415" s="43"/>
    </row>
    <row r="416">
      <c r="A416" s="62" t="s">
        <v>2721</v>
      </c>
      <c r="B416" s="63" t="s">
        <v>826</v>
      </c>
      <c r="C416" s="64" t="s">
        <v>2722</v>
      </c>
      <c r="D416" s="47" t="s">
        <v>323</v>
      </c>
      <c r="E416" s="64" t="s">
        <v>85</v>
      </c>
      <c r="F416" s="31" t="s">
        <v>40</v>
      </c>
      <c r="G416" s="31" t="s">
        <v>41</v>
      </c>
      <c r="H416" s="31" t="s">
        <v>260</v>
      </c>
      <c r="I416" s="31" t="s">
        <v>60</v>
      </c>
      <c r="J416" s="31"/>
      <c r="K416" s="31"/>
      <c r="L416" s="32">
        <f>IFERROR(__xludf.DUMMYFUNCTION("VLOOKUP($A416,IMPORTRANGE(""1PQtfbQLqBUP-rjYRznmgNFBLOjvAnhGzpIx7BJWq8rk"",""'Worksheet'!$B$2:$H""),7,FALSE)"),0.98)</f>
        <v>0.98</v>
      </c>
      <c r="M416" s="31" t="s">
        <v>40</v>
      </c>
      <c r="N416" s="49">
        <v>9812370.4</v>
      </c>
      <c r="O416" s="49">
        <v>4661164.2</v>
      </c>
      <c r="P416" s="49">
        <f t="shared" si="67"/>
        <v>5151206.2</v>
      </c>
      <c r="Q416" s="34">
        <f t="shared" si="7"/>
        <v>0.5249706228</v>
      </c>
      <c r="R416" s="31"/>
      <c r="S416" s="31" t="s">
        <v>45</v>
      </c>
      <c r="T416" s="50">
        <v>9321751.88</v>
      </c>
      <c r="U416" s="51">
        <v>4428105.99</v>
      </c>
      <c r="V416" s="51">
        <f>T416-U416</f>
        <v>4893645.89</v>
      </c>
      <c r="W416" s="31"/>
      <c r="X416" s="52">
        <v>4428105.99</v>
      </c>
      <c r="Y416" s="54" t="s">
        <v>2043</v>
      </c>
      <c r="Z416" s="54" t="s">
        <v>1602</v>
      </c>
      <c r="AA416" s="74">
        <v>46266.0</v>
      </c>
      <c r="AB416" s="56"/>
      <c r="AC416" s="38"/>
      <c r="AD416" s="39">
        <v>9812.37</v>
      </c>
      <c r="AE416" s="39">
        <v>4661.1642</v>
      </c>
      <c r="AF416" s="40">
        <v>5151.2058</v>
      </c>
      <c r="AG416" s="57" t="s">
        <v>2723</v>
      </c>
      <c r="AH416" s="42" t="s">
        <v>49</v>
      </c>
      <c r="AI416" s="42" t="str">
        <f>IFERROR(__xludf.DUMMYFUNCTION("vLOOKUP(A416,IMPORTRANGE(""https://docs.google.com/spreadsheets/d/1Rawwwdh8wntXGy8isdYNHxsNQS4n_rC8JSdPfj6vEq4"",""'500 объектов перенос на 2026'!A3:AB502""),13,0)"),"#REF!")</f>
        <v>#REF!</v>
      </c>
      <c r="AJ416" s="42" t="str">
        <f>IFERROR(__xludf.DUMMYFUNCTION("vLOOKUP(A416,IMPORTRANGE(""https://docs.google.com/spreadsheets/d/1Rawwwdh8wntXGy8isdYNHxsNQS4n_rC8JSdPfj6vEq4"",""'500 объектов перенос на 2026'!A3:AB502""),14,0)"),"#REF!")</f>
        <v>#REF!</v>
      </c>
      <c r="AK416" s="76" t="s">
        <v>2724</v>
      </c>
      <c r="AL416" s="94" t="s">
        <v>1604</v>
      </c>
      <c r="AM416" s="94"/>
      <c r="AN416" s="43"/>
      <c r="AO416" s="43"/>
      <c r="AP416" s="43"/>
      <c r="AQ416" s="43"/>
      <c r="AR416" s="43"/>
      <c r="AS416" s="43"/>
      <c r="AT416" s="43"/>
      <c r="AU416" s="43"/>
      <c r="AV416" s="43"/>
      <c r="AW416" s="43"/>
      <c r="AX416" s="43"/>
      <c r="AY416" s="43"/>
      <c r="AZ416" s="43"/>
    </row>
    <row r="417">
      <c r="A417" s="62" t="s">
        <v>2725</v>
      </c>
      <c r="B417" s="63" t="s">
        <v>1586</v>
      </c>
      <c r="C417" s="64" t="s">
        <v>2726</v>
      </c>
      <c r="D417" s="47" t="s">
        <v>1276</v>
      </c>
      <c r="E417" s="64" t="s">
        <v>39</v>
      </c>
      <c r="F417" s="31" t="s">
        <v>60</v>
      </c>
      <c r="G417" s="31"/>
      <c r="H417" s="31"/>
      <c r="I417" s="31" t="s">
        <v>40</v>
      </c>
      <c r="J417" s="31" t="s">
        <v>43</v>
      </c>
      <c r="K417" s="31" t="s">
        <v>72</v>
      </c>
      <c r="L417" s="32">
        <f>IFERROR(__xludf.DUMMYFUNCTION("VLOOKUP($A417,IMPORTRANGE(""1PQtfbQLqBUP-rjYRznmgNFBLOjvAnhGzpIx7BJWq8rk"",""'Worksheet'!$B$2:$H""),7,FALSE)"),0.91)</f>
        <v>0.91</v>
      </c>
      <c r="M417" s="31" t="s">
        <v>45</v>
      </c>
      <c r="N417" s="49">
        <v>1.0079142703E8</v>
      </c>
      <c r="O417" s="49">
        <v>9.573673184E7</v>
      </c>
      <c r="P417" s="49">
        <f t="shared" si="67"/>
        <v>5054695.19</v>
      </c>
      <c r="Q417" s="34">
        <f t="shared" si="7"/>
        <v>0.05015005084</v>
      </c>
      <c r="R417" s="31"/>
      <c r="S417" s="31" t="s">
        <v>45</v>
      </c>
      <c r="T417" s="72" t="s">
        <v>2727</v>
      </c>
      <c r="U417" s="67" t="s">
        <v>2728</v>
      </c>
      <c r="V417" s="67" t="s">
        <v>2729</v>
      </c>
      <c r="W417" s="31"/>
      <c r="X417" s="52" t="s">
        <v>1592</v>
      </c>
      <c r="Y417" s="54" t="s">
        <v>2730</v>
      </c>
      <c r="Z417" s="54" t="s">
        <v>1594</v>
      </c>
      <c r="AA417" s="68">
        <v>46232.0</v>
      </c>
      <c r="AB417" s="56"/>
      <c r="AC417" s="38" t="s">
        <v>1595</v>
      </c>
      <c r="AD417" s="39">
        <v>100791.43</v>
      </c>
      <c r="AE417" s="39">
        <v>95736.73184</v>
      </c>
      <c r="AF417" s="40">
        <v>5054.69816</v>
      </c>
      <c r="AG417" s="57" t="s">
        <v>2731</v>
      </c>
      <c r="AH417" s="42" t="s">
        <v>2732</v>
      </c>
      <c r="AI417" s="42" t="str">
        <f>IFERROR(__xludf.DUMMYFUNCTION("vLOOKUP(A417,IMPORTRANGE(""https://docs.google.com/spreadsheets/d/1Rawwwdh8wntXGy8isdYNHxsNQS4n_rC8JSdPfj6vEq4"",""'500 объектов перенос на 2026'!A3:AB502""),13,0)"),"#REF!")</f>
        <v>#REF!</v>
      </c>
      <c r="AJ417" s="42" t="str">
        <f>IFERROR(__xludf.DUMMYFUNCTION("vLOOKUP(A417,IMPORTRANGE(""https://docs.google.com/spreadsheets/d/1Rawwwdh8wntXGy8isdYNHxsNQS4n_rC8JSdPfj6vEq4"",""'500 объектов перенос на 2026'!A3:AB502""),14,0)"),"#REF!")</f>
        <v>#REF!</v>
      </c>
      <c r="AK417" s="76" t="s">
        <v>2733</v>
      </c>
      <c r="AL417" s="70"/>
      <c r="AM417" s="70"/>
      <c r="AN417" s="43"/>
      <c r="AO417" s="43"/>
      <c r="AP417" s="43"/>
      <c r="AQ417" s="43"/>
      <c r="AR417" s="43"/>
      <c r="AS417" s="43"/>
      <c r="AT417" s="43"/>
      <c r="AU417" s="43"/>
      <c r="AV417" s="43"/>
      <c r="AW417" s="43"/>
      <c r="AX417" s="43"/>
      <c r="AY417" s="43"/>
      <c r="AZ417" s="43"/>
    </row>
    <row r="418">
      <c r="A418" s="62" t="s">
        <v>2734</v>
      </c>
      <c r="B418" s="63" t="s">
        <v>400</v>
      </c>
      <c r="C418" s="64" t="s">
        <v>2735</v>
      </c>
      <c r="D418" s="47" t="s">
        <v>1041</v>
      </c>
      <c r="E418" s="64" t="s">
        <v>85</v>
      </c>
      <c r="F418" s="31" t="s">
        <v>60</v>
      </c>
      <c r="G418" s="31"/>
      <c r="H418" s="31"/>
      <c r="I418" s="31" t="s">
        <v>60</v>
      </c>
      <c r="J418" s="31"/>
      <c r="K418" s="31"/>
      <c r="L418" s="32">
        <f>IFERROR(__xludf.DUMMYFUNCTION("VLOOKUP($A418,IMPORTRANGE(""1PQtfbQLqBUP-rjYRznmgNFBLOjvAnhGzpIx7BJWq8rk"",""'Worksheet'!$B$2:$H""),7,FALSE)"),0.95)</f>
        <v>0.95</v>
      </c>
      <c r="M418" s="31" t="s">
        <v>45</v>
      </c>
      <c r="N418" s="49">
        <v>1.011414809E7</v>
      </c>
      <c r="O418" s="49">
        <v>5096809.2</v>
      </c>
      <c r="P418" s="49">
        <f t="shared" si="67"/>
        <v>5017338.89</v>
      </c>
      <c r="Q418" s="34">
        <f t="shared" si="7"/>
        <v>0.4960713295</v>
      </c>
      <c r="R418" s="31"/>
      <c r="S418" s="31" t="s">
        <v>45</v>
      </c>
      <c r="T418" s="50"/>
      <c r="U418" s="51"/>
      <c r="V418" s="51"/>
      <c r="W418" s="31" t="s">
        <v>506</v>
      </c>
      <c r="X418" s="52" t="s">
        <v>803</v>
      </c>
      <c r="Y418" s="89" t="s">
        <v>2736</v>
      </c>
      <c r="Z418" s="54" t="s">
        <v>2351</v>
      </c>
      <c r="AA418" s="74">
        <v>46218.0</v>
      </c>
      <c r="AB418" s="56"/>
      <c r="AC418" s="38"/>
      <c r="AD418" s="39">
        <v>10960.88</v>
      </c>
      <c r="AE418" s="39">
        <v>5096.8092</v>
      </c>
      <c r="AF418" s="40">
        <v>5864.0708</v>
      </c>
      <c r="AG418" s="57" t="s">
        <v>2737</v>
      </c>
      <c r="AH418" s="42" t="s">
        <v>745</v>
      </c>
      <c r="AI418" s="42" t="str">
        <f>IFERROR(__xludf.DUMMYFUNCTION("vLOOKUP(A418,IMPORTRANGE(""https://docs.google.com/spreadsheets/d/1Rawwwdh8wntXGy8isdYNHxsNQS4n_rC8JSdPfj6vEq4"",""'500 объектов перенос на 2026'!A3:AB502""),13,0)"),"#REF!")</f>
        <v>#REF!</v>
      </c>
      <c r="AJ418" s="42" t="str">
        <f>IFERROR(__xludf.DUMMYFUNCTION("vLOOKUP(A418,IMPORTRANGE(""https://docs.google.com/spreadsheets/d/1Rawwwdh8wntXGy8isdYNHxsNQS4n_rC8JSdPfj6vEq4"",""'500 объектов перенос на 2026'!A3:AB502""),14,0)"),"#REF!")</f>
        <v>#REF!</v>
      </c>
      <c r="AK418" s="58" t="s">
        <v>2353</v>
      </c>
      <c r="AL418" s="70" t="s">
        <v>2354</v>
      </c>
      <c r="AM418" s="70"/>
      <c r="AN418" s="43"/>
      <c r="AO418" s="43"/>
      <c r="AP418" s="43"/>
      <c r="AQ418" s="43"/>
      <c r="AR418" s="43"/>
      <c r="AS418" s="43"/>
      <c r="AT418" s="43"/>
      <c r="AU418" s="43"/>
      <c r="AV418" s="43"/>
      <c r="AW418" s="43"/>
      <c r="AX418" s="43"/>
      <c r="AY418" s="43"/>
      <c r="AZ418" s="43"/>
    </row>
    <row r="419">
      <c r="A419" s="62" t="s">
        <v>2738</v>
      </c>
      <c r="B419" s="63" t="s">
        <v>605</v>
      </c>
      <c r="C419" s="64" t="s">
        <v>2739</v>
      </c>
      <c r="D419" s="47" t="s">
        <v>1210</v>
      </c>
      <c r="E419" s="90" t="s">
        <v>85</v>
      </c>
      <c r="F419" s="31" t="s">
        <v>40</v>
      </c>
      <c r="G419" s="31" t="s">
        <v>41</v>
      </c>
      <c r="H419" s="31" t="s">
        <v>260</v>
      </c>
      <c r="I419" s="31" t="s">
        <v>40</v>
      </c>
      <c r="J419" s="31" t="s">
        <v>61</v>
      </c>
      <c r="K419" s="31"/>
      <c r="L419" s="32">
        <f>IFERROR(__xludf.DUMMYFUNCTION("VLOOKUP($A419,IMPORTRANGE(""1PQtfbQLqBUP-rjYRznmgNFBLOjvAnhGzpIx7BJWq8rk"",""'Worksheet'!$B$2:$H""),7,FALSE)"),0.87)</f>
        <v>0.87</v>
      </c>
      <c r="M419" s="31" t="s">
        <v>40</v>
      </c>
      <c r="N419" s="49">
        <v>7012240.0</v>
      </c>
      <c r="O419" s="49">
        <v>1998200.0</v>
      </c>
      <c r="P419" s="49">
        <f t="shared" si="67"/>
        <v>5014040</v>
      </c>
      <c r="Q419" s="34">
        <f t="shared" si="7"/>
        <v>0.7150411281</v>
      </c>
      <c r="R419" s="31"/>
      <c r="S419" s="31" t="s">
        <v>40</v>
      </c>
      <c r="T419" s="72" t="s">
        <v>2740</v>
      </c>
      <c r="U419" s="67">
        <v>0.0</v>
      </c>
      <c r="V419" s="67" t="s">
        <v>2740</v>
      </c>
      <c r="W419" s="31"/>
      <c r="X419" s="52" t="s">
        <v>46</v>
      </c>
      <c r="Y419" s="124" t="s">
        <v>2741</v>
      </c>
      <c r="Z419" s="54" t="s">
        <v>2359</v>
      </c>
      <c r="AA419" s="74">
        <v>46265.0</v>
      </c>
      <c r="AB419" s="56"/>
      <c r="AC419" s="38" t="s">
        <v>2742</v>
      </c>
      <c r="AD419" s="39">
        <v>7011.24</v>
      </c>
      <c r="AE419" s="39">
        <v>1998.2</v>
      </c>
      <c r="AF419" s="40">
        <v>5013.04</v>
      </c>
      <c r="AG419" s="162" t="s">
        <v>2743</v>
      </c>
      <c r="AH419" s="85"/>
      <c r="AI419" s="42" t="str">
        <f>IFERROR(__xludf.DUMMYFUNCTION("vLOOKUP(A419,IMPORTRANGE(""https://docs.google.com/spreadsheets/d/1Rawwwdh8wntXGy8isdYNHxsNQS4n_rC8JSdPfj6vEq4"",""'500 объектов перенос на 2026'!A3:AB502""),13,0)"),"#REF!")</f>
        <v>#REF!</v>
      </c>
      <c r="AJ419" s="42" t="str">
        <f>IFERROR(__xludf.DUMMYFUNCTION("vLOOKUP(A419,IMPORTRANGE(""https://docs.google.com/spreadsheets/d/1Rawwwdh8wntXGy8isdYNHxsNQS4n_rC8JSdPfj6vEq4"",""'500 объектов перенос на 2026'!A3:AB502""),14,0)"),"#REF!")</f>
        <v>#REF!</v>
      </c>
      <c r="AK419" s="58" t="s">
        <v>2538</v>
      </c>
      <c r="AL419" s="70"/>
      <c r="AM419" s="70"/>
      <c r="AN419" s="151"/>
      <c r="AO419" s="43"/>
      <c r="AP419" s="43"/>
      <c r="AQ419" s="43"/>
      <c r="AR419" s="43"/>
      <c r="AS419" s="43"/>
      <c r="AT419" s="43"/>
      <c r="AU419" s="43"/>
      <c r="AV419" s="43"/>
      <c r="AW419" s="43"/>
      <c r="AX419" s="43"/>
      <c r="AY419" s="43"/>
      <c r="AZ419" s="43"/>
    </row>
    <row r="420">
      <c r="A420" s="78" t="s">
        <v>2744</v>
      </c>
      <c r="B420" s="63" t="s">
        <v>2745</v>
      </c>
      <c r="C420" s="64" t="s">
        <v>2746</v>
      </c>
      <c r="D420" s="47" t="s">
        <v>2747</v>
      </c>
      <c r="E420" s="64" t="s">
        <v>85</v>
      </c>
      <c r="F420" s="31" t="s">
        <v>60</v>
      </c>
      <c r="G420" s="31"/>
      <c r="H420" s="31"/>
      <c r="I420" s="31" t="s">
        <v>60</v>
      </c>
      <c r="J420" s="31"/>
      <c r="K420" s="31"/>
      <c r="L420" s="32" t="str">
        <f>IFERROR(__xludf.DUMMYFUNCTION("VLOOKUP($A420,IMPORTRANGE(""1PQtfbQLqBUP-rjYRznmgNFBLOjvAnhGzpIx7BJWq8rk"",""'Worksheet'!$B$2:$H""),7,FALSE)"),"#N/A")</f>
        <v>#N/A</v>
      </c>
      <c r="M420" s="31" t="s">
        <v>60</v>
      </c>
      <c r="N420" s="49">
        <v>1701310.0</v>
      </c>
      <c r="O420" s="49">
        <v>1173116.44</v>
      </c>
      <c r="P420" s="49">
        <v>0.0</v>
      </c>
      <c r="Q420" s="34">
        <f t="shared" si="7"/>
        <v>0.3104628551</v>
      </c>
      <c r="R420" s="31"/>
      <c r="S420" s="31" t="s">
        <v>60</v>
      </c>
      <c r="T420" s="50">
        <f t="shared" ref="T420:T427" si="68">0.95*N420</f>
        <v>1616244.5</v>
      </c>
      <c r="U420" s="51">
        <f t="shared" ref="U420:U428" si="69">T420</f>
        <v>1616244.5</v>
      </c>
      <c r="V420" s="51">
        <v>0.0</v>
      </c>
      <c r="W420" s="31"/>
      <c r="X420" s="52" t="s">
        <v>2308</v>
      </c>
      <c r="Y420" s="54"/>
      <c r="Z420" s="54"/>
      <c r="AA420" s="54" t="s">
        <v>114</v>
      </c>
      <c r="AB420" s="38" t="s">
        <v>115</v>
      </c>
      <c r="AC420" s="38"/>
      <c r="AD420" s="39">
        <v>1701.31</v>
      </c>
      <c r="AE420" s="39">
        <v>1173.11644</v>
      </c>
      <c r="AF420" s="39">
        <v>528.19356</v>
      </c>
      <c r="AG420" s="57" t="s">
        <v>2748</v>
      </c>
      <c r="AH420" s="42" t="s">
        <v>2411</v>
      </c>
      <c r="AI420" s="42" t="s">
        <v>2411</v>
      </c>
      <c r="AJ420" s="42" t="s">
        <v>2411</v>
      </c>
      <c r="AK420" s="76" t="s">
        <v>114</v>
      </c>
      <c r="AL420" s="70"/>
      <c r="AM420" s="70"/>
      <c r="AN420" s="43"/>
      <c r="AO420" s="43"/>
      <c r="AP420" s="43"/>
      <c r="AQ420" s="43"/>
      <c r="AR420" s="43"/>
      <c r="AS420" s="43"/>
      <c r="AT420" s="43"/>
      <c r="AU420" s="43"/>
      <c r="AV420" s="43"/>
      <c r="AW420" s="43"/>
      <c r="AX420" s="43"/>
      <c r="AY420" s="43"/>
      <c r="AZ420" s="43"/>
    </row>
    <row r="421">
      <c r="A421" s="78" t="s">
        <v>2749</v>
      </c>
      <c r="B421" s="63" t="s">
        <v>2745</v>
      </c>
      <c r="C421" s="64" t="s">
        <v>2750</v>
      </c>
      <c r="D421" s="47" t="s">
        <v>2747</v>
      </c>
      <c r="E421" s="64" t="s">
        <v>85</v>
      </c>
      <c r="F421" s="31" t="s">
        <v>60</v>
      </c>
      <c r="G421" s="31"/>
      <c r="H421" s="31"/>
      <c r="I421" s="31" t="s">
        <v>60</v>
      </c>
      <c r="J421" s="31"/>
      <c r="K421" s="31"/>
      <c r="L421" s="32" t="str">
        <f>IFERROR(__xludf.DUMMYFUNCTION("VLOOKUP($A421,IMPORTRANGE(""1PQtfbQLqBUP-rjYRznmgNFBLOjvAnhGzpIx7BJWq8rk"",""'Worksheet'!$B$2:$H""),7,FALSE)"),"#N/A")</f>
        <v>#N/A</v>
      </c>
      <c r="M421" s="31" t="s">
        <v>60</v>
      </c>
      <c r="N421" s="49">
        <v>1391000.0</v>
      </c>
      <c r="O421" s="49">
        <v>1144724.98</v>
      </c>
      <c r="P421" s="49">
        <v>0.0</v>
      </c>
      <c r="Q421" s="34">
        <f t="shared" si="7"/>
        <v>0.1770489001</v>
      </c>
      <c r="R421" s="31"/>
      <c r="S421" s="31" t="s">
        <v>60</v>
      </c>
      <c r="T421" s="50">
        <f t="shared" si="68"/>
        <v>1321450</v>
      </c>
      <c r="U421" s="51">
        <f t="shared" si="69"/>
        <v>1321450</v>
      </c>
      <c r="V421" s="51">
        <v>0.0</v>
      </c>
      <c r="W421" s="31"/>
      <c r="X421" s="52" t="s">
        <v>2308</v>
      </c>
      <c r="Y421" s="54"/>
      <c r="Z421" s="54"/>
      <c r="AA421" s="54" t="s">
        <v>114</v>
      </c>
      <c r="AB421" s="38" t="s">
        <v>115</v>
      </c>
      <c r="AC421" s="38"/>
      <c r="AD421" s="39">
        <v>1391.0</v>
      </c>
      <c r="AE421" s="39">
        <v>1144.72498</v>
      </c>
      <c r="AF421" s="39">
        <v>246.27502</v>
      </c>
      <c r="AG421" s="57" t="s">
        <v>2751</v>
      </c>
      <c r="AH421" s="42" t="s">
        <v>2411</v>
      </c>
      <c r="AI421" s="42" t="s">
        <v>2411</v>
      </c>
      <c r="AJ421" s="42" t="s">
        <v>2411</v>
      </c>
      <c r="AK421" s="76" t="s">
        <v>114</v>
      </c>
      <c r="AL421" s="70"/>
      <c r="AM421" s="70"/>
      <c r="AN421" s="43"/>
      <c r="AO421" s="43"/>
      <c r="AP421" s="43"/>
      <c r="AQ421" s="43"/>
      <c r="AR421" s="43"/>
      <c r="AS421" s="43"/>
      <c r="AT421" s="43"/>
      <c r="AU421" s="43"/>
      <c r="AV421" s="43"/>
      <c r="AW421" s="43"/>
      <c r="AX421" s="43"/>
      <c r="AY421" s="43"/>
      <c r="AZ421" s="43"/>
    </row>
    <row r="422">
      <c r="A422" s="78" t="s">
        <v>2752</v>
      </c>
      <c r="B422" s="63" t="s">
        <v>2745</v>
      </c>
      <c r="C422" s="64" t="s">
        <v>2753</v>
      </c>
      <c r="D422" s="47" t="s">
        <v>2747</v>
      </c>
      <c r="E422" s="64" t="s">
        <v>85</v>
      </c>
      <c r="F422" s="31" t="s">
        <v>60</v>
      </c>
      <c r="G422" s="31"/>
      <c r="H422" s="31"/>
      <c r="I422" s="31" t="s">
        <v>60</v>
      </c>
      <c r="J422" s="31"/>
      <c r="K422" s="31"/>
      <c r="L422" s="32" t="str">
        <f>IFERROR(__xludf.DUMMYFUNCTION("VLOOKUP($A422,IMPORTRANGE(""1PQtfbQLqBUP-rjYRznmgNFBLOjvAnhGzpIx7BJWq8rk"",""'Worksheet'!$B$2:$H""),7,FALSE)"),"#N/A")</f>
        <v>#N/A</v>
      </c>
      <c r="M422" s="31" t="s">
        <v>60</v>
      </c>
      <c r="N422" s="49">
        <v>838500.0</v>
      </c>
      <c r="O422" s="49">
        <v>632651.89</v>
      </c>
      <c r="P422" s="49">
        <v>0.0</v>
      </c>
      <c r="Q422" s="34">
        <f t="shared" si="7"/>
        <v>0.2454956589</v>
      </c>
      <c r="R422" s="31"/>
      <c r="S422" s="31" t="s">
        <v>60</v>
      </c>
      <c r="T422" s="50">
        <f t="shared" si="68"/>
        <v>796575</v>
      </c>
      <c r="U422" s="51">
        <f t="shared" si="69"/>
        <v>796575</v>
      </c>
      <c r="V422" s="51">
        <v>0.0</v>
      </c>
      <c r="W422" s="31"/>
      <c r="X422" s="52" t="s">
        <v>2308</v>
      </c>
      <c r="Y422" s="54"/>
      <c r="Z422" s="54"/>
      <c r="AA422" s="54" t="s">
        <v>114</v>
      </c>
      <c r="AB422" s="38" t="s">
        <v>115</v>
      </c>
      <c r="AC422" s="38"/>
      <c r="AD422" s="39">
        <v>838.5</v>
      </c>
      <c r="AE422" s="39">
        <v>699.80334</v>
      </c>
      <c r="AF422" s="39">
        <v>138.69666</v>
      </c>
      <c r="AG422" s="57" t="s">
        <v>2754</v>
      </c>
      <c r="AH422" s="42" t="s">
        <v>2411</v>
      </c>
      <c r="AI422" s="42" t="s">
        <v>2411</v>
      </c>
      <c r="AJ422" s="42" t="s">
        <v>2411</v>
      </c>
      <c r="AK422" s="76" t="s">
        <v>114</v>
      </c>
      <c r="AL422" s="70"/>
      <c r="AM422" s="70"/>
      <c r="AN422" s="43"/>
      <c r="AO422" s="43"/>
      <c r="AP422" s="43"/>
      <c r="AQ422" s="43"/>
      <c r="AR422" s="43"/>
      <c r="AS422" s="43"/>
      <c r="AT422" s="43"/>
      <c r="AU422" s="43"/>
      <c r="AV422" s="43"/>
      <c r="AW422" s="43"/>
      <c r="AX422" s="43"/>
      <c r="AY422" s="43"/>
      <c r="AZ422" s="43"/>
    </row>
    <row r="423">
      <c r="A423" s="78" t="s">
        <v>2755</v>
      </c>
      <c r="B423" s="63" t="s">
        <v>2745</v>
      </c>
      <c r="C423" s="64" t="s">
        <v>2756</v>
      </c>
      <c r="D423" s="47" t="s">
        <v>2747</v>
      </c>
      <c r="E423" s="64" t="s">
        <v>85</v>
      </c>
      <c r="F423" s="31" t="s">
        <v>60</v>
      </c>
      <c r="G423" s="31"/>
      <c r="H423" s="31"/>
      <c r="I423" s="31" t="s">
        <v>60</v>
      </c>
      <c r="J423" s="31"/>
      <c r="K423" s="31"/>
      <c r="L423" s="32" t="str">
        <f>IFERROR(__xludf.DUMMYFUNCTION("VLOOKUP($A423,IMPORTRANGE(""1PQtfbQLqBUP-rjYRznmgNFBLOjvAnhGzpIx7BJWq8rk"",""'Worksheet'!$B$2:$H""),7,FALSE)"),"#N/A")</f>
        <v>#N/A</v>
      </c>
      <c r="M423" s="31" t="s">
        <v>60</v>
      </c>
      <c r="N423" s="49">
        <v>1846000.0</v>
      </c>
      <c r="O423" s="49">
        <v>1662958.06</v>
      </c>
      <c r="P423" s="49">
        <v>0.0</v>
      </c>
      <c r="Q423" s="34">
        <f t="shared" si="7"/>
        <v>0.0991559805</v>
      </c>
      <c r="R423" s="31"/>
      <c r="S423" s="31" t="s">
        <v>60</v>
      </c>
      <c r="T423" s="50">
        <f t="shared" si="68"/>
        <v>1753700</v>
      </c>
      <c r="U423" s="51">
        <f t="shared" si="69"/>
        <v>1753700</v>
      </c>
      <c r="V423" s="51">
        <v>0.0</v>
      </c>
      <c r="W423" s="31"/>
      <c r="X423" s="52" t="s">
        <v>2308</v>
      </c>
      <c r="Y423" s="54"/>
      <c r="Z423" s="54"/>
      <c r="AA423" s="54" t="s">
        <v>114</v>
      </c>
      <c r="AB423" s="38" t="s">
        <v>115</v>
      </c>
      <c r="AC423" s="38"/>
      <c r="AD423" s="39">
        <v>1846.0</v>
      </c>
      <c r="AE423" s="39">
        <v>1662.95806</v>
      </c>
      <c r="AF423" s="39">
        <v>183.04194</v>
      </c>
      <c r="AG423" s="57" t="s">
        <v>2757</v>
      </c>
      <c r="AH423" s="42" t="s">
        <v>2411</v>
      </c>
      <c r="AI423" s="42" t="s">
        <v>2411</v>
      </c>
      <c r="AJ423" s="42" t="s">
        <v>2411</v>
      </c>
      <c r="AK423" s="76" t="s">
        <v>114</v>
      </c>
      <c r="AL423" s="70"/>
      <c r="AM423" s="70"/>
      <c r="AN423" s="43"/>
      <c r="AO423" s="43"/>
      <c r="AP423" s="43"/>
      <c r="AQ423" s="43"/>
      <c r="AR423" s="43"/>
      <c r="AS423" s="43"/>
      <c r="AT423" s="43"/>
      <c r="AU423" s="43"/>
      <c r="AV423" s="43"/>
      <c r="AW423" s="43"/>
      <c r="AX423" s="43"/>
      <c r="AY423" s="43"/>
      <c r="AZ423" s="43"/>
    </row>
    <row r="424">
      <c r="A424" s="78" t="s">
        <v>2758</v>
      </c>
      <c r="B424" s="63" t="s">
        <v>2745</v>
      </c>
      <c r="C424" s="64" t="s">
        <v>2759</v>
      </c>
      <c r="D424" s="47" t="s">
        <v>2747</v>
      </c>
      <c r="E424" s="64" t="s">
        <v>85</v>
      </c>
      <c r="F424" s="31" t="s">
        <v>60</v>
      </c>
      <c r="G424" s="31"/>
      <c r="H424" s="31"/>
      <c r="I424" s="31" t="s">
        <v>60</v>
      </c>
      <c r="J424" s="31"/>
      <c r="K424" s="31"/>
      <c r="L424" s="32" t="str">
        <f>IFERROR(__xludf.DUMMYFUNCTION("VLOOKUP($A424,IMPORTRANGE(""1PQtfbQLqBUP-rjYRznmgNFBLOjvAnhGzpIx7BJWq8rk"",""'Worksheet'!$B$2:$H""),7,FALSE)"),"#N/A")</f>
        <v>#N/A</v>
      </c>
      <c r="M424" s="31" t="s">
        <v>60</v>
      </c>
      <c r="N424" s="49">
        <v>1651000.0</v>
      </c>
      <c r="O424" s="49">
        <v>1387745.16</v>
      </c>
      <c r="P424" s="49">
        <v>0.0</v>
      </c>
      <c r="Q424" s="34">
        <f t="shared" si="7"/>
        <v>0.1594517505</v>
      </c>
      <c r="R424" s="31"/>
      <c r="S424" s="31" t="s">
        <v>60</v>
      </c>
      <c r="T424" s="50">
        <f t="shared" si="68"/>
        <v>1568450</v>
      </c>
      <c r="U424" s="51">
        <f t="shared" si="69"/>
        <v>1568450</v>
      </c>
      <c r="V424" s="51">
        <v>0.0</v>
      </c>
      <c r="W424" s="31"/>
      <c r="X424" s="52" t="s">
        <v>2308</v>
      </c>
      <c r="Y424" s="54"/>
      <c r="Z424" s="54"/>
      <c r="AA424" s="54" t="s">
        <v>114</v>
      </c>
      <c r="AB424" s="38" t="s">
        <v>115</v>
      </c>
      <c r="AC424" s="38"/>
      <c r="AD424" s="39">
        <v>1651.0</v>
      </c>
      <c r="AE424" s="39">
        <v>1538.98616</v>
      </c>
      <c r="AF424" s="39">
        <v>112.01384</v>
      </c>
      <c r="AG424" s="57" t="s">
        <v>2760</v>
      </c>
      <c r="AH424" s="42" t="s">
        <v>2411</v>
      </c>
      <c r="AI424" s="42" t="s">
        <v>2411</v>
      </c>
      <c r="AJ424" s="42" t="s">
        <v>2411</v>
      </c>
      <c r="AK424" s="76" t="s">
        <v>114</v>
      </c>
      <c r="AL424" s="70"/>
      <c r="AM424" s="70"/>
      <c r="AN424" s="43"/>
      <c r="AO424" s="43"/>
      <c r="AP424" s="43"/>
      <c r="AQ424" s="43"/>
      <c r="AR424" s="43"/>
      <c r="AS424" s="43"/>
      <c r="AT424" s="43"/>
      <c r="AU424" s="43"/>
      <c r="AV424" s="43"/>
      <c r="AW424" s="43"/>
      <c r="AX424" s="43"/>
      <c r="AY424" s="43"/>
      <c r="AZ424" s="43"/>
    </row>
    <row r="425">
      <c r="A425" s="78" t="s">
        <v>2761</v>
      </c>
      <c r="B425" s="63" t="s">
        <v>2745</v>
      </c>
      <c r="C425" s="64" t="s">
        <v>2762</v>
      </c>
      <c r="D425" s="47" t="s">
        <v>2747</v>
      </c>
      <c r="E425" s="64" t="s">
        <v>85</v>
      </c>
      <c r="F425" s="31" t="s">
        <v>60</v>
      </c>
      <c r="G425" s="31"/>
      <c r="H425" s="31"/>
      <c r="I425" s="31" t="s">
        <v>60</v>
      </c>
      <c r="J425" s="31"/>
      <c r="K425" s="31"/>
      <c r="L425" s="32" t="str">
        <f>IFERROR(__xludf.DUMMYFUNCTION("VLOOKUP($A425,IMPORTRANGE(""1PQtfbQLqBUP-rjYRznmgNFBLOjvAnhGzpIx7BJWq8rk"",""'Worksheet'!$B$2:$H""),7,FALSE)"),"#N/A")</f>
        <v>#N/A</v>
      </c>
      <c r="M425" s="31" t="s">
        <v>60</v>
      </c>
      <c r="N425" s="49">
        <v>1139500.0</v>
      </c>
      <c r="O425" s="49">
        <v>990477.46</v>
      </c>
      <c r="P425" s="49">
        <v>0.0</v>
      </c>
      <c r="Q425" s="34">
        <f t="shared" si="7"/>
        <v>0.1307788855</v>
      </c>
      <c r="R425" s="31"/>
      <c r="S425" s="31" t="s">
        <v>60</v>
      </c>
      <c r="T425" s="50">
        <f t="shared" si="68"/>
        <v>1082525</v>
      </c>
      <c r="U425" s="51">
        <f t="shared" si="69"/>
        <v>1082525</v>
      </c>
      <c r="V425" s="51">
        <v>0.0</v>
      </c>
      <c r="W425" s="31"/>
      <c r="X425" s="52" t="s">
        <v>2308</v>
      </c>
      <c r="Y425" s="54"/>
      <c r="Z425" s="54"/>
      <c r="AA425" s="54" t="s">
        <v>114</v>
      </c>
      <c r="AB425" s="38" t="s">
        <v>115</v>
      </c>
      <c r="AC425" s="38"/>
      <c r="AD425" s="39">
        <v>1139.5</v>
      </c>
      <c r="AE425" s="39">
        <v>990.47746</v>
      </c>
      <c r="AF425" s="39">
        <v>149.02254</v>
      </c>
      <c r="AG425" s="57" t="s">
        <v>2763</v>
      </c>
      <c r="AH425" s="42" t="s">
        <v>2411</v>
      </c>
      <c r="AI425" s="42" t="s">
        <v>2411</v>
      </c>
      <c r="AJ425" s="42" t="s">
        <v>2411</v>
      </c>
      <c r="AK425" s="76" t="s">
        <v>114</v>
      </c>
      <c r="AL425" s="70"/>
      <c r="AM425" s="70"/>
      <c r="AN425" s="43"/>
      <c r="AO425" s="43"/>
      <c r="AP425" s="43"/>
      <c r="AQ425" s="43"/>
      <c r="AR425" s="43"/>
      <c r="AS425" s="43"/>
      <c r="AT425" s="43"/>
      <c r="AU425" s="43"/>
      <c r="AV425" s="43"/>
      <c r="AW425" s="43"/>
      <c r="AX425" s="43"/>
      <c r="AY425" s="43"/>
      <c r="AZ425" s="43"/>
    </row>
    <row r="426">
      <c r="A426" s="78" t="s">
        <v>2764</v>
      </c>
      <c r="B426" s="63" t="s">
        <v>2745</v>
      </c>
      <c r="C426" s="64" t="s">
        <v>2765</v>
      </c>
      <c r="D426" s="47" t="s">
        <v>2747</v>
      </c>
      <c r="E426" s="64" t="s">
        <v>85</v>
      </c>
      <c r="F426" s="31" t="s">
        <v>60</v>
      </c>
      <c r="G426" s="31"/>
      <c r="H426" s="31"/>
      <c r="I426" s="31" t="s">
        <v>60</v>
      </c>
      <c r="J426" s="31"/>
      <c r="K426" s="31"/>
      <c r="L426" s="32" t="str">
        <f>IFERROR(__xludf.DUMMYFUNCTION("VLOOKUP($A426,IMPORTRANGE(""1PQtfbQLqBUP-rjYRznmgNFBLOjvAnhGzpIx7BJWq8rk"",""'Worksheet'!$B$2:$H""),7,FALSE)"),"#N/A")</f>
        <v>#N/A</v>
      </c>
      <c r="M426" s="31" t="s">
        <v>60</v>
      </c>
      <c r="N426" s="49">
        <v>3740000.0</v>
      </c>
      <c r="O426" s="49">
        <v>2116493.79</v>
      </c>
      <c r="P426" s="49">
        <v>0.0</v>
      </c>
      <c r="Q426" s="34">
        <f t="shared" si="7"/>
        <v>0.4340925695</v>
      </c>
      <c r="R426" s="31"/>
      <c r="S426" s="31" t="s">
        <v>60</v>
      </c>
      <c r="T426" s="50">
        <f t="shared" si="68"/>
        <v>3553000</v>
      </c>
      <c r="U426" s="51">
        <f t="shared" si="69"/>
        <v>3553000</v>
      </c>
      <c r="V426" s="51">
        <v>0.0</v>
      </c>
      <c r="W426" s="31"/>
      <c r="X426" s="52" t="s">
        <v>2308</v>
      </c>
      <c r="Y426" s="54"/>
      <c r="Z426" s="54"/>
      <c r="AA426" s="54" t="s">
        <v>114</v>
      </c>
      <c r="AB426" s="38" t="s">
        <v>115</v>
      </c>
      <c r="AC426" s="38"/>
      <c r="AD426" s="39">
        <v>3740.0</v>
      </c>
      <c r="AE426" s="39">
        <v>2150.28189</v>
      </c>
      <c r="AF426" s="39">
        <v>1589.71811</v>
      </c>
      <c r="AG426" s="57" t="s">
        <v>2766</v>
      </c>
      <c r="AH426" s="42" t="s">
        <v>2411</v>
      </c>
      <c r="AI426" s="42" t="s">
        <v>2411</v>
      </c>
      <c r="AJ426" s="42" t="s">
        <v>2411</v>
      </c>
      <c r="AK426" s="76" t="s">
        <v>114</v>
      </c>
      <c r="AL426" s="70"/>
      <c r="AM426" s="70"/>
      <c r="AN426" s="43"/>
      <c r="AO426" s="43"/>
      <c r="AP426" s="43"/>
      <c r="AQ426" s="43"/>
      <c r="AR426" s="43"/>
      <c r="AS426" s="43"/>
      <c r="AT426" s="43"/>
      <c r="AU426" s="43"/>
      <c r="AV426" s="43"/>
      <c r="AW426" s="43"/>
      <c r="AX426" s="43"/>
      <c r="AY426" s="43"/>
      <c r="AZ426" s="43"/>
    </row>
    <row r="427">
      <c r="A427" s="78" t="s">
        <v>2767</v>
      </c>
      <c r="B427" s="63" t="s">
        <v>2745</v>
      </c>
      <c r="C427" s="64" t="s">
        <v>2768</v>
      </c>
      <c r="D427" s="105" t="s">
        <v>1058</v>
      </c>
      <c r="E427" s="64" t="s">
        <v>85</v>
      </c>
      <c r="F427" s="31" t="s">
        <v>60</v>
      </c>
      <c r="G427" s="31"/>
      <c r="H427" s="31"/>
      <c r="I427" s="31" t="s">
        <v>60</v>
      </c>
      <c r="J427" s="31"/>
      <c r="K427" s="31"/>
      <c r="L427" s="32" t="str">
        <f>IFERROR(__xludf.DUMMYFUNCTION("VLOOKUP($A427,IMPORTRANGE(""1PQtfbQLqBUP-rjYRznmgNFBLOjvAnhGzpIx7BJWq8rk"",""'Worksheet'!$B$2:$H""),7,FALSE)"),"#N/A")</f>
        <v>#N/A</v>
      </c>
      <c r="M427" s="31" t="s">
        <v>60</v>
      </c>
      <c r="N427" s="49">
        <v>1.320543E7</v>
      </c>
      <c r="O427" s="49">
        <v>1.223297714E7</v>
      </c>
      <c r="P427" s="49">
        <v>0.0</v>
      </c>
      <c r="Q427" s="34">
        <f t="shared" si="7"/>
        <v>0.07364037824</v>
      </c>
      <c r="R427" s="31"/>
      <c r="S427" s="31" t="s">
        <v>60</v>
      </c>
      <c r="T427" s="50">
        <f t="shared" si="68"/>
        <v>12545158.5</v>
      </c>
      <c r="U427" s="51">
        <f t="shared" si="69"/>
        <v>12545158.5</v>
      </c>
      <c r="V427" s="51">
        <v>0.0</v>
      </c>
      <c r="W427" s="31"/>
      <c r="X427" s="52" t="s">
        <v>2308</v>
      </c>
      <c r="Y427" s="54"/>
      <c r="Z427" s="54"/>
      <c r="AA427" s="54" t="s">
        <v>114</v>
      </c>
      <c r="AB427" s="38" t="s">
        <v>115</v>
      </c>
      <c r="AC427" s="38"/>
      <c r="AD427" s="39">
        <v>13205.43</v>
      </c>
      <c r="AE427" s="39">
        <v>12242.97714</v>
      </c>
      <c r="AF427" s="39">
        <v>962.45286</v>
      </c>
      <c r="AG427" s="57" t="s">
        <v>2769</v>
      </c>
      <c r="AH427" s="42" t="s">
        <v>2411</v>
      </c>
      <c r="AI427" s="42" t="s">
        <v>2411</v>
      </c>
      <c r="AJ427" s="42" t="s">
        <v>2411</v>
      </c>
      <c r="AK427" s="76" t="s">
        <v>114</v>
      </c>
      <c r="AL427" s="70"/>
      <c r="AM427" s="70"/>
      <c r="AN427" s="43"/>
      <c r="AO427" s="43"/>
      <c r="AP427" s="43"/>
      <c r="AQ427" s="43"/>
      <c r="AR427" s="43"/>
      <c r="AS427" s="43"/>
      <c r="AT427" s="43"/>
      <c r="AU427" s="43"/>
      <c r="AV427" s="43"/>
      <c r="AW427" s="43"/>
      <c r="AX427" s="43"/>
      <c r="AY427" s="43"/>
      <c r="AZ427" s="43"/>
    </row>
    <row r="428">
      <c r="A428" s="78" t="s">
        <v>2770</v>
      </c>
      <c r="B428" s="63" t="s">
        <v>2745</v>
      </c>
      <c r="C428" s="64" t="s">
        <v>2771</v>
      </c>
      <c r="D428" s="47" t="s">
        <v>2772</v>
      </c>
      <c r="E428" s="64" t="s">
        <v>85</v>
      </c>
      <c r="F428" s="31" t="s">
        <v>60</v>
      </c>
      <c r="G428" s="31"/>
      <c r="H428" s="31"/>
      <c r="I428" s="31" t="s">
        <v>60</v>
      </c>
      <c r="J428" s="31"/>
      <c r="K428" s="31"/>
      <c r="L428" s="32" t="str">
        <f>IFERROR(__xludf.DUMMYFUNCTION("VLOOKUP($A428,IMPORTRANGE(""1PQtfbQLqBUP-rjYRznmgNFBLOjvAnhGzpIx7BJWq8rk"",""'Worksheet'!$B$2:$H""),7,FALSE)"),"#N/A")</f>
        <v>#N/A</v>
      </c>
      <c r="M428" s="31" t="s">
        <v>60</v>
      </c>
      <c r="N428" s="49">
        <v>1283200.0</v>
      </c>
      <c r="O428" s="49">
        <v>1238809.57</v>
      </c>
      <c r="P428" s="49">
        <v>0.0</v>
      </c>
      <c r="Q428" s="34">
        <f t="shared" si="7"/>
        <v>0.03459353959</v>
      </c>
      <c r="R428" s="31"/>
      <c r="S428" s="31" t="s">
        <v>60</v>
      </c>
      <c r="T428" s="155">
        <f>N428</f>
        <v>1283200</v>
      </c>
      <c r="U428" s="172">
        <f t="shared" si="69"/>
        <v>1283200</v>
      </c>
      <c r="V428" s="51">
        <v>0.0</v>
      </c>
      <c r="W428" s="31"/>
      <c r="X428" s="52" t="s">
        <v>2308</v>
      </c>
      <c r="Y428" s="54"/>
      <c r="Z428" s="54"/>
      <c r="AA428" s="54" t="s">
        <v>114</v>
      </c>
      <c r="AB428" s="38" t="s">
        <v>115</v>
      </c>
      <c r="AC428" s="38"/>
      <c r="AD428" s="39">
        <v>1283.2</v>
      </c>
      <c r="AE428" s="39">
        <v>1238.80957</v>
      </c>
      <c r="AF428" s="39">
        <v>44.39043</v>
      </c>
      <c r="AG428" s="57" t="s">
        <v>2773</v>
      </c>
      <c r="AH428" s="42" t="s">
        <v>2411</v>
      </c>
      <c r="AI428" s="42" t="s">
        <v>2411</v>
      </c>
      <c r="AJ428" s="42" t="s">
        <v>2411</v>
      </c>
      <c r="AK428" s="76" t="s">
        <v>114</v>
      </c>
      <c r="AL428" s="70"/>
      <c r="AM428" s="70"/>
      <c r="AN428" s="43"/>
      <c r="AO428" s="43"/>
      <c r="AP428" s="43"/>
      <c r="AQ428" s="43"/>
      <c r="AR428" s="43"/>
      <c r="AS428" s="43"/>
      <c r="AT428" s="43"/>
      <c r="AU428" s="43"/>
      <c r="AV428" s="43"/>
      <c r="AW428" s="43"/>
      <c r="AX428" s="43"/>
      <c r="AY428" s="43"/>
      <c r="AZ428" s="43"/>
    </row>
    <row r="429">
      <c r="A429" s="78" t="s">
        <v>2774</v>
      </c>
      <c r="B429" s="63" t="s">
        <v>1299</v>
      </c>
      <c r="C429" s="64" t="s">
        <v>2775</v>
      </c>
      <c r="D429" s="47" t="s">
        <v>1546</v>
      </c>
      <c r="E429" s="64" t="s">
        <v>85</v>
      </c>
      <c r="F429" s="31" t="s">
        <v>60</v>
      </c>
      <c r="G429" s="31"/>
      <c r="H429" s="31"/>
      <c r="I429" s="31" t="s">
        <v>60</v>
      </c>
      <c r="J429" s="31"/>
      <c r="K429" s="31"/>
      <c r="L429" s="32" t="str">
        <f>IFERROR(__xludf.DUMMYFUNCTION("VLOOKUP($A429,IMPORTRANGE(""1PQtfbQLqBUP-rjYRznmgNFBLOjvAnhGzpIx7BJWq8rk"",""'Worksheet'!$B$2:$H""),7,FALSE)"),"#N/A")</f>
        <v>#N/A</v>
      </c>
      <c r="M429" s="31" t="s">
        <v>60</v>
      </c>
      <c r="N429" s="49">
        <v>9.099255E7</v>
      </c>
      <c r="O429" s="49">
        <v>6.640286574E7</v>
      </c>
      <c r="P429" s="49">
        <v>0.0</v>
      </c>
      <c r="Q429" s="34">
        <f t="shared" si="7"/>
        <v>0.2702384345</v>
      </c>
      <c r="R429" s="31"/>
      <c r="S429" s="31" t="s">
        <v>60</v>
      </c>
      <c r="T429" s="51">
        <v>7.0216535E7</v>
      </c>
      <c r="U429" s="51">
        <v>7.0216535E7</v>
      </c>
      <c r="V429" s="51">
        <f>T429-U429</f>
        <v>0</v>
      </c>
      <c r="W429" s="31"/>
      <c r="X429" s="52" t="s">
        <v>113</v>
      </c>
      <c r="Y429" s="54"/>
      <c r="Z429" s="54"/>
      <c r="AA429" s="54" t="s">
        <v>114</v>
      </c>
      <c r="AB429" s="38" t="s">
        <v>115</v>
      </c>
      <c r="AC429" s="38"/>
      <c r="AD429" s="39">
        <v>90992.55</v>
      </c>
      <c r="AE429" s="39">
        <v>70216.535</v>
      </c>
      <c r="AF429" s="39">
        <v>20776.015</v>
      </c>
      <c r="AG429" s="57" t="s">
        <v>2776</v>
      </c>
      <c r="AH429" s="42" t="s">
        <v>2777</v>
      </c>
      <c r="AI429" s="42" t="str">
        <f>IFERROR(__xludf.DUMMYFUNCTION("vLOOKUP(A429,IMPORTRANGE(""https://docs.google.com/spreadsheets/d/1Rawwwdh8wntXGy8isdYNHxsNQS4n_rC8JSdPfj6vEq4"",""'500 объектов перенос на 2026'!A3:AB502""),13,0)"),"#REF!")</f>
        <v>#REF!</v>
      </c>
      <c r="AJ429" s="42" t="str">
        <f>IFERROR(__xludf.DUMMYFUNCTION("vLOOKUP(A429,IMPORTRANGE(""https://docs.google.com/spreadsheets/d/1Rawwwdh8wntXGy8isdYNHxsNQS4n_rC8JSdPfj6vEq4"",""'500 объектов перенос на 2026'!A3:AB502""),14,0)"),"#REF!")</f>
        <v>#REF!</v>
      </c>
      <c r="AK429" s="76" t="s">
        <v>114</v>
      </c>
      <c r="AL429" s="70"/>
      <c r="AM429" s="70"/>
      <c r="AN429" s="43"/>
      <c r="AO429" s="43"/>
      <c r="AP429" s="43"/>
      <c r="AQ429" s="43"/>
      <c r="AR429" s="43"/>
      <c r="AS429" s="43"/>
      <c r="AT429" s="43"/>
      <c r="AU429" s="43"/>
      <c r="AV429" s="43"/>
      <c r="AW429" s="43"/>
      <c r="AX429" s="43"/>
      <c r="AY429" s="43"/>
      <c r="AZ429" s="43"/>
    </row>
    <row r="430">
      <c r="A430" s="78" t="s">
        <v>2778</v>
      </c>
      <c r="B430" s="63" t="s">
        <v>1299</v>
      </c>
      <c r="C430" s="64" t="s">
        <v>2779</v>
      </c>
      <c r="D430" s="47" t="s">
        <v>1546</v>
      </c>
      <c r="E430" s="64" t="s">
        <v>85</v>
      </c>
      <c r="F430" s="31" t="s">
        <v>60</v>
      </c>
      <c r="G430" s="31"/>
      <c r="H430" s="31"/>
      <c r="I430" s="31" t="s">
        <v>60</v>
      </c>
      <c r="J430" s="31"/>
      <c r="K430" s="31"/>
      <c r="L430" s="32" t="str">
        <f>IFERROR(__xludf.DUMMYFUNCTION("VLOOKUP($A430,IMPORTRANGE(""1PQtfbQLqBUP-rjYRznmgNFBLOjvAnhGzpIx7BJWq8rk"",""'Worksheet'!$B$2:$H""),7,FALSE)"),"#N/A")</f>
        <v>#N/A</v>
      </c>
      <c r="M430" s="31" t="s">
        <v>60</v>
      </c>
      <c r="N430" s="49">
        <v>1.0732177E8</v>
      </c>
      <c r="O430" s="49">
        <v>1.003195982E8</v>
      </c>
      <c r="P430" s="49">
        <v>0.0</v>
      </c>
      <c r="Q430" s="34">
        <f t="shared" si="7"/>
        <v>0.06524465446</v>
      </c>
      <c r="R430" s="31"/>
      <c r="S430" s="31" t="s">
        <v>60</v>
      </c>
      <c r="T430" s="135" t="s">
        <v>2780</v>
      </c>
      <c r="U430" s="135" t="s">
        <v>2780</v>
      </c>
      <c r="V430" s="51">
        <v>0.0</v>
      </c>
      <c r="W430" s="31"/>
      <c r="X430" s="52" t="s">
        <v>113</v>
      </c>
      <c r="Y430" s="54"/>
      <c r="Z430" s="54"/>
      <c r="AA430" s="54" t="s">
        <v>114</v>
      </c>
      <c r="AB430" s="38" t="s">
        <v>115</v>
      </c>
      <c r="AC430" s="38"/>
      <c r="AD430" s="39">
        <v>107321.77</v>
      </c>
      <c r="AE430" s="39">
        <v>102834.0708</v>
      </c>
      <c r="AF430" s="39">
        <v>4487.69916</v>
      </c>
      <c r="AG430" s="57" t="s">
        <v>2781</v>
      </c>
      <c r="AH430" s="42" t="s">
        <v>2777</v>
      </c>
      <c r="AI430" s="42" t="str">
        <f>IFERROR(__xludf.DUMMYFUNCTION("vLOOKUP(A430,IMPORTRANGE(""https://docs.google.com/spreadsheets/d/1Rawwwdh8wntXGy8isdYNHxsNQS4n_rC8JSdPfj6vEq4"",""'500 объектов перенос на 2026'!A3:AB502""),13,0)"),"#REF!")</f>
        <v>#REF!</v>
      </c>
      <c r="AJ430" s="42" t="str">
        <f>IFERROR(__xludf.DUMMYFUNCTION("vLOOKUP(A430,IMPORTRANGE(""https://docs.google.com/spreadsheets/d/1Rawwwdh8wntXGy8isdYNHxsNQS4n_rC8JSdPfj6vEq4"",""'500 объектов перенос на 2026'!A3:AB502""),14,0)"),"#REF!")</f>
        <v>#REF!</v>
      </c>
      <c r="AK430" s="76" t="s">
        <v>114</v>
      </c>
      <c r="AL430" s="70"/>
      <c r="AM430" s="70"/>
      <c r="AN430" s="43"/>
      <c r="AO430" s="43"/>
      <c r="AP430" s="43"/>
      <c r="AQ430" s="43"/>
      <c r="AR430" s="43"/>
      <c r="AS430" s="43"/>
      <c r="AT430" s="43"/>
      <c r="AU430" s="43"/>
      <c r="AV430" s="43"/>
      <c r="AW430" s="43"/>
      <c r="AX430" s="43"/>
      <c r="AY430" s="43"/>
      <c r="AZ430" s="43"/>
    </row>
    <row r="431">
      <c r="A431" s="78" t="s">
        <v>2782</v>
      </c>
      <c r="B431" s="63" t="s">
        <v>1299</v>
      </c>
      <c r="C431" s="90" t="s">
        <v>2783</v>
      </c>
      <c r="D431" s="47" t="s">
        <v>2784</v>
      </c>
      <c r="E431" s="64" t="s">
        <v>85</v>
      </c>
      <c r="F431" s="31" t="s">
        <v>60</v>
      </c>
      <c r="G431" s="31"/>
      <c r="H431" s="31"/>
      <c r="I431" s="31" t="s">
        <v>60</v>
      </c>
      <c r="J431" s="31"/>
      <c r="K431" s="31"/>
      <c r="L431" s="32" t="str">
        <f>IFERROR(__xludf.DUMMYFUNCTION("VLOOKUP($A431,IMPORTRANGE(""1PQtfbQLqBUP-rjYRznmgNFBLOjvAnhGzpIx7BJWq8rk"",""'Worksheet'!$B$2:$H""),7,FALSE)"),"#N/A")</f>
        <v>#N/A</v>
      </c>
      <c r="M431" s="31" t="s">
        <v>60</v>
      </c>
      <c r="N431" s="49">
        <v>1.65034E7</v>
      </c>
      <c r="O431" s="49">
        <v>7112989.17</v>
      </c>
      <c r="P431" s="49">
        <v>0.0</v>
      </c>
      <c r="Q431" s="34">
        <f t="shared" si="7"/>
        <v>0.5689985597</v>
      </c>
      <c r="R431" s="31"/>
      <c r="S431" s="31" t="s">
        <v>60</v>
      </c>
      <c r="T431" s="50">
        <v>1.567823E7</v>
      </c>
      <c r="U431" s="50">
        <v>1.567823E7</v>
      </c>
      <c r="V431" s="51">
        <f>T431-U431</f>
        <v>0</v>
      </c>
      <c r="W431" s="31"/>
      <c r="X431" s="52" t="s">
        <v>113</v>
      </c>
      <c r="Y431" s="54"/>
      <c r="Z431" s="54"/>
      <c r="AA431" s="54" t="s">
        <v>114</v>
      </c>
      <c r="AB431" s="38" t="s">
        <v>115</v>
      </c>
      <c r="AC431" s="38"/>
      <c r="AD431" s="39">
        <v>16503.4</v>
      </c>
      <c r="AE431" s="39">
        <v>10626.02692</v>
      </c>
      <c r="AF431" s="39">
        <v>5877.37308</v>
      </c>
      <c r="AG431" s="57" t="s">
        <v>2785</v>
      </c>
      <c r="AH431" s="42" t="s">
        <v>2786</v>
      </c>
      <c r="AI431" s="42" t="str">
        <f>IFERROR(__xludf.DUMMYFUNCTION("vLOOKUP(A431,IMPORTRANGE(""https://docs.google.com/spreadsheets/d/1Rawwwdh8wntXGy8isdYNHxsNQS4n_rC8JSdPfj6vEq4"",""'500 объектов перенос на 2026'!A3:AB502""),13,0)"),"#REF!")</f>
        <v>#REF!</v>
      </c>
      <c r="AJ431" s="42" t="str">
        <f>IFERROR(__xludf.DUMMYFUNCTION("vLOOKUP(A431,IMPORTRANGE(""https://docs.google.com/spreadsheets/d/1Rawwwdh8wntXGy8isdYNHxsNQS4n_rC8JSdPfj6vEq4"",""'500 объектов перенос на 2026'!A3:AB502""),14,0)"),"#REF!")</f>
        <v>#REF!</v>
      </c>
      <c r="AK431" s="76" t="s">
        <v>114</v>
      </c>
      <c r="AL431" s="70"/>
      <c r="AM431" s="70"/>
      <c r="AN431" s="43"/>
      <c r="AO431" s="43"/>
      <c r="AP431" s="43"/>
      <c r="AQ431" s="43"/>
      <c r="AR431" s="43"/>
      <c r="AS431" s="43"/>
      <c r="AT431" s="43"/>
      <c r="AU431" s="43"/>
      <c r="AV431" s="43"/>
      <c r="AW431" s="43"/>
      <c r="AX431" s="43"/>
      <c r="AY431" s="43"/>
      <c r="AZ431" s="43"/>
    </row>
    <row r="432">
      <c r="A432" s="62" t="s">
        <v>2787</v>
      </c>
      <c r="B432" s="63" t="s">
        <v>400</v>
      </c>
      <c r="C432" s="64" t="s">
        <v>2788</v>
      </c>
      <c r="D432" s="47" t="s">
        <v>1048</v>
      </c>
      <c r="E432" s="64" t="s">
        <v>324</v>
      </c>
      <c r="F432" s="31" t="s">
        <v>60</v>
      </c>
      <c r="G432" s="31"/>
      <c r="H432" s="31"/>
      <c r="I432" s="31" t="s">
        <v>40</v>
      </c>
      <c r="J432" s="31" t="s">
        <v>102</v>
      </c>
      <c r="K432" s="31" t="s">
        <v>72</v>
      </c>
      <c r="L432" s="32">
        <f>IFERROR(__xludf.DUMMYFUNCTION("VLOOKUP($A432,IMPORTRANGE(""1PQtfbQLqBUP-rjYRznmgNFBLOjvAnhGzpIx7BJWq8rk"",""'Worksheet'!$B$2:$H""),7,FALSE)"),0.72)</f>
        <v>0.72</v>
      </c>
      <c r="M432" s="31" t="s">
        <v>45</v>
      </c>
      <c r="N432" s="49">
        <v>3.000648411E7</v>
      </c>
      <c r="O432" s="49">
        <v>2.501217528E7</v>
      </c>
      <c r="P432" s="49">
        <f>N432-O432</f>
        <v>4994308.83</v>
      </c>
      <c r="Q432" s="34">
        <f t="shared" si="7"/>
        <v>0.1664409869</v>
      </c>
      <c r="R432" s="31"/>
      <c r="S432" s="31" t="s">
        <v>45</v>
      </c>
      <c r="T432" s="84"/>
      <c r="U432" s="51"/>
      <c r="V432" s="84"/>
      <c r="W432" s="31"/>
      <c r="X432" s="52" t="s">
        <v>113</v>
      </c>
      <c r="Y432" s="54" t="s">
        <v>2789</v>
      </c>
      <c r="Z432" s="54" t="s">
        <v>1749</v>
      </c>
      <c r="AA432" s="74">
        <v>46223.0</v>
      </c>
      <c r="AB432" s="56"/>
      <c r="AC432" s="38"/>
      <c r="AD432" s="39">
        <v>30006.5</v>
      </c>
      <c r="AE432" s="39">
        <v>25177.85411</v>
      </c>
      <c r="AF432" s="39">
        <v>4828.64589</v>
      </c>
      <c r="AG432" s="57" t="s">
        <v>2790</v>
      </c>
      <c r="AH432" s="42" t="s">
        <v>1054</v>
      </c>
      <c r="AI432" s="42" t="str">
        <f>IFERROR(__xludf.DUMMYFUNCTION("vLOOKUP(A432,IMPORTRANGE(""https://docs.google.com/spreadsheets/d/1Rawwwdh8wntXGy8isdYNHxsNQS4n_rC8JSdPfj6vEq4"",""'500 объектов перенос на 2026'!A3:AB502""),13,0)"),"#REF!")</f>
        <v>#REF!</v>
      </c>
      <c r="AJ432" s="42" t="str">
        <f>IFERROR(__xludf.DUMMYFUNCTION("vLOOKUP(A432,IMPORTRANGE(""https://docs.google.com/spreadsheets/d/1Rawwwdh8wntXGy8isdYNHxsNQS4n_rC8JSdPfj6vEq4"",""'500 объектов перенос на 2026'!A3:AB502""),14,0)"),"#REF!")</f>
        <v>#REF!</v>
      </c>
      <c r="AK432" s="76" t="s">
        <v>2791</v>
      </c>
      <c r="AL432" s="70"/>
      <c r="AM432" s="70"/>
      <c r="AN432" s="43"/>
      <c r="AO432" s="43"/>
      <c r="AP432" s="43"/>
      <c r="AQ432" s="43"/>
      <c r="AR432" s="43"/>
      <c r="AS432" s="43"/>
      <c r="AT432" s="43"/>
      <c r="AU432" s="43"/>
      <c r="AV432" s="43"/>
      <c r="AW432" s="43"/>
      <c r="AX432" s="43"/>
      <c r="AY432" s="43"/>
      <c r="AZ432" s="43"/>
    </row>
    <row r="433">
      <c r="A433" s="62" t="s">
        <v>2792</v>
      </c>
      <c r="B433" s="63" t="s">
        <v>1299</v>
      </c>
      <c r="C433" s="64" t="s">
        <v>2793</v>
      </c>
      <c r="D433" s="47" t="s">
        <v>2048</v>
      </c>
      <c r="E433" s="64" t="s">
        <v>85</v>
      </c>
      <c r="F433" s="31" t="s">
        <v>60</v>
      </c>
      <c r="G433" s="31"/>
      <c r="H433" s="31"/>
      <c r="I433" s="31" t="s">
        <v>40</v>
      </c>
      <c r="J433" s="31" t="s">
        <v>102</v>
      </c>
      <c r="K433" s="31" t="s">
        <v>280</v>
      </c>
      <c r="L433" s="32">
        <f>IFERROR(__xludf.DUMMYFUNCTION("VLOOKUP($A433,IMPORTRANGE(""1PQtfbQLqBUP-rjYRznmgNFBLOjvAnhGzpIx7BJWq8rk"",""'Worksheet'!$B$2:$H""),7,FALSE)"),0.77)</f>
        <v>0.77</v>
      </c>
      <c r="M433" s="31" t="s">
        <v>60</v>
      </c>
      <c r="N433" s="49">
        <v>9.613381339E7</v>
      </c>
      <c r="O433" s="49">
        <v>7.339390895E7</v>
      </c>
      <c r="P433" s="49">
        <v>0.0</v>
      </c>
      <c r="Q433" s="34">
        <f t="shared" si="7"/>
        <v>0.236544288</v>
      </c>
      <c r="R433" s="31"/>
      <c r="S433" s="31" t="s">
        <v>60</v>
      </c>
      <c r="T433" s="50">
        <v>9.13271227E7</v>
      </c>
      <c r="U433" s="135">
        <v>7.230671798E7</v>
      </c>
      <c r="V433" s="51">
        <f>T433-U433</f>
        <v>19020404.72</v>
      </c>
      <c r="W433" s="31"/>
      <c r="X433" s="52" t="s">
        <v>2104</v>
      </c>
      <c r="Y433" s="74"/>
      <c r="Z433" s="74"/>
      <c r="AA433" s="54" t="s">
        <v>114</v>
      </c>
      <c r="AB433" s="56"/>
      <c r="AC433" s="38"/>
      <c r="AD433" s="39">
        <v>96133.83</v>
      </c>
      <c r="AE433" s="39">
        <v>76495.47339</v>
      </c>
      <c r="AF433" s="40">
        <v>19638.35661</v>
      </c>
      <c r="AG433" s="57" t="s">
        <v>2794</v>
      </c>
      <c r="AH433" s="42" t="s">
        <v>1308</v>
      </c>
      <c r="AI433" s="42" t="str">
        <f>IFERROR(__xludf.DUMMYFUNCTION("vLOOKUP(A433,IMPORTRANGE(""https://docs.google.com/spreadsheets/d/1Rawwwdh8wntXGy8isdYNHxsNQS4n_rC8JSdPfj6vEq4"",""'500 объектов перенос на 2026'!A3:AB502""),13,0)"),"#REF!")</f>
        <v>#REF!</v>
      </c>
      <c r="AJ433" s="42" t="str">
        <f>IFERROR(__xludf.DUMMYFUNCTION("vLOOKUP(A433,IMPORTRANGE(""https://docs.google.com/spreadsheets/d/1Rawwwdh8wntXGy8isdYNHxsNQS4n_rC8JSdPfj6vEq4"",""'500 объектов перенос на 2026'!A3:AB502""),14,0)"),"#REF!")</f>
        <v>#REF!</v>
      </c>
      <c r="AK433" s="76" t="s">
        <v>114</v>
      </c>
      <c r="AL433" s="70"/>
      <c r="AM433" s="70"/>
      <c r="AN433" s="43"/>
      <c r="AO433" s="43"/>
      <c r="AP433" s="43"/>
      <c r="AQ433" s="43"/>
      <c r="AR433" s="43"/>
      <c r="AS433" s="43"/>
      <c r="AT433" s="43"/>
      <c r="AU433" s="43"/>
      <c r="AV433" s="43"/>
      <c r="AW433" s="43"/>
      <c r="AX433" s="43"/>
      <c r="AY433" s="43"/>
      <c r="AZ433" s="43"/>
    </row>
    <row r="434">
      <c r="A434" s="62" t="s">
        <v>2795</v>
      </c>
      <c r="B434" s="63" t="s">
        <v>1586</v>
      </c>
      <c r="C434" s="64" t="s">
        <v>2796</v>
      </c>
      <c r="D434" s="47" t="s">
        <v>1276</v>
      </c>
      <c r="E434" s="64" t="s">
        <v>39</v>
      </c>
      <c r="F434" s="31" t="s">
        <v>60</v>
      </c>
      <c r="G434" s="31"/>
      <c r="H434" s="31"/>
      <c r="I434" s="31" t="s">
        <v>40</v>
      </c>
      <c r="J434" s="31" t="s">
        <v>43</v>
      </c>
      <c r="K434" s="31" t="s">
        <v>72</v>
      </c>
      <c r="L434" s="32">
        <f>IFERROR(__xludf.DUMMYFUNCTION("VLOOKUP($A434,IMPORTRANGE(""1PQtfbQLqBUP-rjYRznmgNFBLOjvAnhGzpIx7BJWq8rk"",""'Worksheet'!$B$2:$H""),7,FALSE)"),0.97)</f>
        <v>0.97</v>
      </c>
      <c r="M434" s="31" t="s">
        <v>45</v>
      </c>
      <c r="N434" s="49">
        <v>9.42045796E7</v>
      </c>
      <c r="O434" s="49">
        <v>8.921851474E7</v>
      </c>
      <c r="P434" s="49">
        <f t="shared" ref="P434:P435" si="70">N434-O434</f>
        <v>4986064.86</v>
      </c>
      <c r="Q434" s="34">
        <f t="shared" si="7"/>
        <v>0.05292805171</v>
      </c>
      <c r="R434" s="31"/>
      <c r="S434" s="31" t="s">
        <v>45</v>
      </c>
      <c r="T434" s="88" t="s">
        <v>2797</v>
      </c>
      <c r="U434" s="88" t="s">
        <v>2798</v>
      </c>
      <c r="V434" s="88" t="s">
        <v>2799</v>
      </c>
      <c r="W434" s="31"/>
      <c r="X434" s="52" t="s">
        <v>1592</v>
      </c>
      <c r="Y434" s="54" t="s">
        <v>2730</v>
      </c>
      <c r="Z434" s="54" t="s">
        <v>1594</v>
      </c>
      <c r="AA434" s="68">
        <v>46232.0</v>
      </c>
      <c r="AB434" s="56"/>
      <c r="AC434" s="38" t="s">
        <v>1595</v>
      </c>
      <c r="AD434" s="39">
        <v>94204.58</v>
      </c>
      <c r="AE434" s="39">
        <v>89218.51474</v>
      </c>
      <c r="AF434" s="40">
        <v>4986.06526</v>
      </c>
      <c r="AG434" s="57" t="s">
        <v>2800</v>
      </c>
      <c r="AH434" s="42" t="s">
        <v>2801</v>
      </c>
      <c r="AI434" s="42" t="str">
        <f>IFERROR(__xludf.DUMMYFUNCTION("vLOOKUP(A434,IMPORTRANGE(""https://docs.google.com/spreadsheets/d/1Rawwwdh8wntXGy8isdYNHxsNQS4n_rC8JSdPfj6vEq4"",""'500 объектов перенос на 2026'!A3:AB502""),13,0)"),"#REF!")</f>
        <v>#REF!</v>
      </c>
      <c r="AJ434" s="42" t="str">
        <f>IFERROR(__xludf.DUMMYFUNCTION("vLOOKUP(A434,IMPORTRANGE(""https://docs.google.com/spreadsheets/d/1Rawwwdh8wntXGy8isdYNHxsNQS4n_rC8JSdPfj6vEq4"",""'500 объектов перенос на 2026'!A3:AB502""),14,0)"),"#REF!")</f>
        <v>#REF!</v>
      </c>
      <c r="AK434" s="76" t="s">
        <v>2802</v>
      </c>
      <c r="AL434" s="70"/>
      <c r="AM434" s="70"/>
      <c r="AN434" s="43"/>
      <c r="AO434" s="43"/>
      <c r="AP434" s="43"/>
      <c r="AQ434" s="43"/>
      <c r="AR434" s="43"/>
      <c r="AS434" s="43"/>
      <c r="AT434" s="43"/>
      <c r="AU434" s="43"/>
      <c r="AV434" s="43"/>
      <c r="AW434" s="43"/>
      <c r="AX434" s="43"/>
      <c r="AY434" s="43"/>
      <c r="AZ434" s="43"/>
    </row>
    <row r="435">
      <c r="A435" s="62" t="s">
        <v>2803</v>
      </c>
      <c r="B435" s="63" t="s">
        <v>400</v>
      </c>
      <c r="C435" s="64" t="s">
        <v>2804</v>
      </c>
      <c r="D435" s="47" t="s">
        <v>1546</v>
      </c>
      <c r="E435" s="64" t="s">
        <v>85</v>
      </c>
      <c r="F435" s="31" t="s">
        <v>60</v>
      </c>
      <c r="G435" s="31"/>
      <c r="H435" s="31"/>
      <c r="I435" s="31" t="s">
        <v>60</v>
      </c>
      <c r="J435" s="31"/>
      <c r="K435" s="31"/>
      <c r="L435" s="32">
        <f>IFERROR(__xludf.DUMMYFUNCTION("VLOOKUP($A435,IMPORTRANGE(""1PQtfbQLqBUP-rjYRznmgNFBLOjvAnhGzpIx7BJWq8rk"",""'Worksheet'!$B$2:$H""),7,FALSE)"),1.0)</f>
        <v>1</v>
      </c>
      <c r="M435" s="31" t="s">
        <v>45</v>
      </c>
      <c r="N435" s="49">
        <v>1.552425514E7</v>
      </c>
      <c r="O435" s="49">
        <v>1.349091512E7</v>
      </c>
      <c r="P435" s="49">
        <f t="shared" si="70"/>
        <v>2033340.02</v>
      </c>
      <c r="Q435" s="34">
        <f t="shared" si="7"/>
        <v>0.1309782661</v>
      </c>
      <c r="R435" s="31"/>
      <c r="S435" s="31" t="s">
        <v>45</v>
      </c>
      <c r="T435" s="84"/>
      <c r="U435" s="84"/>
      <c r="V435" s="84"/>
      <c r="W435" s="31" t="s">
        <v>148</v>
      </c>
      <c r="X435" s="52" t="s">
        <v>2805</v>
      </c>
      <c r="Y435" s="54" t="s">
        <v>2806</v>
      </c>
      <c r="Z435" s="54" t="s">
        <v>2807</v>
      </c>
      <c r="AA435" s="74">
        <v>46217.0</v>
      </c>
      <c r="AB435" s="56"/>
      <c r="AC435" s="38"/>
      <c r="AD435" s="39">
        <v>21240.96</v>
      </c>
      <c r="AE435" s="39">
        <v>10620.48</v>
      </c>
      <c r="AF435" s="40">
        <v>10620.48</v>
      </c>
      <c r="AG435" s="57" t="s">
        <v>2808</v>
      </c>
      <c r="AH435" s="42" t="s">
        <v>51</v>
      </c>
      <c r="AI435" s="42" t="str">
        <f>IFERROR(__xludf.DUMMYFUNCTION("vLOOKUP(A435,IMPORTRANGE(""https://docs.google.com/spreadsheets/d/1Rawwwdh8wntXGy8isdYNHxsNQS4n_rC8JSdPfj6vEq4"",""'500 объектов перенос на 2026'!A3:AB502""),13,0)"),"#REF!")</f>
        <v>#REF!</v>
      </c>
      <c r="AJ435" s="42" t="str">
        <f>IFERROR(__xludf.DUMMYFUNCTION("vLOOKUP(A435,IMPORTRANGE(""https://docs.google.com/spreadsheets/d/1Rawwwdh8wntXGy8isdYNHxsNQS4n_rC8JSdPfj6vEq4"",""'500 объектов перенос на 2026'!A3:AB502""),14,0)"),"#REF!")</f>
        <v>#REF!</v>
      </c>
      <c r="AK435" s="138" t="s">
        <v>2809</v>
      </c>
      <c r="AL435" s="70"/>
      <c r="AM435" s="70"/>
      <c r="AN435" s="43"/>
      <c r="AO435" s="43"/>
      <c r="AP435" s="43"/>
      <c r="AQ435" s="43"/>
      <c r="AR435" s="43"/>
      <c r="AS435" s="43"/>
      <c r="AT435" s="43"/>
      <c r="AU435" s="43"/>
      <c r="AV435" s="43"/>
      <c r="AW435" s="43"/>
      <c r="AX435" s="43"/>
      <c r="AY435" s="43"/>
      <c r="AZ435" s="43"/>
    </row>
    <row r="436">
      <c r="A436" s="62" t="s">
        <v>2810</v>
      </c>
      <c r="B436" s="63" t="s">
        <v>1299</v>
      </c>
      <c r="C436" s="64" t="s">
        <v>2811</v>
      </c>
      <c r="D436" s="47" t="s">
        <v>2048</v>
      </c>
      <c r="E436" s="64" t="s">
        <v>85</v>
      </c>
      <c r="F436" s="31" t="s">
        <v>60</v>
      </c>
      <c r="G436" s="31"/>
      <c r="H436" s="31"/>
      <c r="I436" s="31" t="s">
        <v>40</v>
      </c>
      <c r="J436" s="31" t="s">
        <v>61</v>
      </c>
      <c r="K436" s="31" t="s">
        <v>280</v>
      </c>
      <c r="L436" s="32">
        <f>IFERROR(__xludf.DUMMYFUNCTION("VLOOKUP($A436,IMPORTRANGE(""1PQtfbQLqBUP-rjYRznmgNFBLOjvAnhGzpIx7BJWq8rk"",""'Worksheet'!$B$2:$H""),7,FALSE)"),0.85)</f>
        <v>0.85</v>
      </c>
      <c r="M436" s="31" t="s">
        <v>60</v>
      </c>
      <c r="N436" s="49">
        <v>9.353346384E7</v>
      </c>
      <c r="O436" s="49">
        <v>6.893005621E7</v>
      </c>
      <c r="P436" s="49">
        <v>0.0</v>
      </c>
      <c r="Q436" s="34">
        <f t="shared" si="7"/>
        <v>0.2630439056</v>
      </c>
      <c r="R436" s="31"/>
      <c r="S436" s="31" t="s">
        <v>60</v>
      </c>
      <c r="T436" s="50">
        <v>8.88567906E7</v>
      </c>
      <c r="U436" s="50">
        <v>8.88567906E7</v>
      </c>
      <c r="V436" s="51">
        <v>0.0</v>
      </c>
      <c r="W436" s="31"/>
      <c r="X436" s="52" t="s">
        <v>2104</v>
      </c>
      <c r="Y436" s="74"/>
      <c r="Z436" s="74"/>
      <c r="AA436" s="54" t="s">
        <v>114</v>
      </c>
      <c r="AB436" s="56"/>
      <c r="AC436" s="38"/>
      <c r="AD436" s="39">
        <v>93799.65</v>
      </c>
      <c r="AE436" s="39">
        <v>74426.22384</v>
      </c>
      <c r="AF436" s="40">
        <v>19373.42616</v>
      </c>
      <c r="AG436" s="99" t="s">
        <v>2812</v>
      </c>
      <c r="AH436" s="42" t="s">
        <v>1308</v>
      </c>
      <c r="AI436" s="42" t="str">
        <f>IFERROR(__xludf.DUMMYFUNCTION("vLOOKUP(A436,IMPORTRANGE(""https://docs.google.com/spreadsheets/d/1Rawwwdh8wntXGy8isdYNHxsNQS4n_rC8JSdPfj6vEq4"",""'500 объектов перенос на 2026'!A3:AB502""),13,0)"),"#REF!")</f>
        <v>#REF!</v>
      </c>
      <c r="AJ436" s="42" t="str">
        <f>IFERROR(__xludf.DUMMYFUNCTION("vLOOKUP(A436,IMPORTRANGE(""https://docs.google.com/spreadsheets/d/1Rawwwdh8wntXGy8isdYNHxsNQS4n_rC8JSdPfj6vEq4"",""'500 объектов перенос на 2026'!A3:AB502""),14,0)"),"#REF!")</f>
        <v>#REF!</v>
      </c>
      <c r="AK436" s="76" t="s">
        <v>114</v>
      </c>
      <c r="AL436" s="70"/>
      <c r="AM436" s="70"/>
      <c r="AN436" s="43"/>
      <c r="AO436" s="43"/>
      <c r="AP436" s="43"/>
      <c r="AQ436" s="43"/>
      <c r="AR436" s="43"/>
      <c r="AS436" s="43"/>
      <c r="AT436" s="43"/>
      <c r="AU436" s="43"/>
      <c r="AV436" s="43"/>
      <c r="AW436" s="43"/>
      <c r="AX436" s="43"/>
      <c r="AY436" s="43"/>
      <c r="AZ436" s="43"/>
    </row>
    <row r="437">
      <c r="A437" s="62" t="s">
        <v>2813</v>
      </c>
      <c r="B437" s="63" t="s">
        <v>1329</v>
      </c>
      <c r="C437" s="64" t="s">
        <v>2814</v>
      </c>
      <c r="D437" s="47" t="s">
        <v>1331</v>
      </c>
      <c r="E437" s="64" t="s">
        <v>39</v>
      </c>
      <c r="F437" s="31" t="s">
        <v>60</v>
      </c>
      <c r="G437" s="31"/>
      <c r="H437" s="31"/>
      <c r="I437" s="31" t="s">
        <v>40</v>
      </c>
      <c r="J437" s="31" t="s">
        <v>61</v>
      </c>
      <c r="K437" s="31" t="s">
        <v>72</v>
      </c>
      <c r="L437" s="32">
        <f>IFERROR(__xludf.DUMMYFUNCTION("VLOOKUP($A437,IMPORTRANGE(""1PQtfbQLqBUP-rjYRznmgNFBLOjvAnhGzpIx7BJWq8rk"",""'Worksheet'!$B$2:$H""),7,FALSE)"),0.84)</f>
        <v>0.84</v>
      </c>
      <c r="M437" s="31" t="s">
        <v>45</v>
      </c>
      <c r="N437" s="49">
        <v>6.915395642E7</v>
      </c>
      <c r="O437" s="49">
        <v>6.441723858E7</v>
      </c>
      <c r="P437" s="49">
        <f>N437-O437</f>
        <v>4736717.84</v>
      </c>
      <c r="Q437" s="34">
        <f t="shared" si="7"/>
        <v>0.06849525443</v>
      </c>
      <c r="R437" s="31"/>
      <c r="S437" s="31" t="s">
        <v>60</v>
      </c>
      <c r="T437" s="84"/>
      <c r="U437" s="117" t="s">
        <v>2815</v>
      </c>
      <c r="V437" s="84" t="s">
        <v>2816</v>
      </c>
      <c r="W437" s="31"/>
      <c r="X437" s="52" t="s">
        <v>113</v>
      </c>
      <c r="Y437" s="54" t="s">
        <v>2817</v>
      </c>
      <c r="Z437" s="54"/>
      <c r="AA437" s="74">
        <v>46223.0</v>
      </c>
      <c r="AB437" s="56"/>
      <c r="AC437" s="38"/>
      <c r="AD437" s="39">
        <v>69153.96</v>
      </c>
      <c r="AE437" s="39">
        <v>64417.23858</v>
      </c>
      <c r="AF437" s="39">
        <v>4736.72142</v>
      </c>
      <c r="AG437" s="57" t="s">
        <v>2818</v>
      </c>
      <c r="AH437" s="42" t="s">
        <v>1338</v>
      </c>
      <c r="AI437" s="42" t="str">
        <f>IFERROR(__xludf.DUMMYFUNCTION("vLOOKUP(A437,IMPORTRANGE(""https://docs.google.com/spreadsheets/d/1Rawwwdh8wntXGy8isdYNHxsNQS4n_rC8JSdPfj6vEq4"",""'500 объектов перенос на 2026'!A3:AB502""),13,0)"),"#REF!")</f>
        <v>#REF!</v>
      </c>
      <c r="AJ437" s="42" t="str">
        <f>IFERROR(__xludf.DUMMYFUNCTION("vLOOKUP(A437,IMPORTRANGE(""https://docs.google.com/spreadsheets/d/1Rawwwdh8wntXGy8isdYNHxsNQS4n_rC8JSdPfj6vEq4"",""'500 объектов перенос на 2026'!A3:AB502""),14,0)"),"#REF!")</f>
        <v>#REF!</v>
      </c>
      <c r="AK437" s="76" t="s">
        <v>2817</v>
      </c>
      <c r="AL437" s="70"/>
      <c r="AM437" s="70"/>
      <c r="AN437" s="43"/>
      <c r="AO437" s="43"/>
      <c r="AP437" s="43"/>
      <c r="AQ437" s="43"/>
      <c r="AR437" s="43"/>
      <c r="AS437" s="43"/>
      <c r="AT437" s="43"/>
      <c r="AU437" s="43"/>
      <c r="AV437" s="43"/>
      <c r="AW437" s="43"/>
      <c r="AX437" s="43"/>
      <c r="AY437" s="43"/>
      <c r="AZ437" s="43"/>
    </row>
    <row r="438">
      <c r="A438" s="78" t="s">
        <v>2819</v>
      </c>
      <c r="B438" s="63" t="s">
        <v>1299</v>
      </c>
      <c r="C438" s="64" t="s">
        <v>2820</v>
      </c>
      <c r="D438" s="47" t="s">
        <v>2821</v>
      </c>
      <c r="E438" s="64" t="s">
        <v>85</v>
      </c>
      <c r="F438" s="31" t="s">
        <v>60</v>
      </c>
      <c r="G438" s="31"/>
      <c r="H438" s="31"/>
      <c r="I438" s="31" t="s">
        <v>60</v>
      </c>
      <c r="J438" s="31"/>
      <c r="K438" s="31"/>
      <c r="L438" s="32" t="str">
        <f>IFERROR(__xludf.DUMMYFUNCTION("VLOOKUP($A438,IMPORTRANGE(""1PQtfbQLqBUP-rjYRznmgNFBLOjvAnhGzpIx7BJWq8rk"",""'Worksheet'!$B$2:$H""),7,FALSE)"),"#N/A")</f>
        <v>#N/A</v>
      </c>
      <c r="M438" s="31" t="s">
        <v>60</v>
      </c>
      <c r="N438" s="49">
        <v>6466510.0</v>
      </c>
      <c r="O438" s="49">
        <v>5607342.29</v>
      </c>
      <c r="P438" s="49">
        <v>0.0</v>
      </c>
      <c r="Q438" s="34">
        <f t="shared" si="7"/>
        <v>0.132864205</v>
      </c>
      <c r="R438" s="31"/>
      <c r="S438" s="31" t="s">
        <v>60</v>
      </c>
      <c r="T438" s="134" t="s">
        <v>2822</v>
      </c>
      <c r="U438" s="134" t="s">
        <v>2822</v>
      </c>
      <c r="V438" s="51">
        <v>0.0</v>
      </c>
      <c r="W438" s="31"/>
      <c r="X438" s="52" t="s">
        <v>113</v>
      </c>
      <c r="Y438" s="54"/>
      <c r="Z438" s="54"/>
      <c r="AA438" s="54" t="s">
        <v>114</v>
      </c>
      <c r="AB438" s="38" t="s">
        <v>115</v>
      </c>
      <c r="AC438" s="38"/>
      <c r="AD438" s="39">
        <v>6466.51</v>
      </c>
      <c r="AE438" s="39">
        <v>5971.52997</v>
      </c>
      <c r="AF438" s="39">
        <v>494.98003</v>
      </c>
      <c r="AG438" s="57" t="s">
        <v>2823</v>
      </c>
      <c r="AH438" s="42" t="s">
        <v>2777</v>
      </c>
      <c r="AI438" s="42" t="str">
        <f>IFERROR(__xludf.DUMMYFUNCTION("vLOOKUP(A438,IMPORTRANGE(""https://docs.google.com/spreadsheets/d/1Rawwwdh8wntXGy8isdYNHxsNQS4n_rC8JSdPfj6vEq4"",""'500 объектов перенос на 2026'!A3:AB502""),13,0)"),"#REF!")</f>
        <v>#REF!</v>
      </c>
      <c r="AJ438" s="42" t="str">
        <f>IFERROR(__xludf.DUMMYFUNCTION("vLOOKUP(A438,IMPORTRANGE(""https://docs.google.com/spreadsheets/d/1Rawwwdh8wntXGy8isdYNHxsNQS4n_rC8JSdPfj6vEq4"",""'500 объектов перенос на 2026'!A3:AB502""),14,0)"),"#REF!")</f>
        <v>#REF!</v>
      </c>
      <c r="AK438" s="76" t="s">
        <v>114</v>
      </c>
      <c r="AL438" s="70"/>
      <c r="AM438" s="70"/>
      <c r="AN438" s="43"/>
      <c r="AO438" s="43"/>
      <c r="AP438" s="43"/>
      <c r="AQ438" s="43"/>
      <c r="AR438" s="43"/>
      <c r="AS438" s="43"/>
      <c r="AT438" s="43"/>
      <c r="AU438" s="43"/>
      <c r="AV438" s="43"/>
      <c r="AW438" s="43"/>
      <c r="AX438" s="43"/>
      <c r="AY438" s="43"/>
      <c r="AZ438" s="43"/>
    </row>
    <row r="439">
      <c r="A439" s="62" t="s">
        <v>2824</v>
      </c>
      <c r="B439" s="63" t="s">
        <v>268</v>
      </c>
      <c r="C439" s="144" t="s">
        <v>2825</v>
      </c>
      <c r="D439" s="47" t="s">
        <v>1041</v>
      </c>
      <c r="E439" s="64" t="s">
        <v>85</v>
      </c>
      <c r="F439" s="31" t="s">
        <v>60</v>
      </c>
      <c r="G439" s="31"/>
      <c r="H439" s="31"/>
      <c r="I439" s="31" t="s">
        <v>60</v>
      </c>
      <c r="J439" s="31"/>
      <c r="K439" s="31"/>
      <c r="L439" s="32">
        <f>IFERROR(__xludf.DUMMYFUNCTION("VLOOKUP($A439,IMPORTRANGE(""1PQtfbQLqBUP-rjYRznmgNFBLOjvAnhGzpIx7BJWq8rk"",""'Worksheet'!$B$2:$H""),7,FALSE)"),0.9)</f>
        <v>0.9</v>
      </c>
      <c r="M439" s="31" t="s">
        <v>40</v>
      </c>
      <c r="N439" s="49">
        <v>8806148.0</v>
      </c>
      <c r="O439" s="49">
        <v>4138889.56</v>
      </c>
      <c r="P439" s="49">
        <f>N439-O439</f>
        <v>4667258.44</v>
      </c>
      <c r="Q439" s="34">
        <f t="shared" si="7"/>
        <v>0.53</v>
      </c>
      <c r="R439" s="31"/>
      <c r="S439" s="31" t="s">
        <v>40</v>
      </c>
      <c r="T439" s="84" t="s">
        <v>2826</v>
      </c>
      <c r="U439" s="84">
        <v>0.0</v>
      </c>
      <c r="V439" s="84" t="s">
        <v>2826</v>
      </c>
      <c r="W439" s="31" t="s">
        <v>506</v>
      </c>
      <c r="X439" s="52" t="s">
        <v>1582</v>
      </c>
      <c r="Y439" s="54" t="s">
        <v>2610</v>
      </c>
      <c r="Z439" s="54" t="s">
        <v>851</v>
      </c>
      <c r="AA439" s="68">
        <v>46280.0</v>
      </c>
      <c r="AB439" s="56"/>
      <c r="AC439" s="38"/>
      <c r="AD439" s="39">
        <v>8806.15</v>
      </c>
      <c r="AE439" s="39">
        <v>4138.88956</v>
      </c>
      <c r="AF439" s="40">
        <v>4667.26044</v>
      </c>
      <c r="AG439" s="57" t="s">
        <v>2827</v>
      </c>
      <c r="AH439" s="42" t="s">
        <v>1693</v>
      </c>
      <c r="AI439" s="42" t="str">
        <f>IFERROR(__xludf.DUMMYFUNCTION("vLOOKUP(A439,IMPORTRANGE(""https://docs.google.com/spreadsheets/d/1Rawwwdh8wntXGy8isdYNHxsNQS4n_rC8JSdPfj6vEq4"",""'500 объектов перенос на 2026'!A3:AB502""),13,0)"),"#REF!")</f>
        <v>#REF!</v>
      </c>
      <c r="AJ439" s="42" t="str">
        <f>IFERROR(__xludf.DUMMYFUNCTION("vLOOKUP(A439,IMPORTRANGE(""https://docs.google.com/spreadsheets/d/1Rawwwdh8wntXGy8isdYNHxsNQS4n_rC8JSdPfj6vEq4"",""'500 объектов перенос на 2026'!A3:AB502""),14,0)"),"#REF!")</f>
        <v>#REF!</v>
      </c>
      <c r="AK439" s="58" t="s">
        <v>2828</v>
      </c>
      <c r="AL439" s="94" t="s">
        <v>1272</v>
      </c>
      <c r="AM439" s="94"/>
      <c r="AN439" s="43"/>
      <c r="AO439" s="43"/>
      <c r="AP439" s="43"/>
      <c r="AQ439" s="43"/>
      <c r="AR439" s="43"/>
      <c r="AS439" s="43"/>
      <c r="AT439" s="43"/>
      <c r="AU439" s="43"/>
      <c r="AV439" s="43"/>
      <c r="AW439" s="43"/>
      <c r="AX439" s="43"/>
      <c r="AY439" s="43"/>
      <c r="AZ439" s="43"/>
    </row>
    <row r="440">
      <c r="A440" s="78" t="s">
        <v>2829</v>
      </c>
      <c r="B440" s="63" t="s">
        <v>1299</v>
      </c>
      <c r="C440" s="90" t="s">
        <v>2830</v>
      </c>
      <c r="D440" s="47" t="s">
        <v>1058</v>
      </c>
      <c r="E440" s="64" t="s">
        <v>59</v>
      </c>
      <c r="F440" s="31" t="s">
        <v>60</v>
      </c>
      <c r="G440" s="31"/>
      <c r="H440" s="31"/>
      <c r="I440" s="31" t="s">
        <v>60</v>
      </c>
      <c r="J440" s="31"/>
      <c r="K440" s="31"/>
      <c r="L440" s="32" t="str">
        <f>IFERROR(__xludf.DUMMYFUNCTION("VLOOKUP($A440,IMPORTRANGE(""1PQtfbQLqBUP-rjYRznmgNFBLOjvAnhGzpIx7BJWq8rk"",""'Worksheet'!$B$2:$H""),7,FALSE)"),"#N/A")</f>
        <v>#N/A</v>
      </c>
      <c r="M440" s="31" t="s">
        <v>60</v>
      </c>
      <c r="N440" s="49">
        <v>1.0332516E8</v>
      </c>
      <c r="O440" s="49">
        <v>1.0233426854E8</v>
      </c>
      <c r="P440" s="49">
        <v>0.0</v>
      </c>
      <c r="Q440" s="34">
        <f t="shared" si="7"/>
        <v>0.009590030734</v>
      </c>
      <c r="R440" s="31"/>
      <c r="S440" s="31" t="s">
        <v>60</v>
      </c>
      <c r="T440" s="134" t="s">
        <v>2831</v>
      </c>
      <c r="U440" s="135" t="s">
        <v>2831</v>
      </c>
      <c r="V440" s="51">
        <v>0.0</v>
      </c>
      <c r="W440" s="31"/>
      <c r="X440" s="52" t="s">
        <v>113</v>
      </c>
      <c r="Y440" s="54"/>
      <c r="Z440" s="54"/>
      <c r="AA440" s="54" t="s">
        <v>114</v>
      </c>
      <c r="AB440" s="38" t="s">
        <v>115</v>
      </c>
      <c r="AC440" s="38"/>
      <c r="AD440" s="39">
        <v>103325.16</v>
      </c>
      <c r="AE440" s="39">
        <v>101870.6763</v>
      </c>
      <c r="AF440" s="39">
        <v>1454.48371</v>
      </c>
      <c r="AG440" s="57" t="s">
        <v>2832</v>
      </c>
      <c r="AH440" s="42" t="s">
        <v>2777</v>
      </c>
      <c r="AI440" s="42" t="str">
        <f>IFERROR(__xludf.DUMMYFUNCTION("vLOOKUP(A440,IMPORTRANGE(""https://docs.google.com/spreadsheets/d/1Rawwwdh8wntXGy8isdYNHxsNQS4n_rC8JSdPfj6vEq4"",""'500 объектов перенос на 2026'!A3:AB502""),13,0)"),"#REF!")</f>
        <v>#REF!</v>
      </c>
      <c r="AJ440" s="42" t="str">
        <f>IFERROR(__xludf.DUMMYFUNCTION("vLOOKUP(A440,IMPORTRANGE(""https://docs.google.com/spreadsheets/d/1Rawwwdh8wntXGy8isdYNHxsNQS4n_rC8JSdPfj6vEq4"",""'500 объектов перенос на 2026'!A3:AB502""),14,0)"),"#REF!")</f>
        <v>#REF!</v>
      </c>
      <c r="AK440" s="76" t="s">
        <v>114</v>
      </c>
      <c r="AL440" s="76"/>
      <c r="AM440" s="70"/>
      <c r="AN440" s="43"/>
      <c r="AO440" s="43"/>
      <c r="AP440" s="43"/>
      <c r="AQ440" s="43"/>
      <c r="AR440" s="43"/>
      <c r="AS440" s="43"/>
      <c r="AT440" s="43"/>
      <c r="AU440" s="43"/>
      <c r="AV440" s="43"/>
      <c r="AW440" s="43"/>
      <c r="AX440" s="43"/>
      <c r="AY440" s="43"/>
      <c r="AZ440" s="43"/>
    </row>
    <row r="441">
      <c r="A441" s="78" t="s">
        <v>2833</v>
      </c>
      <c r="B441" s="63" t="s">
        <v>99</v>
      </c>
      <c r="C441" s="64" t="s">
        <v>2834</v>
      </c>
      <c r="D441" s="47" t="s">
        <v>227</v>
      </c>
      <c r="E441" s="64" t="s">
        <v>39</v>
      </c>
      <c r="F441" s="31" t="s">
        <v>60</v>
      </c>
      <c r="G441" s="31"/>
      <c r="H441" s="31"/>
      <c r="I441" s="31" t="s">
        <v>60</v>
      </c>
      <c r="J441" s="31"/>
      <c r="K441" s="31"/>
      <c r="L441" s="32" t="str">
        <f>IFERROR(__xludf.DUMMYFUNCTION("VLOOKUP($A441,IMPORTRANGE(""1PQtfbQLqBUP-rjYRznmgNFBLOjvAnhGzpIx7BJWq8rk"",""'Worksheet'!$B$2:$H""),7,FALSE)"),"#N/A")</f>
        <v>#N/A</v>
      </c>
      <c r="M441" s="31" t="s">
        <v>60</v>
      </c>
      <c r="N441" s="49">
        <v>6.526518806E7</v>
      </c>
      <c r="O441" s="49">
        <v>6.526518806E7</v>
      </c>
      <c r="P441" s="49">
        <f t="shared" ref="P441:P451" si="71">N441-O441</f>
        <v>0</v>
      </c>
      <c r="Q441" s="34">
        <f t="shared" si="7"/>
        <v>0</v>
      </c>
      <c r="R441" s="31"/>
      <c r="S441" s="31" t="s">
        <v>60</v>
      </c>
      <c r="T441" s="50">
        <f t="shared" ref="T441:T442" si="72">N441*0.95</f>
        <v>62001928.66</v>
      </c>
      <c r="U441" s="51">
        <v>6.2001928657E7</v>
      </c>
      <c r="V441" s="51">
        <v>0.0</v>
      </c>
      <c r="W441" s="31"/>
      <c r="X441" s="52" t="s">
        <v>113</v>
      </c>
      <c r="Y441" s="54"/>
      <c r="Z441" s="54"/>
      <c r="AA441" s="54" t="s">
        <v>114</v>
      </c>
      <c r="AB441" s="38" t="s">
        <v>115</v>
      </c>
      <c r="AC441" s="38"/>
      <c r="AD441" s="39">
        <v>63344.12</v>
      </c>
      <c r="AE441" s="39">
        <v>65336.75928</v>
      </c>
      <c r="AF441" s="39">
        <v>-1992.63928</v>
      </c>
      <c r="AG441" s="57" t="s">
        <v>2835</v>
      </c>
      <c r="AH441" s="42" t="s">
        <v>2836</v>
      </c>
      <c r="AI441" s="42" t="str">
        <f>IFERROR(__xludf.DUMMYFUNCTION("vLOOKUP(A441,IMPORTRANGE(""https://docs.google.com/spreadsheets/d/1Rawwwdh8wntXGy8isdYNHxsNQS4n_rC8JSdPfj6vEq4"",""'500 объектов перенос на 2026'!A3:AB502""),13,0)"),"#REF!")</f>
        <v>#REF!</v>
      </c>
      <c r="AJ441" s="42" t="str">
        <f>IFERROR(__xludf.DUMMYFUNCTION("vLOOKUP(A441,IMPORTRANGE(""https://docs.google.com/spreadsheets/d/1Rawwwdh8wntXGy8isdYNHxsNQS4n_rC8JSdPfj6vEq4"",""'500 объектов перенос на 2026'!A3:AB502""),14,0)"),"#REF!")</f>
        <v>#REF!</v>
      </c>
      <c r="AK441" s="76" t="s">
        <v>114</v>
      </c>
      <c r="AL441" s="76"/>
      <c r="AM441" s="70"/>
      <c r="AN441" s="43"/>
      <c r="AO441" s="43"/>
      <c r="AP441" s="43"/>
      <c r="AQ441" s="43"/>
      <c r="AR441" s="43"/>
      <c r="AS441" s="43"/>
      <c r="AT441" s="43"/>
      <c r="AU441" s="43"/>
      <c r="AV441" s="43"/>
      <c r="AW441" s="43"/>
      <c r="AX441" s="43"/>
      <c r="AY441" s="43"/>
      <c r="AZ441" s="43"/>
    </row>
    <row r="442">
      <c r="A442" s="78" t="s">
        <v>2837</v>
      </c>
      <c r="B442" s="63" t="s">
        <v>99</v>
      </c>
      <c r="C442" s="64" t="s">
        <v>2838</v>
      </c>
      <c r="D442" s="47" t="s">
        <v>727</v>
      </c>
      <c r="E442" s="64" t="s">
        <v>59</v>
      </c>
      <c r="F442" s="31" t="s">
        <v>60</v>
      </c>
      <c r="G442" s="31"/>
      <c r="H442" s="31"/>
      <c r="I442" s="31" t="s">
        <v>60</v>
      </c>
      <c r="J442" s="31"/>
      <c r="K442" s="31"/>
      <c r="L442" s="32" t="str">
        <f>IFERROR(__xludf.DUMMYFUNCTION("VLOOKUP($A442,IMPORTRANGE(""1PQtfbQLqBUP-rjYRznmgNFBLOjvAnhGzpIx7BJWq8rk"",""'Worksheet'!$B$2:$H""),7,FALSE)"),"#N/A")</f>
        <v>#N/A</v>
      </c>
      <c r="M442" s="31" t="s">
        <v>60</v>
      </c>
      <c r="N442" s="49">
        <v>1.0020173413E8</v>
      </c>
      <c r="O442" s="49">
        <v>1.0020173413E8</v>
      </c>
      <c r="P442" s="49">
        <f t="shared" si="71"/>
        <v>0</v>
      </c>
      <c r="Q442" s="34">
        <f t="shared" si="7"/>
        <v>0</v>
      </c>
      <c r="R442" s="31"/>
      <c r="S442" s="31" t="s">
        <v>60</v>
      </c>
      <c r="T442" s="50">
        <f t="shared" si="72"/>
        <v>95191647.42</v>
      </c>
      <c r="U442" s="51">
        <v>9.519164742349999E7</v>
      </c>
      <c r="V442" s="51">
        <v>0.0</v>
      </c>
      <c r="W442" s="31"/>
      <c r="X442" s="52" t="s">
        <v>113</v>
      </c>
      <c r="Y442" s="54"/>
      <c r="Z442" s="54"/>
      <c r="AA442" s="54" t="s">
        <v>114</v>
      </c>
      <c r="AB442" s="38" t="s">
        <v>115</v>
      </c>
      <c r="AC442" s="38"/>
      <c r="AD442" s="39">
        <v>100201.73</v>
      </c>
      <c r="AE442" s="39">
        <v>153830.198</v>
      </c>
      <c r="AF442" s="39">
        <v>-53628.46799</v>
      </c>
      <c r="AG442" s="57" t="s">
        <v>2839</v>
      </c>
      <c r="AH442" s="42" t="s">
        <v>2836</v>
      </c>
      <c r="AI442" s="42" t="str">
        <f>IFERROR(__xludf.DUMMYFUNCTION("vLOOKUP(A442,IMPORTRANGE(""https://docs.google.com/spreadsheets/d/1Rawwwdh8wntXGy8isdYNHxsNQS4n_rC8JSdPfj6vEq4"",""'500 объектов перенос на 2026'!A3:AB502""),13,0)"),"#REF!")</f>
        <v>#REF!</v>
      </c>
      <c r="AJ442" s="42" t="str">
        <f>IFERROR(__xludf.DUMMYFUNCTION("vLOOKUP(A442,IMPORTRANGE(""https://docs.google.com/spreadsheets/d/1Rawwwdh8wntXGy8isdYNHxsNQS4n_rC8JSdPfj6vEq4"",""'500 объектов перенос на 2026'!A3:AB502""),14,0)"),"#REF!")</f>
        <v>#REF!</v>
      </c>
      <c r="AK442" s="76" t="s">
        <v>114</v>
      </c>
      <c r="AL442" s="76"/>
      <c r="AM442" s="70"/>
      <c r="AN442" s="43"/>
      <c r="AO442" s="43"/>
      <c r="AP442" s="43"/>
      <c r="AQ442" s="43"/>
      <c r="AR442" s="43"/>
      <c r="AS442" s="43"/>
      <c r="AT442" s="43"/>
      <c r="AU442" s="43"/>
      <c r="AV442" s="43"/>
      <c r="AW442" s="43"/>
      <c r="AX442" s="43"/>
      <c r="AY442" s="43"/>
      <c r="AZ442" s="43"/>
    </row>
    <row r="443">
      <c r="A443" s="62" t="s">
        <v>2840</v>
      </c>
      <c r="B443" s="63" t="s">
        <v>400</v>
      </c>
      <c r="C443" s="64" t="s">
        <v>2841</v>
      </c>
      <c r="D443" s="47" t="s">
        <v>1546</v>
      </c>
      <c r="E443" s="64" t="s">
        <v>85</v>
      </c>
      <c r="F443" s="31" t="s">
        <v>60</v>
      </c>
      <c r="G443" s="31"/>
      <c r="H443" s="31"/>
      <c r="I443" s="31" t="s">
        <v>60</v>
      </c>
      <c r="J443" s="31"/>
      <c r="K443" s="31"/>
      <c r="L443" s="32">
        <f>IFERROR(__xludf.DUMMYFUNCTION("VLOOKUP($A443,IMPORTRANGE(""1PQtfbQLqBUP-rjYRznmgNFBLOjvAnhGzpIx7BJWq8rk"",""'Worksheet'!$B$2:$H""),7,FALSE)"),1.0)</f>
        <v>1</v>
      </c>
      <c r="M443" s="31" t="s">
        <v>45</v>
      </c>
      <c r="N443" s="192">
        <v>1.981467364E7</v>
      </c>
      <c r="O443" s="192">
        <v>1.995582947E7</v>
      </c>
      <c r="P443" s="192">
        <f t="shared" si="71"/>
        <v>-141155.83</v>
      </c>
      <c r="Q443" s="193">
        <f t="shared" si="7"/>
        <v>-0.007123802923</v>
      </c>
      <c r="R443" s="31"/>
      <c r="S443" s="31" t="s">
        <v>45</v>
      </c>
      <c r="T443" s="50"/>
      <c r="U443" s="51"/>
      <c r="V443" s="50"/>
      <c r="W443" s="31" t="s">
        <v>148</v>
      </c>
      <c r="X443" s="52" t="s">
        <v>2805</v>
      </c>
      <c r="Y443" s="54" t="s">
        <v>2842</v>
      </c>
      <c r="Z443" s="54" t="s">
        <v>2843</v>
      </c>
      <c r="AA443" s="54" t="s">
        <v>1219</v>
      </c>
      <c r="AB443" s="56"/>
      <c r="AC443" s="38"/>
      <c r="AD443" s="39">
        <v>32746.48</v>
      </c>
      <c r="AE443" s="39">
        <v>16373.24</v>
      </c>
      <c r="AF443" s="40">
        <v>16373.24</v>
      </c>
      <c r="AG443" s="57" t="s">
        <v>2844</v>
      </c>
      <c r="AH443" s="42" t="s">
        <v>51</v>
      </c>
      <c r="AI443" s="42" t="str">
        <f>IFERROR(__xludf.DUMMYFUNCTION("vLOOKUP(A443,IMPORTRANGE(""https://docs.google.com/spreadsheets/d/1Rawwwdh8wntXGy8isdYNHxsNQS4n_rC8JSdPfj6vEq4"",""'500 объектов перенос на 2026'!A3:AB502""),13,0)"),"#REF!")</f>
        <v>#REF!</v>
      </c>
      <c r="AJ443" s="42" t="str">
        <f>IFERROR(__xludf.DUMMYFUNCTION("vLOOKUP(A443,IMPORTRANGE(""https://docs.google.com/spreadsheets/d/1Rawwwdh8wntXGy8isdYNHxsNQS4n_rC8JSdPfj6vEq4"",""'500 объектов перенос на 2026'!A3:AB502""),14,0)"),"#REF!")</f>
        <v>#REF!</v>
      </c>
      <c r="AK443" s="138" t="s">
        <v>11</v>
      </c>
      <c r="AL443" s="70"/>
      <c r="AM443" s="70"/>
      <c r="AN443" s="43"/>
      <c r="AO443" s="43"/>
      <c r="AP443" s="43"/>
      <c r="AQ443" s="43"/>
      <c r="AR443" s="43"/>
      <c r="AS443" s="43"/>
      <c r="AT443" s="43"/>
      <c r="AU443" s="43"/>
      <c r="AV443" s="43"/>
      <c r="AW443" s="43"/>
      <c r="AX443" s="43"/>
      <c r="AY443" s="43"/>
      <c r="AZ443" s="43"/>
    </row>
    <row r="444">
      <c r="A444" s="62" t="s">
        <v>2845</v>
      </c>
      <c r="B444" s="63" t="s">
        <v>99</v>
      </c>
      <c r="C444" s="144" t="s">
        <v>2846</v>
      </c>
      <c r="D444" s="47" t="s">
        <v>2470</v>
      </c>
      <c r="E444" s="64" t="s">
        <v>85</v>
      </c>
      <c r="F444" s="31" t="s">
        <v>60</v>
      </c>
      <c r="G444" s="31"/>
      <c r="H444" s="31"/>
      <c r="I444" s="31" t="s">
        <v>60</v>
      </c>
      <c r="J444" s="31"/>
      <c r="K444" s="31"/>
      <c r="L444" s="32">
        <f>IFERROR(__xludf.DUMMYFUNCTION("VLOOKUP($A444,IMPORTRANGE(""1PQtfbQLqBUP-rjYRznmgNFBLOjvAnhGzpIx7BJWq8rk"",""'Worksheet'!$B$2:$H""),7,FALSE)"),1.0)</f>
        <v>1</v>
      </c>
      <c r="M444" s="31" t="s">
        <v>60</v>
      </c>
      <c r="N444" s="49">
        <v>8693889.52</v>
      </c>
      <c r="O444" s="49">
        <v>7576298.4</v>
      </c>
      <c r="P444" s="49">
        <f t="shared" si="71"/>
        <v>1117591.12</v>
      </c>
      <c r="Q444" s="34">
        <f t="shared" si="7"/>
        <v>0.1285490364</v>
      </c>
      <c r="R444" s="31"/>
      <c r="S444" s="31" t="s">
        <v>60</v>
      </c>
      <c r="T444" s="50">
        <f>N444*0.95</f>
        <v>8259195.044</v>
      </c>
      <c r="U444" s="51">
        <v>0.0</v>
      </c>
      <c r="V444" s="51">
        <v>8259195.043999999</v>
      </c>
      <c r="W444" s="31"/>
      <c r="X444" s="52" t="s">
        <v>1150</v>
      </c>
      <c r="Y444" s="54" t="s">
        <v>2847</v>
      </c>
      <c r="Z444" s="54" t="s">
        <v>1152</v>
      </c>
      <c r="AA444" s="74">
        <v>46185.0</v>
      </c>
      <c r="AB444" s="56"/>
      <c r="AC444" s="38" t="s">
        <v>1153</v>
      </c>
      <c r="AD444" s="39">
        <v>8234.8</v>
      </c>
      <c r="AE444" s="39">
        <v>4117.4</v>
      </c>
      <c r="AF444" s="40">
        <v>4117.4</v>
      </c>
      <c r="AG444" s="57" t="s">
        <v>2848</v>
      </c>
      <c r="AH444" s="42" t="s">
        <v>1155</v>
      </c>
      <c r="AI444" s="42" t="str">
        <f>IFERROR(__xludf.DUMMYFUNCTION("vLOOKUP(A444,IMPORTRANGE(""https://docs.google.com/spreadsheets/d/1Rawwwdh8wntXGy8isdYNHxsNQS4n_rC8JSdPfj6vEq4"",""'500 объектов перенос на 2026'!A3:AB502""),13,0)"),"#REF!")</f>
        <v>#REF!</v>
      </c>
      <c r="AJ444" s="42" t="str">
        <f>IFERROR(__xludf.DUMMYFUNCTION("vLOOKUP(A444,IMPORTRANGE(""https://docs.google.com/spreadsheets/d/1Rawwwdh8wntXGy8isdYNHxsNQS4n_rC8JSdPfj6vEq4"",""'500 объектов перенос на 2026'!A3:AB502""),14,0)"),"#REF!")</f>
        <v>#REF!</v>
      </c>
      <c r="AK444" s="76" t="s">
        <v>2578</v>
      </c>
      <c r="AL444" s="70"/>
      <c r="AM444" s="70"/>
      <c r="AN444" s="43"/>
      <c r="AO444" s="43"/>
      <c r="AP444" s="43"/>
      <c r="AQ444" s="43"/>
      <c r="AR444" s="43"/>
      <c r="AS444" s="43"/>
      <c r="AT444" s="43"/>
      <c r="AU444" s="43"/>
      <c r="AV444" s="43"/>
      <c r="AW444" s="43"/>
      <c r="AX444" s="43"/>
      <c r="AY444" s="43"/>
      <c r="AZ444" s="43"/>
    </row>
    <row r="445">
      <c r="A445" s="62" t="s">
        <v>2849</v>
      </c>
      <c r="B445" s="63" t="s">
        <v>625</v>
      </c>
      <c r="C445" s="90" t="s">
        <v>2850</v>
      </c>
      <c r="D445" s="47" t="s">
        <v>705</v>
      </c>
      <c r="E445" s="64" t="s">
        <v>85</v>
      </c>
      <c r="F445" s="31" t="s">
        <v>60</v>
      </c>
      <c r="G445" s="31"/>
      <c r="H445" s="31"/>
      <c r="I445" s="31" t="s">
        <v>40</v>
      </c>
      <c r="J445" s="31" t="s">
        <v>61</v>
      </c>
      <c r="K445" s="31" t="s">
        <v>72</v>
      </c>
      <c r="L445" s="32">
        <f>IFERROR(__xludf.DUMMYFUNCTION("VLOOKUP($A445,IMPORTRANGE(""1PQtfbQLqBUP-rjYRznmgNFBLOjvAnhGzpIx7BJWq8rk"",""'Worksheet'!$B$2:$H""),7,FALSE)"),0.92)</f>
        <v>0.92</v>
      </c>
      <c r="M445" s="31" t="s">
        <v>45</v>
      </c>
      <c r="N445" s="49">
        <v>3.915884251E7</v>
      </c>
      <c r="O445" s="49">
        <v>3.485029187E7</v>
      </c>
      <c r="P445" s="49">
        <f t="shared" si="71"/>
        <v>4308550.64</v>
      </c>
      <c r="Q445" s="34">
        <f t="shared" si="7"/>
        <v>0.110027528</v>
      </c>
      <c r="R445" s="31"/>
      <c r="S445" s="31" t="s">
        <v>45</v>
      </c>
      <c r="T445" s="91" t="s">
        <v>2851</v>
      </c>
      <c r="U445" s="117" t="s">
        <v>2852</v>
      </c>
      <c r="V445" s="51" t="s">
        <v>2853</v>
      </c>
      <c r="W445" s="31"/>
      <c r="X445" s="52" t="s">
        <v>2338</v>
      </c>
      <c r="Y445" s="54" t="s">
        <v>2339</v>
      </c>
      <c r="Z445" s="54" t="s">
        <v>274</v>
      </c>
      <c r="AA445" s="68">
        <v>46254.0</v>
      </c>
      <c r="AB445" s="56"/>
      <c r="AC445" s="38"/>
      <c r="AD445" s="39">
        <v>39158.84</v>
      </c>
      <c r="AE445" s="39">
        <v>34850.29187</v>
      </c>
      <c r="AF445" s="40">
        <v>4308.54813</v>
      </c>
      <c r="AG445" s="57" t="s">
        <v>2854</v>
      </c>
      <c r="AH445" s="42" t="s">
        <v>2341</v>
      </c>
      <c r="AI445" s="42" t="str">
        <f>IFERROR(__xludf.DUMMYFUNCTION("vLOOKUP(A445,IMPORTRANGE(""https://docs.google.com/spreadsheets/d/1Rawwwdh8wntXGy8isdYNHxsNQS4n_rC8JSdPfj6vEq4"",""'500 объектов перенос на 2026'!A3:AB502""),13,0)"),"#REF!")</f>
        <v>#REF!</v>
      </c>
      <c r="AJ445" s="42" t="str">
        <f>IFERROR(__xludf.DUMMYFUNCTION("vLOOKUP(A445,IMPORTRANGE(""https://docs.google.com/spreadsheets/d/1Rawwwdh8wntXGy8isdYNHxsNQS4n_rC8JSdPfj6vEq4"",""'500 объектов перенос на 2026'!A3:AB502""),14,0)"),"#REF!")</f>
        <v>#REF!</v>
      </c>
      <c r="AK445" s="140"/>
      <c r="AL445" s="119"/>
      <c r="AM445" s="119"/>
      <c r="AN445" s="43"/>
      <c r="AO445" s="43"/>
      <c r="AP445" s="43"/>
      <c r="AQ445" s="43"/>
      <c r="AR445" s="43"/>
      <c r="AS445" s="43"/>
      <c r="AT445" s="43"/>
      <c r="AU445" s="43"/>
      <c r="AV445" s="43"/>
      <c r="AW445" s="43"/>
      <c r="AX445" s="43"/>
      <c r="AY445" s="43"/>
      <c r="AZ445" s="43"/>
    </row>
    <row r="446">
      <c r="A446" s="62" t="s">
        <v>2855</v>
      </c>
      <c r="B446" s="63" t="s">
        <v>268</v>
      </c>
      <c r="C446" s="144" t="s">
        <v>2856</v>
      </c>
      <c r="D446" s="47" t="s">
        <v>1041</v>
      </c>
      <c r="E446" s="64" t="s">
        <v>85</v>
      </c>
      <c r="F446" s="31" t="s">
        <v>60</v>
      </c>
      <c r="G446" s="31"/>
      <c r="H446" s="31"/>
      <c r="I446" s="31" t="s">
        <v>60</v>
      </c>
      <c r="J446" s="31"/>
      <c r="K446" s="31"/>
      <c r="L446" s="32">
        <f>IFERROR(__xludf.DUMMYFUNCTION("VLOOKUP($A446,IMPORTRANGE(""1PQtfbQLqBUP-rjYRznmgNFBLOjvAnhGzpIx7BJWq8rk"",""'Worksheet'!$B$2:$H""),7,FALSE)"),0.97)</f>
        <v>0.97</v>
      </c>
      <c r="M446" s="31" t="s">
        <v>40</v>
      </c>
      <c r="N446" s="49">
        <v>8097400.0</v>
      </c>
      <c r="O446" s="49">
        <v>3805778.0</v>
      </c>
      <c r="P446" s="49">
        <f t="shared" si="71"/>
        <v>4291622</v>
      </c>
      <c r="Q446" s="34">
        <f t="shared" si="7"/>
        <v>0.53</v>
      </c>
      <c r="R446" s="31"/>
      <c r="S446" s="31" t="s">
        <v>40</v>
      </c>
      <c r="T446" s="50" t="s">
        <v>2857</v>
      </c>
      <c r="U446" s="51">
        <v>0.0</v>
      </c>
      <c r="V446" s="51" t="s">
        <v>2857</v>
      </c>
      <c r="W446" s="31" t="s">
        <v>506</v>
      </c>
      <c r="X446" s="52" t="s">
        <v>1582</v>
      </c>
      <c r="Y446" s="54" t="s">
        <v>1569</v>
      </c>
      <c r="Z446" s="54" t="s">
        <v>851</v>
      </c>
      <c r="AA446" s="68">
        <v>46218.0</v>
      </c>
      <c r="AB446" s="56"/>
      <c r="AC446" s="38" t="s">
        <v>187</v>
      </c>
      <c r="AD446" s="39">
        <v>8097.4</v>
      </c>
      <c r="AE446" s="39">
        <v>3805.778</v>
      </c>
      <c r="AF446" s="40">
        <v>4291.622</v>
      </c>
      <c r="AG446" s="57" t="s">
        <v>2858</v>
      </c>
      <c r="AH446" s="42" t="s">
        <v>2612</v>
      </c>
      <c r="AI446" s="42" t="str">
        <f>IFERROR(__xludf.DUMMYFUNCTION("vLOOKUP(A446,IMPORTRANGE(""https://docs.google.com/spreadsheets/d/1Rawwwdh8wntXGy8isdYNHxsNQS4n_rC8JSdPfj6vEq4"",""'500 объектов перенос на 2026'!A3:AB502""),13,0)"),"#REF!")</f>
        <v>#REF!</v>
      </c>
      <c r="AJ446" s="42" t="str">
        <f>IFERROR(__xludf.DUMMYFUNCTION("vLOOKUP(A446,IMPORTRANGE(""https://docs.google.com/spreadsheets/d/1Rawwwdh8wntXGy8isdYNHxsNQS4n_rC8JSdPfj6vEq4"",""'500 объектов перенос на 2026'!A3:AB502""),14,0)"),"#REF!")</f>
        <v>#REF!</v>
      </c>
      <c r="AK446" s="58" t="s">
        <v>2613</v>
      </c>
      <c r="AL446" s="94" t="s">
        <v>1272</v>
      </c>
      <c r="AM446" s="94"/>
      <c r="AN446" s="43"/>
      <c r="AO446" s="43"/>
      <c r="AP446" s="43"/>
      <c r="AQ446" s="43"/>
      <c r="AR446" s="43"/>
      <c r="AS446" s="43"/>
      <c r="AT446" s="43"/>
      <c r="AU446" s="43"/>
      <c r="AV446" s="43"/>
      <c r="AW446" s="43"/>
      <c r="AX446" s="43"/>
      <c r="AY446" s="43"/>
      <c r="AZ446" s="43"/>
    </row>
    <row r="447">
      <c r="A447" s="62" t="s">
        <v>2859</v>
      </c>
      <c r="B447" s="63" t="s">
        <v>635</v>
      </c>
      <c r="C447" s="64" t="s">
        <v>2860</v>
      </c>
      <c r="D447" s="47" t="s">
        <v>2861</v>
      </c>
      <c r="E447" s="64" t="s">
        <v>85</v>
      </c>
      <c r="F447" s="31" t="s">
        <v>60</v>
      </c>
      <c r="G447" s="31"/>
      <c r="H447" s="31" t="s">
        <v>779</v>
      </c>
      <c r="I447" s="31" t="s">
        <v>60</v>
      </c>
      <c r="J447" s="31"/>
      <c r="K447" s="31"/>
      <c r="L447" s="32">
        <f>IFERROR(__xludf.DUMMYFUNCTION("VLOOKUP($A447,IMPORTRANGE(""1PQtfbQLqBUP-rjYRznmgNFBLOjvAnhGzpIx7BJWq8rk"",""'Worksheet'!$B$2:$H""),7,FALSE)"),0.97)</f>
        <v>0.97</v>
      </c>
      <c r="M447" s="31" t="s">
        <v>40</v>
      </c>
      <c r="N447" s="49">
        <v>5786800.0</v>
      </c>
      <c r="O447" s="49">
        <v>1736040.0</v>
      </c>
      <c r="P447" s="49">
        <f t="shared" si="71"/>
        <v>4050760</v>
      </c>
      <c r="Q447" s="34">
        <f t="shared" si="7"/>
        <v>0.7</v>
      </c>
      <c r="R447" s="31"/>
      <c r="S447" s="31" t="s">
        <v>40</v>
      </c>
      <c r="T447" s="50" t="s">
        <v>2862</v>
      </c>
      <c r="U447" s="51">
        <v>0.0</v>
      </c>
      <c r="V447" s="51" t="s">
        <v>2862</v>
      </c>
      <c r="W447" s="31"/>
      <c r="X447" s="52" t="s">
        <v>49</v>
      </c>
      <c r="Y447" s="54" t="s">
        <v>2863</v>
      </c>
      <c r="Z447" s="54" t="s">
        <v>640</v>
      </c>
      <c r="AA447" s="74">
        <v>46218.0</v>
      </c>
      <c r="AB447" s="56"/>
      <c r="AC447" s="38"/>
      <c r="AD447" s="39">
        <v>5786.8</v>
      </c>
      <c r="AE447" s="39">
        <v>1736.04</v>
      </c>
      <c r="AF447" s="40">
        <v>4050.76</v>
      </c>
      <c r="AG447" s="57" t="s">
        <v>2864</v>
      </c>
      <c r="AH447" s="42" t="s">
        <v>49</v>
      </c>
      <c r="AI447" s="42" t="str">
        <f>IFERROR(__xludf.DUMMYFUNCTION("vLOOKUP(A447,IMPORTRANGE(""https://docs.google.com/spreadsheets/d/1Rawwwdh8wntXGy8isdYNHxsNQS4n_rC8JSdPfj6vEq4"",""'500 объектов перенос на 2026'!A3:AB502""),13,0)"),"#REF!")</f>
        <v>#REF!</v>
      </c>
      <c r="AJ447" s="42" t="str">
        <f>IFERROR(__xludf.DUMMYFUNCTION("vLOOKUP(A447,IMPORTRANGE(""https://docs.google.com/spreadsheets/d/1Rawwwdh8wntXGy8isdYNHxsNQS4n_rC8JSdPfj6vEq4"",""'500 объектов перенос на 2026'!A3:AB502""),14,0)"),"#REF!")</f>
        <v>#REF!</v>
      </c>
      <c r="AK447" s="140"/>
      <c r="AL447" s="119"/>
      <c r="AM447" s="119"/>
      <c r="AN447" s="43"/>
      <c r="AO447" s="43"/>
      <c r="AP447" s="43"/>
      <c r="AQ447" s="43"/>
      <c r="AR447" s="43"/>
      <c r="AS447" s="43"/>
      <c r="AT447" s="43"/>
      <c r="AU447" s="43"/>
      <c r="AV447" s="43"/>
      <c r="AW447" s="43"/>
      <c r="AX447" s="43"/>
      <c r="AY447" s="43"/>
      <c r="AZ447" s="43"/>
    </row>
    <row r="448">
      <c r="A448" s="62" t="s">
        <v>2865</v>
      </c>
      <c r="B448" s="63" t="s">
        <v>703</v>
      </c>
      <c r="C448" s="64" t="s">
        <v>2866</v>
      </c>
      <c r="D448" s="47" t="s">
        <v>1523</v>
      </c>
      <c r="E448" s="64" t="s">
        <v>85</v>
      </c>
      <c r="F448" s="31" t="s">
        <v>40</v>
      </c>
      <c r="G448" s="31" t="s">
        <v>41</v>
      </c>
      <c r="H448" s="31" t="s">
        <v>779</v>
      </c>
      <c r="I448" s="31" t="s">
        <v>60</v>
      </c>
      <c r="J448" s="31"/>
      <c r="K448" s="31"/>
      <c r="L448" s="32">
        <f>IFERROR(__xludf.DUMMYFUNCTION("VLOOKUP($A448,IMPORTRANGE(""1PQtfbQLqBUP-rjYRznmgNFBLOjvAnhGzpIx7BJWq8rk"",""'Worksheet'!$B$2:$H""),7,FALSE)"),1.0)</f>
        <v>1</v>
      </c>
      <c r="M448" s="31" t="s">
        <v>45</v>
      </c>
      <c r="N448" s="49">
        <v>2.192676775E7</v>
      </c>
      <c r="O448" s="49">
        <v>1.80201E7</v>
      </c>
      <c r="P448" s="49">
        <f t="shared" si="71"/>
        <v>3906667.75</v>
      </c>
      <c r="Q448" s="34">
        <f t="shared" si="7"/>
        <v>0.1781688845</v>
      </c>
      <c r="R448" s="31"/>
      <c r="S448" s="31" t="s">
        <v>45</v>
      </c>
      <c r="T448" s="50"/>
      <c r="U448" s="51"/>
      <c r="V448" s="50"/>
      <c r="W448" s="31"/>
      <c r="X448" s="52" t="s">
        <v>803</v>
      </c>
      <c r="Y448" s="128" t="s">
        <v>706</v>
      </c>
      <c r="Z448" s="54" t="s">
        <v>707</v>
      </c>
      <c r="AA448" s="54" t="s">
        <v>114</v>
      </c>
      <c r="AB448" s="38" t="s">
        <v>115</v>
      </c>
      <c r="AC448" s="38"/>
      <c r="AD448" s="39">
        <v>60067.36</v>
      </c>
      <c r="AE448" s="39">
        <v>17906.39856</v>
      </c>
      <c r="AF448" s="40">
        <v>42160.96144</v>
      </c>
      <c r="AG448" s="173" t="s">
        <v>2867</v>
      </c>
      <c r="AH448" s="42"/>
      <c r="AI448" s="42" t="str">
        <f>IFERROR(__xludf.DUMMYFUNCTION("vLOOKUP(A448,IMPORTRANGE(""https://docs.google.com/spreadsheets/d/1Rawwwdh8wntXGy8isdYNHxsNQS4n_rC8JSdPfj6vEq4"",""'500 объектов перенос на 2026'!A3:AB502""),13,0)"),"#REF!")</f>
        <v>#REF!</v>
      </c>
      <c r="AJ448" s="42" t="str">
        <f>IFERROR(__xludf.DUMMYFUNCTION("vLOOKUP(A448,IMPORTRANGE(""https://docs.google.com/spreadsheets/d/1Rawwwdh8wntXGy8isdYNHxsNQS4n_rC8JSdPfj6vEq4"",""'500 объектов перенос на 2026'!A3:AB502""),14,0)"),"#REF!")</f>
        <v>#REF!</v>
      </c>
      <c r="AK448" s="163" t="s">
        <v>114</v>
      </c>
      <c r="AL448" s="110"/>
      <c r="AM448" s="110"/>
      <c r="AN448" s="43"/>
      <c r="AO448" s="43"/>
      <c r="AP448" s="43"/>
      <c r="AQ448" s="43"/>
      <c r="AR448" s="43"/>
      <c r="AS448" s="43"/>
      <c r="AT448" s="43"/>
      <c r="AU448" s="43"/>
      <c r="AV448" s="43"/>
      <c r="AW448" s="43"/>
      <c r="AX448" s="43"/>
      <c r="AY448" s="43"/>
      <c r="AZ448" s="43"/>
    </row>
    <row r="449">
      <c r="A449" s="122" t="s">
        <v>2868</v>
      </c>
      <c r="B449" s="63" t="s">
        <v>250</v>
      </c>
      <c r="C449" s="64" t="s">
        <v>2869</v>
      </c>
      <c r="D449" s="47" t="s">
        <v>333</v>
      </c>
      <c r="E449" s="64" t="s">
        <v>324</v>
      </c>
      <c r="F449" s="31" t="s">
        <v>60</v>
      </c>
      <c r="G449" s="31"/>
      <c r="H449" s="31"/>
      <c r="I449" s="31" t="s">
        <v>60</v>
      </c>
      <c r="J449" s="31"/>
      <c r="K449" s="31"/>
      <c r="L449" s="32">
        <f>IFERROR(__xludf.DUMMYFUNCTION("VLOOKUP($A449,IMPORTRANGE(""1PQtfbQLqBUP-rjYRznmgNFBLOjvAnhGzpIx7BJWq8rk"",""'Worksheet'!$B$2:$H""),7,FALSE)"),0.97)</f>
        <v>0.97</v>
      </c>
      <c r="M449" s="31" t="s">
        <v>45</v>
      </c>
      <c r="N449" s="49">
        <v>1.30082697E8</v>
      </c>
      <c r="O449" s="49">
        <v>1.2626805734E8</v>
      </c>
      <c r="P449" s="49">
        <f t="shared" si="71"/>
        <v>3814639.66</v>
      </c>
      <c r="Q449" s="34">
        <f t="shared" si="7"/>
        <v>0.02932472764</v>
      </c>
      <c r="R449" s="31"/>
      <c r="S449" s="31" t="s">
        <v>45</v>
      </c>
      <c r="T449" s="72" t="s">
        <v>2870</v>
      </c>
      <c r="U449" s="67" t="s">
        <v>2871</v>
      </c>
      <c r="V449" s="67" t="s">
        <v>2872</v>
      </c>
      <c r="W449" s="31" t="s">
        <v>183</v>
      </c>
      <c r="X449" s="52" t="s">
        <v>1141</v>
      </c>
      <c r="Y449" s="54" t="s">
        <v>2873</v>
      </c>
      <c r="Z449" s="54" t="s">
        <v>75</v>
      </c>
      <c r="AA449" s="74">
        <v>46264.0</v>
      </c>
      <c r="AB449" s="56"/>
      <c r="AC449" s="38" t="s">
        <v>1143</v>
      </c>
      <c r="AD449" s="39">
        <v>130082.7</v>
      </c>
      <c r="AE449" s="39">
        <v>126268.0573</v>
      </c>
      <c r="AF449" s="40">
        <v>3814.64266</v>
      </c>
      <c r="AG449" s="57" t="s">
        <v>2874</v>
      </c>
      <c r="AH449" s="85" t="s">
        <v>820</v>
      </c>
      <c r="AI449" s="42" t="str">
        <f>IFERROR(__xludf.DUMMYFUNCTION("vLOOKUP(A449,IMPORTRANGE(""https://docs.google.com/spreadsheets/d/1Rawwwdh8wntXGy8isdYNHxsNQS4n_rC8JSdPfj6vEq4"",""'500 объектов перенос на 2026'!A3:AB502""),13,0)"),"#REF!")</f>
        <v>#REF!</v>
      </c>
      <c r="AJ449" s="42" t="str">
        <f>IFERROR(__xludf.DUMMYFUNCTION("vLOOKUP(A449,IMPORTRANGE(""https://docs.google.com/spreadsheets/d/1Rawwwdh8wntXGy8isdYNHxsNQS4n_rC8JSdPfj6vEq4"",""'500 объектов перенос на 2026'!A3:AB502""),14,0)"),"#REF!")</f>
        <v>#REF!</v>
      </c>
      <c r="AK449" s="76" t="s">
        <v>2875</v>
      </c>
      <c r="AL449" s="70"/>
      <c r="AM449" s="70"/>
      <c r="AN449" s="43"/>
      <c r="AO449" s="43"/>
      <c r="AP449" s="43"/>
      <c r="AQ449" s="43"/>
      <c r="AR449" s="43"/>
      <c r="AS449" s="43"/>
      <c r="AT449" s="43"/>
      <c r="AU449" s="43"/>
      <c r="AV449" s="43"/>
      <c r="AW449" s="43"/>
      <c r="AX449" s="43"/>
      <c r="AY449" s="43"/>
      <c r="AZ449" s="43"/>
    </row>
    <row r="450">
      <c r="A450" s="62" t="s">
        <v>2876</v>
      </c>
      <c r="B450" s="63" t="s">
        <v>268</v>
      </c>
      <c r="C450" s="144" t="s">
        <v>2877</v>
      </c>
      <c r="D450" s="47" t="s">
        <v>1041</v>
      </c>
      <c r="E450" s="64" t="s">
        <v>85</v>
      </c>
      <c r="F450" s="31" t="s">
        <v>60</v>
      </c>
      <c r="G450" s="31"/>
      <c r="H450" s="31"/>
      <c r="I450" s="31" t="s">
        <v>60</v>
      </c>
      <c r="J450" s="31"/>
      <c r="K450" s="31"/>
      <c r="L450" s="32">
        <f>IFERROR(__xludf.DUMMYFUNCTION("VLOOKUP($A450,IMPORTRANGE(""1PQtfbQLqBUP-rjYRznmgNFBLOjvAnhGzpIx7BJWq8rk"",""'Worksheet'!$B$2:$H""),7,FALSE)"),0.98)</f>
        <v>0.98</v>
      </c>
      <c r="M450" s="31" t="s">
        <v>40</v>
      </c>
      <c r="N450" s="49">
        <v>7193340.0</v>
      </c>
      <c r="O450" s="49">
        <v>3380869.8</v>
      </c>
      <c r="P450" s="49">
        <f t="shared" si="71"/>
        <v>3812470.2</v>
      </c>
      <c r="Q450" s="34">
        <f t="shared" si="7"/>
        <v>0.53</v>
      </c>
      <c r="R450" s="31"/>
      <c r="S450" s="31" t="s">
        <v>40</v>
      </c>
      <c r="T450" s="50" t="s">
        <v>2878</v>
      </c>
      <c r="U450" s="51">
        <v>0.0</v>
      </c>
      <c r="V450" s="51" t="s">
        <v>2878</v>
      </c>
      <c r="W450" s="31" t="s">
        <v>506</v>
      </c>
      <c r="X450" s="52" t="s">
        <v>1582</v>
      </c>
      <c r="Y450" s="54" t="s">
        <v>1569</v>
      </c>
      <c r="Z450" s="54" t="s">
        <v>851</v>
      </c>
      <c r="AA450" s="68">
        <v>46235.0</v>
      </c>
      <c r="AB450" s="56"/>
      <c r="AC450" s="38" t="s">
        <v>2571</v>
      </c>
      <c r="AD450" s="39">
        <v>7193.34</v>
      </c>
      <c r="AE450" s="39">
        <v>3380.8698</v>
      </c>
      <c r="AF450" s="40">
        <v>3812.4702</v>
      </c>
      <c r="AG450" s="57" t="s">
        <v>2879</v>
      </c>
      <c r="AH450" s="42" t="s">
        <v>854</v>
      </c>
      <c r="AI450" s="42" t="str">
        <f>IFERROR(__xludf.DUMMYFUNCTION("vLOOKUP(A450,IMPORTRANGE(""https://docs.google.com/spreadsheets/d/1Rawwwdh8wntXGy8isdYNHxsNQS4n_rC8JSdPfj6vEq4"",""'500 объектов перенос на 2026'!A3:AB502""),13,0)"),"#REF!")</f>
        <v>#REF!</v>
      </c>
      <c r="AJ450" s="42" t="str">
        <f>IFERROR(__xludf.DUMMYFUNCTION("vLOOKUP(A450,IMPORTRANGE(""https://docs.google.com/spreadsheets/d/1Rawwwdh8wntXGy8isdYNHxsNQS4n_rC8JSdPfj6vEq4"",""'500 объектов перенос на 2026'!A3:AB502""),14,0)"),"#REF!")</f>
        <v>#REF!</v>
      </c>
      <c r="AK450" s="58" t="s">
        <v>2880</v>
      </c>
      <c r="AL450" s="94" t="s">
        <v>1272</v>
      </c>
      <c r="AM450" s="94"/>
      <c r="AN450" s="43"/>
      <c r="AO450" s="43"/>
      <c r="AP450" s="43"/>
      <c r="AQ450" s="43"/>
      <c r="AR450" s="43"/>
      <c r="AS450" s="43"/>
      <c r="AT450" s="43"/>
      <c r="AU450" s="43"/>
      <c r="AV450" s="43"/>
      <c r="AW450" s="43"/>
      <c r="AX450" s="43"/>
      <c r="AY450" s="43"/>
      <c r="AZ450" s="43"/>
    </row>
    <row r="451">
      <c r="A451" s="62" t="s">
        <v>2881</v>
      </c>
      <c r="B451" s="63" t="s">
        <v>268</v>
      </c>
      <c r="C451" s="64" t="s">
        <v>2882</v>
      </c>
      <c r="D451" s="47" t="s">
        <v>1041</v>
      </c>
      <c r="E451" s="64" t="s">
        <v>85</v>
      </c>
      <c r="F451" s="31" t="s">
        <v>40</v>
      </c>
      <c r="G451" s="31" t="s">
        <v>41</v>
      </c>
      <c r="H451" s="31" t="s">
        <v>343</v>
      </c>
      <c r="I451" s="31" t="s">
        <v>60</v>
      </c>
      <c r="J451" s="31"/>
      <c r="K451" s="31"/>
      <c r="L451" s="32">
        <f>IFERROR(__xludf.DUMMYFUNCTION("VLOOKUP($A451,IMPORTRANGE(""1PQtfbQLqBUP-rjYRznmgNFBLOjvAnhGzpIx7BJWq8rk"",""'Worksheet'!$B$2:$H""),7,FALSE)"),0.96)</f>
        <v>0.96</v>
      </c>
      <c r="M451" s="31" t="s">
        <v>40</v>
      </c>
      <c r="N451" s="49">
        <v>7009516.8</v>
      </c>
      <c r="O451" s="49">
        <v>3294472.9</v>
      </c>
      <c r="P451" s="49">
        <f t="shared" si="71"/>
        <v>3715043.9</v>
      </c>
      <c r="Q451" s="34">
        <f t="shared" si="7"/>
        <v>0.5299999994</v>
      </c>
      <c r="R451" s="31"/>
      <c r="S451" s="31" t="s">
        <v>40</v>
      </c>
      <c r="T451" s="50" t="s">
        <v>2883</v>
      </c>
      <c r="U451" s="51">
        <v>0.0</v>
      </c>
      <c r="V451" s="51" t="s">
        <v>2883</v>
      </c>
      <c r="W451" s="31" t="s">
        <v>506</v>
      </c>
      <c r="X451" s="52" t="s">
        <v>49</v>
      </c>
      <c r="Y451" s="54" t="s">
        <v>2884</v>
      </c>
      <c r="Z451" s="54" t="s">
        <v>851</v>
      </c>
      <c r="AA451" s="68">
        <v>46275.0</v>
      </c>
      <c r="AB451" s="56"/>
      <c r="AC451" s="38" t="s">
        <v>2571</v>
      </c>
      <c r="AD451" s="39">
        <v>7009.52</v>
      </c>
      <c r="AE451" s="39">
        <v>3294.4729</v>
      </c>
      <c r="AF451" s="40">
        <v>3715.0471</v>
      </c>
      <c r="AG451" s="57" t="s">
        <v>2885</v>
      </c>
      <c r="AH451" s="42" t="s">
        <v>49</v>
      </c>
      <c r="AI451" s="42" t="str">
        <f>IFERROR(__xludf.DUMMYFUNCTION("vLOOKUP(A451,IMPORTRANGE(""https://docs.google.com/spreadsheets/d/1Rawwwdh8wntXGy8isdYNHxsNQS4n_rC8JSdPfj6vEq4"",""'500 объектов перенос на 2026'!A3:AB502""),13,0)"),"#REF!")</f>
        <v>#REF!</v>
      </c>
      <c r="AJ451" s="42" t="str">
        <f>IFERROR(__xludf.DUMMYFUNCTION("vLOOKUP(A451,IMPORTRANGE(""https://docs.google.com/spreadsheets/d/1Rawwwdh8wntXGy8isdYNHxsNQS4n_rC8JSdPfj6vEq4"",""'500 объектов перенос на 2026'!A3:AB502""),14,0)"),"#REF!")</f>
        <v>#REF!</v>
      </c>
      <c r="AK451" s="178" t="s">
        <v>2886</v>
      </c>
      <c r="AL451" s="94" t="s">
        <v>1369</v>
      </c>
      <c r="AM451" s="94"/>
      <c r="AN451" s="43"/>
      <c r="AO451" s="43"/>
      <c r="AP451" s="43"/>
      <c r="AQ451" s="43"/>
      <c r="AR451" s="43"/>
      <c r="AS451" s="43"/>
      <c r="AT451" s="43"/>
      <c r="AU451" s="43"/>
      <c r="AV451" s="43"/>
      <c r="AW451" s="43"/>
      <c r="AX451" s="43"/>
      <c r="AY451" s="43"/>
      <c r="AZ451" s="43"/>
    </row>
    <row r="452">
      <c r="A452" s="78" t="s">
        <v>2887</v>
      </c>
      <c r="B452" s="63" t="s">
        <v>225</v>
      </c>
      <c r="C452" s="64" t="s">
        <v>2888</v>
      </c>
      <c r="D452" s="47" t="s">
        <v>227</v>
      </c>
      <c r="E452" s="64" t="s">
        <v>39</v>
      </c>
      <c r="F452" s="31" t="s">
        <v>60</v>
      </c>
      <c r="G452" s="31"/>
      <c r="H452" s="31"/>
      <c r="I452" s="31" t="s">
        <v>60</v>
      </c>
      <c r="J452" s="31"/>
      <c r="K452" s="31"/>
      <c r="L452" s="32" t="str">
        <f>IFERROR(__xludf.DUMMYFUNCTION("VLOOKUP($A452,IMPORTRANGE(""1PQtfbQLqBUP-rjYRznmgNFBLOjvAnhGzpIx7BJWq8rk"",""'Worksheet'!$B$2:$H""),7,FALSE)"),"#N/A")</f>
        <v>#N/A</v>
      </c>
      <c r="M452" s="31" t="s">
        <v>60</v>
      </c>
      <c r="N452" s="49">
        <v>2.066211E8</v>
      </c>
      <c r="O452" s="49">
        <v>2.0114629294E8</v>
      </c>
      <c r="P452" s="49">
        <v>0.0</v>
      </c>
      <c r="Q452" s="34">
        <f t="shared" si="7"/>
        <v>0.02649684403</v>
      </c>
      <c r="R452" s="31"/>
      <c r="S452" s="31" t="s">
        <v>60</v>
      </c>
      <c r="T452" s="135" t="s">
        <v>2889</v>
      </c>
      <c r="U452" s="135" t="s">
        <v>2889</v>
      </c>
      <c r="V452" s="51">
        <v>0.0</v>
      </c>
      <c r="W452" s="31"/>
      <c r="X452" s="52" t="s">
        <v>113</v>
      </c>
      <c r="Y452" s="54"/>
      <c r="Z452" s="54"/>
      <c r="AA452" s="54" t="s">
        <v>114</v>
      </c>
      <c r="AB452" s="38" t="s">
        <v>115</v>
      </c>
      <c r="AC452" s="38"/>
      <c r="AD452" s="39">
        <v>206621.1</v>
      </c>
      <c r="AE452" s="39">
        <v>206664.3432</v>
      </c>
      <c r="AF452" s="39">
        <v>-43.24322</v>
      </c>
      <c r="AG452" s="57" t="s">
        <v>2890</v>
      </c>
      <c r="AH452" s="42" t="s">
        <v>2891</v>
      </c>
      <c r="AI452" s="42" t="str">
        <f>IFERROR(__xludf.DUMMYFUNCTION("vLOOKUP(A452,IMPORTRANGE(""https://docs.google.com/spreadsheets/d/1Rawwwdh8wntXGy8isdYNHxsNQS4n_rC8JSdPfj6vEq4"",""'500 объектов перенос на 2026'!A3:AB502""),13,0)"),"#REF!")</f>
        <v>#REF!</v>
      </c>
      <c r="AJ452" s="42" t="str">
        <f>IFERROR(__xludf.DUMMYFUNCTION("vLOOKUP(A452,IMPORTRANGE(""https://docs.google.com/spreadsheets/d/1Rawwwdh8wntXGy8isdYNHxsNQS4n_rC8JSdPfj6vEq4"",""'500 объектов перенос на 2026'!A3:AB502""),14,0)"),"#REF!")</f>
        <v>#REF!</v>
      </c>
      <c r="AK452" s="76" t="s">
        <v>114</v>
      </c>
      <c r="AL452" s="70"/>
      <c r="AM452" s="70"/>
      <c r="AN452" s="43"/>
      <c r="AO452" s="43"/>
      <c r="AP452" s="43"/>
      <c r="AQ452" s="43"/>
      <c r="AR452" s="43"/>
      <c r="AS452" s="43"/>
      <c r="AT452" s="43"/>
      <c r="AU452" s="43"/>
      <c r="AV452" s="43"/>
      <c r="AW452" s="43"/>
      <c r="AX452" s="43"/>
      <c r="AY452" s="43"/>
      <c r="AZ452" s="43"/>
    </row>
    <row r="453">
      <c r="A453" s="62" t="s">
        <v>2892</v>
      </c>
      <c r="B453" s="63" t="s">
        <v>268</v>
      </c>
      <c r="C453" s="144" t="s">
        <v>2893</v>
      </c>
      <c r="D453" s="47" t="s">
        <v>1041</v>
      </c>
      <c r="E453" s="64" t="s">
        <v>85</v>
      </c>
      <c r="F453" s="31" t="s">
        <v>60</v>
      </c>
      <c r="G453" s="31"/>
      <c r="H453" s="31"/>
      <c r="I453" s="31" t="s">
        <v>60</v>
      </c>
      <c r="J453" s="31"/>
      <c r="K453" s="31"/>
      <c r="L453" s="32">
        <f>IFERROR(__xludf.DUMMYFUNCTION("VLOOKUP($A453,IMPORTRANGE(""1PQtfbQLqBUP-rjYRznmgNFBLOjvAnhGzpIx7BJWq8rk"",""'Worksheet'!$B$2:$H""),7,FALSE)"),0.95)</f>
        <v>0.95</v>
      </c>
      <c r="M453" s="31" t="s">
        <v>40</v>
      </c>
      <c r="N453" s="49">
        <v>6124100.0</v>
      </c>
      <c r="O453" s="49">
        <v>2878327.0</v>
      </c>
      <c r="P453" s="49">
        <f t="shared" ref="P453:P463" si="73">N453-O453</f>
        <v>3245773</v>
      </c>
      <c r="Q453" s="34">
        <f t="shared" si="7"/>
        <v>0.53</v>
      </c>
      <c r="R453" s="31"/>
      <c r="S453" s="31" t="s">
        <v>40</v>
      </c>
      <c r="T453" s="84" t="s">
        <v>2894</v>
      </c>
      <c r="U453" s="84">
        <v>0.0</v>
      </c>
      <c r="V453" s="84" t="s">
        <v>2894</v>
      </c>
      <c r="W453" s="31" t="s">
        <v>506</v>
      </c>
      <c r="X453" s="52" t="s">
        <v>1582</v>
      </c>
      <c r="Y453" s="54" t="s">
        <v>1569</v>
      </c>
      <c r="Z453" s="54" t="s">
        <v>851</v>
      </c>
      <c r="AA453" s="68">
        <v>46235.0</v>
      </c>
      <c r="AB453" s="56"/>
      <c r="AC453" s="38" t="s">
        <v>187</v>
      </c>
      <c r="AD453" s="39">
        <v>6124.1</v>
      </c>
      <c r="AE453" s="39">
        <v>2878.327</v>
      </c>
      <c r="AF453" s="40">
        <v>3245.773</v>
      </c>
      <c r="AG453" s="57" t="s">
        <v>2895</v>
      </c>
      <c r="AH453" s="42" t="s">
        <v>854</v>
      </c>
      <c r="AI453" s="42" t="str">
        <f>IFERROR(__xludf.DUMMYFUNCTION("vLOOKUP(A453,IMPORTRANGE(""https://docs.google.com/spreadsheets/d/1Rawwwdh8wntXGy8isdYNHxsNQS4n_rC8JSdPfj6vEq4"",""'500 объектов перенос на 2026'!A3:AB502""),13,0)"),"#REF!")</f>
        <v>#REF!</v>
      </c>
      <c r="AJ453" s="42" t="str">
        <f>IFERROR(__xludf.DUMMYFUNCTION("vLOOKUP(A453,IMPORTRANGE(""https://docs.google.com/spreadsheets/d/1Rawwwdh8wntXGy8isdYNHxsNQS4n_rC8JSdPfj6vEq4"",""'500 объектов перенос на 2026'!A3:AB502""),14,0)"),"#REF!")</f>
        <v>#REF!</v>
      </c>
      <c r="AK453" s="58" t="s">
        <v>2880</v>
      </c>
      <c r="AL453" s="94" t="s">
        <v>1272</v>
      </c>
      <c r="AM453" s="94"/>
      <c r="AN453" s="43"/>
      <c r="AO453" s="43"/>
      <c r="AP453" s="43"/>
      <c r="AQ453" s="43"/>
      <c r="AR453" s="43"/>
      <c r="AS453" s="43"/>
      <c r="AT453" s="43"/>
      <c r="AU453" s="43"/>
      <c r="AV453" s="43"/>
      <c r="AW453" s="43"/>
      <c r="AX453" s="43"/>
      <c r="AY453" s="43"/>
      <c r="AZ453" s="43"/>
    </row>
    <row r="454">
      <c r="A454" s="62" t="s">
        <v>2896</v>
      </c>
      <c r="B454" s="63" t="s">
        <v>268</v>
      </c>
      <c r="C454" s="64" t="s">
        <v>2897</v>
      </c>
      <c r="D454" s="47" t="s">
        <v>848</v>
      </c>
      <c r="E454" s="64" t="s">
        <v>85</v>
      </c>
      <c r="F454" s="31" t="s">
        <v>60</v>
      </c>
      <c r="G454" s="31"/>
      <c r="H454" s="31"/>
      <c r="I454" s="31" t="s">
        <v>60</v>
      </c>
      <c r="J454" s="31"/>
      <c r="K454" s="31"/>
      <c r="L454" s="32">
        <f>IFERROR(__xludf.DUMMYFUNCTION("VLOOKUP($A454,IMPORTRANGE(""1PQtfbQLqBUP-rjYRznmgNFBLOjvAnhGzpIx7BJWq8rk"",""'Worksheet'!$B$2:$H""),7,FALSE)"),0.99)</f>
        <v>0.99</v>
      </c>
      <c r="M454" s="31" t="s">
        <v>40</v>
      </c>
      <c r="N454" s="49">
        <v>1.156239832E7</v>
      </c>
      <c r="O454" s="49">
        <v>1390572.0</v>
      </c>
      <c r="P454" s="49">
        <f t="shared" si="73"/>
        <v>10171826.32</v>
      </c>
      <c r="Q454" s="34">
        <f t="shared" si="7"/>
        <v>0.8797332559</v>
      </c>
      <c r="R454" s="31"/>
      <c r="S454" s="31" t="s">
        <v>40</v>
      </c>
      <c r="T454" s="145" t="s">
        <v>2898</v>
      </c>
      <c r="U454" s="84">
        <v>0.0</v>
      </c>
      <c r="V454" s="84" t="s">
        <v>2898</v>
      </c>
      <c r="W454" s="31" t="s">
        <v>183</v>
      </c>
      <c r="X454" s="52" t="s">
        <v>2899</v>
      </c>
      <c r="Y454" s="54" t="s">
        <v>2900</v>
      </c>
      <c r="Z454" s="54" t="s">
        <v>851</v>
      </c>
      <c r="AA454" s="74">
        <v>46204.0</v>
      </c>
      <c r="AB454" s="56"/>
      <c r="AC454" s="38" t="s">
        <v>2899</v>
      </c>
      <c r="AD454" s="39">
        <v>4635.24</v>
      </c>
      <c r="AE454" s="39">
        <v>1390.572</v>
      </c>
      <c r="AF454" s="40">
        <v>3244.668</v>
      </c>
      <c r="AG454" s="57" t="s">
        <v>2901</v>
      </c>
      <c r="AH454" s="42" t="s">
        <v>2902</v>
      </c>
      <c r="AI454" s="42" t="str">
        <f>IFERROR(__xludf.DUMMYFUNCTION("vLOOKUP(A454,IMPORTRANGE(""https://docs.google.com/spreadsheets/d/1Rawwwdh8wntXGy8isdYNHxsNQS4n_rC8JSdPfj6vEq4"",""'500 объектов перенос на 2026'!A3:AB502""),13,0)"),"#REF!")</f>
        <v>#REF!</v>
      </c>
      <c r="AJ454" s="42" t="str">
        <f>IFERROR(__xludf.DUMMYFUNCTION("vLOOKUP(A454,IMPORTRANGE(""https://docs.google.com/spreadsheets/d/1Rawwwdh8wntXGy8isdYNHxsNQS4n_rC8JSdPfj6vEq4"",""'500 объектов перенос на 2026'!A3:AB502""),14,0)"),"#REF!")</f>
        <v>#REF!</v>
      </c>
      <c r="AK454" s="151" t="s">
        <v>2903</v>
      </c>
      <c r="AL454" s="94"/>
      <c r="AM454" s="94"/>
      <c r="AN454" s="43"/>
      <c r="AO454" s="43"/>
      <c r="AP454" s="43"/>
      <c r="AQ454" s="43"/>
      <c r="AR454" s="43"/>
      <c r="AS454" s="43"/>
      <c r="AT454" s="43"/>
      <c r="AU454" s="43"/>
      <c r="AV454" s="43"/>
      <c r="AW454" s="43"/>
      <c r="AX454" s="43"/>
      <c r="AY454" s="43"/>
      <c r="AZ454" s="43"/>
    </row>
    <row r="455">
      <c r="A455" s="62" t="s">
        <v>2904</v>
      </c>
      <c r="B455" s="63" t="s">
        <v>625</v>
      </c>
      <c r="C455" s="90" t="s">
        <v>2905</v>
      </c>
      <c r="D455" s="47" t="s">
        <v>705</v>
      </c>
      <c r="E455" s="64" t="s">
        <v>85</v>
      </c>
      <c r="F455" s="31" t="s">
        <v>60</v>
      </c>
      <c r="G455" s="31"/>
      <c r="H455" s="31"/>
      <c r="I455" s="31" t="s">
        <v>40</v>
      </c>
      <c r="J455" s="31" t="s">
        <v>61</v>
      </c>
      <c r="K455" s="31" t="s">
        <v>72</v>
      </c>
      <c r="L455" s="32">
        <f>IFERROR(__xludf.DUMMYFUNCTION("VLOOKUP($A455,IMPORTRANGE(""1PQtfbQLqBUP-rjYRznmgNFBLOjvAnhGzpIx7BJWq8rk"",""'Worksheet'!$B$2:$H""),7,FALSE)"),0.96)</f>
        <v>0.96</v>
      </c>
      <c r="M455" s="31" t="s">
        <v>45</v>
      </c>
      <c r="N455" s="49">
        <v>3.839051212E7</v>
      </c>
      <c r="O455" s="49">
        <v>3.5442341E7</v>
      </c>
      <c r="P455" s="49">
        <f t="shared" si="73"/>
        <v>2948171.12</v>
      </c>
      <c r="Q455" s="34">
        <f t="shared" si="7"/>
        <v>0.07679426393</v>
      </c>
      <c r="R455" s="31"/>
      <c r="S455" s="31" t="s">
        <v>45</v>
      </c>
      <c r="T455" s="145" t="s">
        <v>2906</v>
      </c>
      <c r="U455" s="84" t="s">
        <v>2907</v>
      </c>
      <c r="V455" s="84" t="s">
        <v>2908</v>
      </c>
      <c r="W455" s="31"/>
      <c r="X455" s="52" t="s">
        <v>2338</v>
      </c>
      <c r="Y455" s="54" t="s">
        <v>2339</v>
      </c>
      <c r="Z455" s="54" t="s">
        <v>274</v>
      </c>
      <c r="AA455" s="68">
        <v>46254.0</v>
      </c>
      <c r="AB455" s="56"/>
      <c r="AC455" s="38"/>
      <c r="AD455" s="39">
        <v>38390.51</v>
      </c>
      <c r="AE455" s="39">
        <v>35442.341</v>
      </c>
      <c r="AF455" s="40">
        <v>2948.169</v>
      </c>
      <c r="AG455" s="57" t="s">
        <v>2909</v>
      </c>
      <c r="AH455" s="42" t="s">
        <v>2341</v>
      </c>
      <c r="AI455" s="42" t="str">
        <f>IFERROR(__xludf.DUMMYFUNCTION("vLOOKUP(A455,IMPORTRANGE(""https://docs.google.com/spreadsheets/d/1Rawwwdh8wntXGy8isdYNHxsNQS4n_rC8JSdPfj6vEq4"",""'500 объектов перенос на 2026'!A3:AB502""),13,0)"),"#REF!")</f>
        <v>#REF!</v>
      </c>
      <c r="AJ455" s="42" t="str">
        <f>IFERROR(__xludf.DUMMYFUNCTION("vLOOKUP(A455,IMPORTRANGE(""https://docs.google.com/spreadsheets/d/1Rawwwdh8wntXGy8isdYNHxsNQS4n_rC8JSdPfj6vEq4"",""'500 объектов перенос на 2026'!A3:AB502""),14,0)"),"#REF!")</f>
        <v>#REF!</v>
      </c>
      <c r="AK455" s="140"/>
      <c r="AL455" s="119"/>
      <c r="AM455" s="119"/>
      <c r="AN455" s="43"/>
      <c r="AO455" s="43"/>
      <c r="AP455" s="43"/>
      <c r="AQ455" s="43"/>
      <c r="AR455" s="43"/>
      <c r="AS455" s="43"/>
      <c r="AT455" s="43"/>
      <c r="AU455" s="43"/>
      <c r="AV455" s="43"/>
      <c r="AW455" s="43"/>
      <c r="AX455" s="43"/>
      <c r="AY455" s="43"/>
      <c r="AZ455" s="43"/>
    </row>
    <row r="456">
      <c r="A456" s="62" t="s">
        <v>2910</v>
      </c>
      <c r="B456" s="63" t="s">
        <v>703</v>
      </c>
      <c r="C456" s="90" t="s">
        <v>2911</v>
      </c>
      <c r="D456" s="47" t="s">
        <v>1523</v>
      </c>
      <c r="E456" s="64" t="s">
        <v>85</v>
      </c>
      <c r="F456" s="31" t="s">
        <v>40</v>
      </c>
      <c r="G456" s="31" t="s">
        <v>41</v>
      </c>
      <c r="H456" s="31" t="s">
        <v>779</v>
      </c>
      <c r="I456" s="31" t="s">
        <v>60</v>
      </c>
      <c r="J456" s="31"/>
      <c r="K456" s="31"/>
      <c r="L456" s="32">
        <f>IFERROR(__xludf.DUMMYFUNCTION("VLOOKUP($A456,IMPORTRANGE(""1PQtfbQLqBUP-rjYRznmgNFBLOjvAnhGzpIx7BJWq8rk"",""'Worksheet'!$B$2:$H""),7,FALSE)"),0.97)</f>
        <v>0.97</v>
      </c>
      <c r="M456" s="31" t="s">
        <v>45</v>
      </c>
      <c r="N456" s="49">
        <v>1.667753472E7</v>
      </c>
      <c r="O456" s="49">
        <v>1.37834306E7</v>
      </c>
      <c r="P456" s="49">
        <f t="shared" si="73"/>
        <v>2894104.12</v>
      </c>
      <c r="Q456" s="34">
        <f t="shared" si="7"/>
        <v>0.1735330892</v>
      </c>
      <c r="R456" s="31"/>
      <c r="S456" s="31" t="s">
        <v>45</v>
      </c>
      <c r="T456" s="84"/>
      <c r="U456" s="84"/>
      <c r="V456" s="84"/>
      <c r="W456" s="31"/>
      <c r="X456" s="52" t="s">
        <v>507</v>
      </c>
      <c r="Y456" s="128" t="s">
        <v>706</v>
      </c>
      <c r="Z456" s="54" t="s">
        <v>707</v>
      </c>
      <c r="AA456" s="54" t="s">
        <v>114</v>
      </c>
      <c r="AB456" s="38" t="s">
        <v>115</v>
      </c>
      <c r="AC456" s="38"/>
      <c r="AD456" s="39">
        <v>16677.53</v>
      </c>
      <c r="AE456" s="39">
        <v>13637.41812</v>
      </c>
      <c r="AF456" s="40">
        <v>3040.11188</v>
      </c>
      <c r="AG456" s="99" t="s">
        <v>2912</v>
      </c>
      <c r="AH456" s="42"/>
      <c r="AI456" s="42" t="str">
        <f>IFERROR(__xludf.DUMMYFUNCTION("vLOOKUP(A456,IMPORTRANGE(""https://docs.google.com/spreadsheets/d/1Rawwwdh8wntXGy8isdYNHxsNQS4n_rC8JSdPfj6vEq4"",""'500 объектов перенос на 2026'!A3:AB502""),13,0)"),"#REF!")</f>
        <v>#REF!</v>
      </c>
      <c r="AJ456" s="42" t="str">
        <f>IFERROR(__xludf.DUMMYFUNCTION("vLOOKUP(A456,IMPORTRANGE(""https://docs.google.com/spreadsheets/d/1Rawwwdh8wntXGy8isdYNHxsNQS4n_rC8JSdPfj6vEq4"",""'500 объектов перенос на 2026'!A3:AB502""),14,0)"),"#REF!")</f>
        <v>#REF!</v>
      </c>
      <c r="AK456" s="163" t="s">
        <v>114</v>
      </c>
      <c r="AL456" s="110"/>
      <c r="AM456" s="110"/>
      <c r="AN456" s="43"/>
      <c r="AO456" s="43"/>
      <c r="AP456" s="43"/>
      <c r="AQ456" s="43"/>
      <c r="AR456" s="43"/>
      <c r="AS456" s="43"/>
      <c r="AT456" s="43"/>
      <c r="AU456" s="43"/>
      <c r="AV456" s="43"/>
      <c r="AW456" s="43"/>
      <c r="AX456" s="43"/>
      <c r="AY456" s="43"/>
      <c r="AZ456" s="43"/>
    </row>
    <row r="457">
      <c r="A457" s="62" t="s">
        <v>2913</v>
      </c>
      <c r="B457" s="63" t="s">
        <v>268</v>
      </c>
      <c r="C457" s="64" t="s">
        <v>2914</v>
      </c>
      <c r="D457" s="47" t="s">
        <v>1041</v>
      </c>
      <c r="E457" s="64" t="s">
        <v>85</v>
      </c>
      <c r="F457" s="31" t="s">
        <v>40</v>
      </c>
      <c r="G457" s="31" t="s">
        <v>41</v>
      </c>
      <c r="H457" s="31" t="s">
        <v>343</v>
      </c>
      <c r="I457" s="31" t="s">
        <v>60</v>
      </c>
      <c r="J457" s="31"/>
      <c r="K457" s="31"/>
      <c r="L457" s="32">
        <f>IFERROR(__xludf.DUMMYFUNCTION("VLOOKUP($A457,IMPORTRANGE(""1PQtfbQLqBUP-rjYRznmgNFBLOjvAnhGzpIx7BJWq8rk"",""'Worksheet'!$B$2:$H""),7,FALSE)"),0.98)</f>
        <v>0.98</v>
      </c>
      <c r="M457" s="31" t="s">
        <v>40</v>
      </c>
      <c r="N457" s="49">
        <v>5275116.0</v>
      </c>
      <c r="O457" s="49">
        <v>2479304.52</v>
      </c>
      <c r="P457" s="49">
        <f t="shared" si="73"/>
        <v>2795811.48</v>
      </c>
      <c r="Q457" s="34">
        <f t="shared" si="7"/>
        <v>0.53</v>
      </c>
      <c r="R457" s="31"/>
      <c r="S457" s="31" t="s">
        <v>40</v>
      </c>
      <c r="T457" s="84" t="s">
        <v>2915</v>
      </c>
      <c r="U457" s="84">
        <v>0.0</v>
      </c>
      <c r="V457" s="84" t="s">
        <v>2915</v>
      </c>
      <c r="W457" s="31"/>
      <c r="X457" s="52" t="s">
        <v>49</v>
      </c>
      <c r="Y457" s="54" t="s">
        <v>2916</v>
      </c>
      <c r="Z457" s="54" t="s">
        <v>851</v>
      </c>
      <c r="AA457" s="68">
        <v>46269.0</v>
      </c>
      <c r="AB457" s="56"/>
      <c r="AC457" s="38"/>
      <c r="AD457" s="39">
        <v>5275.12</v>
      </c>
      <c r="AE457" s="39">
        <v>2479.30452</v>
      </c>
      <c r="AF457" s="40">
        <v>2795.81548</v>
      </c>
      <c r="AG457" s="57" t="s">
        <v>2917</v>
      </c>
      <c r="AH457" s="42" t="s">
        <v>49</v>
      </c>
      <c r="AI457" s="42" t="str">
        <f>IFERROR(__xludf.DUMMYFUNCTION("vLOOKUP(A457,IMPORTRANGE(""https://docs.google.com/spreadsheets/d/1Rawwwdh8wntXGy8isdYNHxsNQS4n_rC8JSdPfj6vEq4"",""'500 объектов перенос на 2026'!A3:AB502""),13,0)"),"#REF!")</f>
        <v>#REF!</v>
      </c>
      <c r="AJ457" s="42" t="str">
        <f>IFERROR(__xludf.DUMMYFUNCTION("vLOOKUP(A457,IMPORTRANGE(""https://docs.google.com/spreadsheets/d/1Rawwwdh8wntXGy8isdYNHxsNQS4n_rC8JSdPfj6vEq4"",""'500 объектов перенос на 2026'!A3:AB502""),14,0)"),"#REF!")</f>
        <v>#REF!</v>
      </c>
      <c r="AK457" s="58" t="s">
        <v>2918</v>
      </c>
      <c r="AL457" s="94" t="s">
        <v>1369</v>
      </c>
      <c r="AM457" s="94"/>
      <c r="AN457" s="43"/>
      <c r="AO457" s="43"/>
      <c r="AP457" s="43"/>
      <c r="AQ457" s="43"/>
      <c r="AR457" s="43"/>
      <c r="AS457" s="43"/>
      <c r="AT457" s="43"/>
      <c r="AU457" s="43"/>
      <c r="AV457" s="43"/>
      <c r="AW457" s="43"/>
      <c r="AX457" s="43"/>
      <c r="AY457" s="43"/>
      <c r="AZ457" s="43"/>
    </row>
    <row r="458">
      <c r="A458" s="62" t="s">
        <v>2919</v>
      </c>
      <c r="B458" s="111" t="s">
        <v>225</v>
      </c>
      <c r="C458" s="64" t="s">
        <v>2920</v>
      </c>
      <c r="D458" s="47" t="s">
        <v>2921</v>
      </c>
      <c r="E458" s="64" t="s">
        <v>59</v>
      </c>
      <c r="F458" s="31" t="s">
        <v>60</v>
      </c>
      <c r="G458" s="31"/>
      <c r="H458" s="31"/>
      <c r="I458" s="31" t="s">
        <v>40</v>
      </c>
      <c r="J458" s="31" t="s">
        <v>102</v>
      </c>
      <c r="K458" s="31" t="s">
        <v>280</v>
      </c>
      <c r="L458" s="32">
        <f>IFERROR(__xludf.DUMMYFUNCTION("VLOOKUP($A458,IMPORTRANGE(""1PQtfbQLqBUP-rjYRznmgNFBLOjvAnhGzpIx7BJWq8rk"",""'Worksheet'!$B$2:$H""),7,FALSE)"),0.2)</f>
        <v>0.2</v>
      </c>
      <c r="M458" s="31" t="s">
        <v>284</v>
      </c>
      <c r="N458" s="49">
        <v>2702790.0</v>
      </c>
      <c r="O458" s="49">
        <v>824262.98</v>
      </c>
      <c r="P458" s="49">
        <f t="shared" si="73"/>
        <v>1878527.02</v>
      </c>
      <c r="Q458" s="34">
        <f t="shared" si="7"/>
        <v>0.6950325478</v>
      </c>
      <c r="R458" s="31"/>
      <c r="S458" s="31" t="s">
        <v>40</v>
      </c>
      <c r="T458" s="155">
        <v>2567650.5</v>
      </c>
      <c r="U458" s="51">
        <v>0.0</v>
      </c>
      <c r="V458" s="158">
        <v>2567650.5</v>
      </c>
      <c r="W458" s="31"/>
      <c r="X458" s="52" t="s">
        <v>284</v>
      </c>
      <c r="Y458" s="54" t="s">
        <v>2922</v>
      </c>
      <c r="Z458" s="54" t="s">
        <v>2923</v>
      </c>
      <c r="AA458" s="74">
        <v>46280.0</v>
      </c>
      <c r="AB458" s="56"/>
      <c r="AC458" s="38"/>
      <c r="AD458" s="39">
        <v>2702.79</v>
      </c>
      <c r="AE458" s="39">
        <v>824.26298</v>
      </c>
      <c r="AF458" s="40">
        <v>1878.52702</v>
      </c>
      <c r="AG458" s="57" t="s">
        <v>2924</v>
      </c>
      <c r="AH458" s="42" t="s">
        <v>2925</v>
      </c>
      <c r="AI458" s="42" t="str">
        <f>IFERROR(__xludf.DUMMYFUNCTION("vLOOKUP(A458,IMPORTRANGE(""https://docs.google.com/spreadsheets/d/1Rawwwdh8wntXGy8isdYNHxsNQS4n_rC8JSdPfj6vEq4"",""'500 объектов перенос на 2026'!A3:AB502""),13,0)"),"#REF!")</f>
        <v>#REF!</v>
      </c>
      <c r="AJ458" s="42" t="str">
        <f>IFERROR(__xludf.DUMMYFUNCTION("vLOOKUP(A458,IMPORTRANGE(""https://docs.google.com/spreadsheets/d/1Rawwwdh8wntXGy8isdYNHxsNQS4n_rC8JSdPfj6vEq4"",""'500 объектов перенос на 2026'!A3:AB502""),14,0)"),"#REF!")</f>
        <v>#REF!</v>
      </c>
      <c r="AK458" s="76" t="s">
        <v>2926</v>
      </c>
      <c r="AL458" s="70"/>
      <c r="AM458" s="70"/>
      <c r="AN458" s="43"/>
      <c r="AO458" s="43"/>
      <c r="AP458" s="43"/>
      <c r="AQ458" s="43"/>
      <c r="AR458" s="43"/>
      <c r="AS458" s="43"/>
      <c r="AT458" s="43"/>
      <c r="AU458" s="43"/>
      <c r="AV458" s="43"/>
      <c r="AW458" s="43"/>
      <c r="AX458" s="43"/>
      <c r="AY458" s="43"/>
      <c r="AZ458" s="43"/>
    </row>
    <row r="459">
      <c r="A459" s="62" t="s">
        <v>2927</v>
      </c>
      <c r="B459" s="111" t="s">
        <v>225</v>
      </c>
      <c r="C459" s="64" t="s">
        <v>2928</v>
      </c>
      <c r="D459" s="47" t="s">
        <v>2921</v>
      </c>
      <c r="E459" s="64" t="s">
        <v>59</v>
      </c>
      <c r="F459" s="31" t="s">
        <v>60</v>
      </c>
      <c r="G459" s="31"/>
      <c r="H459" s="31"/>
      <c r="I459" s="31" t="s">
        <v>40</v>
      </c>
      <c r="J459" s="31" t="s">
        <v>102</v>
      </c>
      <c r="K459" s="31" t="s">
        <v>280</v>
      </c>
      <c r="L459" s="32">
        <f>IFERROR(__xludf.DUMMYFUNCTION("VLOOKUP($A459,IMPORTRANGE(""1PQtfbQLqBUP-rjYRznmgNFBLOjvAnhGzpIx7BJWq8rk"",""'Worksheet'!$B$2:$H""),7,FALSE)"),0.14)</f>
        <v>0.14</v>
      </c>
      <c r="M459" s="31" t="s">
        <v>284</v>
      </c>
      <c r="N459" s="49">
        <v>4046510.0</v>
      </c>
      <c r="O459" s="49">
        <v>1384128.92</v>
      </c>
      <c r="P459" s="49">
        <f t="shared" si="73"/>
        <v>2662381.08</v>
      </c>
      <c r="Q459" s="34">
        <f t="shared" si="7"/>
        <v>0.6579450143</v>
      </c>
      <c r="R459" s="31"/>
      <c r="S459" s="31" t="s">
        <v>40</v>
      </c>
      <c r="T459" s="155">
        <v>3844184.5</v>
      </c>
      <c r="U459" s="51">
        <v>0.0</v>
      </c>
      <c r="V459" s="158">
        <v>3844184.5</v>
      </c>
      <c r="W459" s="31"/>
      <c r="X459" s="52" t="s">
        <v>284</v>
      </c>
      <c r="Y459" s="54" t="s">
        <v>2922</v>
      </c>
      <c r="Z459" s="54" t="s">
        <v>2923</v>
      </c>
      <c r="AA459" s="74">
        <v>46280.0</v>
      </c>
      <c r="AB459" s="56"/>
      <c r="AC459" s="38"/>
      <c r="AD459" s="39">
        <v>4046.51</v>
      </c>
      <c r="AE459" s="39">
        <v>1384.12892</v>
      </c>
      <c r="AF459" s="40">
        <v>2662.38108</v>
      </c>
      <c r="AG459" s="57" t="s">
        <v>2929</v>
      </c>
      <c r="AH459" s="42" t="s">
        <v>2930</v>
      </c>
      <c r="AI459" s="42" t="str">
        <f>IFERROR(__xludf.DUMMYFUNCTION("vLOOKUP(A459,IMPORTRANGE(""https://docs.google.com/spreadsheets/d/1Rawwwdh8wntXGy8isdYNHxsNQS4n_rC8JSdPfj6vEq4"",""'500 объектов перенос на 2026'!A3:AB502""),13,0)"),"#REF!")</f>
        <v>#REF!</v>
      </c>
      <c r="AJ459" s="42" t="str">
        <f>IFERROR(__xludf.DUMMYFUNCTION("vLOOKUP(A459,IMPORTRANGE(""https://docs.google.com/spreadsheets/d/1Rawwwdh8wntXGy8isdYNHxsNQS4n_rC8JSdPfj6vEq4"",""'500 объектов перенос на 2026'!A3:AB502""),14,0)"),"#REF!")</f>
        <v>#REF!</v>
      </c>
      <c r="AK459" s="76" t="s">
        <v>2926</v>
      </c>
      <c r="AL459" s="70"/>
      <c r="AM459" s="70"/>
      <c r="AN459" s="43"/>
      <c r="AO459" s="43"/>
      <c r="AP459" s="43"/>
      <c r="AQ459" s="43"/>
      <c r="AR459" s="43"/>
      <c r="AS459" s="43"/>
      <c r="AT459" s="43"/>
      <c r="AU459" s="43"/>
      <c r="AV459" s="43"/>
      <c r="AW459" s="43"/>
      <c r="AX459" s="43"/>
      <c r="AY459" s="43"/>
      <c r="AZ459" s="43"/>
    </row>
    <row r="460">
      <c r="A460" s="62" t="s">
        <v>2931</v>
      </c>
      <c r="B460" s="111" t="s">
        <v>225</v>
      </c>
      <c r="C460" s="64" t="s">
        <v>2932</v>
      </c>
      <c r="D460" s="47" t="s">
        <v>2921</v>
      </c>
      <c r="E460" s="64" t="s">
        <v>59</v>
      </c>
      <c r="F460" s="31" t="s">
        <v>60</v>
      </c>
      <c r="G460" s="31"/>
      <c r="H460" s="31"/>
      <c r="I460" s="31" t="s">
        <v>40</v>
      </c>
      <c r="J460" s="31" t="s">
        <v>102</v>
      </c>
      <c r="K460" s="31" t="s">
        <v>280</v>
      </c>
      <c r="L460" s="32">
        <f>IFERROR(__xludf.DUMMYFUNCTION("VLOOKUP($A460,IMPORTRANGE(""1PQtfbQLqBUP-rjYRznmgNFBLOjvAnhGzpIx7BJWq8rk"",""'Worksheet'!$B$2:$H""),7,FALSE)"),0.2)</f>
        <v>0.2</v>
      </c>
      <c r="M460" s="31" t="s">
        <v>284</v>
      </c>
      <c r="N460" s="49">
        <v>3513980.0</v>
      </c>
      <c r="O460" s="49">
        <v>1436351.69</v>
      </c>
      <c r="P460" s="49">
        <f t="shared" si="73"/>
        <v>2077628.31</v>
      </c>
      <c r="Q460" s="34">
        <f t="shared" si="7"/>
        <v>0.5912464812</v>
      </c>
      <c r="R460" s="31"/>
      <c r="S460" s="31" t="s">
        <v>40</v>
      </c>
      <c r="T460" s="155">
        <v>3338281.0</v>
      </c>
      <c r="U460" s="51">
        <v>0.0</v>
      </c>
      <c r="V460" s="158">
        <v>3338281.0</v>
      </c>
      <c r="W460" s="31"/>
      <c r="X460" s="52" t="s">
        <v>284</v>
      </c>
      <c r="Y460" s="54" t="s">
        <v>2922</v>
      </c>
      <c r="Z460" s="54" t="s">
        <v>2923</v>
      </c>
      <c r="AA460" s="74">
        <v>46280.0</v>
      </c>
      <c r="AB460" s="56"/>
      <c r="AC460" s="38"/>
      <c r="AD460" s="39">
        <v>3513.98</v>
      </c>
      <c r="AE460" s="39">
        <v>1436.35169</v>
      </c>
      <c r="AF460" s="40">
        <v>2077.62831</v>
      </c>
      <c r="AG460" s="57" t="s">
        <v>2933</v>
      </c>
      <c r="AH460" s="42" t="s">
        <v>2934</v>
      </c>
      <c r="AI460" s="42" t="str">
        <f>IFERROR(__xludf.DUMMYFUNCTION("vLOOKUP(A460,IMPORTRANGE(""https://docs.google.com/spreadsheets/d/1Rawwwdh8wntXGy8isdYNHxsNQS4n_rC8JSdPfj6vEq4"",""'500 объектов перенос на 2026'!A3:AB502""),13,0)"),"#REF!")</f>
        <v>#REF!</v>
      </c>
      <c r="AJ460" s="42" t="str">
        <f>IFERROR(__xludf.DUMMYFUNCTION("vLOOKUP(A460,IMPORTRANGE(""https://docs.google.com/spreadsheets/d/1Rawwwdh8wntXGy8isdYNHxsNQS4n_rC8JSdPfj6vEq4"",""'500 объектов перенос на 2026'!A3:AB502""),14,0)"),"#REF!")</f>
        <v>#REF!</v>
      </c>
      <c r="AK460" s="76" t="s">
        <v>2926</v>
      </c>
      <c r="AL460" s="70"/>
      <c r="AM460" s="70"/>
      <c r="AN460" s="43"/>
      <c r="AO460" s="43"/>
      <c r="AP460" s="43"/>
      <c r="AQ460" s="43"/>
      <c r="AR460" s="43"/>
      <c r="AS460" s="43"/>
      <c r="AT460" s="43"/>
      <c r="AU460" s="43"/>
      <c r="AV460" s="43"/>
      <c r="AW460" s="43"/>
      <c r="AX460" s="43"/>
      <c r="AY460" s="43"/>
      <c r="AZ460" s="43"/>
    </row>
    <row r="461">
      <c r="A461" s="62" t="s">
        <v>2935</v>
      </c>
      <c r="B461" s="111" t="s">
        <v>225</v>
      </c>
      <c r="C461" s="90" t="s">
        <v>2936</v>
      </c>
      <c r="D461" s="47" t="s">
        <v>2175</v>
      </c>
      <c r="E461" s="64" t="s">
        <v>59</v>
      </c>
      <c r="F461" s="31" t="s">
        <v>40</v>
      </c>
      <c r="G461" s="31" t="s">
        <v>41</v>
      </c>
      <c r="H461" s="31" t="s">
        <v>343</v>
      </c>
      <c r="I461" s="31" t="s">
        <v>40</v>
      </c>
      <c r="J461" s="31" t="s">
        <v>102</v>
      </c>
      <c r="K461" s="31" t="s">
        <v>280</v>
      </c>
      <c r="L461" s="32">
        <f>IFERROR(__xludf.DUMMYFUNCTION("VLOOKUP($A461,IMPORTRANGE(""1PQtfbQLqBUP-rjYRznmgNFBLOjvAnhGzpIx7BJWq8rk"",""'Worksheet'!$B$2:$H""),7,FALSE)"),0.2)</f>
        <v>0.2</v>
      </c>
      <c r="M461" s="31" t="s">
        <v>284</v>
      </c>
      <c r="N461" s="49">
        <v>4632930.66</v>
      </c>
      <c r="O461" s="49">
        <v>0.0</v>
      </c>
      <c r="P461" s="49">
        <f t="shared" si="73"/>
        <v>4632930.66</v>
      </c>
      <c r="Q461" s="34">
        <f t="shared" si="7"/>
        <v>1</v>
      </c>
      <c r="R461" s="31"/>
      <c r="S461" s="31" t="s">
        <v>40</v>
      </c>
      <c r="T461" s="155">
        <v>4401284.127</v>
      </c>
      <c r="U461" s="51">
        <v>0.0</v>
      </c>
      <c r="V461" s="158">
        <v>4401284.127</v>
      </c>
      <c r="W461" s="31"/>
      <c r="X461" s="52" t="s">
        <v>284</v>
      </c>
      <c r="Y461" s="54" t="s">
        <v>284</v>
      </c>
      <c r="Z461" s="54" t="s">
        <v>2937</v>
      </c>
      <c r="AA461" s="54" t="s">
        <v>2141</v>
      </c>
      <c r="AB461" s="56"/>
      <c r="AC461" s="38"/>
      <c r="AD461" s="39">
        <v>4632.94</v>
      </c>
      <c r="AE461" s="39">
        <v>1389.8792</v>
      </c>
      <c r="AF461" s="40">
        <v>3243.0608</v>
      </c>
      <c r="AG461" s="57" t="s">
        <v>2938</v>
      </c>
      <c r="AH461" s="42" t="s">
        <v>2939</v>
      </c>
      <c r="AI461" s="42" t="str">
        <f>IFERROR(__xludf.DUMMYFUNCTION("vLOOKUP(A461,IMPORTRANGE(""https://docs.google.com/spreadsheets/d/1Rawwwdh8wntXGy8isdYNHxsNQS4n_rC8JSdPfj6vEq4"",""'500 объектов перенос на 2026'!A3:AB502""),13,0)"),"#REF!")</f>
        <v>#REF!</v>
      </c>
      <c r="AJ461" s="42" t="str">
        <f>IFERROR(__xludf.DUMMYFUNCTION("vLOOKUP(A461,IMPORTRANGE(""https://docs.google.com/spreadsheets/d/1Rawwwdh8wntXGy8isdYNHxsNQS4n_rC8JSdPfj6vEq4"",""'500 объектов перенос на 2026'!A3:AB502""),14,0)"),"#REF!")</f>
        <v>#REF!</v>
      </c>
      <c r="AK461" s="76" t="s">
        <v>2940</v>
      </c>
      <c r="AL461" s="70"/>
      <c r="AM461" s="70"/>
      <c r="AN461" s="43"/>
      <c r="AO461" s="43"/>
      <c r="AP461" s="43"/>
      <c r="AQ461" s="43"/>
      <c r="AR461" s="43"/>
      <c r="AS461" s="43"/>
      <c r="AT461" s="43"/>
      <c r="AU461" s="43"/>
      <c r="AV461" s="43"/>
      <c r="AW461" s="43"/>
      <c r="AX461" s="43"/>
      <c r="AY461" s="43"/>
      <c r="AZ461" s="43"/>
    </row>
    <row r="462">
      <c r="A462" s="62" t="s">
        <v>2941</v>
      </c>
      <c r="B462" s="111" t="s">
        <v>225</v>
      </c>
      <c r="C462" s="64" t="s">
        <v>2942</v>
      </c>
      <c r="D462" s="47"/>
      <c r="E462" s="64" t="s">
        <v>39</v>
      </c>
      <c r="F462" s="31" t="s">
        <v>60</v>
      </c>
      <c r="G462" s="31"/>
      <c r="H462" s="31"/>
      <c r="I462" s="31" t="s">
        <v>40</v>
      </c>
      <c r="J462" s="31" t="s">
        <v>102</v>
      </c>
      <c r="K462" s="31" t="s">
        <v>280</v>
      </c>
      <c r="L462" s="32">
        <f>IFERROR(__xludf.DUMMYFUNCTION("VLOOKUP($A462,IMPORTRANGE(""1PQtfbQLqBUP-rjYRznmgNFBLOjvAnhGzpIx7BJWq8rk"",""'Worksheet'!$B$2:$H""),7,FALSE)"),0.21)</f>
        <v>0.21</v>
      </c>
      <c r="M462" s="31" t="s">
        <v>284</v>
      </c>
      <c r="N462" s="49">
        <v>1.8838758241E8</v>
      </c>
      <c r="O462" s="49">
        <v>0.0</v>
      </c>
      <c r="P462" s="49">
        <f t="shared" si="73"/>
        <v>188387582.4</v>
      </c>
      <c r="Q462" s="34">
        <f t="shared" si="7"/>
        <v>1</v>
      </c>
      <c r="R462" s="31"/>
      <c r="S462" s="31" t="s">
        <v>40</v>
      </c>
      <c r="T462" s="155">
        <f>N462-N462*0.05</f>
        <v>178968203.3</v>
      </c>
      <c r="U462" s="51">
        <v>0.0</v>
      </c>
      <c r="V462" s="155">
        <f>P462-P462*0.05</f>
        <v>178968203.3</v>
      </c>
      <c r="W462" s="31"/>
      <c r="X462" s="52" t="s">
        <v>284</v>
      </c>
      <c r="Y462" s="54" t="s">
        <v>284</v>
      </c>
      <c r="Z462" s="54" t="s">
        <v>2943</v>
      </c>
      <c r="AA462" s="54" t="s">
        <v>2944</v>
      </c>
      <c r="AB462" s="56"/>
      <c r="AC462" s="38"/>
      <c r="AD462" s="39">
        <v>189190.43</v>
      </c>
      <c r="AE462" s="39">
        <v>57198.70246</v>
      </c>
      <c r="AF462" s="40">
        <v>131991.7275</v>
      </c>
      <c r="AG462" s="57" t="s">
        <v>2945</v>
      </c>
      <c r="AH462" s="42" t="s">
        <v>2946</v>
      </c>
      <c r="AI462" s="42" t="str">
        <f>IFERROR(__xludf.DUMMYFUNCTION("vLOOKUP(A462,IMPORTRANGE(""https://docs.google.com/spreadsheets/d/1Rawwwdh8wntXGy8isdYNHxsNQS4n_rC8JSdPfj6vEq4"",""'500 объектов перенос на 2026'!A3:AB502""),13,0)"),"#REF!")</f>
        <v>#REF!</v>
      </c>
      <c r="AJ462" s="42" t="str">
        <f>IFERROR(__xludf.DUMMYFUNCTION("vLOOKUP(A462,IMPORTRANGE(""https://docs.google.com/spreadsheets/d/1Rawwwdh8wntXGy8isdYNHxsNQS4n_rC8JSdPfj6vEq4"",""'500 объектов перенос на 2026'!A3:AB502""),14,0)"),"#REF!")</f>
        <v>#REF!</v>
      </c>
      <c r="AK462" s="76" t="s">
        <v>2947</v>
      </c>
      <c r="AL462" s="70"/>
      <c r="AM462" s="70"/>
      <c r="AN462" s="43"/>
      <c r="AO462" s="43"/>
      <c r="AP462" s="43"/>
      <c r="AQ462" s="43"/>
      <c r="AR462" s="43"/>
      <c r="AS462" s="43"/>
      <c r="AT462" s="43"/>
      <c r="AU462" s="43"/>
      <c r="AV462" s="43"/>
      <c r="AW462" s="43"/>
      <c r="AX462" s="43"/>
      <c r="AY462" s="43"/>
      <c r="AZ462" s="43"/>
    </row>
    <row r="463">
      <c r="A463" s="62" t="s">
        <v>2948</v>
      </c>
      <c r="B463" s="63" t="s">
        <v>703</v>
      </c>
      <c r="C463" s="64" t="s">
        <v>2949</v>
      </c>
      <c r="D463" s="47" t="s">
        <v>1523</v>
      </c>
      <c r="E463" s="64" t="s">
        <v>85</v>
      </c>
      <c r="F463" s="31" t="s">
        <v>40</v>
      </c>
      <c r="G463" s="31" t="s">
        <v>41</v>
      </c>
      <c r="H463" s="31" t="s">
        <v>779</v>
      </c>
      <c r="I463" s="31" t="s">
        <v>60</v>
      </c>
      <c r="J463" s="31"/>
      <c r="K463" s="31"/>
      <c r="L463" s="32">
        <f>IFERROR(__xludf.DUMMYFUNCTION("VLOOKUP($A463,IMPORTRANGE(""1PQtfbQLqBUP-rjYRznmgNFBLOjvAnhGzpIx7BJWq8rk"",""'Worksheet'!$B$2:$H""),7,FALSE)"),1.0)</f>
        <v>1</v>
      </c>
      <c r="M463" s="31" t="s">
        <v>45</v>
      </c>
      <c r="N463" s="49">
        <v>5.901291954E7</v>
      </c>
      <c r="O463" s="49">
        <v>5.631415814E7</v>
      </c>
      <c r="P463" s="49">
        <f t="shared" si="73"/>
        <v>2698761.4</v>
      </c>
      <c r="Q463" s="34">
        <f t="shared" si="7"/>
        <v>0.04573170453</v>
      </c>
      <c r="R463" s="31"/>
      <c r="S463" s="31" t="s">
        <v>45</v>
      </c>
      <c r="T463" s="50"/>
      <c r="U463" s="51"/>
      <c r="V463" s="51"/>
      <c r="W463" s="31"/>
      <c r="X463" s="52" t="s">
        <v>803</v>
      </c>
      <c r="Y463" s="128" t="s">
        <v>706</v>
      </c>
      <c r="Z463" s="54" t="s">
        <v>707</v>
      </c>
      <c r="AA463" s="74">
        <v>46265.0</v>
      </c>
      <c r="AB463" s="38" t="s">
        <v>115</v>
      </c>
      <c r="AC463" s="38"/>
      <c r="AD463" s="39">
        <v>59012.92</v>
      </c>
      <c r="AE463" s="39">
        <v>44685.03081</v>
      </c>
      <c r="AF463" s="40">
        <v>14327.88919</v>
      </c>
      <c r="AG463" s="99" t="s">
        <v>2950</v>
      </c>
      <c r="AH463" s="42"/>
      <c r="AI463" s="42" t="str">
        <f>IFERROR(__xludf.DUMMYFUNCTION("vLOOKUP(A463,IMPORTRANGE(""https://docs.google.com/spreadsheets/d/1Rawwwdh8wntXGy8isdYNHxsNQS4n_rC8JSdPfj6vEq4"",""'500 объектов перенос на 2026'!A3:AB502""),13,0)"),"#REF!")</f>
        <v>#REF!</v>
      </c>
      <c r="AJ463" s="42" t="str">
        <f>IFERROR(__xludf.DUMMYFUNCTION("vLOOKUP(A463,IMPORTRANGE(""https://docs.google.com/spreadsheets/d/1Rawwwdh8wntXGy8isdYNHxsNQS4n_rC8JSdPfj6vEq4"",""'500 объектов перенос на 2026'!A3:AB502""),14,0)"),"#REF!")</f>
        <v>#REF!</v>
      </c>
      <c r="AK463" s="138" t="s">
        <v>2951</v>
      </c>
      <c r="AL463" s="110"/>
      <c r="AM463" s="110"/>
      <c r="AN463" s="43"/>
      <c r="AO463" s="43"/>
      <c r="AP463" s="43"/>
      <c r="AQ463" s="43"/>
      <c r="AR463" s="43"/>
      <c r="AS463" s="43"/>
      <c r="AT463" s="43"/>
      <c r="AU463" s="43"/>
      <c r="AV463" s="43"/>
      <c r="AW463" s="43"/>
      <c r="AX463" s="43"/>
      <c r="AY463" s="43"/>
      <c r="AZ463" s="43"/>
    </row>
    <row r="464">
      <c r="A464" s="78" t="s">
        <v>2952</v>
      </c>
      <c r="B464" s="63" t="s">
        <v>225</v>
      </c>
      <c r="C464" s="64" t="s">
        <v>2953</v>
      </c>
      <c r="D464" s="47" t="s">
        <v>2954</v>
      </c>
      <c r="E464" s="64" t="s">
        <v>85</v>
      </c>
      <c r="F464" s="31" t="s">
        <v>60</v>
      </c>
      <c r="G464" s="31"/>
      <c r="H464" s="31"/>
      <c r="I464" s="31" t="s">
        <v>60</v>
      </c>
      <c r="J464" s="31"/>
      <c r="K464" s="31"/>
      <c r="L464" s="32">
        <f>IFERROR(__xludf.DUMMYFUNCTION("VLOOKUP($A464,IMPORTRANGE(""1PQtfbQLqBUP-rjYRznmgNFBLOjvAnhGzpIx7BJWq8rk"",""'Worksheet'!$B$2:$H""),7,FALSE)"),1.0)</f>
        <v>1</v>
      </c>
      <c r="M464" s="31" t="s">
        <v>60</v>
      </c>
      <c r="N464" s="49">
        <v>1.496072E7</v>
      </c>
      <c r="O464" s="49">
        <v>1.350501693E7</v>
      </c>
      <c r="P464" s="49">
        <v>0.0</v>
      </c>
      <c r="Q464" s="34">
        <f t="shared" si="7"/>
        <v>0.09730167198</v>
      </c>
      <c r="R464" s="31"/>
      <c r="S464" s="31" t="s">
        <v>60</v>
      </c>
      <c r="T464" s="155">
        <v>1.4212684E7</v>
      </c>
      <c r="U464" s="158">
        <f t="shared" ref="U464:U465" si="74">O464-O464*0.05</f>
        <v>12829766.08</v>
      </c>
      <c r="V464" s="51">
        <v>0.0</v>
      </c>
      <c r="W464" s="31"/>
      <c r="X464" s="52" t="s">
        <v>113</v>
      </c>
      <c r="Y464" s="54"/>
      <c r="Z464" s="54"/>
      <c r="AA464" s="54" t="s">
        <v>114</v>
      </c>
      <c r="AB464" s="38" t="s">
        <v>115</v>
      </c>
      <c r="AC464" s="38"/>
      <c r="AD464" s="39">
        <v>14960.72</v>
      </c>
      <c r="AE464" s="39">
        <v>13505.01693</v>
      </c>
      <c r="AF464" s="39">
        <v>1455.70307</v>
      </c>
      <c r="AG464" s="57" t="s">
        <v>2955</v>
      </c>
      <c r="AH464" s="42" t="s">
        <v>2956</v>
      </c>
      <c r="AI464" s="42" t="str">
        <f>IFERROR(__xludf.DUMMYFUNCTION("vLOOKUP(A464,IMPORTRANGE(""https://docs.google.com/spreadsheets/d/1Rawwwdh8wntXGy8isdYNHxsNQS4n_rC8JSdPfj6vEq4"",""'500 объектов перенос на 2026'!A3:AB502""),13,0)"),"#REF!")</f>
        <v>#REF!</v>
      </c>
      <c r="AJ464" s="42" t="str">
        <f>IFERROR(__xludf.DUMMYFUNCTION("vLOOKUP(A464,IMPORTRANGE(""https://docs.google.com/spreadsheets/d/1Rawwwdh8wntXGy8isdYNHxsNQS4n_rC8JSdPfj6vEq4"",""'500 объектов перенос на 2026'!A3:AB502""),14,0)"),"#REF!")</f>
        <v>#REF!</v>
      </c>
      <c r="AK464" s="76" t="s">
        <v>114</v>
      </c>
      <c r="AL464" s="70"/>
      <c r="AM464" s="70"/>
      <c r="AN464" s="43"/>
      <c r="AO464" s="43"/>
      <c r="AP464" s="43"/>
      <c r="AQ464" s="43"/>
      <c r="AR464" s="43"/>
      <c r="AS464" s="43"/>
      <c r="AT464" s="43"/>
      <c r="AU464" s="43"/>
      <c r="AV464" s="43"/>
      <c r="AW464" s="43"/>
      <c r="AX464" s="43"/>
      <c r="AY464" s="43"/>
      <c r="AZ464" s="43"/>
    </row>
    <row r="465">
      <c r="A465" s="78" t="s">
        <v>2957</v>
      </c>
      <c r="B465" s="63" t="s">
        <v>225</v>
      </c>
      <c r="C465" s="64" t="s">
        <v>2958</v>
      </c>
      <c r="D465" s="47" t="s">
        <v>2954</v>
      </c>
      <c r="E465" s="64" t="s">
        <v>85</v>
      </c>
      <c r="F465" s="31" t="s">
        <v>60</v>
      </c>
      <c r="G465" s="31"/>
      <c r="H465" s="31"/>
      <c r="I465" s="31" t="s">
        <v>60</v>
      </c>
      <c r="J465" s="31"/>
      <c r="K465" s="31"/>
      <c r="L465" s="32">
        <f>IFERROR(__xludf.DUMMYFUNCTION("VLOOKUP($A465,IMPORTRANGE(""1PQtfbQLqBUP-rjYRznmgNFBLOjvAnhGzpIx7BJWq8rk"",""'Worksheet'!$B$2:$H""),7,FALSE)"),1.0)</f>
        <v>1</v>
      </c>
      <c r="M465" s="31" t="s">
        <v>60</v>
      </c>
      <c r="N465" s="49">
        <v>1.026488E7</v>
      </c>
      <c r="O465" s="49">
        <v>8800994.61</v>
      </c>
      <c r="P465" s="49">
        <v>0.0</v>
      </c>
      <c r="Q465" s="34">
        <f t="shared" si="7"/>
        <v>0.1426110573</v>
      </c>
      <c r="R465" s="31"/>
      <c r="S465" s="31" t="s">
        <v>60</v>
      </c>
      <c r="T465" s="155">
        <v>9751636.0</v>
      </c>
      <c r="U465" s="158">
        <f t="shared" si="74"/>
        <v>8360944.88</v>
      </c>
      <c r="V465" s="51">
        <v>0.0</v>
      </c>
      <c r="W465" s="31"/>
      <c r="X465" s="52" t="s">
        <v>113</v>
      </c>
      <c r="Y465" s="54"/>
      <c r="Z465" s="54"/>
      <c r="AA465" s="54" t="s">
        <v>114</v>
      </c>
      <c r="AB465" s="38" t="s">
        <v>115</v>
      </c>
      <c r="AC465" s="38"/>
      <c r="AD465" s="39">
        <v>10264.88</v>
      </c>
      <c r="AE465" s="39">
        <v>8800.99461</v>
      </c>
      <c r="AF465" s="39">
        <v>1463.88539</v>
      </c>
      <c r="AG465" s="57" t="s">
        <v>2959</v>
      </c>
      <c r="AH465" s="42" t="s">
        <v>2960</v>
      </c>
      <c r="AI465" s="42" t="str">
        <f>IFERROR(__xludf.DUMMYFUNCTION("vLOOKUP(A465,IMPORTRANGE(""https://docs.google.com/spreadsheets/d/1Rawwwdh8wntXGy8isdYNHxsNQS4n_rC8JSdPfj6vEq4"",""'500 объектов перенос на 2026'!A3:AB502""),13,0)"),"#REF!")</f>
        <v>#REF!</v>
      </c>
      <c r="AJ465" s="42" t="str">
        <f>IFERROR(__xludf.DUMMYFUNCTION("vLOOKUP(A465,IMPORTRANGE(""https://docs.google.com/spreadsheets/d/1Rawwwdh8wntXGy8isdYNHxsNQS4n_rC8JSdPfj6vEq4"",""'500 объектов перенос на 2026'!A3:AB502""),14,0)"),"#REF!")</f>
        <v>#REF!</v>
      </c>
      <c r="AK465" s="76" t="s">
        <v>114</v>
      </c>
      <c r="AL465" s="70"/>
      <c r="AM465" s="70"/>
      <c r="AN465" s="43"/>
      <c r="AO465" s="43"/>
      <c r="AP465" s="43"/>
      <c r="AQ465" s="43"/>
      <c r="AR465" s="43"/>
      <c r="AS465" s="43"/>
      <c r="AT465" s="43"/>
      <c r="AU465" s="43"/>
      <c r="AV465" s="43"/>
      <c r="AW465" s="43"/>
      <c r="AX465" s="43"/>
      <c r="AY465" s="43"/>
      <c r="AZ465" s="43"/>
    </row>
    <row r="466">
      <c r="A466" s="62" t="s">
        <v>2961</v>
      </c>
      <c r="B466" s="63" t="s">
        <v>400</v>
      </c>
      <c r="C466" s="64" t="s">
        <v>2962</v>
      </c>
      <c r="D466" s="47" t="s">
        <v>1546</v>
      </c>
      <c r="E466" s="64" t="s">
        <v>85</v>
      </c>
      <c r="F466" s="31" t="s">
        <v>60</v>
      </c>
      <c r="G466" s="31"/>
      <c r="H466" s="31"/>
      <c r="I466" s="31" t="s">
        <v>60</v>
      </c>
      <c r="J466" s="31"/>
      <c r="K466" s="31"/>
      <c r="L466" s="32">
        <f>IFERROR(__xludf.DUMMYFUNCTION("VLOOKUP($A466,IMPORTRANGE(""1PQtfbQLqBUP-rjYRznmgNFBLOjvAnhGzpIx7BJWq8rk"",""'Worksheet'!$B$2:$H""),7,FALSE)"),0.95)</f>
        <v>0.95</v>
      </c>
      <c r="M466" s="31" t="s">
        <v>45</v>
      </c>
      <c r="N466" s="49">
        <v>1.807536867E7</v>
      </c>
      <c r="O466" s="49">
        <v>1.541181117E7</v>
      </c>
      <c r="P466" s="49">
        <f>N466-O466</f>
        <v>2663557.5</v>
      </c>
      <c r="Q466" s="34">
        <f t="shared" si="7"/>
        <v>0.1473584052</v>
      </c>
      <c r="R466" s="31"/>
      <c r="S466" s="31" t="s">
        <v>45</v>
      </c>
      <c r="T466" s="50"/>
      <c r="U466" s="50" t="s">
        <v>2963</v>
      </c>
      <c r="V466" s="50">
        <v>0.0</v>
      </c>
      <c r="W466" s="31" t="s">
        <v>148</v>
      </c>
      <c r="X466" s="52" t="s">
        <v>2805</v>
      </c>
      <c r="Y466" s="54" t="s">
        <v>2964</v>
      </c>
      <c r="Z466" s="54" t="s">
        <v>2807</v>
      </c>
      <c r="AA466" s="74">
        <v>46266.0</v>
      </c>
      <c r="AB466" s="56"/>
      <c r="AC466" s="38"/>
      <c r="AD466" s="39">
        <v>18075.38</v>
      </c>
      <c r="AE466" s="39">
        <v>15584.66867</v>
      </c>
      <c r="AF466" s="39">
        <v>2490.71133</v>
      </c>
      <c r="AG466" s="57" t="s">
        <v>2965</v>
      </c>
      <c r="AH466" s="42" t="s">
        <v>2966</v>
      </c>
      <c r="AI466" s="42" t="str">
        <f>IFERROR(__xludf.DUMMYFUNCTION("vLOOKUP(A466,IMPORTRANGE(""https://docs.google.com/spreadsheets/d/1Rawwwdh8wntXGy8isdYNHxsNQS4n_rC8JSdPfj6vEq4"",""'500 объектов перенос на 2026'!A3:AB502""),13,0)"),"#REF!")</f>
        <v>#REF!</v>
      </c>
      <c r="AJ466" s="42" t="str">
        <f>IFERROR(__xludf.DUMMYFUNCTION("vLOOKUP(A466,IMPORTRANGE(""https://docs.google.com/spreadsheets/d/1Rawwwdh8wntXGy8isdYNHxsNQS4n_rC8JSdPfj6vEq4"",""'500 объектов перенос на 2026'!A3:AB502""),14,0)"),"#REF!")</f>
        <v>#REF!</v>
      </c>
      <c r="AK466" s="138" t="s">
        <v>2967</v>
      </c>
      <c r="AL466" s="70"/>
      <c r="AM466" s="70"/>
      <c r="AN466" s="43"/>
      <c r="AO466" s="43"/>
      <c r="AP466" s="43"/>
      <c r="AQ466" s="43"/>
      <c r="AR466" s="43"/>
      <c r="AS466" s="43"/>
      <c r="AT466" s="43"/>
      <c r="AU466" s="43"/>
      <c r="AV466" s="43"/>
      <c r="AW466" s="43"/>
      <c r="AX466" s="43"/>
      <c r="AY466" s="43"/>
      <c r="AZ466" s="43"/>
    </row>
    <row r="467">
      <c r="A467" s="78" t="s">
        <v>2968</v>
      </c>
      <c r="B467" s="63" t="s">
        <v>225</v>
      </c>
      <c r="C467" s="64" t="s">
        <v>2969</v>
      </c>
      <c r="D467" s="47" t="s">
        <v>2970</v>
      </c>
      <c r="E467" s="64" t="s">
        <v>85</v>
      </c>
      <c r="F467" s="31" t="s">
        <v>60</v>
      </c>
      <c r="G467" s="31"/>
      <c r="H467" s="31"/>
      <c r="I467" s="31" t="s">
        <v>60</v>
      </c>
      <c r="J467" s="31"/>
      <c r="K467" s="31"/>
      <c r="L467" s="32">
        <f>IFERROR(__xludf.DUMMYFUNCTION("VLOOKUP($A467,IMPORTRANGE(""1PQtfbQLqBUP-rjYRznmgNFBLOjvAnhGzpIx7BJWq8rk"",""'Worksheet'!$B$2:$H""),7,FALSE)"),1.0)</f>
        <v>1</v>
      </c>
      <c r="M467" s="31" t="s">
        <v>60</v>
      </c>
      <c r="N467" s="49">
        <v>4751592.0</v>
      </c>
      <c r="O467" s="49">
        <v>4649209.59</v>
      </c>
      <c r="P467" s="49">
        <v>0.0</v>
      </c>
      <c r="Q467" s="34">
        <f t="shared" si="7"/>
        <v>0.02154696994</v>
      </c>
      <c r="R467" s="31"/>
      <c r="S467" s="31" t="s">
        <v>60</v>
      </c>
      <c r="T467" s="155">
        <v>4514012.4</v>
      </c>
      <c r="U467" s="158">
        <f t="shared" ref="U467:U471" si="75">O467-O467*0.05</f>
        <v>4416749.111</v>
      </c>
      <c r="V467" s="51">
        <v>0.0</v>
      </c>
      <c r="W467" s="31"/>
      <c r="X467" s="52" t="s">
        <v>113</v>
      </c>
      <c r="Y467" s="54"/>
      <c r="Z467" s="54"/>
      <c r="AA467" s="54" t="s">
        <v>114</v>
      </c>
      <c r="AB467" s="38" t="s">
        <v>115</v>
      </c>
      <c r="AC467" s="38"/>
      <c r="AD467" s="39">
        <v>8169.6</v>
      </c>
      <c r="AE467" s="39">
        <v>4649.20759</v>
      </c>
      <c r="AF467" s="39">
        <v>3520.39241</v>
      </c>
      <c r="AG467" s="57" t="s">
        <v>2971</v>
      </c>
      <c r="AH467" s="42" t="s">
        <v>2972</v>
      </c>
      <c r="AI467" s="42" t="str">
        <f>IFERROR(__xludf.DUMMYFUNCTION("vLOOKUP(A467,IMPORTRANGE(""https://docs.google.com/spreadsheets/d/1Rawwwdh8wntXGy8isdYNHxsNQS4n_rC8JSdPfj6vEq4"",""'500 объектов перенос на 2026'!A3:AB502""),13,0)"),"#REF!")</f>
        <v>#REF!</v>
      </c>
      <c r="AJ467" s="42" t="str">
        <f>IFERROR(__xludf.DUMMYFUNCTION("vLOOKUP(A467,IMPORTRANGE(""https://docs.google.com/spreadsheets/d/1Rawwwdh8wntXGy8isdYNHxsNQS4n_rC8JSdPfj6vEq4"",""'500 объектов перенос на 2026'!A3:AB502""),14,0)"),"#REF!")</f>
        <v>#REF!</v>
      </c>
      <c r="AK467" s="76" t="s">
        <v>114</v>
      </c>
      <c r="AL467" s="70"/>
      <c r="AM467" s="70"/>
      <c r="AN467" s="43"/>
      <c r="AO467" s="43"/>
      <c r="AP467" s="43"/>
      <c r="AQ467" s="43"/>
      <c r="AR467" s="43"/>
      <c r="AS467" s="43"/>
      <c r="AT467" s="43"/>
      <c r="AU467" s="43"/>
      <c r="AV467" s="43"/>
      <c r="AW467" s="43"/>
      <c r="AX467" s="43"/>
      <c r="AY467" s="43"/>
      <c r="AZ467" s="43"/>
    </row>
    <row r="468">
      <c r="A468" s="78" t="s">
        <v>2973</v>
      </c>
      <c r="B468" s="63" t="s">
        <v>225</v>
      </c>
      <c r="C468" s="144" t="s">
        <v>2974</v>
      </c>
      <c r="D468" s="47" t="s">
        <v>298</v>
      </c>
      <c r="E468" s="64" t="s">
        <v>85</v>
      </c>
      <c r="F468" s="31" t="s">
        <v>60</v>
      </c>
      <c r="G468" s="31"/>
      <c r="H468" s="31"/>
      <c r="I468" s="31" t="s">
        <v>60</v>
      </c>
      <c r="J468" s="31"/>
      <c r="K468" s="31"/>
      <c r="L468" s="32" t="str">
        <f>IFERROR(__xludf.DUMMYFUNCTION("VLOOKUP($A468,IMPORTRANGE(""1PQtfbQLqBUP-rjYRznmgNFBLOjvAnhGzpIx7BJWq8rk"",""'Worksheet'!$B$2:$H""),7,FALSE)"),"#N/A")</f>
        <v>#N/A</v>
      </c>
      <c r="M468" s="31" t="s">
        <v>60</v>
      </c>
      <c r="N468" s="49">
        <v>2.1600001E8</v>
      </c>
      <c r="O468" s="49">
        <v>2.0419288449E8</v>
      </c>
      <c r="P468" s="49">
        <v>0.0</v>
      </c>
      <c r="Q468" s="34">
        <f t="shared" si="7"/>
        <v>0.05466261557</v>
      </c>
      <c r="R468" s="31"/>
      <c r="S468" s="31" t="s">
        <v>60</v>
      </c>
      <c r="T468" s="155">
        <v>2.052000095E8</v>
      </c>
      <c r="U468" s="158">
        <f t="shared" si="75"/>
        <v>193983240.3</v>
      </c>
      <c r="V468" s="51">
        <v>0.0</v>
      </c>
      <c r="W468" s="31"/>
      <c r="X468" s="52" t="s">
        <v>113</v>
      </c>
      <c r="Y468" s="54"/>
      <c r="Z468" s="54"/>
      <c r="AA468" s="54" t="s">
        <v>114</v>
      </c>
      <c r="AB468" s="38" t="s">
        <v>115</v>
      </c>
      <c r="AC468" s="38"/>
      <c r="AD468" s="102">
        <v>216000.01</v>
      </c>
      <c r="AE468" s="102">
        <v>0.0</v>
      </c>
      <c r="AF468" s="39">
        <v>216000.01</v>
      </c>
      <c r="AG468" s="57" t="s">
        <v>2975</v>
      </c>
      <c r="AH468" s="42" t="s">
        <v>2976</v>
      </c>
      <c r="AI468" s="42" t="str">
        <f>IFERROR(__xludf.DUMMYFUNCTION("vLOOKUP(A468,IMPORTRANGE(""https://docs.google.com/spreadsheets/d/1Rawwwdh8wntXGy8isdYNHxsNQS4n_rC8JSdPfj6vEq4"",""'500 объектов перенос на 2026'!A3:AB502""),13,0)"),"#REF!")</f>
        <v>#REF!</v>
      </c>
      <c r="AJ468" s="42" t="str">
        <f>IFERROR(__xludf.DUMMYFUNCTION("vLOOKUP(A468,IMPORTRANGE(""https://docs.google.com/spreadsheets/d/1Rawwwdh8wntXGy8isdYNHxsNQS4n_rC8JSdPfj6vEq4"",""'500 объектов перенос на 2026'!A3:AB502""),14,0)"),"#REF!")</f>
        <v>#REF!</v>
      </c>
      <c r="AK468" s="76" t="s">
        <v>114</v>
      </c>
      <c r="AL468" s="70"/>
      <c r="AM468" s="70"/>
      <c r="AN468" s="43"/>
      <c r="AO468" s="43"/>
      <c r="AP468" s="43"/>
      <c r="AQ468" s="43"/>
      <c r="AR468" s="43"/>
      <c r="AS468" s="43"/>
      <c r="AT468" s="43"/>
      <c r="AU468" s="43"/>
      <c r="AV468" s="43"/>
      <c r="AW468" s="43"/>
      <c r="AX468" s="43"/>
      <c r="AY468" s="43"/>
      <c r="AZ468" s="43"/>
    </row>
    <row r="469">
      <c r="A469" s="78" t="s">
        <v>2977</v>
      </c>
      <c r="B469" s="63" t="s">
        <v>225</v>
      </c>
      <c r="C469" s="144" t="s">
        <v>2978</v>
      </c>
      <c r="D469" s="47" t="s">
        <v>298</v>
      </c>
      <c r="E469" s="64" t="s">
        <v>324</v>
      </c>
      <c r="F469" s="31" t="s">
        <v>60</v>
      </c>
      <c r="G469" s="31"/>
      <c r="H469" s="31"/>
      <c r="I469" s="31" t="s">
        <v>60</v>
      </c>
      <c r="J469" s="31"/>
      <c r="K469" s="31"/>
      <c r="L469" s="32" t="str">
        <f>IFERROR(__xludf.DUMMYFUNCTION("VLOOKUP($A469,IMPORTRANGE(""1PQtfbQLqBUP-rjYRznmgNFBLOjvAnhGzpIx7BJWq8rk"",""'Worksheet'!$B$2:$H""),7,FALSE)"),"#N/A")</f>
        <v>#N/A</v>
      </c>
      <c r="M469" s="31" t="s">
        <v>60</v>
      </c>
      <c r="N469" s="49">
        <v>2.972273E7</v>
      </c>
      <c r="O469" s="49">
        <v>2.909765983E7</v>
      </c>
      <c r="P469" s="49">
        <v>0.0</v>
      </c>
      <c r="Q469" s="34">
        <f t="shared" si="7"/>
        <v>0.02103003896</v>
      </c>
      <c r="R469" s="31"/>
      <c r="S469" s="31" t="s">
        <v>60</v>
      </c>
      <c r="T469" s="155">
        <v>2.82365935E7</v>
      </c>
      <c r="U469" s="158">
        <f t="shared" si="75"/>
        <v>27642776.84</v>
      </c>
      <c r="V469" s="51">
        <v>0.0</v>
      </c>
      <c r="W469" s="31"/>
      <c r="X469" s="52" t="s">
        <v>113</v>
      </c>
      <c r="Y469" s="54"/>
      <c r="Z469" s="54"/>
      <c r="AA469" s="54" t="s">
        <v>114</v>
      </c>
      <c r="AB469" s="38" t="s">
        <v>115</v>
      </c>
      <c r="AC469" s="38"/>
      <c r="AD469" s="39">
        <v>29722.73</v>
      </c>
      <c r="AE469" s="102">
        <v>0.0</v>
      </c>
      <c r="AF469" s="39">
        <v>29722.73</v>
      </c>
      <c r="AG469" s="57" t="s">
        <v>2979</v>
      </c>
      <c r="AH469" s="42" t="s">
        <v>2980</v>
      </c>
      <c r="AI469" s="42" t="str">
        <f>IFERROR(__xludf.DUMMYFUNCTION("vLOOKUP(A469,IMPORTRANGE(""https://docs.google.com/spreadsheets/d/1Rawwwdh8wntXGy8isdYNHxsNQS4n_rC8JSdPfj6vEq4"",""'500 объектов перенос на 2026'!A3:AB502""),13,0)"),"#REF!")</f>
        <v>#REF!</v>
      </c>
      <c r="AJ469" s="42" t="str">
        <f>IFERROR(__xludf.DUMMYFUNCTION("vLOOKUP(A469,IMPORTRANGE(""https://docs.google.com/spreadsheets/d/1Rawwwdh8wntXGy8isdYNHxsNQS4n_rC8JSdPfj6vEq4"",""'500 объектов перенос на 2026'!A3:AB502""),14,0)"),"#REF!")</f>
        <v>#REF!</v>
      </c>
      <c r="AK469" s="76" t="s">
        <v>114</v>
      </c>
      <c r="AL469" s="70"/>
      <c r="AM469" s="70"/>
      <c r="AN469" s="43"/>
      <c r="AO469" s="43"/>
      <c r="AP469" s="43"/>
      <c r="AQ469" s="43"/>
      <c r="AR469" s="43"/>
      <c r="AS469" s="43"/>
      <c r="AT469" s="43"/>
      <c r="AU469" s="43"/>
      <c r="AV469" s="43"/>
      <c r="AW469" s="43"/>
      <c r="AX469" s="43"/>
      <c r="AY469" s="43"/>
      <c r="AZ469" s="43"/>
    </row>
    <row r="470">
      <c r="A470" s="78" t="s">
        <v>2981</v>
      </c>
      <c r="B470" s="63" t="s">
        <v>225</v>
      </c>
      <c r="C470" s="64" t="s">
        <v>2982</v>
      </c>
      <c r="D470" s="47" t="s">
        <v>298</v>
      </c>
      <c r="E470" s="64" t="s">
        <v>324</v>
      </c>
      <c r="F470" s="31" t="s">
        <v>60</v>
      </c>
      <c r="G470" s="31"/>
      <c r="H470" s="31"/>
      <c r="I470" s="31" t="s">
        <v>60</v>
      </c>
      <c r="J470" s="31"/>
      <c r="K470" s="31"/>
      <c r="L470" s="32" t="str">
        <f>IFERROR(__xludf.DUMMYFUNCTION("VLOOKUP($A470,IMPORTRANGE(""1PQtfbQLqBUP-rjYRznmgNFBLOjvAnhGzpIx7BJWq8rk"",""'Worksheet'!$B$2:$H""),7,FALSE)"),"#N/A")</f>
        <v>#N/A</v>
      </c>
      <c r="M470" s="31" t="s">
        <v>60</v>
      </c>
      <c r="N470" s="49">
        <v>3.5741E7</v>
      </c>
      <c r="O470" s="49">
        <v>3.498560974E7</v>
      </c>
      <c r="P470" s="49">
        <v>0.0</v>
      </c>
      <c r="Q470" s="34">
        <f t="shared" si="7"/>
        <v>0.02113511821</v>
      </c>
      <c r="R470" s="31"/>
      <c r="S470" s="31" t="s">
        <v>60</v>
      </c>
      <c r="T470" s="155">
        <v>3.395395E7</v>
      </c>
      <c r="U470" s="158">
        <f t="shared" si="75"/>
        <v>33236329.25</v>
      </c>
      <c r="V470" s="51">
        <v>0.0</v>
      </c>
      <c r="W470" s="31"/>
      <c r="X470" s="52" t="s">
        <v>113</v>
      </c>
      <c r="Y470" s="54"/>
      <c r="Z470" s="54"/>
      <c r="AA470" s="54" t="s">
        <v>114</v>
      </c>
      <c r="AB470" s="38" t="s">
        <v>115</v>
      </c>
      <c r="AC470" s="38"/>
      <c r="AD470" s="102">
        <v>35741.0</v>
      </c>
      <c r="AE470" s="39">
        <v>0.0</v>
      </c>
      <c r="AF470" s="39">
        <v>35741.0</v>
      </c>
      <c r="AG470" s="57" t="s">
        <v>2983</v>
      </c>
      <c r="AH470" s="42" t="s">
        <v>2984</v>
      </c>
      <c r="AI470" s="42" t="str">
        <f>IFERROR(__xludf.DUMMYFUNCTION("vLOOKUP(A470,IMPORTRANGE(""https://docs.google.com/spreadsheets/d/1Rawwwdh8wntXGy8isdYNHxsNQS4n_rC8JSdPfj6vEq4"",""'500 объектов перенос на 2026'!A3:AB502""),13,0)"),"#REF!")</f>
        <v>#REF!</v>
      </c>
      <c r="AJ470" s="42" t="str">
        <f>IFERROR(__xludf.DUMMYFUNCTION("vLOOKUP(A470,IMPORTRANGE(""https://docs.google.com/spreadsheets/d/1Rawwwdh8wntXGy8isdYNHxsNQS4n_rC8JSdPfj6vEq4"",""'500 объектов перенос на 2026'!A3:AB502""),14,0)"),"#REF!")</f>
        <v>#REF!</v>
      </c>
      <c r="AK470" s="76" t="s">
        <v>114</v>
      </c>
      <c r="AL470" s="70"/>
      <c r="AM470" s="70"/>
      <c r="AN470" s="43"/>
      <c r="AO470" s="43"/>
      <c r="AP470" s="43"/>
      <c r="AQ470" s="43"/>
      <c r="AR470" s="43"/>
      <c r="AS470" s="43"/>
      <c r="AT470" s="43"/>
      <c r="AU470" s="43"/>
      <c r="AV470" s="43"/>
      <c r="AW470" s="43"/>
      <c r="AX470" s="43"/>
      <c r="AY470" s="43"/>
      <c r="AZ470" s="43"/>
    </row>
    <row r="471">
      <c r="A471" s="78" t="s">
        <v>2985</v>
      </c>
      <c r="B471" s="63" t="s">
        <v>225</v>
      </c>
      <c r="C471" s="64" t="s">
        <v>2986</v>
      </c>
      <c r="D471" s="47" t="s">
        <v>298</v>
      </c>
      <c r="E471" s="64" t="s">
        <v>324</v>
      </c>
      <c r="F471" s="31" t="s">
        <v>60</v>
      </c>
      <c r="G471" s="31"/>
      <c r="H471" s="31"/>
      <c r="I471" s="31" t="s">
        <v>60</v>
      </c>
      <c r="J471" s="31"/>
      <c r="K471" s="31"/>
      <c r="L471" s="32" t="str">
        <f>IFERROR(__xludf.DUMMYFUNCTION("VLOOKUP($A471,IMPORTRANGE(""1PQtfbQLqBUP-rjYRznmgNFBLOjvAnhGzpIx7BJWq8rk"",""'Worksheet'!$B$2:$H""),7,FALSE)"),"#N/A")</f>
        <v>#N/A</v>
      </c>
      <c r="M471" s="31" t="s">
        <v>60</v>
      </c>
      <c r="N471" s="49">
        <v>2.42697E7</v>
      </c>
      <c r="O471" s="49">
        <v>2.373807972E7</v>
      </c>
      <c r="P471" s="49">
        <v>0.0</v>
      </c>
      <c r="Q471" s="34">
        <f t="shared" si="7"/>
        <v>0.02190469103</v>
      </c>
      <c r="R471" s="31"/>
      <c r="S471" s="31" t="s">
        <v>60</v>
      </c>
      <c r="T471" s="155">
        <v>2.3056215E7</v>
      </c>
      <c r="U471" s="158">
        <f t="shared" si="75"/>
        <v>22551175.73</v>
      </c>
      <c r="V471" s="51">
        <v>0.0</v>
      </c>
      <c r="W471" s="31"/>
      <c r="X471" s="52" t="s">
        <v>113</v>
      </c>
      <c r="Y471" s="54"/>
      <c r="Z471" s="54"/>
      <c r="AA471" s="54" t="s">
        <v>114</v>
      </c>
      <c r="AB471" s="38" t="s">
        <v>115</v>
      </c>
      <c r="AC471" s="38"/>
      <c r="AD471" s="39">
        <v>24269.7</v>
      </c>
      <c r="AE471" s="39">
        <v>0.0</v>
      </c>
      <c r="AF471" s="39">
        <v>24269.7</v>
      </c>
      <c r="AG471" s="57" t="s">
        <v>2987</v>
      </c>
      <c r="AH471" s="42" t="s">
        <v>2988</v>
      </c>
      <c r="AI471" s="42" t="str">
        <f>IFERROR(__xludf.DUMMYFUNCTION("vLOOKUP(A471,IMPORTRANGE(""https://docs.google.com/spreadsheets/d/1Rawwwdh8wntXGy8isdYNHxsNQS4n_rC8JSdPfj6vEq4"",""'500 объектов перенос на 2026'!A3:AB502""),13,0)"),"#REF!")</f>
        <v>#REF!</v>
      </c>
      <c r="AJ471" s="42" t="str">
        <f>IFERROR(__xludf.DUMMYFUNCTION("vLOOKUP(A471,IMPORTRANGE(""https://docs.google.com/spreadsheets/d/1Rawwwdh8wntXGy8isdYNHxsNQS4n_rC8JSdPfj6vEq4"",""'500 объектов перенос на 2026'!A3:AB502""),14,0)"),"#REF!")</f>
        <v>#REF!</v>
      </c>
      <c r="AK471" s="76" t="s">
        <v>114</v>
      </c>
      <c r="AL471" s="70"/>
      <c r="AM471" s="70"/>
      <c r="AN471" s="43"/>
      <c r="AO471" s="43"/>
      <c r="AP471" s="43"/>
      <c r="AQ471" s="43"/>
      <c r="AR471" s="43"/>
      <c r="AS471" s="43"/>
      <c r="AT471" s="43"/>
      <c r="AU471" s="43"/>
      <c r="AV471" s="43"/>
      <c r="AW471" s="43"/>
      <c r="AX471" s="43"/>
      <c r="AY471" s="43"/>
      <c r="AZ471" s="43"/>
    </row>
    <row r="472">
      <c r="A472" s="78" t="s">
        <v>2989</v>
      </c>
      <c r="B472" s="63" t="s">
        <v>2990</v>
      </c>
      <c r="C472" s="104" t="s">
        <v>2991</v>
      </c>
      <c r="D472" s="47" t="s">
        <v>2992</v>
      </c>
      <c r="E472" s="64" t="s">
        <v>59</v>
      </c>
      <c r="F472" s="31" t="s">
        <v>60</v>
      </c>
      <c r="G472" s="31"/>
      <c r="H472" s="31"/>
      <c r="I472" s="31" t="s">
        <v>60</v>
      </c>
      <c r="J472" s="31"/>
      <c r="K472" s="31"/>
      <c r="L472" s="32" t="str">
        <f>IFERROR(__xludf.DUMMYFUNCTION("VLOOKUP($A472,IMPORTRANGE(""1PQtfbQLqBUP-rjYRznmgNFBLOjvAnhGzpIx7BJWq8rk"",""'Worksheet'!$B$2:$H""),7,FALSE)"),"#N/A")</f>
        <v>#N/A</v>
      </c>
      <c r="M472" s="31" t="s">
        <v>60</v>
      </c>
      <c r="N472" s="49">
        <v>6.391472E7</v>
      </c>
      <c r="O472" s="49">
        <v>6.3914718E7</v>
      </c>
      <c r="P472" s="49">
        <v>0.0</v>
      </c>
      <c r="Q472" s="34">
        <f t="shared" si="7"/>
        <v>0.00000003129169619</v>
      </c>
      <c r="R472" s="31"/>
      <c r="S472" s="31" t="s">
        <v>60</v>
      </c>
      <c r="T472" s="97">
        <v>6.0718984E7</v>
      </c>
      <c r="U472" s="97">
        <v>6.0718984E7</v>
      </c>
      <c r="V472" s="88">
        <v>0.0</v>
      </c>
      <c r="W472" s="31"/>
      <c r="X472" s="52" t="s">
        <v>113</v>
      </c>
      <c r="Y472" s="54"/>
      <c r="Z472" s="54"/>
      <c r="AA472" s="54" t="s">
        <v>114</v>
      </c>
      <c r="AB472" s="38" t="s">
        <v>115</v>
      </c>
      <c r="AC472" s="38"/>
      <c r="AD472" s="39">
        <v>63914.72</v>
      </c>
      <c r="AE472" s="39">
        <v>63914.71806</v>
      </c>
      <c r="AF472" s="39">
        <v>0.00194</v>
      </c>
      <c r="AG472" s="57" t="s">
        <v>2993</v>
      </c>
      <c r="AH472" s="42" t="s">
        <v>2994</v>
      </c>
      <c r="AI472" s="42" t="str">
        <f>IFERROR(__xludf.DUMMYFUNCTION("vLOOKUP(A472,IMPORTRANGE(""https://docs.google.com/spreadsheets/d/1Rawwwdh8wntXGy8isdYNHxsNQS4n_rC8JSdPfj6vEq4"",""'500 объектов перенос на 2026'!A3:AB502""),13,0)"),"#REF!")</f>
        <v>#REF!</v>
      </c>
      <c r="AJ472" s="42" t="str">
        <f>IFERROR(__xludf.DUMMYFUNCTION("vLOOKUP(A472,IMPORTRANGE(""https://docs.google.com/spreadsheets/d/1Rawwwdh8wntXGy8isdYNHxsNQS4n_rC8JSdPfj6vEq4"",""'500 объектов перенос на 2026'!A3:AB502""),14,0)"),"#REF!")</f>
        <v>#REF!</v>
      </c>
      <c r="AK472" s="76" t="s">
        <v>114</v>
      </c>
      <c r="AL472" s="70"/>
      <c r="AM472" s="70"/>
      <c r="AN472" s="43"/>
      <c r="AO472" s="43"/>
      <c r="AP472" s="43"/>
      <c r="AQ472" s="43"/>
      <c r="AR472" s="43"/>
      <c r="AS472" s="43"/>
      <c r="AT472" s="43"/>
      <c r="AU472" s="43"/>
      <c r="AV472" s="43"/>
      <c r="AW472" s="43"/>
      <c r="AX472" s="43"/>
      <c r="AY472" s="43"/>
      <c r="AZ472" s="43"/>
    </row>
    <row r="473">
      <c r="A473" s="78" t="s">
        <v>2995</v>
      </c>
      <c r="B473" s="63" t="s">
        <v>2990</v>
      </c>
      <c r="C473" s="90" t="s">
        <v>2996</v>
      </c>
      <c r="D473" s="47" t="s">
        <v>2997</v>
      </c>
      <c r="E473" s="90" t="s">
        <v>85</v>
      </c>
      <c r="F473" s="31" t="s">
        <v>60</v>
      </c>
      <c r="G473" s="31"/>
      <c r="H473" s="31"/>
      <c r="I473" s="31" t="s">
        <v>60</v>
      </c>
      <c r="J473" s="31"/>
      <c r="K473" s="31"/>
      <c r="L473" s="32" t="str">
        <f>IFERROR(__xludf.DUMMYFUNCTION("VLOOKUP($A473,IMPORTRANGE(""1PQtfbQLqBUP-rjYRznmgNFBLOjvAnhGzpIx7BJWq8rk"",""'Worksheet'!$B$2:$H""),7,FALSE)"),"#N/A")</f>
        <v>#N/A</v>
      </c>
      <c r="M473" s="31" t="s">
        <v>60</v>
      </c>
      <c r="N473" s="49">
        <v>2.360422E7</v>
      </c>
      <c r="O473" s="49">
        <v>1.925306828E7</v>
      </c>
      <c r="P473" s="49">
        <v>0.0</v>
      </c>
      <c r="Q473" s="34">
        <f t="shared" si="7"/>
        <v>0.1843378735</v>
      </c>
      <c r="R473" s="31"/>
      <c r="S473" s="31" t="s">
        <v>60</v>
      </c>
      <c r="T473" s="97">
        <v>2.2424009E7</v>
      </c>
      <c r="U473" s="97">
        <v>1.829041487E7</v>
      </c>
      <c r="V473" s="88">
        <v>0.0</v>
      </c>
      <c r="W473" s="31"/>
      <c r="X473" s="52" t="s">
        <v>113</v>
      </c>
      <c r="Y473" s="54"/>
      <c r="Z473" s="54"/>
      <c r="AA473" s="54" t="s">
        <v>114</v>
      </c>
      <c r="AB473" s="38" t="s">
        <v>115</v>
      </c>
      <c r="AC473" s="38"/>
      <c r="AD473" s="39">
        <v>20181.0</v>
      </c>
      <c r="AE473" s="39">
        <v>19550.20168</v>
      </c>
      <c r="AF473" s="39">
        <v>630.79832</v>
      </c>
      <c r="AG473" s="57" t="s">
        <v>2998</v>
      </c>
      <c r="AH473" s="42" t="s">
        <v>362</v>
      </c>
      <c r="AI473" s="42" t="str">
        <f>IFERROR(__xludf.DUMMYFUNCTION("vLOOKUP(A473,IMPORTRANGE(""https://docs.google.com/spreadsheets/d/1Rawwwdh8wntXGy8isdYNHxsNQS4n_rC8JSdPfj6vEq4"",""'500 объектов перенос на 2026'!A3:AB502""),13,0)"),"#REF!")</f>
        <v>#REF!</v>
      </c>
      <c r="AJ473" s="42" t="str">
        <f>IFERROR(__xludf.DUMMYFUNCTION("vLOOKUP(A473,IMPORTRANGE(""https://docs.google.com/spreadsheets/d/1Rawwwdh8wntXGy8isdYNHxsNQS4n_rC8JSdPfj6vEq4"",""'500 объектов перенос на 2026'!A3:AB502""),14,0)"),"#REF!")</f>
        <v>#REF!</v>
      </c>
      <c r="AK473" s="76" t="s">
        <v>114</v>
      </c>
      <c r="AL473" s="70"/>
      <c r="AM473" s="70"/>
      <c r="AN473" s="43"/>
      <c r="AO473" s="43"/>
      <c r="AP473" s="43"/>
      <c r="AQ473" s="43"/>
      <c r="AR473" s="43"/>
      <c r="AS473" s="43"/>
      <c r="AT473" s="43"/>
      <c r="AU473" s="43"/>
      <c r="AV473" s="43"/>
      <c r="AW473" s="43"/>
      <c r="AX473" s="43"/>
      <c r="AY473" s="43"/>
      <c r="AZ473" s="43"/>
    </row>
    <row r="474">
      <c r="A474" s="78" t="s">
        <v>2999</v>
      </c>
      <c r="B474" s="63" t="s">
        <v>2990</v>
      </c>
      <c r="C474" s="104" t="s">
        <v>3000</v>
      </c>
      <c r="D474" s="47" t="s">
        <v>3001</v>
      </c>
      <c r="E474" s="64" t="s">
        <v>39</v>
      </c>
      <c r="F474" s="31" t="s">
        <v>60</v>
      </c>
      <c r="G474" s="31"/>
      <c r="H474" s="31"/>
      <c r="I474" s="31" t="s">
        <v>60</v>
      </c>
      <c r="J474" s="31"/>
      <c r="K474" s="31"/>
      <c r="L474" s="32" t="str">
        <f>IFERROR(__xludf.DUMMYFUNCTION("VLOOKUP($A474,IMPORTRANGE(""1PQtfbQLqBUP-rjYRznmgNFBLOjvAnhGzpIx7BJWq8rk"",""'Worksheet'!$B$2:$H""),7,FALSE)"),"#N/A")</f>
        <v>#N/A</v>
      </c>
      <c r="M474" s="31" t="s">
        <v>60</v>
      </c>
      <c r="N474" s="49">
        <v>9.052151664E7</v>
      </c>
      <c r="O474" s="49">
        <v>7.627504289E7</v>
      </c>
      <c r="P474" s="49">
        <v>0.0</v>
      </c>
      <c r="Q474" s="34">
        <f t="shared" si="7"/>
        <v>0.1573821814</v>
      </c>
      <c r="R474" s="31"/>
      <c r="S474" s="31" t="s">
        <v>60</v>
      </c>
      <c r="T474" s="97">
        <v>8.599544081E7</v>
      </c>
      <c r="U474" s="97">
        <v>7.246129075E7</v>
      </c>
      <c r="V474" s="88">
        <v>0.0</v>
      </c>
      <c r="W474" s="31"/>
      <c r="X474" s="52" t="s">
        <v>113</v>
      </c>
      <c r="Y474" s="54"/>
      <c r="Z474" s="54"/>
      <c r="AA474" s="54" t="s">
        <v>114</v>
      </c>
      <c r="AB474" s="38" t="s">
        <v>115</v>
      </c>
      <c r="AC474" s="38"/>
      <c r="AD474" s="39">
        <v>91160.62</v>
      </c>
      <c r="AE474" s="39">
        <v>78326.41379</v>
      </c>
      <c r="AF474" s="39">
        <v>12834.20621</v>
      </c>
      <c r="AG474" s="57" t="s">
        <v>3002</v>
      </c>
      <c r="AH474" s="42" t="s">
        <v>362</v>
      </c>
      <c r="AI474" s="42" t="str">
        <f>IFERROR(__xludf.DUMMYFUNCTION("vLOOKUP(A474,IMPORTRANGE(""https://docs.google.com/spreadsheets/d/1Rawwwdh8wntXGy8isdYNHxsNQS4n_rC8JSdPfj6vEq4"",""'500 объектов перенос на 2026'!A3:AB502""),13,0)"),"#REF!")</f>
        <v>#REF!</v>
      </c>
      <c r="AJ474" s="42" t="str">
        <f>IFERROR(__xludf.DUMMYFUNCTION("vLOOKUP(A474,IMPORTRANGE(""https://docs.google.com/spreadsheets/d/1Rawwwdh8wntXGy8isdYNHxsNQS4n_rC8JSdPfj6vEq4"",""'500 объектов перенос на 2026'!A3:AB502""),14,0)"),"#REF!")</f>
        <v>#REF!</v>
      </c>
      <c r="AK474" s="76" t="s">
        <v>114</v>
      </c>
      <c r="AL474" s="70"/>
      <c r="AM474" s="70"/>
      <c r="AN474" s="43"/>
      <c r="AO474" s="43"/>
      <c r="AP474" s="43"/>
      <c r="AQ474" s="43"/>
      <c r="AR474" s="43"/>
      <c r="AS474" s="43"/>
      <c r="AT474" s="43"/>
      <c r="AU474" s="43"/>
      <c r="AV474" s="43"/>
      <c r="AW474" s="43"/>
      <c r="AX474" s="43"/>
      <c r="AY474" s="43"/>
      <c r="AZ474" s="43"/>
    </row>
    <row r="475">
      <c r="A475" s="78" t="s">
        <v>3003</v>
      </c>
      <c r="B475" s="63" t="s">
        <v>2990</v>
      </c>
      <c r="C475" s="104" t="s">
        <v>3004</v>
      </c>
      <c r="D475" s="47" t="s">
        <v>2997</v>
      </c>
      <c r="E475" s="64" t="s">
        <v>39</v>
      </c>
      <c r="F475" s="31" t="s">
        <v>60</v>
      </c>
      <c r="G475" s="31"/>
      <c r="H475" s="31"/>
      <c r="I475" s="31" t="s">
        <v>60</v>
      </c>
      <c r="J475" s="31"/>
      <c r="K475" s="31"/>
      <c r="L475" s="32" t="str">
        <f>IFERROR(__xludf.DUMMYFUNCTION("VLOOKUP($A475,IMPORTRANGE(""1PQtfbQLqBUP-rjYRznmgNFBLOjvAnhGzpIx7BJWq8rk"",""'Worksheet'!$B$2:$H""),7,FALSE)"),"#N/A")</f>
        <v>#N/A</v>
      </c>
      <c r="M475" s="31" t="s">
        <v>60</v>
      </c>
      <c r="N475" s="49">
        <v>7.239224679E7</v>
      </c>
      <c r="O475" s="49">
        <v>6.816990174E7</v>
      </c>
      <c r="P475" s="49">
        <v>0.0</v>
      </c>
      <c r="Q475" s="34">
        <f t="shared" si="7"/>
        <v>0.05832592905</v>
      </c>
      <c r="R475" s="31"/>
      <c r="S475" s="31" t="s">
        <v>60</v>
      </c>
      <c r="T475" s="97">
        <v>6.877263445E7</v>
      </c>
      <c r="U475" s="97">
        <v>6.476140665E7</v>
      </c>
      <c r="V475" s="88">
        <v>0.0</v>
      </c>
      <c r="W475" s="31"/>
      <c r="X475" s="52" t="s">
        <v>113</v>
      </c>
      <c r="Y475" s="54"/>
      <c r="Z475" s="54"/>
      <c r="AA475" s="54" t="s">
        <v>114</v>
      </c>
      <c r="AB475" s="38" t="s">
        <v>115</v>
      </c>
      <c r="AC475" s="38"/>
      <c r="AD475" s="39">
        <v>79842.23</v>
      </c>
      <c r="AE475" s="39">
        <v>69601.12907</v>
      </c>
      <c r="AF475" s="39">
        <v>10241.10093</v>
      </c>
      <c r="AG475" s="57" t="s">
        <v>3005</v>
      </c>
      <c r="AH475" s="42" t="s">
        <v>362</v>
      </c>
      <c r="AI475" s="42" t="str">
        <f>IFERROR(__xludf.DUMMYFUNCTION("vLOOKUP(A475,IMPORTRANGE(""https://docs.google.com/spreadsheets/d/1Rawwwdh8wntXGy8isdYNHxsNQS4n_rC8JSdPfj6vEq4"",""'500 объектов перенос на 2026'!A3:AB502""),13,0)"),"#REF!")</f>
        <v>#REF!</v>
      </c>
      <c r="AJ475" s="42" t="str">
        <f>IFERROR(__xludf.DUMMYFUNCTION("vLOOKUP(A475,IMPORTRANGE(""https://docs.google.com/spreadsheets/d/1Rawwwdh8wntXGy8isdYNHxsNQS4n_rC8JSdPfj6vEq4"",""'500 объектов перенос на 2026'!A3:AB502""),14,0)"),"#REF!")</f>
        <v>#REF!</v>
      </c>
      <c r="AK475" s="76" t="s">
        <v>114</v>
      </c>
      <c r="AL475" s="70"/>
      <c r="AM475" s="70"/>
      <c r="AN475" s="43"/>
      <c r="AO475" s="43"/>
      <c r="AP475" s="43"/>
      <c r="AQ475" s="43"/>
      <c r="AR475" s="43"/>
      <c r="AS475" s="43"/>
      <c r="AT475" s="43"/>
      <c r="AU475" s="43"/>
      <c r="AV475" s="43"/>
      <c r="AW475" s="43"/>
      <c r="AX475" s="43"/>
      <c r="AY475" s="43"/>
      <c r="AZ475" s="43"/>
    </row>
    <row r="476">
      <c r="A476" s="78" t="s">
        <v>3006</v>
      </c>
      <c r="B476" s="63" t="s">
        <v>2990</v>
      </c>
      <c r="C476" s="64" t="s">
        <v>3007</v>
      </c>
      <c r="D476" s="47" t="s">
        <v>2992</v>
      </c>
      <c r="E476" s="64" t="s">
        <v>59</v>
      </c>
      <c r="F476" s="31" t="s">
        <v>60</v>
      </c>
      <c r="G476" s="31"/>
      <c r="H476" s="31"/>
      <c r="I476" s="31" t="s">
        <v>60</v>
      </c>
      <c r="J476" s="31"/>
      <c r="K476" s="31"/>
      <c r="L476" s="32" t="str">
        <f>IFERROR(__xludf.DUMMYFUNCTION("VLOOKUP($A476,IMPORTRANGE(""1PQtfbQLqBUP-rjYRznmgNFBLOjvAnhGzpIx7BJWq8rk"",""'Worksheet'!$B$2:$H""),7,FALSE)"),"#N/A")</f>
        <v>#N/A</v>
      </c>
      <c r="M476" s="31" t="s">
        <v>60</v>
      </c>
      <c r="N476" s="49">
        <v>3.149413286E7</v>
      </c>
      <c r="O476" s="49">
        <v>3.149413286E7</v>
      </c>
      <c r="P476" s="49">
        <f>N476-O476</f>
        <v>0</v>
      </c>
      <c r="Q476" s="34">
        <f t="shared" si="7"/>
        <v>0</v>
      </c>
      <c r="R476" s="31"/>
      <c r="S476" s="31" t="s">
        <v>60</v>
      </c>
      <c r="T476" s="97">
        <v>2.991942622E7</v>
      </c>
      <c r="U476" s="97">
        <v>2.991942622E7</v>
      </c>
      <c r="V476" s="88">
        <v>0.0</v>
      </c>
      <c r="W476" s="31"/>
      <c r="X476" s="52" t="s">
        <v>113</v>
      </c>
      <c r="Y476" s="54"/>
      <c r="Z476" s="54"/>
      <c r="AA476" s="54" t="s">
        <v>114</v>
      </c>
      <c r="AB476" s="38" t="s">
        <v>115</v>
      </c>
      <c r="AC476" s="38"/>
      <c r="AD476" s="39">
        <v>28107.24</v>
      </c>
      <c r="AE476" s="39">
        <v>31494.13286</v>
      </c>
      <c r="AF476" s="39">
        <v>-3386.89286</v>
      </c>
      <c r="AG476" s="57" t="s">
        <v>2993</v>
      </c>
      <c r="AH476" s="42" t="s">
        <v>2994</v>
      </c>
      <c r="AI476" s="42" t="str">
        <f>IFERROR(__xludf.DUMMYFUNCTION("vLOOKUP(A476,IMPORTRANGE(""https://docs.google.com/spreadsheets/d/1Rawwwdh8wntXGy8isdYNHxsNQS4n_rC8JSdPfj6vEq4"",""'500 объектов перенос на 2026'!A3:AB502""),13,0)"),"#REF!")</f>
        <v>#REF!</v>
      </c>
      <c r="AJ476" s="42" t="str">
        <f>IFERROR(__xludf.DUMMYFUNCTION("vLOOKUP(A476,IMPORTRANGE(""https://docs.google.com/spreadsheets/d/1Rawwwdh8wntXGy8isdYNHxsNQS4n_rC8JSdPfj6vEq4"",""'500 объектов перенос на 2026'!A3:AB502""),14,0)"),"#REF!")</f>
        <v>#REF!</v>
      </c>
      <c r="AK476" s="76" t="s">
        <v>114</v>
      </c>
      <c r="AL476" s="70"/>
      <c r="AM476" s="70"/>
      <c r="AN476" s="43"/>
      <c r="AO476" s="43"/>
      <c r="AP476" s="43"/>
      <c r="AQ476" s="43"/>
      <c r="AR476" s="43"/>
      <c r="AS476" s="43"/>
      <c r="AT476" s="43"/>
      <c r="AU476" s="43"/>
      <c r="AV476" s="43"/>
      <c r="AW476" s="43"/>
      <c r="AX476" s="43"/>
      <c r="AY476" s="43"/>
      <c r="AZ476" s="43"/>
    </row>
    <row r="477">
      <c r="A477" s="114" t="s">
        <v>3008</v>
      </c>
      <c r="B477" s="63" t="s">
        <v>2990</v>
      </c>
      <c r="C477" s="64" t="s">
        <v>3009</v>
      </c>
      <c r="D477" s="47" t="s">
        <v>3001</v>
      </c>
      <c r="E477" s="90" t="s">
        <v>85</v>
      </c>
      <c r="F477" s="31" t="s">
        <v>60</v>
      </c>
      <c r="G477" s="31"/>
      <c r="H477" s="31"/>
      <c r="I477" s="31" t="s">
        <v>60</v>
      </c>
      <c r="J477" s="31"/>
      <c r="K477" s="31"/>
      <c r="L477" s="32" t="str">
        <f>IFERROR(__xludf.DUMMYFUNCTION("VLOOKUP($A477,IMPORTRANGE(""1PQtfbQLqBUP-rjYRznmgNFBLOjvAnhGzpIx7BJWq8rk"",""'Worksheet'!$B$2:$H""),7,FALSE)"),"#N/A")</f>
        <v>#N/A</v>
      </c>
      <c r="M477" s="31" t="s">
        <v>60</v>
      </c>
      <c r="N477" s="49">
        <v>3.696237466E7</v>
      </c>
      <c r="O477" s="49">
        <v>2.433341922E7</v>
      </c>
      <c r="P477" s="49">
        <v>0.0</v>
      </c>
      <c r="Q477" s="34">
        <f t="shared" si="7"/>
        <v>0.3416705652</v>
      </c>
      <c r="R477" s="31"/>
      <c r="S477" s="31" t="s">
        <v>60</v>
      </c>
      <c r="T477" s="97">
        <v>3.511425593E7</v>
      </c>
      <c r="U477" s="97">
        <v>3.511425593E7</v>
      </c>
      <c r="V477" s="88">
        <v>0.0</v>
      </c>
      <c r="W477" s="31"/>
      <c r="X477" s="52" t="s">
        <v>113</v>
      </c>
      <c r="Y477" s="54"/>
      <c r="Z477" s="54"/>
      <c r="AA477" s="54" t="s">
        <v>114</v>
      </c>
      <c r="AB477" s="38" t="s">
        <v>115</v>
      </c>
      <c r="AC477" s="38"/>
      <c r="AD477" s="39">
        <v>36962.74</v>
      </c>
      <c r="AE477" s="39">
        <v>25615.98365</v>
      </c>
      <c r="AF477" s="39">
        <v>11346.75635</v>
      </c>
      <c r="AG477" s="57" t="s">
        <v>3010</v>
      </c>
      <c r="AH477" s="42" t="s">
        <v>362</v>
      </c>
      <c r="AI477" s="42" t="str">
        <f>IFERROR(__xludf.DUMMYFUNCTION("vLOOKUP(A477,IMPORTRANGE(""https://docs.google.com/spreadsheets/d/1Rawwwdh8wntXGy8isdYNHxsNQS4n_rC8JSdPfj6vEq4"",""'500 объектов перенос на 2026'!A3:AB502""),13,0)"),"#REF!")</f>
        <v>#REF!</v>
      </c>
      <c r="AJ477" s="42" t="str">
        <f>IFERROR(__xludf.DUMMYFUNCTION("vLOOKUP(A477,IMPORTRANGE(""https://docs.google.com/spreadsheets/d/1Rawwwdh8wntXGy8isdYNHxsNQS4n_rC8JSdPfj6vEq4"",""'500 объектов перенос на 2026'!A3:AB502""),14,0)"),"#REF!")</f>
        <v>#REF!</v>
      </c>
      <c r="AK477" s="76" t="s">
        <v>114</v>
      </c>
      <c r="AL477" s="70"/>
      <c r="AM477" s="70"/>
      <c r="AN477" s="43"/>
      <c r="AO477" s="43"/>
      <c r="AP477" s="43"/>
      <c r="AQ477" s="43"/>
      <c r="AR477" s="43"/>
      <c r="AS477" s="43"/>
      <c r="AT477" s="43"/>
      <c r="AU477" s="43"/>
      <c r="AV477" s="43"/>
      <c r="AW477" s="43"/>
      <c r="AX477" s="43"/>
      <c r="AY477" s="43"/>
      <c r="AZ477" s="43"/>
    </row>
    <row r="478">
      <c r="A478" s="62" t="s">
        <v>3011</v>
      </c>
      <c r="B478" s="63" t="s">
        <v>736</v>
      </c>
      <c r="C478" s="64" t="s">
        <v>3012</v>
      </c>
      <c r="D478" s="47" t="s">
        <v>227</v>
      </c>
      <c r="E478" s="64" t="s">
        <v>39</v>
      </c>
      <c r="F478" s="31" t="s">
        <v>60</v>
      </c>
      <c r="G478" s="31"/>
      <c r="H478" s="31"/>
      <c r="I478" s="31" t="s">
        <v>60</v>
      </c>
      <c r="J478" s="31"/>
      <c r="K478" s="31"/>
      <c r="L478" s="32">
        <f>IFERROR(__xludf.DUMMYFUNCTION("VLOOKUP($A478,IMPORTRANGE(""1PQtfbQLqBUP-rjYRznmgNFBLOjvAnhGzpIx7BJWq8rk"",""'Worksheet'!$B$2:$H""),7,FALSE)"),1.0)</f>
        <v>1</v>
      </c>
      <c r="M478" s="31" t="s">
        <v>60</v>
      </c>
      <c r="N478" s="49">
        <v>3.921606421E7</v>
      </c>
      <c r="O478" s="49">
        <v>3.637567177E7</v>
      </c>
      <c r="P478" s="49">
        <v>0.0</v>
      </c>
      <c r="Q478" s="34">
        <f t="shared" si="7"/>
        <v>0.07242930919</v>
      </c>
      <c r="R478" s="31"/>
      <c r="S478" s="31" t="s">
        <v>60</v>
      </c>
      <c r="T478" s="50"/>
      <c r="U478" s="51"/>
      <c r="V478" s="51"/>
      <c r="W478" s="31"/>
      <c r="X478" s="52" t="s">
        <v>507</v>
      </c>
      <c r="Y478" s="74"/>
      <c r="Z478" s="74"/>
      <c r="AA478" s="54" t="s">
        <v>114</v>
      </c>
      <c r="AB478" s="38" t="s">
        <v>115</v>
      </c>
      <c r="AC478" s="38"/>
      <c r="AD478" s="39">
        <v>39216.06</v>
      </c>
      <c r="AE478" s="39">
        <v>49978.55704</v>
      </c>
      <c r="AF478" s="40">
        <v>-10762.49704</v>
      </c>
      <c r="AG478" s="57" t="s">
        <v>3013</v>
      </c>
      <c r="AH478" s="42" t="s">
        <v>1262</v>
      </c>
      <c r="AI478" s="42" t="str">
        <f>IFERROR(__xludf.DUMMYFUNCTION("vLOOKUP(A478,IMPORTRANGE(""https://docs.google.com/spreadsheets/d/1Rawwwdh8wntXGy8isdYNHxsNQS4n_rC8JSdPfj6vEq4"",""'500 объектов перенос на 2026'!A3:AB502""),13,0)"),"#REF!")</f>
        <v>#REF!</v>
      </c>
      <c r="AJ478" s="42" t="str">
        <f>IFERROR(__xludf.DUMMYFUNCTION("vLOOKUP(A478,IMPORTRANGE(""https://docs.google.com/spreadsheets/d/1Rawwwdh8wntXGy8isdYNHxsNQS4n_rC8JSdPfj6vEq4"",""'500 объектов перенос на 2026'!A3:AB502""),14,0)"),"#REF!")</f>
        <v>#REF!</v>
      </c>
      <c r="AK478" s="76" t="s">
        <v>746</v>
      </c>
      <c r="AL478" s="70"/>
      <c r="AM478" s="70"/>
      <c r="AN478" s="43"/>
      <c r="AO478" s="43"/>
      <c r="AP478" s="43"/>
      <c r="AQ478" s="43"/>
      <c r="AR478" s="43"/>
      <c r="AS478" s="43"/>
      <c r="AT478" s="43"/>
      <c r="AU478" s="43"/>
      <c r="AV478" s="43"/>
      <c r="AW478" s="43"/>
      <c r="AX478" s="43"/>
      <c r="AY478" s="43"/>
      <c r="AZ478" s="43"/>
    </row>
    <row r="479">
      <c r="A479" s="62" t="s">
        <v>3014</v>
      </c>
      <c r="B479" s="63" t="s">
        <v>268</v>
      </c>
      <c r="C479" s="64" t="s">
        <v>3015</v>
      </c>
      <c r="D479" s="47" t="s">
        <v>848</v>
      </c>
      <c r="E479" s="64" t="s">
        <v>85</v>
      </c>
      <c r="F479" s="31" t="s">
        <v>60</v>
      </c>
      <c r="G479" s="31"/>
      <c r="H479" s="31"/>
      <c r="I479" s="31" t="s">
        <v>60</v>
      </c>
      <c r="J479" s="31"/>
      <c r="K479" s="31"/>
      <c r="L479" s="32">
        <f>IFERROR(__xludf.DUMMYFUNCTION("VLOOKUP($A479,IMPORTRANGE(""1PQtfbQLqBUP-rjYRznmgNFBLOjvAnhGzpIx7BJWq8rk"",""'Worksheet'!$B$2:$H""),7,FALSE)"),0.95)</f>
        <v>0.95</v>
      </c>
      <c r="M479" s="31" t="s">
        <v>40</v>
      </c>
      <c r="N479" s="49">
        <v>3729400.0</v>
      </c>
      <c r="O479" s="49">
        <v>1118820.0</v>
      </c>
      <c r="P479" s="49">
        <f>N479-O479</f>
        <v>2610580</v>
      </c>
      <c r="Q479" s="34">
        <f t="shared" si="7"/>
        <v>0.7</v>
      </c>
      <c r="R479" s="31"/>
      <c r="S479" s="31" t="s">
        <v>45</v>
      </c>
      <c r="T479" s="91" t="s">
        <v>3016</v>
      </c>
      <c r="U479" s="91" t="s">
        <v>3017</v>
      </c>
      <c r="V479" s="51" t="s">
        <v>3016</v>
      </c>
      <c r="W479" s="31" t="s">
        <v>148</v>
      </c>
      <c r="X479" s="52" t="s">
        <v>3018</v>
      </c>
      <c r="Y479" s="54"/>
      <c r="Z479" s="54" t="s">
        <v>851</v>
      </c>
      <c r="AA479" s="68">
        <v>46235.0</v>
      </c>
      <c r="AB479" s="56"/>
      <c r="AC479" s="38"/>
      <c r="AD479" s="39">
        <v>3729.4</v>
      </c>
      <c r="AE479" s="39">
        <v>1118.82</v>
      </c>
      <c r="AF479" s="40">
        <v>2610.58</v>
      </c>
      <c r="AG479" s="57" t="s">
        <v>3019</v>
      </c>
      <c r="AH479" s="42" t="s">
        <v>3020</v>
      </c>
      <c r="AI479" s="42" t="str">
        <f>IFERROR(__xludf.DUMMYFUNCTION("vLOOKUP(A479,IMPORTRANGE(""https://docs.google.com/spreadsheets/d/1Rawwwdh8wntXGy8isdYNHxsNQS4n_rC8JSdPfj6vEq4"",""'500 объектов перенос на 2026'!A3:AB502""),13,0)"),"#REF!")</f>
        <v>#REF!</v>
      </c>
      <c r="AJ479" s="42" t="str">
        <f>IFERROR(__xludf.DUMMYFUNCTION("vLOOKUP(A479,IMPORTRANGE(""https://docs.google.com/spreadsheets/d/1Rawwwdh8wntXGy8isdYNHxsNQS4n_rC8JSdPfj6vEq4"",""'500 объектов перенос на 2026'!A3:AB502""),14,0)"),"#REF!")</f>
        <v>#REF!</v>
      </c>
      <c r="AK479" s="151" t="s">
        <v>2903</v>
      </c>
      <c r="AL479" s="151"/>
      <c r="AM479" s="94"/>
      <c r="AN479" s="43"/>
      <c r="AO479" s="43"/>
      <c r="AP479" s="43"/>
      <c r="AQ479" s="43"/>
      <c r="AR479" s="43"/>
      <c r="AS479" s="43"/>
      <c r="AT479" s="43"/>
      <c r="AU479" s="43"/>
      <c r="AV479" s="43"/>
      <c r="AW479" s="43"/>
      <c r="AX479" s="43"/>
      <c r="AY479" s="43"/>
      <c r="AZ479" s="43"/>
    </row>
    <row r="480">
      <c r="A480" s="78" t="s">
        <v>3021</v>
      </c>
      <c r="B480" s="63" t="s">
        <v>736</v>
      </c>
      <c r="C480" s="64" t="s">
        <v>3022</v>
      </c>
      <c r="D480" s="47" t="s">
        <v>1523</v>
      </c>
      <c r="E480" s="64" t="s">
        <v>85</v>
      </c>
      <c r="F480" s="31" t="s">
        <v>60</v>
      </c>
      <c r="G480" s="31"/>
      <c r="H480" s="31"/>
      <c r="I480" s="31" t="s">
        <v>60</v>
      </c>
      <c r="J480" s="31"/>
      <c r="K480" s="31"/>
      <c r="L480" s="32" t="str">
        <f>IFERROR(__xludf.DUMMYFUNCTION("VLOOKUP($A480,IMPORTRANGE(""1PQtfbQLqBUP-rjYRznmgNFBLOjvAnhGzpIx7BJWq8rk"",""'Worksheet'!$B$2:$H""),7,FALSE)"),"#N/A")</f>
        <v>#N/A</v>
      </c>
      <c r="M480" s="31" t="s">
        <v>60</v>
      </c>
      <c r="N480" s="49">
        <v>2.380136828E7</v>
      </c>
      <c r="O480" s="49">
        <v>2.269431596E7</v>
      </c>
      <c r="P480" s="49">
        <v>0.0</v>
      </c>
      <c r="Q480" s="34">
        <f t="shared" si="7"/>
        <v>0.04651212934</v>
      </c>
      <c r="R480" s="31"/>
      <c r="S480" s="31" t="s">
        <v>60</v>
      </c>
      <c r="T480" s="50"/>
      <c r="U480" s="51"/>
      <c r="V480" s="51"/>
      <c r="W480" s="31"/>
      <c r="X480" s="52" t="s">
        <v>113</v>
      </c>
      <c r="Y480" s="54"/>
      <c r="Z480" s="54"/>
      <c r="AA480" s="54" t="s">
        <v>114</v>
      </c>
      <c r="AB480" s="38" t="s">
        <v>115</v>
      </c>
      <c r="AC480" s="38"/>
      <c r="AD480" s="39">
        <v>28221.2</v>
      </c>
      <c r="AE480" s="39">
        <v>22694.31596</v>
      </c>
      <c r="AF480" s="39">
        <v>5526.88404</v>
      </c>
      <c r="AG480" s="57" t="s">
        <v>3023</v>
      </c>
      <c r="AH480" s="42" t="s">
        <v>1385</v>
      </c>
      <c r="AI480" s="42" t="str">
        <f>IFERROR(__xludf.DUMMYFUNCTION("vLOOKUP(A480,IMPORTRANGE(""https://docs.google.com/spreadsheets/d/1Rawwwdh8wntXGy8isdYNHxsNQS4n_rC8JSdPfj6vEq4"",""'500 объектов перенос на 2026'!A3:AB502""),13,0)"),"#REF!")</f>
        <v>#REF!</v>
      </c>
      <c r="AJ480" s="42" t="str">
        <f>IFERROR(__xludf.DUMMYFUNCTION("vLOOKUP(A480,IMPORTRANGE(""https://docs.google.com/spreadsheets/d/1Rawwwdh8wntXGy8isdYNHxsNQS4n_rC8JSdPfj6vEq4"",""'500 объектов перенос на 2026'!A3:AB502""),14,0)"),"#REF!")</f>
        <v>#REF!</v>
      </c>
      <c r="AK480" s="76" t="s">
        <v>746</v>
      </c>
      <c r="AL480" s="76"/>
      <c r="AM480" s="70"/>
      <c r="AN480" s="43"/>
      <c r="AO480" s="43"/>
      <c r="AP480" s="43"/>
      <c r="AQ480" s="43"/>
      <c r="AR480" s="43"/>
      <c r="AS480" s="43"/>
      <c r="AT480" s="43"/>
      <c r="AU480" s="43"/>
      <c r="AV480" s="43"/>
      <c r="AW480" s="43"/>
      <c r="AX480" s="43"/>
      <c r="AY480" s="43"/>
      <c r="AZ480" s="43"/>
    </row>
    <row r="481">
      <c r="A481" s="62" t="s">
        <v>3024</v>
      </c>
      <c r="B481" s="63" t="s">
        <v>736</v>
      </c>
      <c r="C481" s="64" t="s">
        <v>3025</v>
      </c>
      <c r="D481" s="47" t="s">
        <v>227</v>
      </c>
      <c r="E481" s="64" t="s">
        <v>39</v>
      </c>
      <c r="F481" s="31" t="s">
        <v>60</v>
      </c>
      <c r="G481" s="31"/>
      <c r="H481" s="31"/>
      <c r="I481" s="31" t="s">
        <v>60</v>
      </c>
      <c r="J481" s="31"/>
      <c r="K481" s="31"/>
      <c r="L481" s="32">
        <f>IFERROR(__xludf.DUMMYFUNCTION("VLOOKUP($A481,IMPORTRANGE(""1PQtfbQLqBUP-rjYRznmgNFBLOjvAnhGzpIx7BJWq8rk"",""'Worksheet'!$B$2:$H""),7,FALSE)"),1.0)</f>
        <v>1</v>
      </c>
      <c r="M481" s="31" t="s">
        <v>60</v>
      </c>
      <c r="N481" s="49">
        <v>2.111816246E7</v>
      </c>
      <c r="O481" s="49">
        <v>1.965304488E7</v>
      </c>
      <c r="P481" s="49">
        <v>0.0</v>
      </c>
      <c r="Q481" s="34">
        <f t="shared" si="7"/>
        <v>0.06937713368</v>
      </c>
      <c r="R481" s="31"/>
      <c r="S481" s="31" t="s">
        <v>60</v>
      </c>
      <c r="T481" s="50"/>
      <c r="U481" s="51"/>
      <c r="V481" s="51"/>
      <c r="W481" s="31"/>
      <c r="X481" s="52" t="s">
        <v>507</v>
      </c>
      <c r="Y481" s="74"/>
      <c r="Z481" s="74"/>
      <c r="AA481" s="54" t="s">
        <v>114</v>
      </c>
      <c r="AB481" s="38" t="s">
        <v>115</v>
      </c>
      <c r="AC481" s="38"/>
      <c r="AD481" s="39">
        <v>21122.0</v>
      </c>
      <c r="AE481" s="39">
        <v>22896.67556</v>
      </c>
      <c r="AF481" s="40">
        <v>-1774.67556</v>
      </c>
      <c r="AG481" s="57" t="s">
        <v>3026</v>
      </c>
      <c r="AH481" s="42" t="s">
        <v>1262</v>
      </c>
      <c r="AI481" s="42" t="str">
        <f>IFERROR(__xludf.DUMMYFUNCTION("vLOOKUP(A481,IMPORTRANGE(""https://docs.google.com/spreadsheets/d/1Rawwwdh8wntXGy8isdYNHxsNQS4n_rC8JSdPfj6vEq4"",""'500 объектов перенос на 2026'!A3:AB502""),13,0)"),"#REF!")</f>
        <v>#REF!</v>
      </c>
      <c r="AJ481" s="42" t="str">
        <f>IFERROR(__xludf.DUMMYFUNCTION("vLOOKUP(A481,IMPORTRANGE(""https://docs.google.com/spreadsheets/d/1Rawwwdh8wntXGy8isdYNHxsNQS4n_rC8JSdPfj6vEq4"",""'500 объектов перенос на 2026'!A3:AB502""),14,0)"),"#REF!")</f>
        <v>#REF!</v>
      </c>
      <c r="AK481" s="76" t="s">
        <v>746</v>
      </c>
      <c r="AL481" s="76"/>
      <c r="AM481" s="70"/>
      <c r="AN481" s="43"/>
      <c r="AO481" s="43"/>
      <c r="AP481" s="43"/>
      <c r="AQ481" s="43"/>
      <c r="AR481" s="43"/>
      <c r="AS481" s="43"/>
      <c r="AT481" s="43"/>
      <c r="AU481" s="43"/>
      <c r="AV481" s="43"/>
      <c r="AW481" s="43"/>
      <c r="AX481" s="43"/>
      <c r="AY481" s="43"/>
      <c r="AZ481" s="43"/>
    </row>
    <row r="482">
      <c r="A482" s="114" t="s">
        <v>3027</v>
      </c>
      <c r="B482" s="63" t="s">
        <v>736</v>
      </c>
      <c r="C482" s="64" t="s">
        <v>3028</v>
      </c>
      <c r="D482" s="47" t="s">
        <v>227</v>
      </c>
      <c r="E482" s="64" t="s">
        <v>59</v>
      </c>
      <c r="F482" s="31" t="s">
        <v>60</v>
      </c>
      <c r="G482" s="31"/>
      <c r="H482" s="31"/>
      <c r="I482" s="31" t="s">
        <v>60</v>
      </c>
      <c r="J482" s="31"/>
      <c r="K482" s="31"/>
      <c r="L482" s="32">
        <f>IFERROR(__xludf.DUMMYFUNCTION("VLOOKUP($A482,IMPORTRANGE(""1PQtfbQLqBUP-rjYRznmgNFBLOjvAnhGzpIx7BJWq8rk"",""'Worksheet'!$B$2:$H""),7,FALSE)"),1.0)</f>
        <v>1</v>
      </c>
      <c r="M482" s="31" t="s">
        <v>60</v>
      </c>
      <c r="N482" s="49">
        <v>1.6427608519E8</v>
      </c>
      <c r="O482" s="49">
        <v>1.0735188294E8</v>
      </c>
      <c r="P482" s="49">
        <v>0.0</v>
      </c>
      <c r="Q482" s="34">
        <f t="shared" si="7"/>
        <v>0.3465154541</v>
      </c>
      <c r="R482" s="31"/>
      <c r="S482" s="31" t="s">
        <v>60</v>
      </c>
      <c r="T482" s="50" t="s">
        <v>3029</v>
      </c>
      <c r="U482" s="115">
        <v>1.0735188294E8</v>
      </c>
      <c r="V482" s="51">
        <v>0.0</v>
      </c>
      <c r="W482" s="31"/>
      <c r="X482" s="52" t="s">
        <v>113</v>
      </c>
      <c r="Y482" s="54"/>
      <c r="Z482" s="54"/>
      <c r="AA482" s="54" t="s">
        <v>114</v>
      </c>
      <c r="AB482" s="38" t="s">
        <v>115</v>
      </c>
      <c r="AC482" s="38"/>
      <c r="AD482" s="39">
        <v>164276.09</v>
      </c>
      <c r="AE482" s="39">
        <v>107186.1812</v>
      </c>
      <c r="AF482" s="39">
        <v>57089.90878</v>
      </c>
      <c r="AG482" s="57" t="s">
        <v>3030</v>
      </c>
      <c r="AH482" s="42" t="s">
        <v>1262</v>
      </c>
      <c r="AI482" s="42" t="str">
        <f>IFERROR(__xludf.DUMMYFUNCTION("vLOOKUP(A482,IMPORTRANGE(""https://docs.google.com/spreadsheets/d/1Rawwwdh8wntXGy8isdYNHxsNQS4n_rC8JSdPfj6vEq4"",""'500 объектов перенос на 2026'!A3:AB502""),13,0)"),"#REF!")</f>
        <v>#REF!</v>
      </c>
      <c r="AJ482" s="42" t="str">
        <f>IFERROR(__xludf.DUMMYFUNCTION("vLOOKUP(A482,IMPORTRANGE(""https://docs.google.com/spreadsheets/d/1Rawwwdh8wntXGy8isdYNHxsNQS4n_rC8JSdPfj6vEq4"",""'500 объектов перенос на 2026'!A3:AB502""),14,0)"),"#REF!")</f>
        <v>#REF!</v>
      </c>
      <c r="AK482" s="76" t="s">
        <v>746</v>
      </c>
      <c r="AL482" s="76"/>
      <c r="AM482" s="70"/>
      <c r="AN482" s="43"/>
      <c r="AO482" s="43"/>
      <c r="AP482" s="43"/>
      <c r="AQ482" s="43"/>
      <c r="AR482" s="43"/>
      <c r="AS482" s="43"/>
      <c r="AT482" s="43"/>
      <c r="AU482" s="43"/>
      <c r="AV482" s="43"/>
      <c r="AW482" s="43"/>
      <c r="AX482" s="43"/>
      <c r="AY482" s="43"/>
      <c r="AZ482" s="43"/>
    </row>
    <row r="483">
      <c r="A483" s="78" t="s">
        <v>3031</v>
      </c>
      <c r="B483" s="63" t="s">
        <v>736</v>
      </c>
      <c r="C483" s="64" t="s">
        <v>3032</v>
      </c>
      <c r="D483" s="47" t="s">
        <v>1523</v>
      </c>
      <c r="E483" s="64" t="s">
        <v>85</v>
      </c>
      <c r="F483" s="31" t="s">
        <v>60</v>
      </c>
      <c r="G483" s="31"/>
      <c r="H483" s="31"/>
      <c r="I483" s="31" t="s">
        <v>60</v>
      </c>
      <c r="J483" s="31"/>
      <c r="K483" s="31"/>
      <c r="L483" s="32" t="str">
        <f>IFERROR(__xludf.DUMMYFUNCTION("VLOOKUP($A483,IMPORTRANGE(""1PQtfbQLqBUP-rjYRznmgNFBLOjvAnhGzpIx7BJWq8rk"",""'Worksheet'!$B$2:$H""),7,FALSE)"),"#N/A")</f>
        <v>#N/A</v>
      </c>
      <c r="M483" s="31" t="s">
        <v>60</v>
      </c>
      <c r="N483" s="49">
        <v>2.798160604E7</v>
      </c>
      <c r="O483" s="49">
        <v>2.47850025E7</v>
      </c>
      <c r="P483" s="49">
        <v>0.0</v>
      </c>
      <c r="Q483" s="34">
        <f t="shared" si="7"/>
        <v>0.1142394591</v>
      </c>
      <c r="R483" s="31"/>
      <c r="S483" s="31" t="s">
        <v>60</v>
      </c>
      <c r="T483" s="50"/>
      <c r="U483" s="51"/>
      <c r="V483" s="51"/>
      <c r="W483" s="31"/>
      <c r="X483" s="52" t="s">
        <v>113</v>
      </c>
      <c r="Y483" s="54"/>
      <c r="Z483" s="54"/>
      <c r="AA483" s="54" t="s">
        <v>114</v>
      </c>
      <c r="AB483" s="38" t="s">
        <v>115</v>
      </c>
      <c r="AC483" s="38"/>
      <c r="AD483" s="39">
        <v>57527.6</v>
      </c>
      <c r="AE483" s="39">
        <v>24785.0025</v>
      </c>
      <c r="AF483" s="39">
        <v>32742.5975</v>
      </c>
      <c r="AG483" s="57" t="s">
        <v>3033</v>
      </c>
      <c r="AH483" s="42" t="s">
        <v>1385</v>
      </c>
      <c r="AI483" s="42" t="str">
        <f>IFERROR(__xludf.DUMMYFUNCTION("vLOOKUP(A483,IMPORTRANGE(""https://docs.google.com/spreadsheets/d/1Rawwwdh8wntXGy8isdYNHxsNQS4n_rC8JSdPfj6vEq4"",""'500 объектов перенос на 2026'!A3:AB502""),13,0)"),"#REF!")</f>
        <v>#REF!</v>
      </c>
      <c r="AJ483" s="42" t="str">
        <f>IFERROR(__xludf.DUMMYFUNCTION("vLOOKUP(A483,IMPORTRANGE(""https://docs.google.com/spreadsheets/d/1Rawwwdh8wntXGy8isdYNHxsNQS4n_rC8JSdPfj6vEq4"",""'500 объектов перенос на 2026'!A3:AB502""),14,0)"),"#REF!")</f>
        <v>#REF!</v>
      </c>
      <c r="AK483" s="76" t="s">
        <v>746</v>
      </c>
      <c r="AL483" s="76"/>
      <c r="AM483" s="70"/>
      <c r="AN483" s="43"/>
      <c r="AO483" s="43"/>
      <c r="AP483" s="43"/>
      <c r="AQ483" s="43"/>
      <c r="AR483" s="43"/>
      <c r="AS483" s="43"/>
      <c r="AT483" s="43"/>
      <c r="AU483" s="43"/>
      <c r="AV483" s="43"/>
      <c r="AW483" s="43"/>
      <c r="AX483" s="43"/>
      <c r="AY483" s="43"/>
      <c r="AZ483" s="43"/>
    </row>
    <row r="484">
      <c r="A484" s="78" t="s">
        <v>3034</v>
      </c>
      <c r="B484" s="63" t="s">
        <v>736</v>
      </c>
      <c r="C484" s="64" t="s">
        <v>3035</v>
      </c>
      <c r="D484" s="47" t="s">
        <v>1523</v>
      </c>
      <c r="E484" s="64" t="s">
        <v>85</v>
      </c>
      <c r="F484" s="31" t="s">
        <v>60</v>
      </c>
      <c r="G484" s="31"/>
      <c r="H484" s="31"/>
      <c r="I484" s="31" t="s">
        <v>60</v>
      </c>
      <c r="J484" s="31"/>
      <c r="K484" s="31"/>
      <c r="L484" s="32" t="str">
        <f>IFERROR(__xludf.DUMMYFUNCTION("VLOOKUP($A484,IMPORTRANGE(""1PQtfbQLqBUP-rjYRznmgNFBLOjvAnhGzpIx7BJWq8rk"",""'Worksheet'!$B$2:$H""),7,FALSE)"),"#N/A")</f>
        <v>#N/A</v>
      </c>
      <c r="M484" s="31" t="s">
        <v>60</v>
      </c>
      <c r="N484" s="49">
        <v>1.656969889E7</v>
      </c>
      <c r="O484" s="49">
        <v>1.628069879E7</v>
      </c>
      <c r="P484" s="49">
        <v>0.0</v>
      </c>
      <c r="Q484" s="34">
        <f t="shared" si="7"/>
        <v>0.0174414817</v>
      </c>
      <c r="R484" s="31"/>
      <c r="S484" s="31" t="s">
        <v>60</v>
      </c>
      <c r="T484" s="50"/>
      <c r="U484" s="117"/>
      <c r="V484" s="51"/>
      <c r="W484" s="31"/>
      <c r="X484" s="52" t="s">
        <v>113</v>
      </c>
      <c r="Y484" s="54"/>
      <c r="Z484" s="54"/>
      <c r="AA484" s="54" t="s">
        <v>114</v>
      </c>
      <c r="AB484" s="38" t="s">
        <v>115</v>
      </c>
      <c r="AC484" s="38"/>
      <c r="AD484" s="39">
        <v>30636.0</v>
      </c>
      <c r="AE484" s="39">
        <v>11533.39572</v>
      </c>
      <c r="AF484" s="39">
        <v>19102.60428</v>
      </c>
      <c r="AG484" s="57" t="s">
        <v>3036</v>
      </c>
      <c r="AH484" s="42" t="s">
        <v>1385</v>
      </c>
      <c r="AI484" s="42" t="str">
        <f>IFERROR(__xludf.DUMMYFUNCTION("vLOOKUP(A484,IMPORTRANGE(""https://docs.google.com/spreadsheets/d/1Rawwwdh8wntXGy8isdYNHxsNQS4n_rC8JSdPfj6vEq4"",""'500 объектов перенос на 2026'!A3:AB502""),13,0)"),"#REF!")</f>
        <v>#REF!</v>
      </c>
      <c r="AJ484" s="42" t="str">
        <f>IFERROR(__xludf.DUMMYFUNCTION("vLOOKUP(A484,IMPORTRANGE(""https://docs.google.com/spreadsheets/d/1Rawwwdh8wntXGy8isdYNHxsNQS4n_rC8JSdPfj6vEq4"",""'500 объектов перенос на 2026'!A3:AB502""),14,0)"),"#REF!")</f>
        <v>#REF!</v>
      </c>
      <c r="AK484" s="76" t="s">
        <v>746</v>
      </c>
      <c r="AL484" s="70"/>
      <c r="AM484" s="70"/>
      <c r="AN484" s="43"/>
      <c r="AO484" s="43"/>
      <c r="AP484" s="43"/>
      <c r="AQ484" s="43"/>
      <c r="AR484" s="43"/>
      <c r="AS484" s="43"/>
      <c r="AT484" s="43"/>
      <c r="AU484" s="43"/>
      <c r="AV484" s="43"/>
      <c r="AW484" s="43"/>
      <c r="AX484" s="43"/>
      <c r="AY484" s="43"/>
      <c r="AZ484" s="43"/>
    </row>
    <row r="485">
      <c r="A485" s="78" t="s">
        <v>3037</v>
      </c>
      <c r="B485" s="63" t="s">
        <v>736</v>
      </c>
      <c r="C485" s="64" t="s">
        <v>3038</v>
      </c>
      <c r="D485" s="47" t="s">
        <v>1523</v>
      </c>
      <c r="E485" s="64" t="s">
        <v>85</v>
      </c>
      <c r="F485" s="31" t="s">
        <v>60</v>
      </c>
      <c r="G485" s="31"/>
      <c r="H485" s="31"/>
      <c r="I485" s="31" t="s">
        <v>60</v>
      </c>
      <c r="J485" s="31"/>
      <c r="K485" s="31"/>
      <c r="L485" s="32" t="str">
        <f>IFERROR(__xludf.DUMMYFUNCTION("VLOOKUP($A485,IMPORTRANGE(""1PQtfbQLqBUP-rjYRznmgNFBLOjvAnhGzpIx7BJWq8rk"",""'Worksheet'!$B$2:$H""),7,FALSE)"),"#N/A")</f>
        <v>#N/A</v>
      </c>
      <c r="M485" s="31" t="s">
        <v>60</v>
      </c>
      <c r="N485" s="49">
        <v>5.3686464E7</v>
      </c>
      <c r="O485" s="49">
        <v>4.259136648E7</v>
      </c>
      <c r="P485" s="49">
        <v>0.0</v>
      </c>
      <c r="Q485" s="34">
        <f t="shared" si="7"/>
        <v>0.2066647101</v>
      </c>
      <c r="R485" s="31"/>
      <c r="S485" s="31" t="s">
        <v>60</v>
      </c>
      <c r="T485" s="50"/>
      <c r="U485" s="117"/>
      <c r="V485" s="51"/>
      <c r="W485" s="31"/>
      <c r="X485" s="52" t="s">
        <v>113</v>
      </c>
      <c r="Y485" s="54"/>
      <c r="Z485" s="54"/>
      <c r="AA485" s="54" t="s">
        <v>114</v>
      </c>
      <c r="AB485" s="38" t="s">
        <v>115</v>
      </c>
      <c r="AC485" s="38"/>
      <c r="AD485" s="39">
        <v>115472.0</v>
      </c>
      <c r="AE485" s="39">
        <v>42591.36335</v>
      </c>
      <c r="AF485" s="39">
        <v>72880.63665</v>
      </c>
      <c r="AG485" s="57" t="s">
        <v>3039</v>
      </c>
      <c r="AH485" s="42" t="s">
        <v>1385</v>
      </c>
      <c r="AI485" s="42" t="str">
        <f>IFERROR(__xludf.DUMMYFUNCTION("vLOOKUP(A485,IMPORTRANGE(""https://docs.google.com/spreadsheets/d/1Rawwwdh8wntXGy8isdYNHxsNQS4n_rC8JSdPfj6vEq4"",""'500 объектов перенос на 2026'!A3:AB502""),13,0)"),"#REF!")</f>
        <v>#REF!</v>
      </c>
      <c r="AJ485" s="42" t="str">
        <f>IFERROR(__xludf.DUMMYFUNCTION("vLOOKUP(A485,IMPORTRANGE(""https://docs.google.com/spreadsheets/d/1Rawwwdh8wntXGy8isdYNHxsNQS4n_rC8JSdPfj6vEq4"",""'500 объектов перенос на 2026'!A3:AB502""),14,0)"),"#REF!")</f>
        <v>#REF!</v>
      </c>
      <c r="AK485" s="76" t="s">
        <v>746</v>
      </c>
      <c r="AL485" s="70"/>
      <c r="AM485" s="70"/>
      <c r="AN485" s="43"/>
      <c r="AO485" s="43"/>
      <c r="AP485" s="43"/>
      <c r="AQ485" s="43"/>
      <c r="AR485" s="43"/>
      <c r="AS485" s="43"/>
      <c r="AT485" s="43"/>
      <c r="AU485" s="43"/>
      <c r="AV485" s="43"/>
      <c r="AW485" s="43"/>
      <c r="AX485" s="43"/>
      <c r="AY485" s="43"/>
      <c r="AZ485" s="43"/>
    </row>
    <row r="486">
      <c r="A486" s="78" t="s">
        <v>3040</v>
      </c>
      <c r="B486" s="63" t="s">
        <v>736</v>
      </c>
      <c r="C486" s="64" t="s">
        <v>3041</v>
      </c>
      <c r="D486" s="47" t="s">
        <v>227</v>
      </c>
      <c r="E486" s="64" t="s">
        <v>59</v>
      </c>
      <c r="F486" s="31" t="s">
        <v>60</v>
      </c>
      <c r="G486" s="31"/>
      <c r="H486" s="31"/>
      <c r="I486" s="31" t="s">
        <v>60</v>
      </c>
      <c r="J486" s="31"/>
      <c r="K486" s="31"/>
      <c r="L486" s="32" t="str">
        <f>IFERROR(__xludf.DUMMYFUNCTION("VLOOKUP($A486,IMPORTRANGE(""1PQtfbQLqBUP-rjYRznmgNFBLOjvAnhGzpIx7BJWq8rk"",""'Worksheet'!$B$2:$H""),7,FALSE)"),"#N/A")</f>
        <v>#N/A</v>
      </c>
      <c r="M486" s="31" t="s">
        <v>60</v>
      </c>
      <c r="N486" s="49">
        <v>3.7141802E7</v>
      </c>
      <c r="O486" s="49">
        <v>3.249388308E7</v>
      </c>
      <c r="P486" s="49">
        <v>0.0</v>
      </c>
      <c r="Q486" s="34">
        <f t="shared" si="7"/>
        <v>0.1251398335</v>
      </c>
      <c r="R486" s="31"/>
      <c r="S486" s="31" t="s">
        <v>60</v>
      </c>
      <c r="T486" s="50"/>
      <c r="U486" s="117"/>
      <c r="V486" s="51"/>
      <c r="W486" s="31"/>
      <c r="X486" s="52" t="s">
        <v>113</v>
      </c>
      <c r="Y486" s="54"/>
      <c r="Z486" s="54"/>
      <c r="AA486" s="54" t="s">
        <v>114</v>
      </c>
      <c r="AB486" s="38" t="s">
        <v>115</v>
      </c>
      <c r="AC486" s="38"/>
      <c r="AD486" s="39">
        <v>37141.8</v>
      </c>
      <c r="AE486" s="39">
        <v>32493.88308</v>
      </c>
      <c r="AF486" s="39">
        <v>4647.91692</v>
      </c>
      <c r="AG486" s="57" t="s">
        <v>3042</v>
      </c>
      <c r="AH486" s="42" t="s">
        <v>1385</v>
      </c>
      <c r="AI486" s="42" t="str">
        <f>IFERROR(__xludf.DUMMYFUNCTION("vLOOKUP(A486,IMPORTRANGE(""https://docs.google.com/spreadsheets/d/1Rawwwdh8wntXGy8isdYNHxsNQS4n_rC8JSdPfj6vEq4"",""'500 объектов перенос на 2026'!A3:AB502""),13,0)"),"#REF!")</f>
        <v>#REF!</v>
      </c>
      <c r="AJ486" s="42" t="str">
        <f>IFERROR(__xludf.DUMMYFUNCTION("vLOOKUP(A486,IMPORTRANGE(""https://docs.google.com/spreadsheets/d/1Rawwwdh8wntXGy8isdYNHxsNQS4n_rC8JSdPfj6vEq4"",""'500 объектов перенос на 2026'!A3:AB502""),14,0)"),"#REF!")</f>
        <v>#REF!</v>
      </c>
      <c r="AK486" s="76" t="s">
        <v>746</v>
      </c>
      <c r="AL486" s="70"/>
      <c r="AM486" s="70"/>
      <c r="AN486" s="43"/>
      <c r="AO486" s="43"/>
      <c r="AP486" s="43"/>
      <c r="AQ486" s="43"/>
      <c r="AR486" s="43"/>
      <c r="AS486" s="43"/>
      <c r="AT486" s="43"/>
      <c r="AU486" s="43"/>
      <c r="AV486" s="43"/>
      <c r="AW486" s="43"/>
      <c r="AX486" s="43"/>
      <c r="AY486" s="43"/>
      <c r="AZ486" s="43"/>
    </row>
    <row r="487">
      <c r="A487" s="62" t="s">
        <v>3043</v>
      </c>
      <c r="B487" s="63" t="s">
        <v>133</v>
      </c>
      <c r="C487" s="144" t="s">
        <v>3044</v>
      </c>
      <c r="D487" s="47" t="s">
        <v>3045</v>
      </c>
      <c r="E487" s="64" t="s">
        <v>39</v>
      </c>
      <c r="F487" s="31" t="s">
        <v>60</v>
      </c>
      <c r="G487" s="31"/>
      <c r="H487" s="31"/>
      <c r="I487" s="31" t="s">
        <v>60</v>
      </c>
      <c r="J487" s="31"/>
      <c r="K487" s="31"/>
      <c r="L487" s="32">
        <f>IFERROR(__xludf.DUMMYFUNCTION("VLOOKUP($A487,IMPORTRANGE(""1PQtfbQLqBUP-rjYRznmgNFBLOjvAnhGzpIx7BJWq8rk"",""'Worksheet'!$B$2:$H""),7,FALSE)"),1.0)</f>
        <v>1</v>
      </c>
      <c r="M487" s="31" t="s">
        <v>45</v>
      </c>
      <c r="N487" s="49">
        <v>1.1305509705E8</v>
      </c>
      <c r="O487" s="49">
        <v>1.1081229927E8</v>
      </c>
      <c r="P487" s="49">
        <f t="shared" ref="P487:P489" si="76">N487-O487</f>
        <v>2242797.78</v>
      </c>
      <c r="Q487" s="34">
        <f t="shared" si="7"/>
        <v>0.01983809522</v>
      </c>
      <c r="R487" s="31"/>
      <c r="S487" s="31" t="s">
        <v>45</v>
      </c>
      <c r="T487" s="50">
        <f>N487*0.95</f>
        <v>107402342.2</v>
      </c>
      <c r="U487" s="51">
        <v>1.0740234219749999E8</v>
      </c>
      <c r="V487" s="51"/>
      <c r="W487" s="31"/>
      <c r="X487" s="52" t="s">
        <v>3046</v>
      </c>
      <c r="Y487" s="54" t="s">
        <v>3047</v>
      </c>
      <c r="Z487" s="54" t="s">
        <v>1034</v>
      </c>
      <c r="AA487" s="74">
        <v>46233.0</v>
      </c>
      <c r="AB487" s="43"/>
      <c r="AC487" s="43"/>
      <c r="AD487" s="39">
        <v>113055.0</v>
      </c>
      <c r="AE487" s="39">
        <v>112043.348</v>
      </c>
      <c r="AF487" s="40">
        <v>1011.65197</v>
      </c>
      <c r="AG487" s="57" t="s">
        <v>3048</v>
      </c>
      <c r="AH487" s="42" t="s">
        <v>1177</v>
      </c>
      <c r="AI487" s="42" t="str">
        <f>IFERROR(__xludf.DUMMYFUNCTION("vLOOKUP(A487,IMPORTRANGE(""https://docs.google.com/spreadsheets/d/1Rawwwdh8wntXGy8isdYNHxsNQS4n_rC8JSdPfj6vEq4"",""'500 объектов перенос на 2026'!A3:AB502""),13,0)"),"#REF!")</f>
        <v>#REF!</v>
      </c>
      <c r="AJ487" s="42" t="str">
        <f>IFERROR(__xludf.DUMMYFUNCTION("vLOOKUP(A487,IMPORTRANGE(""https://docs.google.com/spreadsheets/d/1Rawwwdh8wntXGy8isdYNHxsNQS4n_rC8JSdPfj6vEq4"",""'500 объектов перенос на 2026'!A3:AB502""),14,0)"),"#REF!")</f>
        <v>#REF!</v>
      </c>
      <c r="AK487" s="76" t="s">
        <v>3049</v>
      </c>
      <c r="AL487" s="70"/>
      <c r="AM487" s="70"/>
      <c r="AN487" s="43"/>
      <c r="AO487" s="43"/>
      <c r="AP487" s="43"/>
      <c r="AQ487" s="43"/>
      <c r="AR487" s="43"/>
      <c r="AS487" s="43"/>
      <c r="AT487" s="43"/>
      <c r="AU487" s="43"/>
      <c r="AV487" s="43"/>
      <c r="AW487" s="43"/>
      <c r="AX487" s="43"/>
      <c r="AY487" s="43"/>
      <c r="AZ487" s="43"/>
    </row>
    <row r="488">
      <c r="A488" s="62" t="s">
        <v>3050</v>
      </c>
      <c r="B488" s="63" t="s">
        <v>1586</v>
      </c>
      <c r="C488" s="64" t="s">
        <v>3051</v>
      </c>
      <c r="D488" s="47" t="s">
        <v>1276</v>
      </c>
      <c r="E488" s="64" t="s">
        <v>39</v>
      </c>
      <c r="F488" s="31" t="s">
        <v>60</v>
      </c>
      <c r="G488" s="31"/>
      <c r="H488" s="31"/>
      <c r="I488" s="31" t="s">
        <v>40</v>
      </c>
      <c r="J488" s="31" t="s">
        <v>43</v>
      </c>
      <c r="K488" s="31" t="s">
        <v>72</v>
      </c>
      <c r="L488" s="32">
        <f>IFERROR(__xludf.DUMMYFUNCTION("VLOOKUP($A488,IMPORTRANGE(""1PQtfbQLqBUP-rjYRznmgNFBLOjvAnhGzpIx7BJWq8rk"",""'Worksheet'!$B$2:$H""),7,FALSE)"),0.92)</f>
        <v>0.92</v>
      </c>
      <c r="M488" s="31" t="s">
        <v>45</v>
      </c>
      <c r="N488" s="49">
        <v>9.228134099E7</v>
      </c>
      <c r="O488" s="49">
        <v>9.018818946E7</v>
      </c>
      <c r="P488" s="49">
        <f t="shared" si="76"/>
        <v>2093151.53</v>
      </c>
      <c r="Q488" s="34">
        <f t="shared" si="7"/>
        <v>0.02268228341</v>
      </c>
      <c r="R488" s="31"/>
      <c r="S488" s="31" t="s">
        <v>45</v>
      </c>
      <c r="T488" s="72" t="s">
        <v>3052</v>
      </c>
      <c r="U488" s="67" t="s">
        <v>3053</v>
      </c>
      <c r="V488" s="67" t="s">
        <v>3054</v>
      </c>
      <c r="W488" s="31"/>
      <c r="X488" s="52" t="s">
        <v>1592</v>
      </c>
      <c r="Y488" s="54" t="s">
        <v>3055</v>
      </c>
      <c r="Z488" s="54" t="s">
        <v>1594</v>
      </c>
      <c r="AA488" s="74">
        <v>46249.0</v>
      </c>
      <c r="AB488" s="56"/>
      <c r="AC488" s="38" t="s">
        <v>1595</v>
      </c>
      <c r="AD488" s="39">
        <v>95192.75</v>
      </c>
      <c r="AE488" s="39">
        <v>90188.18946</v>
      </c>
      <c r="AF488" s="40">
        <v>5004.56054</v>
      </c>
      <c r="AG488" s="57" t="s">
        <v>3056</v>
      </c>
      <c r="AH488" s="42" t="s">
        <v>2801</v>
      </c>
      <c r="AI488" s="42" t="str">
        <f>IFERROR(__xludf.DUMMYFUNCTION("vLOOKUP(A488,IMPORTRANGE(""https://docs.google.com/spreadsheets/d/1Rawwwdh8wntXGy8isdYNHxsNQS4n_rC8JSdPfj6vEq4"",""'500 объектов перенос на 2026'!A3:AB502""),13,0)"),"#REF!")</f>
        <v>#REF!</v>
      </c>
      <c r="AJ488" s="42" t="str">
        <f>IFERROR(__xludf.DUMMYFUNCTION("vLOOKUP(A488,IMPORTRANGE(""https://docs.google.com/spreadsheets/d/1Rawwwdh8wntXGy8isdYNHxsNQS4n_rC8JSdPfj6vEq4"",""'500 объектов перенос на 2026'!A3:AB502""),14,0)"),"#REF!")</f>
        <v>#REF!</v>
      </c>
      <c r="AK488" s="76" t="s">
        <v>3057</v>
      </c>
      <c r="AL488" s="70"/>
      <c r="AM488" s="70"/>
      <c r="AN488" s="43"/>
      <c r="AO488" s="43"/>
      <c r="AP488" s="43"/>
      <c r="AQ488" s="43"/>
      <c r="AR488" s="43"/>
      <c r="AS488" s="43"/>
      <c r="AT488" s="43"/>
      <c r="AU488" s="43"/>
      <c r="AV488" s="43"/>
      <c r="AW488" s="43"/>
      <c r="AX488" s="43"/>
      <c r="AY488" s="43"/>
      <c r="AZ488" s="43"/>
    </row>
    <row r="489">
      <c r="A489" s="62" t="s">
        <v>3058</v>
      </c>
      <c r="B489" s="63" t="s">
        <v>400</v>
      </c>
      <c r="C489" s="64" t="s">
        <v>3059</v>
      </c>
      <c r="D489" s="47" t="s">
        <v>1048</v>
      </c>
      <c r="E489" s="64" t="s">
        <v>324</v>
      </c>
      <c r="F489" s="31" t="s">
        <v>60</v>
      </c>
      <c r="G489" s="31"/>
      <c r="H489" s="31"/>
      <c r="I489" s="31" t="s">
        <v>60</v>
      </c>
      <c r="J489" s="31"/>
      <c r="K489" s="31"/>
      <c r="L489" s="32">
        <f>IFERROR(__xludf.DUMMYFUNCTION("VLOOKUP($A489,IMPORTRANGE(""1PQtfbQLqBUP-rjYRznmgNFBLOjvAnhGzpIx7BJWq8rk"",""'Worksheet'!$B$2:$H""),7,FALSE)"),0.68)</f>
        <v>0.68</v>
      </c>
      <c r="M489" s="31" t="s">
        <v>45</v>
      </c>
      <c r="N489" s="49">
        <v>2.88621101E7</v>
      </c>
      <c r="O489" s="49">
        <v>2.684425362E7</v>
      </c>
      <c r="P489" s="49">
        <f t="shared" si="76"/>
        <v>2017856.48</v>
      </c>
      <c r="Q489" s="34">
        <f t="shared" si="7"/>
        <v>0.06991368521</v>
      </c>
      <c r="R489" s="31"/>
      <c r="S489" s="31" t="s">
        <v>45</v>
      </c>
      <c r="T489" s="50"/>
      <c r="U489" s="51"/>
      <c r="V489" s="51"/>
      <c r="W489" s="31" t="s">
        <v>148</v>
      </c>
      <c r="X489" s="52" t="s">
        <v>113</v>
      </c>
      <c r="Y489" s="54" t="s">
        <v>3060</v>
      </c>
      <c r="Z489" s="54" t="s">
        <v>1749</v>
      </c>
      <c r="AA489" s="74">
        <v>46223.0</v>
      </c>
      <c r="AB489" s="56"/>
      <c r="AC489" s="38"/>
      <c r="AD489" s="39">
        <v>28862.11</v>
      </c>
      <c r="AE489" s="39">
        <v>27040.33528</v>
      </c>
      <c r="AF489" s="39">
        <v>1821.77472</v>
      </c>
      <c r="AG489" s="57" t="s">
        <v>3061</v>
      </c>
      <c r="AH489" s="42" t="s">
        <v>1054</v>
      </c>
      <c r="AI489" s="42" t="str">
        <f>IFERROR(__xludf.DUMMYFUNCTION("vLOOKUP(A489,IMPORTRANGE(""https://docs.google.com/spreadsheets/d/1Rawwwdh8wntXGy8isdYNHxsNQS4n_rC8JSdPfj6vEq4"",""'500 объектов перенос на 2026'!A3:AB502""),13,0)"),"#REF!")</f>
        <v>#REF!</v>
      </c>
      <c r="AJ489" s="42" t="str">
        <f>IFERROR(__xludf.DUMMYFUNCTION("vLOOKUP(A489,IMPORTRANGE(""https://docs.google.com/spreadsheets/d/1Rawwwdh8wntXGy8isdYNHxsNQS4n_rC8JSdPfj6vEq4"",""'500 объектов перенос на 2026'!A3:AB502""),14,0)"),"#REF!")</f>
        <v>#REF!</v>
      </c>
      <c r="AK489" s="76" t="s">
        <v>3062</v>
      </c>
      <c r="AL489" s="70"/>
      <c r="AM489" s="70"/>
      <c r="AN489" s="43"/>
      <c r="AO489" s="43"/>
      <c r="AP489" s="43"/>
      <c r="AQ489" s="43"/>
      <c r="AR489" s="43"/>
      <c r="AS489" s="43"/>
      <c r="AT489" s="43"/>
      <c r="AU489" s="43"/>
      <c r="AV489" s="43"/>
      <c r="AW489" s="43"/>
      <c r="AX489" s="43"/>
      <c r="AY489" s="43"/>
      <c r="AZ489" s="43"/>
    </row>
    <row r="490">
      <c r="A490" s="78" t="s">
        <v>3063</v>
      </c>
      <c r="B490" s="63" t="s">
        <v>736</v>
      </c>
      <c r="C490" s="64" t="s">
        <v>3064</v>
      </c>
      <c r="D490" s="47" t="s">
        <v>112</v>
      </c>
      <c r="E490" s="90" t="s">
        <v>85</v>
      </c>
      <c r="F490" s="31" t="s">
        <v>60</v>
      </c>
      <c r="G490" s="31"/>
      <c r="H490" s="31"/>
      <c r="I490" s="31" t="s">
        <v>60</v>
      </c>
      <c r="J490" s="31"/>
      <c r="K490" s="31"/>
      <c r="L490" s="32">
        <f>IFERROR(__xludf.DUMMYFUNCTION("VLOOKUP($A490,IMPORTRANGE(""1PQtfbQLqBUP-rjYRznmgNFBLOjvAnhGzpIx7BJWq8rk"",""'Worksheet'!$B$2:$H""),7,FALSE)"),1.0)</f>
        <v>1</v>
      </c>
      <c r="M490" s="31" t="s">
        <v>60</v>
      </c>
      <c r="N490" s="49">
        <v>4202910.99</v>
      </c>
      <c r="O490" s="49">
        <v>3962394.15</v>
      </c>
      <c r="P490" s="49">
        <v>0.0</v>
      </c>
      <c r="Q490" s="34">
        <f t="shared" si="7"/>
        <v>0.05722625118</v>
      </c>
      <c r="R490" s="31"/>
      <c r="S490" s="31" t="s">
        <v>60</v>
      </c>
      <c r="T490" s="50"/>
      <c r="U490" s="51"/>
      <c r="V490" s="51"/>
      <c r="W490" s="31"/>
      <c r="X490" s="52" t="s">
        <v>45</v>
      </c>
      <c r="Y490" s="74"/>
      <c r="Z490" s="74"/>
      <c r="AA490" s="54" t="s">
        <v>114</v>
      </c>
      <c r="AB490" s="38" t="s">
        <v>115</v>
      </c>
      <c r="AC490" s="38"/>
      <c r="AD490" s="39">
        <v>4202.91</v>
      </c>
      <c r="AE490" s="39">
        <v>3962.39031</v>
      </c>
      <c r="AF490" s="40">
        <v>240.51969</v>
      </c>
      <c r="AG490" s="57" t="s">
        <v>3065</v>
      </c>
      <c r="AH490" s="42" t="s">
        <v>1262</v>
      </c>
      <c r="AI490" s="42" t="str">
        <f>IFERROR(__xludf.DUMMYFUNCTION("vLOOKUP(A490,IMPORTRANGE(""https://docs.google.com/spreadsheets/d/1Rawwwdh8wntXGy8isdYNHxsNQS4n_rC8JSdPfj6vEq4"",""'500 объектов перенос на 2026'!A3:AB502""),13,0)"),"#REF!")</f>
        <v>#REF!</v>
      </c>
      <c r="AJ490" s="42" t="str">
        <f>IFERROR(__xludf.DUMMYFUNCTION("vLOOKUP(A490,IMPORTRANGE(""https://docs.google.com/spreadsheets/d/1Rawwwdh8wntXGy8isdYNHxsNQS4n_rC8JSdPfj6vEq4"",""'500 объектов перенос на 2026'!A3:AB502""),14,0)"),"#REF!")</f>
        <v>#REF!</v>
      </c>
      <c r="AK490" s="76" t="s">
        <v>746</v>
      </c>
      <c r="AL490" s="70"/>
      <c r="AM490" s="70"/>
      <c r="AN490" s="43"/>
      <c r="AO490" s="43"/>
      <c r="AP490" s="43"/>
      <c r="AQ490" s="43"/>
      <c r="AR490" s="43"/>
      <c r="AS490" s="43"/>
      <c r="AT490" s="43"/>
      <c r="AU490" s="43"/>
      <c r="AV490" s="43"/>
      <c r="AW490" s="43"/>
      <c r="AX490" s="43"/>
      <c r="AY490" s="43"/>
      <c r="AZ490" s="43"/>
    </row>
    <row r="491">
      <c r="A491" s="78" t="s">
        <v>3066</v>
      </c>
      <c r="B491" s="63" t="s">
        <v>736</v>
      </c>
      <c r="C491" s="64" t="s">
        <v>3067</v>
      </c>
      <c r="D491" s="47" t="s">
        <v>3068</v>
      </c>
      <c r="E491" s="64" t="s">
        <v>39</v>
      </c>
      <c r="F491" s="31" t="s">
        <v>60</v>
      </c>
      <c r="G491" s="31"/>
      <c r="H491" s="31"/>
      <c r="I491" s="31" t="s">
        <v>60</v>
      </c>
      <c r="J491" s="31"/>
      <c r="K491" s="31"/>
      <c r="L491" s="32">
        <f>IFERROR(__xludf.DUMMYFUNCTION("VLOOKUP($A491,IMPORTRANGE(""1PQtfbQLqBUP-rjYRznmgNFBLOjvAnhGzpIx7BJWq8rk"",""'Worksheet'!$B$2:$H""),7,FALSE)"),1.0)</f>
        <v>1</v>
      </c>
      <c r="M491" s="31" t="s">
        <v>60</v>
      </c>
      <c r="N491" s="49">
        <v>2.4180904474E8</v>
      </c>
      <c r="O491" s="49">
        <v>2.416904617E8</v>
      </c>
      <c r="P491" s="49">
        <v>0.0</v>
      </c>
      <c r="Q491" s="34">
        <f t="shared" si="7"/>
        <v>0.0004903995222</v>
      </c>
      <c r="R491" s="31"/>
      <c r="S491" s="31" t="s">
        <v>60</v>
      </c>
      <c r="T491" s="91"/>
      <c r="U491" s="51"/>
      <c r="V491" s="51"/>
      <c r="W491" s="31"/>
      <c r="X491" s="52" t="s">
        <v>113</v>
      </c>
      <c r="Y491" s="54"/>
      <c r="Z491" s="54"/>
      <c r="AA491" s="54" t="s">
        <v>114</v>
      </c>
      <c r="AB491" s="38" t="s">
        <v>115</v>
      </c>
      <c r="AC491" s="38"/>
      <c r="AD491" s="39">
        <v>248576.9</v>
      </c>
      <c r="AE491" s="39">
        <v>253257.6853</v>
      </c>
      <c r="AF491" s="39">
        <v>-4680.78534</v>
      </c>
      <c r="AG491" s="57" t="s">
        <v>3069</v>
      </c>
      <c r="AH491" s="42" t="s">
        <v>1385</v>
      </c>
      <c r="AI491" s="42" t="str">
        <f>IFERROR(__xludf.DUMMYFUNCTION("vLOOKUP(A491,IMPORTRANGE(""https://docs.google.com/spreadsheets/d/1Rawwwdh8wntXGy8isdYNHxsNQS4n_rC8JSdPfj6vEq4"",""'500 объектов перенос на 2026'!A3:AB502""),13,0)"),"#REF!")</f>
        <v>#REF!</v>
      </c>
      <c r="AJ491" s="42" t="str">
        <f>IFERROR(__xludf.DUMMYFUNCTION("vLOOKUP(A491,IMPORTRANGE(""https://docs.google.com/spreadsheets/d/1Rawwwdh8wntXGy8isdYNHxsNQS4n_rC8JSdPfj6vEq4"",""'500 объектов перенос на 2026'!A3:AB502""),14,0)"),"#REF!")</f>
        <v>#REF!</v>
      </c>
      <c r="AK491" s="76" t="s">
        <v>746</v>
      </c>
      <c r="AL491" s="70"/>
      <c r="AM491" s="70"/>
      <c r="AN491" s="43"/>
      <c r="AO491" s="43"/>
      <c r="AP491" s="43"/>
      <c r="AQ491" s="43"/>
      <c r="AR491" s="43"/>
      <c r="AS491" s="43"/>
      <c r="AT491" s="43"/>
      <c r="AU491" s="43"/>
      <c r="AV491" s="43"/>
      <c r="AW491" s="43"/>
      <c r="AX491" s="43"/>
      <c r="AY491" s="43"/>
      <c r="AZ491" s="43"/>
    </row>
    <row r="492">
      <c r="A492" s="62" t="s">
        <v>3070</v>
      </c>
      <c r="B492" s="63" t="s">
        <v>605</v>
      </c>
      <c r="C492" s="64" t="s">
        <v>3071</v>
      </c>
      <c r="D492" s="47" t="s">
        <v>1210</v>
      </c>
      <c r="E492" s="64" t="s">
        <v>85</v>
      </c>
      <c r="F492" s="31" t="s">
        <v>40</v>
      </c>
      <c r="G492" s="31" t="s">
        <v>156</v>
      </c>
      <c r="H492" s="31" t="s">
        <v>343</v>
      </c>
      <c r="I492" s="31" t="s">
        <v>40</v>
      </c>
      <c r="J492" s="31" t="s">
        <v>61</v>
      </c>
      <c r="K492" s="31"/>
      <c r="L492" s="32">
        <f>IFERROR(__xludf.DUMMYFUNCTION("VLOOKUP($A492,IMPORTRANGE(""1PQtfbQLqBUP-rjYRznmgNFBLOjvAnhGzpIx7BJWq8rk"",""'Worksheet'!$B$2:$H""),7,FALSE)"),0.98)</f>
        <v>0.98</v>
      </c>
      <c r="M492" s="31" t="s">
        <v>40</v>
      </c>
      <c r="N492" s="49">
        <v>2589275.0</v>
      </c>
      <c r="O492" s="49">
        <v>727682.57</v>
      </c>
      <c r="P492" s="49">
        <f t="shared" ref="P492:P493" si="77">N492-O492</f>
        <v>1861592.43</v>
      </c>
      <c r="Q492" s="34">
        <f t="shared" si="7"/>
        <v>0.7189628101</v>
      </c>
      <c r="R492" s="31"/>
      <c r="S492" s="31" t="s">
        <v>40</v>
      </c>
      <c r="T492" s="72" t="s">
        <v>3072</v>
      </c>
      <c r="U492" s="67">
        <v>0.0</v>
      </c>
      <c r="V492" s="67" t="s">
        <v>3072</v>
      </c>
      <c r="W492" s="31"/>
      <c r="X492" s="52" t="s">
        <v>49</v>
      </c>
      <c r="Y492" s="54" t="s">
        <v>3073</v>
      </c>
      <c r="Z492" s="54" t="s">
        <v>1213</v>
      </c>
      <c r="AA492" s="74">
        <v>46280.0</v>
      </c>
      <c r="AB492" s="56"/>
      <c r="AC492" s="38"/>
      <c r="AD492" s="39">
        <v>2589.28</v>
      </c>
      <c r="AE492" s="39">
        <v>727.68257</v>
      </c>
      <c r="AF492" s="40">
        <v>1861.59743</v>
      </c>
      <c r="AG492" s="99" t="s">
        <v>3074</v>
      </c>
      <c r="AH492" s="85"/>
      <c r="AI492" s="42" t="str">
        <f>IFERROR(__xludf.DUMMYFUNCTION("vLOOKUP(A492,IMPORTRANGE(""https://docs.google.com/spreadsheets/d/1Rawwwdh8wntXGy8isdYNHxsNQS4n_rC8JSdPfj6vEq4"",""'500 объектов перенос на 2026'!A3:AB502""),13,0)"),"#REF!")</f>
        <v>#REF!</v>
      </c>
      <c r="AJ492" s="42" t="str">
        <f>IFERROR(__xludf.DUMMYFUNCTION("vLOOKUP(A492,IMPORTRANGE(""https://docs.google.com/spreadsheets/d/1Rawwwdh8wntXGy8isdYNHxsNQS4n_rC8JSdPfj6vEq4"",""'500 объектов перенос на 2026'!A3:AB502""),14,0)"),"#REF!")</f>
        <v>#REF!</v>
      </c>
      <c r="AK492" s="58" t="s">
        <v>3075</v>
      </c>
      <c r="AL492" s="70"/>
      <c r="AM492" s="70"/>
      <c r="AN492" s="151"/>
      <c r="AO492" s="43"/>
      <c r="AP492" s="43"/>
      <c r="AQ492" s="43"/>
      <c r="AR492" s="43"/>
      <c r="AS492" s="43"/>
      <c r="AT492" s="43"/>
      <c r="AU492" s="43"/>
      <c r="AV492" s="43"/>
      <c r="AW492" s="43"/>
      <c r="AX492" s="43"/>
      <c r="AY492" s="43"/>
      <c r="AZ492" s="43"/>
    </row>
    <row r="493">
      <c r="A493" s="62" t="s">
        <v>3076</v>
      </c>
      <c r="B493" s="63" t="s">
        <v>625</v>
      </c>
      <c r="C493" s="64" t="s">
        <v>3077</v>
      </c>
      <c r="D493" s="47" t="s">
        <v>2048</v>
      </c>
      <c r="E493" s="64" t="s">
        <v>85</v>
      </c>
      <c r="F493" s="31" t="s">
        <v>40</v>
      </c>
      <c r="G493" s="31" t="s">
        <v>41</v>
      </c>
      <c r="H493" s="31" t="s">
        <v>343</v>
      </c>
      <c r="I493" s="31" t="s">
        <v>40</v>
      </c>
      <c r="J493" s="31" t="s">
        <v>61</v>
      </c>
      <c r="K493" s="31"/>
      <c r="L493" s="32">
        <f>IFERROR(__xludf.DUMMYFUNCTION("VLOOKUP($A493,IMPORTRANGE(""1PQtfbQLqBUP-rjYRznmgNFBLOjvAnhGzpIx7BJWq8rk"",""'Worksheet'!$B$2:$H""),7,FALSE)"),0.7)</f>
        <v>0.7</v>
      </c>
      <c r="M493" s="31" t="s">
        <v>40</v>
      </c>
      <c r="N493" s="49">
        <v>1429680.0</v>
      </c>
      <c r="O493" s="49">
        <v>428904.0</v>
      </c>
      <c r="P493" s="49">
        <f t="shared" si="77"/>
        <v>1000776</v>
      </c>
      <c r="Q493" s="34">
        <f t="shared" si="7"/>
        <v>0.7</v>
      </c>
      <c r="R493" s="31"/>
      <c r="S493" s="31" t="s">
        <v>40</v>
      </c>
      <c r="T493" s="50" t="s">
        <v>3078</v>
      </c>
      <c r="U493" s="51">
        <v>0.0</v>
      </c>
      <c r="V493" s="51" t="s">
        <v>3078</v>
      </c>
      <c r="W493" s="31"/>
      <c r="X493" s="52" t="s">
        <v>2701</v>
      </c>
      <c r="Y493" s="54" t="s">
        <v>3079</v>
      </c>
      <c r="Z493" s="54" t="s">
        <v>274</v>
      </c>
      <c r="AA493" s="68">
        <v>46253.0</v>
      </c>
      <c r="AB493" s="56"/>
      <c r="AC493" s="38"/>
      <c r="AD493" s="39">
        <v>1429.68</v>
      </c>
      <c r="AE493" s="39">
        <v>428.904</v>
      </c>
      <c r="AF493" s="40">
        <v>1000.776</v>
      </c>
      <c r="AG493" s="57" t="s">
        <v>3080</v>
      </c>
      <c r="AH493" s="42" t="s">
        <v>2704</v>
      </c>
      <c r="AI493" s="42" t="str">
        <f>IFERROR(__xludf.DUMMYFUNCTION("vLOOKUP(A493,IMPORTRANGE(""https://docs.google.com/spreadsheets/d/1Rawwwdh8wntXGy8isdYNHxsNQS4n_rC8JSdPfj6vEq4"",""'500 объектов перенос на 2026'!A3:AB502""),13,0)"),"#REF!")</f>
        <v>#REF!</v>
      </c>
      <c r="AJ493" s="42" t="str">
        <f>IFERROR(__xludf.DUMMYFUNCTION("vLOOKUP(A493,IMPORTRANGE(""https://docs.google.com/spreadsheets/d/1Rawwwdh8wntXGy8isdYNHxsNQS4n_rC8JSdPfj6vEq4"",""'500 объектов перенос на 2026'!A3:AB502""),14,0)"),"#REF!")</f>
        <v>#REF!</v>
      </c>
      <c r="AK493" s="119"/>
      <c r="AL493" s="119"/>
      <c r="AM493" s="119"/>
      <c r="AN493" s="43"/>
      <c r="AO493" s="43"/>
      <c r="AP493" s="43"/>
      <c r="AQ493" s="43"/>
      <c r="AR493" s="43"/>
      <c r="AS493" s="43"/>
      <c r="AT493" s="43"/>
      <c r="AU493" s="43"/>
      <c r="AV493" s="43"/>
      <c r="AW493" s="43"/>
      <c r="AX493" s="43"/>
      <c r="AY493" s="43"/>
      <c r="AZ493" s="43"/>
    </row>
    <row r="494">
      <c r="A494" s="114" t="s">
        <v>3081</v>
      </c>
      <c r="B494" s="63" t="s">
        <v>1329</v>
      </c>
      <c r="C494" s="64" t="s">
        <v>3082</v>
      </c>
      <c r="D494" s="47" t="s">
        <v>3083</v>
      </c>
      <c r="E494" s="64" t="s">
        <v>85</v>
      </c>
      <c r="F494" s="31" t="s">
        <v>60</v>
      </c>
      <c r="G494" s="31"/>
      <c r="H494" s="31"/>
      <c r="I494" s="31" t="s">
        <v>60</v>
      </c>
      <c r="J494" s="31"/>
      <c r="K494" s="31"/>
      <c r="L494" s="32" t="str">
        <f>IFERROR(__xludf.DUMMYFUNCTION("VLOOKUP($A494,IMPORTRANGE(""1PQtfbQLqBUP-rjYRznmgNFBLOjvAnhGzpIx7BJWq8rk"",""'Worksheet'!$B$2:$H""),7,FALSE)"),"#N/A")</f>
        <v>#N/A</v>
      </c>
      <c r="M494" s="31" t="s">
        <v>60</v>
      </c>
      <c r="N494" s="49">
        <v>8.893367767E7</v>
      </c>
      <c r="O494" s="49">
        <v>6.359770517E7</v>
      </c>
      <c r="P494" s="49">
        <v>0.0</v>
      </c>
      <c r="Q494" s="34">
        <f t="shared" si="7"/>
        <v>0.284886144</v>
      </c>
      <c r="R494" s="31"/>
      <c r="S494" s="31" t="s">
        <v>60</v>
      </c>
      <c r="T494" s="50" t="s">
        <v>3084</v>
      </c>
      <c r="U494" s="51" t="s">
        <v>3085</v>
      </c>
      <c r="V494" s="51" t="s">
        <v>3086</v>
      </c>
      <c r="W494" s="31"/>
      <c r="X494" s="52" t="s">
        <v>113</v>
      </c>
      <c r="Y494" s="74"/>
      <c r="Z494" s="74"/>
      <c r="AA494" s="54" t="s">
        <v>114</v>
      </c>
      <c r="AB494" s="38" t="s">
        <v>115</v>
      </c>
      <c r="AC494" s="38"/>
      <c r="AD494" s="39">
        <v>95317.52</v>
      </c>
      <c r="AE494" s="39">
        <v>63597.70517</v>
      </c>
      <c r="AF494" s="39">
        <v>31719.81483</v>
      </c>
      <c r="AG494" s="57" t="s">
        <v>3087</v>
      </c>
      <c r="AH494" s="42" t="s">
        <v>745</v>
      </c>
      <c r="AI494" s="42" t="str">
        <f>IFERROR(__xludf.DUMMYFUNCTION("vLOOKUP(A494,IMPORTRANGE(""https://docs.google.com/spreadsheets/d/1Rawwwdh8wntXGy8isdYNHxsNQS4n_rC8JSdPfj6vEq4"",""'500 объектов перенос на 2026'!A3:AB502""),13,0)"),"#REF!")</f>
        <v>#REF!</v>
      </c>
      <c r="AJ494" s="42" t="str">
        <f>IFERROR(__xludf.DUMMYFUNCTION("vLOOKUP(A494,IMPORTRANGE(""https://docs.google.com/spreadsheets/d/1Rawwwdh8wntXGy8isdYNHxsNQS4n_rC8JSdPfj6vEq4"",""'500 объектов перенос на 2026'!A3:AB502""),14,0)"),"#REF!")</f>
        <v>#REF!</v>
      </c>
      <c r="AK494" s="76" t="s">
        <v>746</v>
      </c>
      <c r="AL494" s="70"/>
      <c r="AM494" s="70"/>
      <c r="AN494" s="43"/>
      <c r="AO494" s="43"/>
      <c r="AP494" s="43"/>
      <c r="AQ494" s="43"/>
      <c r="AR494" s="43"/>
      <c r="AS494" s="43"/>
      <c r="AT494" s="43"/>
      <c r="AU494" s="43"/>
      <c r="AV494" s="43"/>
      <c r="AW494" s="43"/>
      <c r="AX494" s="43"/>
      <c r="AY494" s="43"/>
      <c r="AZ494" s="43"/>
    </row>
    <row r="495">
      <c r="A495" s="78" t="s">
        <v>3088</v>
      </c>
      <c r="B495" s="63" t="s">
        <v>1329</v>
      </c>
      <c r="C495" s="64" t="s">
        <v>3089</v>
      </c>
      <c r="D495" s="47" t="s">
        <v>3090</v>
      </c>
      <c r="E495" s="64" t="s">
        <v>85</v>
      </c>
      <c r="F495" s="31" t="s">
        <v>60</v>
      </c>
      <c r="G495" s="31"/>
      <c r="H495" s="31"/>
      <c r="I495" s="31" t="s">
        <v>60</v>
      </c>
      <c r="J495" s="31"/>
      <c r="K495" s="31"/>
      <c r="L495" s="32" t="str">
        <f>IFERROR(__xludf.DUMMYFUNCTION("VLOOKUP($A495,IMPORTRANGE(""1PQtfbQLqBUP-rjYRznmgNFBLOjvAnhGzpIx7BJWq8rk"",""'Worksheet'!$B$2:$H""),7,FALSE)"),"#N/A")</f>
        <v>#N/A</v>
      </c>
      <c r="M495" s="31" t="s">
        <v>60</v>
      </c>
      <c r="N495" s="49">
        <v>2.4102702882E8</v>
      </c>
      <c r="O495" s="49">
        <v>2.2076935659E8</v>
      </c>
      <c r="P495" s="49">
        <v>0.0</v>
      </c>
      <c r="Q495" s="34">
        <f t="shared" si="7"/>
        <v>0.08404730511</v>
      </c>
      <c r="R495" s="31"/>
      <c r="S495" s="31" t="s">
        <v>60</v>
      </c>
      <c r="T495" s="50"/>
      <c r="U495" s="51"/>
      <c r="V495" s="51">
        <v>0.0</v>
      </c>
      <c r="W495" s="31"/>
      <c r="X495" s="52" t="s">
        <v>113</v>
      </c>
      <c r="Y495" s="54"/>
      <c r="Z495" s="54"/>
      <c r="AA495" s="54" t="s">
        <v>114</v>
      </c>
      <c r="AB495" s="38" t="s">
        <v>115</v>
      </c>
      <c r="AC495" s="38"/>
      <c r="AD495" s="39">
        <v>241027.03</v>
      </c>
      <c r="AE495" s="39">
        <v>220769.3566</v>
      </c>
      <c r="AF495" s="39">
        <v>20257.67342</v>
      </c>
      <c r="AG495" s="57" t="s">
        <v>3091</v>
      </c>
      <c r="AH495" s="42" t="s">
        <v>1385</v>
      </c>
      <c r="AI495" s="42" t="str">
        <f>IFERROR(__xludf.DUMMYFUNCTION("vLOOKUP(A495,IMPORTRANGE(""https://docs.google.com/spreadsheets/d/1Rawwwdh8wntXGy8isdYNHxsNQS4n_rC8JSdPfj6vEq4"",""'500 объектов перенос на 2026'!A3:AB502""),13,0)"),"#REF!")</f>
        <v>#REF!</v>
      </c>
      <c r="AJ495" s="42" t="str">
        <f>IFERROR(__xludf.DUMMYFUNCTION("vLOOKUP(A495,IMPORTRANGE(""https://docs.google.com/spreadsheets/d/1Rawwwdh8wntXGy8isdYNHxsNQS4n_rC8JSdPfj6vEq4"",""'500 объектов перенос на 2026'!A3:AB502""),14,0)"),"#REF!")</f>
        <v>#REF!</v>
      </c>
      <c r="AK495" s="76" t="s">
        <v>746</v>
      </c>
      <c r="AL495" s="70"/>
      <c r="AM495" s="70"/>
      <c r="AN495" s="43"/>
      <c r="AO495" s="43"/>
      <c r="AP495" s="43"/>
      <c r="AQ495" s="43"/>
      <c r="AR495" s="43"/>
      <c r="AS495" s="43"/>
      <c r="AT495" s="43"/>
      <c r="AU495" s="43"/>
      <c r="AV495" s="43"/>
      <c r="AW495" s="43"/>
      <c r="AX495" s="43"/>
      <c r="AY495" s="43"/>
      <c r="AZ495" s="43"/>
    </row>
    <row r="496">
      <c r="A496" s="114" t="s">
        <v>3092</v>
      </c>
      <c r="B496" s="63" t="s">
        <v>1329</v>
      </c>
      <c r="C496" s="64" t="s">
        <v>3093</v>
      </c>
      <c r="D496" s="47" t="s">
        <v>3083</v>
      </c>
      <c r="E496" s="64" t="s">
        <v>85</v>
      </c>
      <c r="F496" s="31" t="s">
        <v>60</v>
      </c>
      <c r="G496" s="31"/>
      <c r="H496" s="31"/>
      <c r="I496" s="31" t="s">
        <v>60</v>
      </c>
      <c r="J496" s="31"/>
      <c r="K496" s="31"/>
      <c r="L496" s="32" t="str">
        <f>IFERROR(__xludf.DUMMYFUNCTION("VLOOKUP($A496,IMPORTRANGE(""1PQtfbQLqBUP-rjYRznmgNFBLOjvAnhGzpIx7BJWq8rk"",""'Worksheet'!$B$2:$H""),7,FALSE)"),"#N/A")</f>
        <v>#N/A</v>
      </c>
      <c r="M496" s="31" t="s">
        <v>60</v>
      </c>
      <c r="N496" s="49">
        <v>2.8693865418E8</v>
      </c>
      <c r="O496" s="49">
        <v>2.3453211931E8</v>
      </c>
      <c r="P496" s="49">
        <v>0.0</v>
      </c>
      <c r="Q496" s="34">
        <f t="shared" si="7"/>
        <v>0.1826402059</v>
      </c>
      <c r="R496" s="31"/>
      <c r="S496" s="31" t="s">
        <v>60</v>
      </c>
      <c r="T496" s="50"/>
      <c r="U496" s="51" t="s">
        <v>3094</v>
      </c>
      <c r="V496" s="51">
        <v>0.0</v>
      </c>
      <c r="W496" s="31"/>
      <c r="X496" s="52" t="s">
        <v>113</v>
      </c>
      <c r="Y496" s="54"/>
      <c r="Z496" s="54"/>
      <c r="AA496" s="54" t="s">
        <v>114</v>
      </c>
      <c r="AB496" s="38" t="s">
        <v>115</v>
      </c>
      <c r="AC496" s="38"/>
      <c r="AD496" s="39">
        <v>286938.65</v>
      </c>
      <c r="AE496" s="39">
        <v>234532.1193</v>
      </c>
      <c r="AF496" s="39">
        <v>52406.53069</v>
      </c>
      <c r="AG496" s="57" t="s">
        <v>3095</v>
      </c>
      <c r="AH496" s="42" t="s">
        <v>745</v>
      </c>
      <c r="AI496" s="42" t="str">
        <f>IFERROR(__xludf.DUMMYFUNCTION("vLOOKUP(A496,IMPORTRANGE(""https://docs.google.com/spreadsheets/d/1Rawwwdh8wntXGy8isdYNHxsNQS4n_rC8JSdPfj6vEq4"",""'500 объектов перенос на 2026'!A3:AB502""),13,0)"),"#REF!")</f>
        <v>#REF!</v>
      </c>
      <c r="AJ496" s="42" t="str">
        <f>IFERROR(__xludf.DUMMYFUNCTION("vLOOKUP(A496,IMPORTRANGE(""https://docs.google.com/spreadsheets/d/1Rawwwdh8wntXGy8isdYNHxsNQS4n_rC8JSdPfj6vEq4"",""'500 объектов перенос на 2026'!A3:AB502""),14,0)"),"#REF!")</f>
        <v>#REF!</v>
      </c>
      <c r="AK496" s="76" t="s">
        <v>746</v>
      </c>
      <c r="AL496" s="70"/>
      <c r="AM496" s="70"/>
      <c r="AN496" s="43"/>
      <c r="AO496" s="43"/>
      <c r="AP496" s="43"/>
      <c r="AQ496" s="43"/>
      <c r="AR496" s="43"/>
      <c r="AS496" s="43"/>
      <c r="AT496" s="43"/>
      <c r="AU496" s="43"/>
      <c r="AV496" s="43"/>
      <c r="AW496" s="43"/>
      <c r="AX496" s="43"/>
      <c r="AY496" s="43"/>
      <c r="AZ496" s="43"/>
    </row>
    <row r="497">
      <c r="A497" s="78" t="s">
        <v>3096</v>
      </c>
      <c r="B497" s="63" t="s">
        <v>1329</v>
      </c>
      <c r="C497" s="64" t="s">
        <v>3097</v>
      </c>
      <c r="D497" s="47" t="s">
        <v>3090</v>
      </c>
      <c r="E497" s="64" t="s">
        <v>85</v>
      </c>
      <c r="F497" s="31" t="s">
        <v>60</v>
      </c>
      <c r="G497" s="31"/>
      <c r="H497" s="31"/>
      <c r="I497" s="31" t="s">
        <v>60</v>
      </c>
      <c r="J497" s="31"/>
      <c r="K497" s="31"/>
      <c r="L497" s="32" t="str">
        <f>IFERROR(__xludf.DUMMYFUNCTION("VLOOKUP($A497,IMPORTRANGE(""1PQtfbQLqBUP-rjYRznmgNFBLOjvAnhGzpIx7BJWq8rk"",""'Worksheet'!$B$2:$H""),7,FALSE)"),"#N/A")</f>
        <v>#N/A</v>
      </c>
      <c r="M497" s="31" t="s">
        <v>60</v>
      </c>
      <c r="N497" s="49">
        <v>3.290773625E7</v>
      </c>
      <c r="O497" s="49">
        <v>3.003542289E7</v>
      </c>
      <c r="P497" s="49">
        <v>0.0</v>
      </c>
      <c r="Q497" s="34">
        <f t="shared" si="7"/>
        <v>0.08728383314</v>
      </c>
      <c r="R497" s="31"/>
      <c r="S497" s="31" t="s">
        <v>60</v>
      </c>
      <c r="T497" s="50"/>
      <c r="U497" s="51"/>
      <c r="V497" s="51">
        <v>0.0</v>
      </c>
      <c r="W497" s="31"/>
      <c r="X497" s="52" t="s">
        <v>113</v>
      </c>
      <c r="Y497" s="54"/>
      <c r="Z497" s="54"/>
      <c r="AA497" s="54" t="s">
        <v>114</v>
      </c>
      <c r="AB497" s="38" t="s">
        <v>115</v>
      </c>
      <c r="AC497" s="38"/>
      <c r="AD497" s="39">
        <v>32907.74</v>
      </c>
      <c r="AE497" s="39">
        <v>29302.11874</v>
      </c>
      <c r="AF497" s="39">
        <v>3605.62126</v>
      </c>
      <c r="AG497" s="57" t="s">
        <v>3098</v>
      </c>
      <c r="AH497" s="42" t="s">
        <v>1385</v>
      </c>
      <c r="AI497" s="42" t="str">
        <f>IFERROR(__xludf.DUMMYFUNCTION("vLOOKUP(A497,IMPORTRANGE(""https://docs.google.com/spreadsheets/d/1Rawwwdh8wntXGy8isdYNHxsNQS4n_rC8JSdPfj6vEq4"",""'500 объектов перенос на 2026'!A3:AB502""),13,0)"),"#REF!")</f>
        <v>#REF!</v>
      </c>
      <c r="AJ497" s="42" t="str">
        <f>IFERROR(__xludf.DUMMYFUNCTION("vLOOKUP(A497,IMPORTRANGE(""https://docs.google.com/spreadsheets/d/1Rawwwdh8wntXGy8isdYNHxsNQS4n_rC8JSdPfj6vEq4"",""'500 объектов перенос на 2026'!A3:AB502""),14,0)"),"#REF!")</f>
        <v>#REF!</v>
      </c>
      <c r="AK497" s="76" t="s">
        <v>746</v>
      </c>
      <c r="AL497" s="70"/>
      <c r="AM497" s="70"/>
      <c r="AN497" s="43"/>
      <c r="AO497" s="43"/>
      <c r="AP497" s="43"/>
      <c r="AQ497" s="43"/>
      <c r="AR497" s="43"/>
      <c r="AS497" s="43"/>
      <c r="AT497" s="43"/>
      <c r="AU497" s="43"/>
      <c r="AV497" s="43"/>
      <c r="AW497" s="43"/>
      <c r="AX497" s="43"/>
      <c r="AY497" s="43"/>
      <c r="AZ497" s="43"/>
    </row>
    <row r="498">
      <c r="A498" s="78" t="s">
        <v>3099</v>
      </c>
      <c r="B498" s="63" t="s">
        <v>1329</v>
      </c>
      <c r="C498" s="64" t="s">
        <v>3100</v>
      </c>
      <c r="D498" s="47" t="s">
        <v>3090</v>
      </c>
      <c r="E498" s="64" t="s">
        <v>85</v>
      </c>
      <c r="F498" s="31" t="s">
        <v>60</v>
      </c>
      <c r="G498" s="31"/>
      <c r="H498" s="31"/>
      <c r="I498" s="31" t="s">
        <v>60</v>
      </c>
      <c r="J498" s="31"/>
      <c r="K498" s="31"/>
      <c r="L498" s="32" t="str">
        <f>IFERROR(__xludf.DUMMYFUNCTION("VLOOKUP($A498,IMPORTRANGE(""1PQtfbQLqBUP-rjYRznmgNFBLOjvAnhGzpIx7BJWq8rk"",""'Worksheet'!$B$2:$H""),7,FALSE)"),"#N/A")</f>
        <v>#N/A</v>
      </c>
      <c r="M498" s="31" t="s">
        <v>60</v>
      </c>
      <c r="N498" s="49">
        <v>5.248518166E7</v>
      </c>
      <c r="O498" s="49">
        <v>5.248518166E7</v>
      </c>
      <c r="P498" s="49">
        <f t="shared" ref="P498:P502" si="78">N498-O498</f>
        <v>0</v>
      </c>
      <c r="Q498" s="34">
        <f t="shared" si="7"/>
        <v>0</v>
      </c>
      <c r="R498" s="31"/>
      <c r="S498" s="31" t="s">
        <v>60</v>
      </c>
      <c r="T498" s="50"/>
      <c r="U498" s="51"/>
      <c r="V498" s="51">
        <v>0.0</v>
      </c>
      <c r="W498" s="31"/>
      <c r="X498" s="52" t="s">
        <v>113</v>
      </c>
      <c r="Y498" s="54"/>
      <c r="Z498" s="54"/>
      <c r="AA498" s="54" t="s">
        <v>114</v>
      </c>
      <c r="AB498" s="38" t="s">
        <v>115</v>
      </c>
      <c r="AC498" s="38"/>
      <c r="AD498" s="39">
        <v>52482.18</v>
      </c>
      <c r="AE498" s="39">
        <v>52485.18166</v>
      </c>
      <c r="AF498" s="39">
        <v>-3.00166</v>
      </c>
      <c r="AG498" s="57" t="s">
        <v>3101</v>
      </c>
      <c r="AH498" s="42" t="s">
        <v>3102</v>
      </c>
      <c r="AI498" s="42" t="str">
        <f>IFERROR(__xludf.DUMMYFUNCTION("vLOOKUP(A498,IMPORTRANGE(""https://docs.google.com/spreadsheets/d/1Rawwwdh8wntXGy8isdYNHxsNQS4n_rC8JSdPfj6vEq4"",""'500 объектов перенос на 2026'!A3:AB502""),13,0)"),"#REF!")</f>
        <v>#REF!</v>
      </c>
      <c r="AJ498" s="42" t="str">
        <f>IFERROR(__xludf.DUMMYFUNCTION("vLOOKUP(A498,IMPORTRANGE(""https://docs.google.com/spreadsheets/d/1Rawwwdh8wntXGy8isdYNHxsNQS4n_rC8JSdPfj6vEq4"",""'500 объектов перенос на 2026'!A3:AB502""),14,0)"),"#REF!")</f>
        <v>#REF!</v>
      </c>
      <c r="AK498" s="76" t="s">
        <v>746</v>
      </c>
      <c r="AL498" s="70"/>
      <c r="AM498" s="70"/>
      <c r="AN498" s="43"/>
      <c r="AO498" s="43"/>
      <c r="AP498" s="43"/>
      <c r="AQ498" s="43"/>
      <c r="AR498" s="43"/>
      <c r="AS498" s="43"/>
      <c r="AT498" s="43"/>
      <c r="AU498" s="43"/>
      <c r="AV498" s="43"/>
      <c r="AW498" s="43"/>
      <c r="AX498" s="43"/>
      <c r="AY498" s="43"/>
      <c r="AZ498" s="43"/>
    </row>
    <row r="499">
      <c r="A499" s="62" t="s">
        <v>3103</v>
      </c>
      <c r="B499" s="63" t="s">
        <v>703</v>
      </c>
      <c r="C499" s="64" t="s">
        <v>3104</v>
      </c>
      <c r="D499" s="47" t="s">
        <v>1523</v>
      </c>
      <c r="E499" s="64" t="s">
        <v>85</v>
      </c>
      <c r="F499" s="31" t="s">
        <v>40</v>
      </c>
      <c r="G499" s="31" t="s">
        <v>41</v>
      </c>
      <c r="H499" s="31" t="s">
        <v>779</v>
      </c>
      <c r="I499" s="31" t="s">
        <v>60</v>
      </c>
      <c r="J499" s="31"/>
      <c r="K499" s="31"/>
      <c r="L499" s="32">
        <f>IFERROR(__xludf.DUMMYFUNCTION("VLOOKUP($A499,IMPORTRANGE(""1PQtfbQLqBUP-rjYRznmgNFBLOjvAnhGzpIx7BJWq8rk"",""'Worksheet'!$B$2:$H""),7,FALSE)"),0.97)</f>
        <v>0.97</v>
      </c>
      <c r="M499" s="31" t="s">
        <v>45</v>
      </c>
      <c r="N499" s="49">
        <v>4.412208503E7</v>
      </c>
      <c r="O499" s="49">
        <v>4.338127705E7</v>
      </c>
      <c r="P499" s="49">
        <f t="shared" si="78"/>
        <v>740807.98</v>
      </c>
      <c r="Q499" s="34">
        <f t="shared" si="7"/>
        <v>0.01678995858</v>
      </c>
      <c r="R499" s="31"/>
      <c r="S499" s="31" t="s">
        <v>45</v>
      </c>
      <c r="T499" s="91"/>
      <c r="U499" s="51"/>
      <c r="V499" s="51"/>
      <c r="W499" s="31"/>
      <c r="X499" s="52" t="s">
        <v>803</v>
      </c>
      <c r="Y499" s="128" t="s">
        <v>706</v>
      </c>
      <c r="Z499" s="54" t="s">
        <v>707</v>
      </c>
      <c r="AA499" s="74">
        <v>46265.0</v>
      </c>
      <c r="AB499" s="38"/>
      <c r="AC499" s="38"/>
      <c r="AD499" s="39">
        <v>44122.09</v>
      </c>
      <c r="AE499" s="39">
        <v>37185.80904</v>
      </c>
      <c r="AF499" s="40">
        <f>AD499-AE499</f>
        <v>6936.28096</v>
      </c>
      <c r="AG499" s="168" t="s">
        <v>3105</v>
      </c>
      <c r="AH499" s="42"/>
      <c r="AI499" s="42" t="str">
        <f>IFERROR(__xludf.DUMMYFUNCTION("vLOOKUP(A499,IMPORTRANGE(""https://docs.google.com/spreadsheets/d/1Rawwwdh8wntXGy8isdYNHxsNQS4n_rC8JSdPfj6vEq4"",""'500 объектов перенос на 2026'!A3:AB502""),13,0)"),"#REF!")</f>
        <v>#REF!</v>
      </c>
      <c r="AJ499" s="42" t="str">
        <f>IFERROR(__xludf.DUMMYFUNCTION("vLOOKUP(A499,IMPORTRANGE(""https://docs.google.com/spreadsheets/d/1Rawwwdh8wntXGy8isdYNHxsNQS4n_rC8JSdPfj6vEq4"",""'500 объектов перенос на 2026'!A3:AB502""),14,0)"),"#REF!")</f>
        <v>#REF!</v>
      </c>
      <c r="AK499" s="138" t="s">
        <v>2951</v>
      </c>
      <c r="AL499" s="110"/>
      <c r="AM499" s="110"/>
      <c r="AN499" s="43"/>
      <c r="AO499" s="43"/>
      <c r="AP499" s="43"/>
      <c r="AQ499" s="43"/>
      <c r="AR499" s="43"/>
      <c r="AS499" s="43"/>
      <c r="AT499" s="43"/>
      <c r="AU499" s="43"/>
      <c r="AV499" s="43"/>
      <c r="AW499" s="43"/>
      <c r="AX499" s="43"/>
      <c r="AY499" s="43"/>
      <c r="AZ499" s="43"/>
    </row>
    <row r="500">
      <c r="A500" s="114" t="s">
        <v>3106</v>
      </c>
      <c r="B500" s="63" t="s">
        <v>36</v>
      </c>
      <c r="C500" s="64" t="s">
        <v>3107</v>
      </c>
      <c r="D500" s="47" t="s">
        <v>101</v>
      </c>
      <c r="E500" s="64" t="s">
        <v>59</v>
      </c>
      <c r="F500" s="31" t="s">
        <v>40</v>
      </c>
      <c r="G500" s="31" t="s">
        <v>156</v>
      </c>
      <c r="H500" s="31" t="s">
        <v>779</v>
      </c>
      <c r="I500" s="31" t="s">
        <v>60</v>
      </c>
      <c r="J500" s="31"/>
      <c r="K500" s="31"/>
      <c r="L500" s="32">
        <f>IFERROR(__xludf.DUMMYFUNCTION("VLOOKUP($A500,IMPORTRANGE(""1PQtfbQLqBUP-rjYRznmgNFBLOjvAnhGzpIx7BJWq8rk"",""'Worksheet'!$B$2:$H""),7,FALSE)"),0.9)</f>
        <v>0.9</v>
      </c>
      <c r="M500" s="31" t="s">
        <v>45</v>
      </c>
      <c r="N500" s="49">
        <v>9.539100263E7</v>
      </c>
      <c r="O500" s="49">
        <v>9.487241332E7</v>
      </c>
      <c r="P500" s="49">
        <f t="shared" si="78"/>
        <v>518589.31</v>
      </c>
      <c r="Q500" s="34">
        <f t="shared" si="7"/>
        <v>0.005436459369</v>
      </c>
      <c r="R500" s="31"/>
      <c r="S500" s="31" t="s">
        <v>40</v>
      </c>
      <c r="T500" s="50"/>
      <c r="U500" s="51"/>
      <c r="V500" s="51">
        <v>0.0</v>
      </c>
      <c r="W500" s="31" t="s">
        <v>148</v>
      </c>
      <c r="X500" s="52" t="s">
        <v>113</v>
      </c>
      <c r="Y500" s="54" t="s">
        <v>3108</v>
      </c>
      <c r="Z500" s="54" t="s">
        <v>2351</v>
      </c>
      <c r="AA500" s="74">
        <v>46237.0</v>
      </c>
      <c r="AB500" s="56"/>
      <c r="AC500" s="38" t="s">
        <v>3109</v>
      </c>
      <c r="AD500" s="39">
        <v>95391.0</v>
      </c>
      <c r="AE500" s="39">
        <v>94872.41332</v>
      </c>
      <c r="AF500" s="39">
        <v>518.58668</v>
      </c>
      <c r="AG500" s="57" t="s">
        <v>3110</v>
      </c>
      <c r="AH500" s="42" t="s">
        <v>3111</v>
      </c>
      <c r="AI500" s="42" t="str">
        <f>IFERROR(__xludf.DUMMYFUNCTION("vLOOKUP(A500,IMPORTRANGE(""https://docs.google.com/spreadsheets/d/1Rawwwdh8wntXGy8isdYNHxsNQS4n_rC8JSdPfj6vEq4"",""'500 объектов перенос на 2026'!A3:AB502""),13,0)"),"#REF!")</f>
        <v>#REF!</v>
      </c>
      <c r="AJ500" s="42" t="str">
        <f>IFERROR(__xludf.DUMMYFUNCTION("vLOOKUP(A500,IMPORTRANGE(""https://docs.google.com/spreadsheets/d/1Rawwwdh8wntXGy8isdYNHxsNQS4n_rC8JSdPfj6vEq4"",""'500 объектов перенос на 2026'!A3:AB502""),14,0)"),"#REF!")</f>
        <v>#REF!</v>
      </c>
      <c r="AK500" s="58" t="s">
        <v>3112</v>
      </c>
      <c r="AL500" s="70" t="s">
        <v>3113</v>
      </c>
      <c r="AM500" s="70"/>
      <c r="AN500" s="43"/>
      <c r="AO500" s="43"/>
      <c r="AP500" s="43"/>
      <c r="AQ500" s="43"/>
      <c r="AR500" s="43"/>
      <c r="AS500" s="43"/>
      <c r="AT500" s="43"/>
      <c r="AU500" s="43"/>
      <c r="AV500" s="43"/>
      <c r="AW500" s="43"/>
      <c r="AX500" s="43"/>
      <c r="AY500" s="43"/>
      <c r="AZ500" s="43"/>
    </row>
    <row r="501">
      <c r="A501" s="62" t="s">
        <v>3114</v>
      </c>
      <c r="B501" s="63" t="s">
        <v>703</v>
      </c>
      <c r="C501" s="64" t="s">
        <v>3115</v>
      </c>
      <c r="D501" s="47" t="s">
        <v>1523</v>
      </c>
      <c r="E501" s="64" t="s">
        <v>85</v>
      </c>
      <c r="F501" s="31" t="s">
        <v>40</v>
      </c>
      <c r="G501" s="31" t="s">
        <v>41</v>
      </c>
      <c r="H501" s="31" t="s">
        <v>779</v>
      </c>
      <c r="I501" s="31" t="s">
        <v>60</v>
      </c>
      <c r="J501" s="31"/>
      <c r="K501" s="31"/>
      <c r="L501" s="32">
        <f>IFERROR(__xludf.DUMMYFUNCTION("VLOOKUP($A501,IMPORTRANGE(""1PQtfbQLqBUP-rjYRznmgNFBLOjvAnhGzpIx7BJWq8rk"",""'Worksheet'!$B$2:$H""),7,FALSE)"),0.97)</f>
        <v>0.97</v>
      </c>
      <c r="M501" s="31" t="s">
        <v>45</v>
      </c>
      <c r="N501" s="49">
        <v>2581391.51</v>
      </c>
      <c r="O501" s="49">
        <v>2449748.01</v>
      </c>
      <c r="P501" s="49">
        <f t="shared" si="78"/>
        <v>131643.5</v>
      </c>
      <c r="Q501" s="34">
        <f t="shared" si="7"/>
        <v>0.05099710737</v>
      </c>
      <c r="R501" s="31"/>
      <c r="S501" s="31" t="s">
        <v>45</v>
      </c>
      <c r="T501" s="91">
        <v>0.0</v>
      </c>
      <c r="U501" s="51">
        <v>0.0</v>
      </c>
      <c r="V501" s="51">
        <v>0.0</v>
      </c>
      <c r="W501" s="31"/>
      <c r="X501" s="52" t="s">
        <v>209</v>
      </c>
      <c r="Y501" s="128" t="s">
        <v>706</v>
      </c>
      <c r="Z501" s="54"/>
      <c r="AA501" s="74">
        <v>46218.0</v>
      </c>
      <c r="AB501" s="38"/>
      <c r="AC501" s="38"/>
      <c r="AD501" s="39">
        <v>2581.4</v>
      </c>
      <c r="AE501" s="39">
        <v>2449.8</v>
      </c>
      <c r="AF501" s="39">
        <f>AD501-AE501</f>
        <v>131.6</v>
      </c>
      <c r="AG501" s="168" t="s">
        <v>3116</v>
      </c>
      <c r="AH501" s="42"/>
      <c r="AI501" s="42" t="str">
        <f>IFERROR(__xludf.DUMMYFUNCTION("vLOOKUP(A501,IMPORTRANGE(""https://docs.google.com/spreadsheets/d/1Rawwwdh8wntXGy8isdYNHxsNQS4n_rC8JSdPfj6vEq4"",""'500 объектов перенос на 2026'!A3:AB502""),13,0)"),"#REF!")</f>
        <v>#REF!</v>
      </c>
      <c r="AJ501" s="42" t="str">
        <f>IFERROR(__xludf.DUMMYFUNCTION("vLOOKUP(A501,IMPORTRANGE(""https://docs.google.com/spreadsheets/d/1Rawwwdh8wntXGy8isdYNHxsNQS4n_rC8JSdPfj6vEq4"",""'500 объектов перенос на 2026'!A3:AB502""),14,0)"),"#REF!")</f>
        <v>#REF!</v>
      </c>
      <c r="AK501" s="130" t="s">
        <v>709</v>
      </c>
      <c r="AL501" s="110"/>
      <c r="AM501" s="110"/>
      <c r="AN501" s="96"/>
      <c r="AO501" s="96"/>
      <c r="AP501" s="96"/>
      <c r="AQ501" s="96"/>
      <c r="AR501" s="96"/>
      <c r="AS501" s="96"/>
      <c r="AT501" s="96"/>
      <c r="AU501" s="96"/>
      <c r="AV501" s="96"/>
      <c r="AW501" s="96"/>
      <c r="AX501" s="96"/>
      <c r="AY501" s="96"/>
      <c r="AZ501" s="96"/>
    </row>
    <row r="502">
      <c r="A502" s="62" t="s">
        <v>3117</v>
      </c>
      <c r="B502" s="63" t="s">
        <v>703</v>
      </c>
      <c r="C502" s="64" t="s">
        <v>704</v>
      </c>
      <c r="D502" s="47" t="s">
        <v>1523</v>
      </c>
      <c r="E502" s="64" t="s">
        <v>85</v>
      </c>
      <c r="F502" s="31" t="s">
        <v>40</v>
      </c>
      <c r="G502" s="31" t="s">
        <v>41</v>
      </c>
      <c r="H502" s="31" t="s">
        <v>779</v>
      </c>
      <c r="I502" s="31" t="s">
        <v>60</v>
      </c>
      <c r="J502" s="31"/>
      <c r="K502" s="31"/>
      <c r="L502" s="32">
        <f>IFERROR(__xludf.DUMMYFUNCTION("VLOOKUP($A502,IMPORTRANGE(""1PQtfbQLqBUP-rjYRznmgNFBLOjvAnhGzpIx7BJWq8rk"",""'Worksheet'!$B$2:$H""),7,FALSE)"),1.0)</f>
        <v>1</v>
      </c>
      <c r="M502" s="31" t="s">
        <v>45</v>
      </c>
      <c r="N502" s="49">
        <v>1.001347644E7</v>
      </c>
      <c r="O502" s="49">
        <v>9709618.46</v>
      </c>
      <c r="P502" s="49">
        <f t="shared" si="78"/>
        <v>303857.98</v>
      </c>
      <c r="Q502" s="34">
        <f t="shared" si="7"/>
        <v>0.03034490387</v>
      </c>
      <c r="R502" s="31"/>
      <c r="S502" s="31" t="s">
        <v>45</v>
      </c>
      <c r="T502" s="91"/>
      <c r="U502" s="51"/>
      <c r="V502" s="51"/>
      <c r="W502" s="31"/>
      <c r="X502" s="52" t="s">
        <v>803</v>
      </c>
      <c r="Y502" s="128" t="s">
        <v>706</v>
      </c>
      <c r="Z502" s="54" t="s">
        <v>707</v>
      </c>
      <c r="AA502" s="54" t="s">
        <v>114</v>
      </c>
      <c r="AB502" s="38" t="s">
        <v>115</v>
      </c>
      <c r="AC502" s="38"/>
      <c r="AD502" s="39">
        <v>10013.48</v>
      </c>
      <c r="AE502" s="39">
        <v>9709.62055</v>
      </c>
      <c r="AF502" s="40">
        <v>303.85945</v>
      </c>
      <c r="AG502" s="99" t="s">
        <v>3118</v>
      </c>
      <c r="AH502" s="42"/>
      <c r="AI502" s="42" t="str">
        <f>IFERROR(__xludf.DUMMYFUNCTION("vLOOKUP(A502,IMPORTRANGE(""https://docs.google.com/spreadsheets/d/1Rawwwdh8wntXGy8isdYNHxsNQS4n_rC8JSdPfj6vEq4"",""'500 объектов перенос на 2026'!A3:AB502""),13,0)"),"#REF!")</f>
        <v>#REF!</v>
      </c>
      <c r="AJ502" s="42" t="str">
        <f>IFERROR(__xludf.DUMMYFUNCTION("vLOOKUP(A502,IMPORTRANGE(""https://docs.google.com/spreadsheets/d/1Rawwwdh8wntXGy8isdYNHxsNQS4n_rC8JSdPfj6vEq4"",""'500 объектов перенос на 2026'!A3:AB502""),14,0)"),"#REF!")</f>
        <v>#REF!</v>
      </c>
      <c r="AK502" s="163" t="s">
        <v>114</v>
      </c>
      <c r="AL502" s="110"/>
      <c r="AM502" s="110"/>
      <c r="AN502" s="43"/>
      <c r="AO502" s="43"/>
      <c r="AP502" s="43"/>
      <c r="AQ502" s="43"/>
      <c r="AR502" s="43"/>
      <c r="AS502" s="43"/>
      <c r="AT502" s="43"/>
      <c r="AU502" s="43"/>
      <c r="AV502" s="43"/>
      <c r="AW502" s="43"/>
      <c r="AX502" s="43"/>
      <c r="AY502" s="43"/>
      <c r="AZ502" s="43"/>
    </row>
    <row r="503">
      <c r="A503" s="78" t="s">
        <v>3119</v>
      </c>
      <c r="B503" s="63" t="s">
        <v>99</v>
      </c>
      <c r="C503" s="90" t="s">
        <v>3120</v>
      </c>
      <c r="D503" s="47" t="s">
        <v>2470</v>
      </c>
      <c r="E503" s="90" t="s">
        <v>155</v>
      </c>
      <c r="F503" s="31" t="s">
        <v>60</v>
      </c>
      <c r="G503" s="31"/>
      <c r="H503" s="31"/>
      <c r="I503" s="31" t="s">
        <v>60</v>
      </c>
      <c r="J503" s="31"/>
      <c r="K503" s="31"/>
      <c r="L503" s="32" t="str">
        <f>IFERROR(__xludf.DUMMYFUNCTION("VLOOKUP($A503,IMPORTRANGE(""1PQtfbQLqBUP-rjYRznmgNFBLOjvAnhGzpIx7BJWq8rk"",""'Worksheet'!$B$2:$H""),7,FALSE)"),"#N/A")</f>
        <v>#N/A</v>
      </c>
      <c r="M503" s="31" t="s">
        <v>60</v>
      </c>
      <c r="N503" s="49">
        <v>9.161190814E7</v>
      </c>
      <c r="O503" s="49">
        <v>8.898850693E7</v>
      </c>
      <c r="P503" s="49">
        <v>0.0</v>
      </c>
      <c r="Q503" s="34">
        <f t="shared" si="7"/>
        <v>0.02863602847</v>
      </c>
      <c r="R503" s="31"/>
      <c r="S503" s="31" t="s">
        <v>60</v>
      </c>
      <c r="T503" s="50">
        <f>N503*0.95</f>
        <v>87031312.73</v>
      </c>
      <c r="U503" s="51">
        <v>8.7031312733E7</v>
      </c>
      <c r="V503" s="51">
        <v>0.0</v>
      </c>
      <c r="W503" s="31"/>
      <c r="X503" s="52" t="s">
        <v>113</v>
      </c>
      <c r="Y503" s="54"/>
      <c r="Z503" s="54"/>
      <c r="AA503" s="54" t="s">
        <v>114</v>
      </c>
      <c r="AB503" s="38" t="s">
        <v>115</v>
      </c>
      <c r="AC503" s="38"/>
      <c r="AD503" s="39">
        <v>88988.51</v>
      </c>
      <c r="AE503" s="39">
        <v>88043.75</v>
      </c>
      <c r="AF503" s="39">
        <v>944.76</v>
      </c>
      <c r="AG503" s="57" t="s">
        <v>3121</v>
      </c>
      <c r="AH503" s="42" t="s">
        <v>253</v>
      </c>
      <c r="AI503" s="42" t="str">
        <f>IFERROR(__xludf.DUMMYFUNCTION("vLOOKUP(A503,IMPORTRANGE(""https://docs.google.com/spreadsheets/d/1Rawwwdh8wntXGy8isdYNHxsNQS4n_rC8JSdPfj6vEq4"",""'500 объектов перенос на 2026'!A3:AB502""),13,0)"),"#REF!")</f>
        <v>#REF!</v>
      </c>
      <c r="AJ503" s="42" t="str">
        <f>IFERROR(__xludf.DUMMYFUNCTION("vLOOKUP(A503,IMPORTRANGE(""https://docs.google.com/spreadsheets/d/1Rawwwdh8wntXGy8isdYNHxsNQS4n_rC8JSdPfj6vEq4"",""'500 объектов перенос на 2026'!A3:AB502""),14,0)"),"#REF!")</f>
        <v>#REF!</v>
      </c>
      <c r="AK503" s="76" t="s">
        <v>114</v>
      </c>
      <c r="AL503" s="70"/>
      <c r="AM503" s="70"/>
      <c r="AN503" s="43"/>
      <c r="AO503" s="43"/>
      <c r="AP503" s="43"/>
      <c r="AQ503" s="43"/>
      <c r="AR503" s="43"/>
      <c r="AS503" s="43"/>
      <c r="AT503" s="43"/>
      <c r="AU503" s="43"/>
      <c r="AV503" s="43"/>
      <c r="AW503" s="43"/>
      <c r="AX503" s="43"/>
      <c r="AY503" s="43"/>
      <c r="AZ503" s="43"/>
    </row>
    <row r="504">
      <c r="A504" s="62" t="s">
        <v>3122</v>
      </c>
      <c r="B504" s="63" t="s">
        <v>703</v>
      </c>
      <c r="C504" s="64" t="s">
        <v>3123</v>
      </c>
      <c r="D504" s="47" t="s">
        <v>1523</v>
      </c>
      <c r="E504" s="64" t="s">
        <v>85</v>
      </c>
      <c r="F504" s="31" t="s">
        <v>40</v>
      </c>
      <c r="G504" s="31" t="s">
        <v>41</v>
      </c>
      <c r="H504" s="31" t="s">
        <v>779</v>
      </c>
      <c r="I504" s="31" t="s">
        <v>60</v>
      </c>
      <c r="J504" s="31"/>
      <c r="K504" s="31"/>
      <c r="L504" s="32">
        <f>IFERROR(__xludf.DUMMYFUNCTION("VLOOKUP($A504,IMPORTRANGE(""1PQtfbQLqBUP-rjYRznmgNFBLOjvAnhGzpIx7BJWq8rk"",""'Worksheet'!$B$2:$H""),7,FALSE)"),0.99)</f>
        <v>0.99</v>
      </c>
      <c r="M504" s="31" t="s">
        <v>45</v>
      </c>
      <c r="N504" s="49">
        <v>2.795739109E7</v>
      </c>
      <c r="O504" s="49">
        <v>2.794855029E7</v>
      </c>
      <c r="P504" s="49">
        <f>N504-O504</f>
        <v>8840.8</v>
      </c>
      <c r="Q504" s="34">
        <f t="shared" si="7"/>
        <v>0.0003162240701</v>
      </c>
      <c r="R504" s="31"/>
      <c r="S504" s="31" t="s">
        <v>45</v>
      </c>
      <c r="T504" s="91"/>
      <c r="U504" s="50"/>
      <c r="V504" s="50"/>
      <c r="W504" s="31"/>
      <c r="X504" s="52" t="s">
        <v>803</v>
      </c>
      <c r="Y504" s="128" t="s">
        <v>706</v>
      </c>
      <c r="Z504" s="54" t="s">
        <v>707</v>
      </c>
      <c r="AA504" s="54" t="s">
        <v>114</v>
      </c>
      <c r="AB504" s="38" t="s">
        <v>115</v>
      </c>
      <c r="AC504" s="38"/>
      <c r="AD504" s="39">
        <v>27957.39</v>
      </c>
      <c r="AE504" s="39">
        <v>27948.54798</v>
      </c>
      <c r="AF504" s="40">
        <v>8.84202</v>
      </c>
      <c r="AG504" s="99" t="s">
        <v>3124</v>
      </c>
      <c r="AH504" s="42"/>
      <c r="AI504" s="42" t="str">
        <f>IFERROR(__xludf.DUMMYFUNCTION("vLOOKUP(A504,IMPORTRANGE(""https://docs.google.com/spreadsheets/d/1Rawwwdh8wntXGy8isdYNHxsNQS4n_rC8JSdPfj6vEq4"",""'500 объектов перенос на 2026'!A3:AB502""),13,0)"),"#REF!")</f>
        <v>#REF!</v>
      </c>
      <c r="AJ504" s="42" t="str">
        <f>IFERROR(__xludf.DUMMYFUNCTION("vLOOKUP(A504,IMPORTRANGE(""https://docs.google.com/spreadsheets/d/1Rawwwdh8wntXGy8isdYNHxsNQS4n_rC8JSdPfj6vEq4"",""'500 объектов перенос на 2026'!A3:AB502""),14,0)"),"#REF!")</f>
        <v>#REF!</v>
      </c>
      <c r="AK504" s="163" t="s">
        <v>114</v>
      </c>
      <c r="AL504" s="110"/>
      <c r="AM504" s="110"/>
      <c r="AN504" s="43"/>
      <c r="AO504" s="43"/>
      <c r="AP504" s="43"/>
      <c r="AQ504" s="43"/>
      <c r="AR504" s="43"/>
      <c r="AS504" s="43"/>
      <c r="AT504" s="43"/>
      <c r="AU504" s="43"/>
      <c r="AV504" s="43"/>
      <c r="AW504" s="43"/>
      <c r="AX504" s="43"/>
      <c r="AY504" s="43"/>
      <c r="AZ504" s="43"/>
    </row>
  </sheetData>
  <customSheetViews>
    <customSheetView guid="{1EBF60C3-2653-4782-AE72-4581171A90A6}" filter="1" showAutoFilter="1">
      <autoFilter ref="$A$2:$AN$504">
        <filterColumn colId="5">
          <filters>
            <filter val="Нет"/>
          </filters>
        </filterColumn>
        <filterColumn colId="1">
          <filters blank="1">
            <filter val="Щёлково"/>
            <filter val="Дзержинский"/>
            <filter val="Королёв"/>
            <filter val="Шаховская"/>
            <filter val="Серпухов"/>
            <filter val="Зарайск"/>
            <filter val="Электросталь"/>
            <filter val="Сергиево-Посадский"/>
            <filter val="Подольск"/>
            <filter val="Ленинский"/>
            <filter val="Котельники"/>
            <filter val="Краснознаменск"/>
            <filter val="Серебряные Пруды"/>
            <filter val="ГКУ МО МОС АВС"/>
            <filter val="Реутов"/>
            <filter val="Долгопрудный"/>
            <filter val="Можайский (АО МОСОБЛТЕПЛО)"/>
            <filter val="Истра"/>
            <filter val="Богородский"/>
            <filter val="Домодедово"/>
            <filter val="Бронницы"/>
            <filter val="Фрязино"/>
            <filter val="Кашира"/>
          </filters>
        </filterColumn>
      </autoFilter>
    </customSheetView>
    <customSheetView guid="{047691D1-2340-4A7D-8676-F2E1ABD02897}" filter="1" showAutoFilter="1">
      <autoFilter ref="$A$4:$AN$504">
        <filterColumn colId="1">
          <filters blank="1">
            <filter val="Домодедово"/>
          </filters>
        </filterColumn>
      </autoFilter>
    </customSheetView>
  </customSheetViews>
  <dataValidations>
    <dataValidation type="list" allowBlank="1" showErrorMessage="1" sqref="R3:R147 R149:R504">
      <formula1>"65.1 ,Нехватка софифансирования,Отсутствие доп.ника,Утверждение новой версии ГП,Передача объекта в собственность МО,Не доведены лимиты от ГРБС,Смена собственника объекта,Отсутсвие БГ,Не завершены СМР,Не получено МОГЭ,контракт расторгнут,Низкий темп подгру"&amp;"зки документов в ПИК,Формирование пакета документов для оплаты,ИД, КС принята УТНКР, заказчик выставляет доп.требования к перевыполнению Благоустройства"</formula1>
    </dataValidation>
    <dataValidation type="list" allowBlank="1" showErrorMessage="1" sqref="W4:W504">
      <formula1>"Низкий темп устранения замечания УТНКР,Замечания не устранимы, требуется повторный заход в МОГЭ,Исполнительная документация не подписана с Заказчиком ,Отсутсвуют акты скрытых работ,Спор из-за объемов выполненных работ,ИД и КС-2 не переданы в УТНКР,Заказчи"&amp;"к выставляет замечания подрядчику"</formula1>
    </dataValidation>
    <dataValidation type="list" allowBlank="1" showErrorMessage="1" sqref="F78">
      <formula1>"Нет,Да,Повторный заход"</formula1>
    </dataValidation>
    <dataValidation type="list" allowBlank="1" showErrorMessage="1" sqref="S4:S504">
      <formula1>"Нет,Да,Частично"</formula1>
    </dataValidation>
    <dataValidation type="list" allowBlank="1" showErrorMessage="1" sqref="K303">
      <formula1>"Низкий темп производства работ подрядной ,Срыв сроков поставки оборудования ,Длительное получение РНР, допусков на работы,Финансовые трудности подрядчиков,Замена земельного участка,Отсутствие тех.прис,Попадание в зоны ЗОУИТ,Длительное согласования с ведом"&amp;"ствами (Ростехнадзор, МОГ и тд),Расторжение контракта (новый подрядчик),Выявление доп. объема работ,ЗУ находится в собственности Минобороны"</formula1>
    </dataValidation>
    <dataValidation type="list" allowBlank="1" showErrorMessage="1" sqref="F4:F77 A234 F79:F504 I4:I504">
      <formula1>"Нет,Да"</formula1>
    </dataValidation>
    <dataValidation type="list" allowBlank="1" showErrorMessage="1" sqref="K4:K302 K304:K504">
      <formula1>"Низкий темп производства работ подрядной ,Срыв сроков поставки оборудования ,Длительное получение РНР, допусков на работы,Финансовые трудности подрядчиков,Замена земельного участка,Отсутствие тех.прис,Попадание в зоны ЗОУИТ,Длительное согласования с ведом"&amp;"ствами (Ростехнадзор, МОГ и тд),Расторжение контракта (новый подрядчик),Выявление доп. объема работ,Исправление нарушений за предыдущем ПО"</formula1>
    </dataValidation>
    <dataValidation type="list" allowBlank="1" showErrorMessage="1" sqref="H4:H504">
      <formula1>"Низкий темп разработки ПИР подрядчиком,Долгая передача исходных данных от ОМСУ подрядчику ,Смена проектировщика,Корректировка ТЗ,Отсутствие тех.приса,Отсутствие ГПЗУ на земельный участок,Необходимость проведения НТС,Длительное согласование ПИР с Заказчико"&amp;"м,Попадание в зоны ЗОУИТ,Проведение дополнительных инж. изысканий в соответствии с ЗНП,Повторное МОГЭ, корретировка объемов,Финансовые трудности у ПО,Оформление ТС в муниципальную собственность,Длительное прохождение НТС"</formula1>
    </dataValidation>
    <dataValidation type="list" allowBlank="1" showErrorMessage="1" sqref="J151">
      <formula1>"Низкий темп разработки ПИР подрядчиком,Долгая передача исходных данных от ОМСУ подрядчику ,Смена проектировщика,Корректировка ТЗ,Отсутствие тех.приса,Отсутствие ГПЗУ на земельный участок,Необходимость проведения НТС,Длительное согласование ПИР с Заказчико"&amp;"м,Попадание в зоны ЗОУИТ,Проведение дополнительных инж. изысканий в соответствии с ЗНП,Повторное МОГЭ, корретировка объемов"</formula1>
    </dataValidation>
    <dataValidation type="list" allowBlank="1" showErrorMessage="1" sqref="G4:G504">
      <formula1>"Не заходили ни разу,Заходили,В МОГЭ"</formula1>
    </dataValidation>
    <dataValidation type="list" allowBlank="1" showErrorMessage="1" sqref="J4:J150 J152:J504">
      <formula1>"Благоустройство,Монтаж не завершен,ПНР не проведен"</formula1>
    </dataValidation>
    <dataValidation type="list" allowBlank="1" showErrorMessage="1" sqref="M4:M504">
      <formula1>"Нет,Да,Частично,Контракт расторгнут"</formula1>
    </dataValidation>
    <dataValidation type="list" allowBlank="1" showErrorMessage="1" sqref="R148">
      <formula1>"65.1 ,Нехватка софифансирования,Отсутствие доп.ника,Утверждение новой версии ГП,Передача объекта в собственность МО,Не доведены лимиты от ГРБС,Смена собственника объекта,Отсутсвие БГ,Не завершены СМР,Не получено МОГЭ,контракт расторгнут,Низкий темп подгру"&amp;"зки документов в ПИК,Долгое согласование УТНКР"</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12.63"/>
    <col customWidth="1" min="3" max="3" width="363.63"/>
  </cols>
  <sheetData>
    <row r="1">
      <c r="A1" s="194"/>
    </row>
    <row r="2">
      <c r="A2" s="194" t="str">
        <f>IFERROR(__xludf.DUMMYFUNCTION("QUERY('Оплата объектов'!$A$4:$Y1001, ""SELECT Col4, Col12, Col19 ORDER BY Col4 ASC, Col12 DESC"", 0)"),"")</f>
        <v/>
      </c>
      <c r="B2" s="195">
        <f>IFERROR(__xludf.DUMMYFUNCTION("""COMPUTED_VALUE"""),0.21)</f>
        <v>0.21</v>
      </c>
      <c r="C2" s="196" t="str">
        <f>IFERROR(__xludf.DUMMYFUNCTION("""COMPUTED_VALUE"""),"Нет")</f>
        <v>Нет</v>
      </c>
    </row>
    <row r="3">
      <c r="A3" s="194"/>
      <c r="B3" s="195"/>
      <c r="C3" s="196"/>
    </row>
    <row r="4">
      <c r="A4" s="197"/>
      <c r="B4" s="198"/>
      <c r="C4" s="199"/>
      <c r="D4" s="199"/>
      <c r="E4" s="199"/>
      <c r="F4" s="199"/>
      <c r="G4" s="199"/>
      <c r="H4" s="199"/>
      <c r="I4" s="199"/>
      <c r="J4" s="199"/>
      <c r="K4" s="199"/>
      <c r="L4" s="199"/>
      <c r="M4" s="199"/>
      <c r="N4" s="199"/>
      <c r="O4" s="199"/>
      <c r="P4" s="199"/>
      <c r="Q4" s="199"/>
      <c r="R4" s="199"/>
      <c r="S4" s="199"/>
      <c r="T4" s="199"/>
      <c r="U4" s="199"/>
      <c r="V4" s="199"/>
      <c r="W4" s="199"/>
      <c r="X4" s="199"/>
      <c r="Y4" s="199"/>
      <c r="Z4" s="199"/>
    </row>
    <row r="5">
      <c r="A5" s="197" t="str">
        <f>IFERROR(__xludf.DUMMYFUNCTION("""COMPUTED_VALUE"""),"АО АВТОБЫТДОР")</f>
        <v>АО АВТОБЫТДОР</v>
      </c>
      <c r="B5" s="198">
        <f>IFERROR(__xludf.DUMMYFUNCTION("""COMPUTED_VALUE"""),1.0)</f>
        <v>1</v>
      </c>
      <c r="C5" s="199" t="str">
        <f>IFERROR(__xludf.DUMMYFUNCTION("""COMPUTED_VALUE"""),"Да")</f>
        <v>Да</v>
      </c>
      <c r="D5" s="199"/>
      <c r="E5" s="199"/>
      <c r="F5" s="199"/>
      <c r="G5" s="199"/>
      <c r="H5" s="199"/>
      <c r="I5" s="199"/>
      <c r="J5" s="199"/>
      <c r="K5" s="199"/>
      <c r="L5" s="199"/>
      <c r="M5" s="199"/>
      <c r="N5" s="199"/>
      <c r="O5" s="199"/>
      <c r="P5" s="199"/>
      <c r="Q5" s="199"/>
      <c r="R5" s="199"/>
      <c r="S5" s="199"/>
      <c r="T5" s="199"/>
      <c r="U5" s="199"/>
      <c r="V5" s="199"/>
      <c r="W5" s="199"/>
      <c r="X5" s="199"/>
      <c r="Y5" s="199"/>
      <c r="Z5" s="199"/>
    </row>
    <row r="6">
      <c r="A6" s="197" t="str">
        <f>IFERROR(__xludf.DUMMYFUNCTION("""COMPUTED_VALUE"""),"АО АВТОБЫТДОР")</f>
        <v>АО АВТОБЫТДОР</v>
      </c>
      <c r="B6" s="198">
        <f>IFERROR(__xludf.DUMMYFUNCTION("""COMPUTED_VALUE"""),0.97)</f>
        <v>0.97</v>
      </c>
      <c r="C6" s="199" t="str">
        <f>IFERROR(__xludf.DUMMYFUNCTION("""COMPUTED_VALUE"""),"Частично")</f>
        <v>Частично</v>
      </c>
      <c r="D6" s="199"/>
      <c r="E6" s="199"/>
      <c r="F6" s="199"/>
      <c r="G6" s="199"/>
      <c r="H6" s="199"/>
      <c r="I6" s="199"/>
      <c r="J6" s="199"/>
      <c r="K6" s="199"/>
      <c r="L6" s="199"/>
      <c r="M6" s="199"/>
      <c r="N6" s="199"/>
      <c r="O6" s="199"/>
      <c r="P6" s="199"/>
      <c r="Q6" s="199"/>
      <c r="R6" s="199"/>
      <c r="S6" s="199"/>
      <c r="T6" s="199"/>
      <c r="U6" s="199"/>
      <c r="V6" s="199"/>
      <c r="W6" s="199"/>
      <c r="X6" s="199"/>
      <c r="Y6" s="199"/>
      <c r="Z6" s="199"/>
    </row>
    <row r="7">
      <c r="A7" s="197" t="str">
        <f>IFERROR(__xludf.DUMMYFUNCTION("""COMPUTED_VALUE"""),"АО АВТОБЫТДОР")</f>
        <v>АО АВТОБЫТДОР</v>
      </c>
      <c r="B7" s="198">
        <f>IFERROR(__xludf.DUMMYFUNCTION("""COMPUTED_VALUE"""),0.95)</f>
        <v>0.95</v>
      </c>
      <c r="C7" s="199" t="str">
        <f>IFERROR(__xludf.DUMMYFUNCTION("""COMPUTED_VALUE"""),"Нет")</f>
        <v>Нет</v>
      </c>
      <c r="D7" s="199"/>
      <c r="E7" s="199"/>
      <c r="F7" s="199"/>
      <c r="G7" s="199"/>
      <c r="H7" s="199"/>
      <c r="I7" s="199"/>
      <c r="J7" s="199"/>
      <c r="K7" s="199"/>
      <c r="L7" s="199"/>
      <c r="M7" s="199"/>
      <c r="N7" s="199"/>
      <c r="O7" s="199"/>
      <c r="P7" s="199"/>
      <c r="Q7" s="199"/>
      <c r="R7" s="199"/>
      <c r="S7" s="199"/>
      <c r="T7" s="199"/>
      <c r="U7" s="199"/>
      <c r="V7" s="199"/>
      <c r="W7" s="199"/>
      <c r="X7" s="199"/>
      <c r="Y7" s="199"/>
      <c r="Z7" s="199"/>
    </row>
    <row r="8">
      <c r="A8" s="197" t="str">
        <f>IFERROR(__xludf.DUMMYFUNCTION("""COMPUTED_VALUE"""),"АО АВТОБЫТДОР")</f>
        <v>АО АВТОБЫТДОР</v>
      </c>
      <c r="B8" s="198">
        <f>IFERROR(__xludf.DUMMYFUNCTION("""COMPUTED_VALUE"""),0.95)</f>
        <v>0.95</v>
      </c>
      <c r="C8" s="199" t="str">
        <f>IFERROR(__xludf.DUMMYFUNCTION("""COMPUTED_VALUE"""),"Да")</f>
        <v>Да</v>
      </c>
      <c r="D8" s="199"/>
      <c r="E8" s="199"/>
      <c r="F8" s="199"/>
      <c r="G8" s="199"/>
      <c r="H8" s="199"/>
      <c r="I8" s="199"/>
      <c r="J8" s="199"/>
      <c r="K8" s="199"/>
      <c r="L8" s="199"/>
      <c r="M8" s="199"/>
      <c r="N8" s="199"/>
      <c r="O8" s="199"/>
      <c r="P8" s="199"/>
      <c r="Q8" s="199"/>
      <c r="R8" s="199"/>
      <c r="S8" s="199"/>
      <c r="T8" s="199"/>
      <c r="U8" s="199"/>
      <c r="V8" s="199"/>
      <c r="W8" s="199"/>
      <c r="X8" s="199"/>
      <c r="Y8" s="199"/>
      <c r="Z8" s="199"/>
    </row>
    <row r="9">
      <c r="A9" s="197" t="str">
        <f>IFERROR(__xludf.DUMMYFUNCTION("""COMPUTED_VALUE"""),"АО АВТОБЫТДОР")</f>
        <v>АО АВТОБЫТДОР</v>
      </c>
      <c r="B9" s="198">
        <f>IFERROR(__xludf.DUMMYFUNCTION("""COMPUTED_VALUE"""),0.92)</f>
        <v>0.92</v>
      </c>
      <c r="C9" s="199" t="str">
        <f>IFERROR(__xludf.DUMMYFUNCTION("""COMPUTED_VALUE"""),"Частично")</f>
        <v>Частично</v>
      </c>
      <c r="D9" s="199"/>
      <c r="E9" s="199"/>
      <c r="F9" s="199"/>
      <c r="G9" s="199"/>
      <c r="H9" s="199"/>
      <c r="I9" s="199"/>
      <c r="J9" s="199"/>
      <c r="K9" s="199"/>
      <c r="L9" s="199"/>
      <c r="M9" s="199"/>
      <c r="N9" s="199"/>
      <c r="O9" s="199"/>
      <c r="P9" s="199"/>
      <c r="Q9" s="199"/>
      <c r="R9" s="199"/>
      <c r="S9" s="199"/>
      <c r="T9" s="199"/>
      <c r="U9" s="199"/>
      <c r="V9" s="199"/>
      <c r="W9" s="199"/>
      <c r="X9" s="199"/>
      <c r="Y9" s="199"/>
      <c r="Z9" s="199"/>
    </row>
    <row r="10">
      <c r="A10" s="197" t="str">
        <f>IFERROR(__xludf.DUMMYFUNCTION("""COMPUTED_VALUE"""),"АО АВТОБЫТДОР")</f>
        <v>АО АВТОБЫТДОР</v>
      </c>
      <c r="B10" s="198">
        <f>IFERROR(__xludf.DUMMYFUNCTION("""COMPUTED_VALUE"""),0.92)</f>
        <v>0.92</v>
      </c>
      <c r="C10" s="199" t="str">
        <f>IFERROR(__xludf.DUMMYFUNCTION("""COMPUTED_VALUE"""),"Частично")</f>
        <v>Частично</v>
      </c>
      <c r="D10" s="199"/>
      <c r="E10" s="199"/>
      <c r="F10" s="199"/>
      <c r="G10" s="199"/>
      <c r="H10" s="199"/>
      <c r="I10" s="199"/>
      <c r="J10" s="199"/>
      <c r="K10" s="199"/>
      <c r="L10" s="199"/>
      <c r="M10" s="199"/>
      <c r="N10" s="199"/>
      <c r="O10" s="199"/>
      <c r="P10" s="199"/>
      <c r="Q10" s="199"/>
      <c r="R10" s="199"/>
      <c r="S10" s="199"/>
      <c r="T10" s="199"/>
      <c r="U10" s="199"/>
      <c r="V10" s="199"/>
      <c r="W10" s="199"/>
      <c r="X10" s="199"/>
      <c r="Y10" s="199"/>
      <c r="Z10" s="199"/>
    </row>
    <row r="11">
      <c r="A11" s="197" t="str">
        <f>IFERROR(__xludf.DUMMYFUNCTION("""COMPUTED_VALUE"""),"АО АВТОБЫТДОР")</f>
        <v>АО АВТОБЫТДОР</v>
      </c>
      <c r="B11" s="198">
        <f>IFERROR(__xludf.DUMMYFUNCTION("""COMPUTED_VALUE"""),0.91)</f>
        <v>0.91</v>
      </c>
      <c r="C11" s="199" t="str">
        <f>IFERROR(__xludf.DUMMYFUNCTION("""COMPUTED_VALUE"""),"Частично")</f>
        <v>Частично</v>
      </c>
      <c r="D11" s="199"/>
      <c r="E11" s="199"/>
      <c r="F11" s="199"/>
      <c r="G11" s="199"/>
      <c r="H11" s="199"/>
      <c r="I11" s="199"/>
      <c r="J11" s="199"/>
      <c r="K11" s="199"/>
      <c r="L11" s="199"/>
      <c r="M11" s="199"/>
      <c r="N11" s="199"/>
      <c r="O11" s="199"/>
      <c r="P11" s="199"/>
      <c r="Q11" s="199"/>
      <c r="R11" s="199"/>
      <c r="S11" s="199"/>
      <c r="T11" s="199"/>
      <c r="U11" s="199"/>
      <c r="V11" s="199"/>
      <c r="W11" s="199"/>
      <c r="X11" s="199"/>
      <c r="Y11" s="199"/>
      <c r="Z11" s="199"/>
    </row>
    <row r="12">
      <c r="A12" s="197" t="str">
        <f>IFERROR(__xludf.DUMMYFUNCTION("""COMPUTED_VALUE"""),"АО АВТОБЫТДОР")</f>
        <v>АО АВТОБЫТДОР</v>
      </c>
      <c r="B12" s="198">
        <f>IFERROR(__xludf.DUMMYFUNCTION("""COMPUTED_VALUE"""),0.91)</f>
        <v>0.91</v>
      </c>
      <c r="C12" s="199" t="str">
        <f>IFERROR(__xludf.DUMMYFUNCTION("""COMPUTED_VALUE"""),"Частично")</f>
        <v>Частично</v>
      </c>
      <c r="D12" s="199"/>
      <c r="E12" s="199"/>
      <c r="F12" s="199"/>
      <c r="G12" s="199"/>
      <c r="H12" s="199"/>
      <c r="I12" s="199"/>
      <c r="J12" s="199"/>
      <c r="K12" s="199"/>
      <c r="L12" s="199"/>
      <c r="M12" s="199"/>
      <c r="N12" s="199"/>
      <c r="O12" s="199"/>
      <c r="P12" s="199"/>
      <c r="Q12" s="199"/>
      <c r="R12" s="199"/>
      <c r="S12" s="199"/>
      <c r="T12" s="199"/>
      <c r="U12" s="199"/>
      <c r="V12" s="199"/>
      <c r="W12" s="199"/>
      <c r="X12" s="199"/>
      <c r="Y12" s="199"/>
      <c r="Z12" s="199"/>
    </row>
    <row r="13">
      <c r="A13" s="197" t="str">
        <f>IFERROR(__xludf.DUMMYFUNCTION("""COMPUTED_VALUE"""),"АО АВТОБЫТДОР")</f>
        <v>АО АВТОБЫТДОР</v>
      </c>
      <c r="B13" s="198">
        <f>IFERROR(__xludf.DUMMYFUNCTION("""COMPUTED_VALUE"""),0.9)</f>
        <v>0.9</v>
      </c>
      <c r="C13" s="199" t="str">
        <f>IFERROR(__xludf.DUMMYFUNCTION("""COMPUTED_VALUE"""),"Частично")</f>
        <v>Частично</v>
      </c>
      <c r="D13" s="199"/>
      <c r="E13" s="199"/>
      <c r="F13" s="199"/>
      <c r="G13" s="199"/>
      <c r="H13" s="199"/>
      <c r="I13" s="199"/>
      <c r="J13" s="199"/>
      <c r="K13" s="199"/>
      <c r="L13" s="199"/>
      <c r="M13" s="199"/>
      <c r="N13" s="199"/>
      <c r="O13" s="199"/>
      <c r="P13" s="199"/>
      <c r="Q13" s="199"/>
      <c r="R13" s="199"/>
      <c r="S13" s="199"/>
      <c r="T13" s="199"/>
      <c r="U13" s="199"/>
      <c r="V13" s="199"/>
      <c r="W13" s="199"/>
      <c r="X13" s="199"/>
      <c r="Y13" s="199"/>
      <c r="Z13" s="199"/>
    </row>
    <row r="14">
      <c r="A14" s="197" t="str">
        <f>IFERROR(__xludf.DUMMYFUNCTION("""COMPUTED_VALUE"""),"АО АВТОБЫТДОР")</f>
        <v>АО АВТОБЫТДОР</v>
      </c>
      <c r="B14" s="198">
        <f>IFERROR(__xludf.DUMMYFUNCTION("""COMPUTED_VALUE"""),0.9)</f>
        <v>0.9</v>
      </c>
      <c r="C14" s="199" t="str">
        <f>IFERROR(__xludf.DUMMYFUNCTION("""COMPUTED_VALUE"""),"Частично")</f>
        <v>Частично</v>
      </c>
      <c r="D14" s="199"/>
      <c r="E14" s="199"/>
      <c r="F14" s="199"/>
      <c r="G14" s="199"/>
      <c r="H14" s="199"/>
      <c r="I14" s="199"/>
      <c r="J14" s="199"/>
      <c r="K14" s="199"/>
      <c r="L14" s="199"/>
      <c r="M14" s="199"/>
      <c r="N14" s="199"/>
      <c r="O14" s="199"/>
      <c r="P14" s="199"/>
      <c r="Q14" s="199"/>
      <c r="R14" s="199"/>
      <c r="S14" s="199"/>
      <c r="T14" s="199"/>
      <c r="U14" s="199"/>
      <c r="V14" s="199"/>
      <c r="W14" s="199"/>
      <c r="X14" s="199"/>
      <c r="Y14" s="199"/>
      <c r="Z14" s="199"/>
    </row>
    <row r="15">
      <c r="A15" s="197" t="str">
        <f>IFERROR(__xludf.DUMMYFUNCTION("""COMPUTED_VALUE"""),"АО АВТОБЫТДОР")</f>
        <v>АО АВТОБЫТДОР</v>
      </c>
      <c r="B15" s="198">
        <f>IFERROR(__xludf.DUMMYFUNCTION("""COMPUTED_VALUE"""),0.9)</f>
        <v>0.9</v>
      </c>
      <c r="C15" s="199" t="str">
        <f>IFERROR(__xludf.DUMMYFUNCTION("""COMPUTED_VALUE"""),"Частично")</f>
        <v>Частично</v>
      </c>
      <c r="D15" s="199"/>
      <c r="E15" s="199"/>
      <c r="F15" s="199"/>
      <c r="G15" s="199"/>
      <c r="H15" s="199"/>
      <c r="I15" s="199"/>
      <c r="J15" s="199"/>
      <c r="K15" s="199"/>
      <c r="L15" s="199"/>
      <c r="M15" s="199"/>
      <c r="N15" s="199"/>
      <c r="O15" s="199"/>
      <c r="P15" s="199"/>
      <c r="Q15" s="199"/>
      <c r="R15" s="199"/>
      <c r="S15" s="199"/>
      <c r="T15" s="199"/>
      <c r="U15" s="199"/>
      <c r="V15" s="199"/>
      <c r="W15" s="199"/>
      <c r="X15" s="199"/>
      <c r="Y15" s="199"/>
      <c r="Z15" s="199"/>
    </row>
    <row r="16">
      <c r="A16" s="197" t="str">
        <f>IFERROR(__xludf.DUMMYFUNCTION("""COMPUTED_VALUE"""),"АО АВТОБЫТДОР")</f>
        <v>АО АВТОБЫТДОР</v>
      </c>
      <c r="B16" s="198">
        <f>IFERROR(__xludf.DUMMYFUNCTION("""COMPUTED_VALUE"""),0.9)</f>
        <v>0.9</v>
      </c>
      <c r="C16" s="199" t="str">
        <f>IFERROR(__xludf.DUMMYFUNCTION("""COMPUTED_VALUE"""),"Частично")</f>
        <v>Частично</v>
      </c>
      <c r="D16" s="199"/>
      <c r="E16" s="199"/>
      <c r="F16" s="199"/>
      <c r="G16" s="199"/>
      <c r="H16" s="199"/>
      <c r="I16" s="199"/>
      <c r="J16" s="199"/>
      <c r="K16" s="199"/>
      <c r="L16" s="199"/>
      <c r="M16" s="199"/>
      <c r="N16" s="199"/>
      <c r="O16" s="199"/>
      <c r="P16" s="199"/>
      <c r="Q16" s="199"/>
      <c r="R16" s="199"/>
      <c r="S16" s="199"/>
      <c r="T16" s="199"/>
      <c r="U16" s="199"/>
      <c r="V16" s="199"/>
      <c r="W16" s="199"/>
      <c r="X16" s="199"/>
      <c r="Y16" s="199"/>
      <c r="Z16" s="199"/>
    </row>
    <row r="17">
      <c r="A17" s="197" t="str">
        <f>IFERROR(__xludf.DUMMYFUNCTION("""COMPUTED_VALUE"""),"АО АВТОБЫТДОР")</f>
        <v>АО АВТОБЫТДОР</v>
      </c>
      <c r="B17" s="198">
        <f>IFERROR(__xludf.DUMMYFUNCTION("""COMPUTED_VALUE"""),0.9)</f>
        <v>0.9</v>
      </c>
      <c r="C17" s="199" t="str">
        <f>IFERROR(__xludf.DUMMYFUNCTION("""COMPUTED_VALUE"""),"Частично")</f>
        <v>Частично</v>
      </c>
      <c r="D17" s="199"/>
      <c r="E17" s="199"/>
      <c r="F17" s="199"/>
      <c r="G17" s="199"/>
      <c r="H17" s="199"/>
      <c r="I17" s="199"/>
      <c r="J17" s="199"/>
      <c r="K17" s="199"/>
      <c r="L17" s="199"/>
      <c r="M17" s="199"/>
      <c r="N17" s="199"/>
      <c r="O17" s="199"/>
      <c r="P17" s="199"/>
      <c r="Q17" s="199"/>
      <c r="R17" s="199"/>
      <c r="S17" s="199"/>
      <c r="T17" s="199"/>
      <c r="U17" s="199"/>
      <c r="V17" s="199"/>
      <c r="W17" s="199"/>
      <c r="X17" s="199"/>
      <c r="Y17" s="199"/>
      <c r="Z17" s="199"/>
    </row>
    <row r="18">
      <c r="A18" s="197" t="str">
        <f>IFERROR(__xludf.DUMMYFUNCTION("""COMPUTED_VALUE"""),"АО АВТОБЫТДОР")</f>
        <v>АО АВТОБЫТДОР</v>
      </c>
      <c r="B18" s="198">
        <f>IFERROR(__xludf.DUMMYFUNCTION("""COMPUTED_VALUE"""),0.87)</f>
        <v>0.87</v>
      </c>
      <c r="C18" s="199" t="str">
        <f>IFERROR(__xludf.DUMMYFUNCTION("""COMPUTED_VALUE"""),"Частично")</f>
        <v>Частично</v>
      </c>
      <c r="D18" s="199"/>
      <c r="E18" s="199"/>
      <c r="F18" s="199"/>
      <c r="G18" s="199"/>
      <c r="H18" s="199"/>
      <c r="I18" s="199"/>
      <c r="J18" s="199"/>
      <c r="K18" s="199"/>
      <c r="L18" s="199"/>
      <c r="M18" s="199"/>
      <c r="N18" s="199"/>
      <c r="O18" s="199"/>
      <c r="P18" s="199"/>
      <c r="Q18" s="199"/>
      <c r="R18" s="199"/>
      <c r="S18" s="199"/>
      <c r="T18" s="199"/>
      <c r="U18" s="199"/>
      <c r="V18" s="199"/>
      <c r="W18" s="199"/>
      <c r="X18" s="199"/>
      <c r="Y18" s="199"/>
      <c r="Z18" s="199"/>
    </row>
    <row r="19">
      <c r="A19" s="197" t="str">
        <f>IFERROR(__xludf.DUMMYFUNCTION("""COMPUTED_VALUE"""),"АО АВТОБЫТДОР")</f>
        <v>АО АВТОБЫТДОР</v>
      </c>
      <c r="B19" s="198">
        <f>IFERROR(__xludf.DUMMYFUNCTION("""COMPUTED_VALUE"""),0.86)</f>
        <v>0.86</v>
      </c>
      <c r="C19" s="199" t="str">
        <f>IFERROR(__xludf.DUMMYFUNCTION("""COMPUTED_VALUE"""),"Частично")</f>
        <v>Частично</v>
      </c>
      <c r="D19" s="199"/>
      <c r="E19" s="199"/>
      <c r="F19" s="199"/>
      <c r="G19" s="199"/>
      <c r="H19" s="199"/>
      <c r="I19" s="199"/>
      <c r="J19" s="199"/>
      <c r="K19" s="199"/>
      <c r="L19" s="199"/>
      <c r="M19" s="199"/>
      <c r="N19" s="199"/>
      <c r="O19" s="199"/>
      <c r="P19" s="199"/>
      <c r="Q19" s="199"/>
      <c r="R19" s="199"/>
      <c r="S19" s="199"/>
      <c r="T19" s="199"/>
      <c r="U19" s="199"/>
      <c r="V19" s="199"/>
      <c r="W19" s="199"/>
      <c r="X19" s="199"/>
      <c r="Y19" s="199"/>
      <c r="Z19" s="199"/>
    </row>
    <row r="20">
      <c r="A20" s="197" t="str">
        <f>IFERROR(__xludf.DUMMYFUNCTION("""COMPUTED_VALUE"""),"АО АВТОБЫТДОР")</f>
        <v>АО АВТОБЫТДОР</v>
      </c>
      <c r="B20" s="198">
        <f>IFERROR(__xludf.DUMMYFUNCTION("""COMPUTED_VALUE"""),0.79)</f>
        <v>0.79</v>
      </c>
      <c r="C20" s="199" t="str">
        <f>IFERROR(__xludf.DUMMYFUNCTION("""COMPUTED_VALUE"""),"Частично")</f>
        <v>Частично</v>
      </c>
      <c r="D20" s="199"/>
      <c r="E20" s="199"/>
      <c r="F20" s="199"/>
      <c r="G20" s="199"/>
      <c r="H20" s="199"/>
      <c r="I20" s="199"/>
      <c r="J20" s="199"/>
      <c r="K20" s="199"/>
      <c r="L20" s="199"/>
      <c r="M20" s="199"/>
      <c r="N20" s="199"/>
      <c r="O20" s="199"/>
      <c r="P20" s="199"/>
      <c r="Q20" s="199"/>
      <c r="R20" s="199"/>
      <c r="S20" s="199"/>
      <c r="T20" s="199"/>
      <c r="U20" s="199"/>
      <c r="V20" s="199"/>
      <c r="W20" s="199"/>
      <c r="X20" s="199"/>
      <c r="Y20" s="199"/>
      <c r="Z20" s="199"/>
    </row>
    <row r="21">
      <c r="A21" s="197" t="str">
        <f>IFERROR(__xludf.DUMMYFUNCTION("""COMPUTED_VALUE"""),"АО АВТОБЫТДОР")</f>
        <v>АО АВТОБЫТДОР</v>
      </c>
      <c r="B21" s="198">
        <f>IFERROR(__xludf.DUMMYFUNCTION("""COMPUTED_VALUE"""),0.78)</f>
        <v>0.78</v>
      </c>
      <c r="C21" s="199" t="str">
        <f>IFERROR(__xludf.DUMMYFUNCTION("""COMPUTED_VALUE"""),"Частично")</f>
        <v>Частично</v>
      </c>
      <c r="D21" s="199"/>
      <c r="E21" s="199"/>
      <c r="F21" s="199"/>
      <c r="G21" s="199"/>
      <c r="H21" s="199"/>
      <c r="I21" s="199"/>
      <c r="J21" s="199"/>
      <c r="K21" s="199"/>
      <c r="L21" s="199"/>
      <c r="M21" s="199"/>
      <c r="N21" s="199"/>
      <c r="O21" s="199"/>
      <c r="P21" s="199"/>
      <c r="Q21" s="199"/>
      <c r="R21" s="199"/>
      <c r="S21" s="199"/>
      <c r="T21" s="199"/>
      <c r="U21" s="199"/>
      <c r="V21" s="199"/>
      <c r="W21" s="199"/>
      <c r="X21" s="199"/>
      <c r="Y21" s="199"/>
      <c r="Z21" s="199"/>
    </row>
    <row r="22">
      <c r="A22" s="197" t="str">
        <f>IFERROR(__xludf.DUMMYFUNCTION("""COMPUTED_VALUE"""),"АО АВТОБЫТДОР")</f>
        <v>АО АВТОБЫТДОР</v>
      </c>
      <c r="B22" s="198"/>
      <c r="C22" s="199" t="str">
        <f>IFERROR(__xludf.DUMMYFUNCTION("""COMPUTED_VALUE"""),"Да")</f>
        <v>Да</v>
      </c>
      <c r="D22" s="199"/>
      <c r="E22" s="199"/>
      <c r="F22" s="199"/>
      <c r="G22" s="199"/>
      <c r="H22" s="199"/>
      <c r="I22" s="199"/>
      <c r="J22" s="199"/>
      <c r="K22" s="199"/>
      <c r="L22" s="199"/>
      <c r="M22" s="199"/>
      <c r="N22" s="199"/>
      <c r="O22" s="199"/>
      <c r="P22" s="199"/>
      <c r="Q22" s="199"/>
      <c r="R22" s="199"/>
      <c r="S22" s="199"/>
      <c r="T22" s="199"/>
      <c r="U22" s="199"/>
      <c r="V22" s="199"/>
      <c r="W22" s="199"/>
      <c r="X22" s="199"/>
      <c r="Y22" s="199"/>
      <c r="Z22" s="199"/>
    </row>
    <row r="23">
      <c r="A23" s="197" t="str">
        <f>IFERROR(__xludf.DUMMYFUNCTION("""COMPUTED_VALUE"""),"АО АВТОБЫТДОР")</f>
        <v>АО АВТОБЫТДОР</v>
      </c>
      <c r="B23" s="198"/>
      <c r="C23" s="199" t="str">
        <f>IFERROR(__xludf.DUMMYFUNCTION("""COMPUTED_VALUE"""),"Да")</f>
        <v>Да</v>
      </c>
      <c r="D23" s="199"/>
      <c r="E23" s="199"/>
      <c r="F23" s="199"/>
      <c r="G23" s="199"/>
      <c r="H23" s="199"/>
      <c r="I23" s="199"/>
      <c r="J23" s="199"/>
      <c r="K23" s="199"/>
      <c r="L23" s="199"/>
      <c r="M23" s="199"/>
      <c r="N23" s="199"/>
      <c r="O23" s="199"/>
      <c r="P23" s="199"/>
      <c r="Q23" s="199"/>
      <c r="R23" s="199"/>
      <c r="S23" s="199"/>
      <c r="T23" s="199"/>
      <c r="U23" s="199"/>
      <c r="V23" s="199"/>
      <c r="W23" s="199"/>
      <c r="X23" s="199"/>
      <c r="Y23" s="199"/>
      <c r="Z23" s="199"/>
    </row>
    <row r="24">
      <c r="A24" s="197" t="str">
        <f>IFERROR(__xludf.DUMMYFUNCTION("""COMPUTED_VALUE"""),"АО АВТОБЫТДОР")</f>
        <v>АО АВТОБЫТДОР</v>
      </c>
      <c r="B24" s="198"/>
      <c r="C24" s="199" t="str">
        <f>IFERROR(__xludf.DUMMYFUNCTION("""COMPUTED_VALUE"""),"Да")</f>
        <v>Да</v>
      </c>
      <c r="D24" s="199"/>
      <c r="E24" s="199"/>
      <c r="F24" s="199"/>
      <c r="G24" s="199"/>
      <c r="H24" s="199"/>
      <c r="I24" s="199"/>
      <c r="J24" s="199"/>
      <c r="K24" s="199"/>
      <c r="L24" s="199"/>
      <c r="M24" s="199"/>
      <c r="N24" s="199"/>
      <c r="O24" s="199"/>
      <c r="P24" s="199"/>
      <c r="Q24" s="199"/>
      <c r="R24" s="199"/>
      <c r="S24" s="199"/>
      <c r="T24" s="199"/>
      <c r="U24" s="199"/>
      <c r="V24" s="199"/>
      <c r="W24" s="199"/>
      <c r="X24" s="199"/>
      <c r="Y24" s="199"/>
      <c r="Z24" s="199"/>
    </row>
    <row r="25">
      <c r="A25" s="197" t="str">
        <f>IFERROR(__xludf.DUMMYFUNCTION("""COMPUTED_VALUE"""),"АО АГУНА")</f>
        <v>АО АГУНА</v>
      </c>
      <c r="B25" s="198">
        <f>IFERROR(__xludf.DUMMYFUNCTION("""COMPUTED_VALUE"""),0.98)</f>
        <v>0.98</v>
      </c>
      <c r="C25" s="199" t="str">
        <f>IFERROR(__xludf.DUMMYFUNCTION("""COMPUTED_VALUE"""),"Частично")</f>
        <v>Частично</v>
      </c>
      <c r="D25" s="199"/>
      <c r="E25" s="199"/>
      <c r="F25" s="199"/>
      <c r="G25" s="199"/>
      <c r="H25" s="199"/>
      <c r="I25" s="199"/>
      <c r="J25" s="199"/>
      <c r="K25" s="199"/>
      <c r="L25" s="199"/>
      <c r="M25" s="199"/>
      <c r="N25" s="199"/>
      <c r="O25" s="199"/>
      <c r="P25" s="199"/>
      <c r="Q25" s="199"/>
      <c r="R25" s="199"/>
      <c r="S25" s="199"/>
      <c r="T25" s="199"/>
      <c r="U25" s="199"/>
      <c r="V25" s="199"/>
      <c r="W25" s="199"/>
      <c r="X25" s="199"/>
      <c r="Y25" s="199"/>
      <c r="Z25" s="199"/>
    </row>
    <row r="26">
      <c r="A26" s="197" t="str">
        <f>IFERROR(__xludf.DUMMYFUNCTION("""COMPUTED_VALUE"""),"АО АГУНА")</f>
        <v>АО АГУНА</v>
      </c>
      <c r="B26" s="198"/>
      <c r="C26" s="199" t="str">
        <f>IFERROR(__xludf.DUMMYFUNCTION("""COMPUTED_VALUE"""),"Да")</f>
        <v>Да</v>
      </c>
      <c r="D26" s="199"/>
      <c r="E26" s="199"/>
      <c r="F26" s="199"/>
      <c r="G26" s="199"/>
      <c r="H26" s="199"/>
      <c r="I26" s="199"/>
      <c r="J26" s="199"/>
      <c r="K26" s="199"/>
      <c r="L26" s="199"/>
      <c r="M26" s="199"/>
      <c r="N26" s="199"/>
      <c r="O26" s="199"/>
      <c r="P26" s="199"/>
      <c r="Q26" s="199"/>
      <c r="R26" s="199"/>
      <c r="S26" s="199"/>
      <c r="T26" s="199"/>
      <c r="U26" s="199"/>
      <c r="V26" s="199"/>
      <c r="W26" s="199"/>
      <c r="X26" s="199"/>
      <c r="Y26" s="199"/>
      <c r="Z26" s="199"/>
    </row>
    <row r="27">
      <c r="A27" s="197" t="str">
        <f>IFERROR(__xludf.DUMMYFUNCTION("""COMPUTED_VALUE"""),"АО АГУНА")</f>
        <v>АО АГУНА</v>
      </c>
      <c r="B27" s="198"/>
      <c r="C27" s="199" t="str">
        <f>IFERROR(__xludf.DUMMYFUNCTION("""COMPUTED_VALUE"""),"Да")</f>
        <v>Да</v>
      </c>
      <c r="D27" s="199"/>
      <c r="E27" s="199"/>
      <c r="F27" s="199"/>
      <c r="G27" s="199"/>
      <c r="H27" s="199"/>
      <c r="I27" s="199"/>
      <c r="J27" s="199"/>
      <c r="K27" s="199"/>
      <c r="L27" s="199"/>
      <c r="M27" s="199"/>
      <c r="N27" s="199"/>
      <c r="O27" s="199"/>
      <c r="P27" s="199"/>
      <c r="Q27" s="199"/>
      <c r="R27" s="199"/>
      <c r="S27" s="199"/>
      <c r="T27" s="199"/>
      <c r="U27" s="199"/>
      <c r="V27" s="199"/>
      <c r="W27" s="199"/>
      <c r="X27" s="199"/>
      <c r="Y27" s="199"/>
      <c r="Z27" s="199"/>
    </row>
    <row r="28">
      <c r="A28" s="197" t="str">
        <f>IFERROR(__xludf.DUMMYFUNCTION("""COMPUTED_VALUE"""),"АО АСП")</f>
        <v>АО АСП</v>
      </c>
      <c r="B28" s="198">
        <f>IFERROR(__xludf.DUMMYFUNCTION("""COMPUTED_VALUE"""),0.98)</f>
        <v>0.98</v>
      </c>
      <c r="C28" s="199" t="str">
        <f>IFERROR(__xludf.DUMMYFUNCTION("""COMPUTED_VALUE"""),"Да")</f>
        <v>Да</v>
      </c>
      <c r="D28" s="199"/>
      <c r="E28" s="199"/>
      <c r="F28" s="199"/>
      <c r="G28" s="199"/>
      <c r="H28" s="199"/>
      <c r="I28" s="199"/>
      <c r="J28" s="199"/>
      <c r="K28" s="199"/>
      <c r="L28" s="199"/>
      <c r="M28" s="199"/>
      <c r="N28" s="199"/>
      <c r="O28" s="199"/>
      <c r="P28" s="199"/>
      <c r="Q28" s="199"/>
      <c r="R28" s="199"/>
      <c r="S28" s="199"/>
      <c r="T28" s="199"/>
      <c r="U28" s="199"/>
      <c r="V28" s="199"/>
      <c r="W28" s="199"/>
      <c r="X28" s="199"/>
      <c r="Y28" s="199"/>
      <c r="Z28" s="199"/>
    </row>
    <row r="29">
      <c r="A29" s="197" t="str">
        <f>IFERROR(__xludf.DUMMYFUNCTION("""COMPUTED_VALUE"""),"АО ГК ЕКС")</f>
        <v>АО ГК ЕКС</v>
      </c>
      <c r="B29" s="198">
        <f>IFERROR(__xludf.DUMMYFUNCTION("""COMPUTED_VALUE"""),1.0)</f>
        <v>1</v>
      </c>
      <c r="C29" s="199" t="str">
        <f>IFERROR(__xludf.DUMMYFUNCTION("""COMPUTED_VALUE"""),"Да")</f>
        <v>Да</v>
      </c>
      <c r="D29" s="199"/>
      <c r="E29" s="199"/>
      <c r="F29" s="199"/>
      <c r="G29" s="199"/>
      <c r="H29" s="199"/>
      <c r="I29" s="199"/>
      <c r="J29" s="199"/>
      <c r="K29" s="199"/>
      <c r="L29" s="199"/>
      <c r="M29" s="199"/>
      <c r="N29" s="199"/>
      <c r="O29" s="199"/>
      <c r="P29" s="199"/>
      <c r="Q29" s="199"/>
      <c r="R29" s="199"/>
      <c r="S29" s="199"/>
      <c r="T29" s="199"/>
      <c r="U29" s="199"/>
      <c r="V29" s="199"/>
      <c r="W29" s="199"/>
      <c r="X29" s="199"/>
      <c r="Y29" s="199"/>
      <c r="Z29" s="199"/>
    </row>
    <row r="30">
      <c r="A30" s="197" t="str">
        <f>IFERROR(__xludf.DUMMYFUNCTION("""COMPUTED_VALUE"""),"АО ГК ЕКС")</f>
        <v>АО ГК ЕКС</v>
      </c>
      <c r="B30" s="198">
        <f>IFERROR(__xludf.DUMMYFUNCTION("""COMPUTED_VALUE"""),0.98)</f>
        <v>0.98</v>
      </c>
      <c r="C30" s="199" t="str">
        <f>IFERROR(__xludf.DUMMYFUNCTION("""COMPUTED_VALUE"""),"Частично")</f>
        <v>Частично</v>
      </c>
      <c r="D30" s="199"/>
      <c r="E30" s="199"/>
      <c r="F30" s="199"/>
      <c r="G30" s="199"/>
      <c r="H30" s="199"/>
      <c r="I30" s="199"/>
      <c r="J30" s="199"/>
      <c r="K30" s="199"/>
      <c r="L30" s="199"/>
      <c r="M30" s="199"/>
      <c r="N30" s="199"/>
      <c r="O30" s="199"/>
      <c r="P30" s="199"/>
      <c r="Q30" s="199"/>
      <c r="R30" s="199"/>
      <c r="S30" s="199"/>
      <c r="T30" s="199"/>
      <c r="U30" s="199"/>
      <c r="V30" s="199"/>
      <c r="W30" s="199"/>
      <c r="X30" s="199"/>
      <c r="Y30" s="199"/>
      <c r="Z30" s="199"/>
    </row>
    <row r="31">
      <c r="A31" s="197" t="str">
        <f>IFERROR(__xludf.DUMMYFUNCTION("""COMPUTED_VALUE"""),"АО ГК ЕКС")</f>
        <v>АО ГК ЕКС</v>
      </c>
      <c r="B31" s="198">
        <f>IFERROR(__xludf.DUMMYFUNCTION("""COMPUTED_VALUE"""),0.97)</f>
        <v>0.97</v>
      </c>
      <c r="C31" s="199" t="str">
        <f>IFERROR(__xludf.DUMMYFUNCTION("""COMPUTED_VALUE"""),"Частично")</f>
        <v>Частично</v>
      </c>
      <c r="D31" s="199"/>
      <c r="E31" s="199"/>
      <c r="F31" s="199"/>
      <c r="G31" s="199"/>
      <c r="H31" s="199"/>
      <c r="I31" s="199"/>
      <c r="J31" s="199"/>
      <c r="K31" s="199"/>
      <c r="L31" s="199"/>
      <c r="M31" s="199"/>
      <c r="N31" s="199"/>
      <c r="O31" s="199"/>
      <c r="P31" s="199"/>
      <c r="Q31" s="199"/>
      <c r="R31" s="199"/>
      <c r="S31" s="199"/>
      <c r="T31" s="199"/>
      <c r="U31" s="199"/>
      <c r="V31" s="199"/>
      <c r="W31" s="199"/>
      <c r="X31" s="199"/>
      <c r="Y31" s="199"/>
      <c r="Z31" s="199"/>
    </row>
    <row r="32">
      <c r="A32" s="197" t="str">
        <f>IFERROR(__xludf.DUMMYFUNCTION("""COMPUTED_VALUE"""),"АО ГК ЕКС")</f>
        <v>АО ГК ЕКС</v>
      </c>
      <c r="B32" s="198">
        <f>IFERROR(__xludf.DUMMYFUNCTION("""COMPUTED_VALUE"""),0.9)</f>
        <v>0.9</v>
      </c>
      <c r="C32" s="199" t="str">
        <f>IFERROR(__xludf.DUMMYFUNCTION("""COMPUTED_VALUE"""),"Частично")</f>
        <v>Частично</v>
      </c>
      <c r="D32" s="199"/>
      <c r="E32" s="199"/>
      <c r="F32" s="199"/>
      <c r="G32" s="199"/>
      <c r="H32" s="199"/>
      <c r="I32" s="199"/>
      <c r="J32" s="199"/>
      <c r="K32" s="199"/>
      <c r="L32" s="199"/>
      <c r="M32" s="199"/>
      <c r="N32" s="199"/>
      <c r="O32" s="199"/>
      <c r="P32" s="199"/>
      <c r="Q32" s="199"/>
      <c r="R32" s="199"/>
      <c r="S32" s="199"/>
      <c r="T32" s="199"/>
      <c r="U32" s="199"/>
      <c r="V32" s="199"/>
      <c r="W32" s="199"/>
      <c r="X32" s="199"/>
      <c r="Y32" s="199"/>
      <c r="Z32" s="199"/>
    </row>
    <row r="33">
      <c r="A33" s="197" t="str">
        <f>IFERROR(__xludf.DUMMYFUNCTION("""COMPUTED_VALUE"""),"АО ГК ЕКС")</f>
        <v>АО ГК ЕКС</v>
      </c>
      <c r="B33" s="198">
        <f>IFERROR(__xludf.DUMMYFUNCTION("""COMPUTED_VALUE"""),0.88)</f>
        <v>0.88</v>
      </c>
      <c r="C33" s="199" t="str">
        <f>IFERROR(__xludf.DUMMYFUNCTION("""COMPUTED_VALUE"""),"Частично")</f>
        <v>Частично</v>
      </c>
      <c r="D33" s="199"/>
      <c r="E33" s="199"/>
      <c r="F33" s="199"/>
      <c r="G33" s="199"/>
      <c r="H33" s="199"/>
      <c r="I33" s="199"/>
      <c r="J33" s="199"/>
      <c r="K33" s="199"/>
      <c r="L33" s="199"/>
      <c r="M33" s="199"/>
      <c r="N33" s="199"/>
      <c r="O33" s="199"/>
      <c r="P33" s="199"/>
      <c r="Q33" s="199"/>
      <c r="R33" s="199"/>
      <c r="S33" s="199"/>
      <c r="T33" s="199"/>
      <c r="U33" s="199"/>
      <c r="V33" s="199"/>
      <c r="W33" s="199"/>
      <c r="X33" s="199"/>
      <c r="Y33" s="199"/>
      <c r="Z33" s="199"/>
    </row>
    <row r="34">
      <c r="A34" s="197" t="str">
        <f>IFERROR(__xludf.DUMMYFUNCTION("""COMPUTED_VALUE"""),"АО ГК ЕКС")</f>
        <v>АО ГК ЕКС</v>
      </c>
      <c r="B34" s="198">
        <f>IFERROR(__xludf.DUMMYFUNCTION("""COMPUTED_VALUE"""),0.87)</f>
        <v>0.87</v>
      </c>
      <c r="C34" s="199" t="str">
        <f>IFERROR(__xludf.DUMMYFUNCTION("""COMPUTED_VALUE"""),"Нет")</f>
        <v>Нет</v>
      </c>
      <c r="D34" s="199"/>
      <c r="E34" s="199"/>
      <c r="F34" s="199"/>
      <c r="G34" s="199"/>
      <c r="H34" s="199"/>
      <c r="I34" s="199"/>
      <c r="J34" s="199"/>
      <c r="K34" s="199"/>
      <c r="L34" s="199"/>
      <c r="M34" s="199"/>
      <c r="N34" s="199"/>
      <c r="O34" s="199"/>
      <c r="P34" s="199"/>
      <c r="Q34" s="199"/>
      <c r="R34" s="199"/>
      <c r="S34" s="199"/>
      <c r="T34" s="199"/>
      <c r="U34" s="199"/>
      <c r="V34" s="199"/>
      <c r="W34" s="199"/>
      <c r="X34" s="199"/>
      <c r="Y34" s="199"/>
      <c r="Z34" s="199"/>
    </row>
    <row r="35">
      <c r="A35" s="197" t="str">
        <f>IFERROR(__xludf.DUMMYFUNCTION("""COMPUTED_VALUE"""),"АО ГК ЕКС")</f>
        <v>АО ГК ЕКС</v>
      </c>
      <c r="B35" s="198"/>
      <c r="C35" s="199" t="str">
        <f>IFERROR(__xludf.DUMMYFUNCTION("""COMPUTED_VALUE"""),"Частично")</f>
        <v>Частично</v>
      </c>
      <c r="D35" s="199"/>
      <c r="E35" s="199"/>
      <c r="F35" s="199"/>
      <c r="G35" s="199"/>
      <c r="H35" s="199"/>
      <c r="I35" s="199"/>
      <c r="J35" s="199"/>
      <c r="K35" s="199"/>
      <c r="L35" s="199"/>
      <c r="M35" s="199"/>
      <c r="N35" s="199"/>
      <c r="O35" s="199"/>
      <c r="P35" s="199"/>
      <c r="Q35" s="199"/>
      <c r="R35" s="199"/>
      <c r="S35" s="199"/>
      <c r="T35" s="199"/>
      <c r="U35" s="199"/>
      <c r="V35" s="199"/>
      <c r="W35" s="199"/>
      <c r="X35" s="199"/>
      <c r="Y35" s="199"/>
      <c r="Z35" s="199"/>
    </row>
    <row r="36">
      <c r="A36" s="197" t="str">
        <f>IFERROR(__xludf.DUMMYFUNCTION("""COMPUTED_VALUE"""),"АО ИУ СТАЛЬКОНСТРУКЦИЯ")</f>
        <v>АО ИУ СТАЛЬКОНСТРУКЦИЯ</v>
      </c>
      <c r="B36" s="198"/>
      <c r="C36" s="199" t="str">
        <f>IFERROR(__xludf.DUMMYFUNCTION("""COMPUTED_VALUE"""),"Да")</f>
        <v>Да</v>
      </c>
      <c r="D36" s="199"/>
      <c r="E36" s="199"/>
      <c r="F36" s="199"/>
      <c r="G36" s="199"/>
      <c r="H36" s="199"/>
      <c r="I36" s="199"/>
      <c r="J36" s="199"/>
      <c r="K36" s="199"/>
      <c r="L36" s="199"/>
      <c r="M36" s="199"/>
      <c r="N36" s="199"/>
      <c r="O36" s="199"/>
      <c r="P36" s="199"/>
      <c r="Q36" s="199"/>
      <c r="R36" s="199"/>
      <c r="S36" s="199"/>
      <c r="T36" s="199"/>
      <c r="U36" s="199"/>
      <c r="V36" s="199"/>
      <c r="W36" s="199"/>
      <c r="X36" s="199"/>
      <c r="Y36" s="199"/>
      <c r="Z36" s="199"/>
    </row>
    <row r="37">
      <c r="A37" s="197" t="str">
        <f>IFERROR(__xludf.DUMMYFUNCTION("""COMPUTED_VALUE"""),"АО МИСК")</f>
        <v>АО МИСК</v>
      </c>
      <c r="B37" s="198">
        <f>IFERROR(__xludf.DUMMYFUNCTION("""COMPUTED_VALUE"""),0.97)</f>
        <v>0.97</v>
      </c>
      <c r="C37" s="199" t="str">
        <f>IFERROR(__xludf.DUMMYFUNCTION("""COMPUTED_VALUE"""),"Частично")</f>
        <v>Частично</v>
      </c>
      <c r="D37" s="199"/>
      <c r="E37" s="199"/>
      <c r="F37" s="199"/>
      <c r="G37" s="199"/>
      <c r="H37" s="199"/>
      <c r="I37" s="199"/>
      <c r="J37" s="199"/>
      <c r="K37" s="199"/>
      <c r="L37" s="199"/>
      <c r="M37" s="199"/>
      <c r="N37" s="199"/>
      <c r="O37" s="199"/>
      <c r="P37" s="199"/>
      <c r="Q37" s="199"/>
      <c r="R37" s="199"/>
      <c r="S37" s="199"/>
      <c r="T37" s="199"/>
      <c r="U37" s="199"/>
      <c r="V37" s="199"/>
      <c r="W37" s="199"/>
      <c r="X37" s="199"/>
      <c r="Y37" s="199"/>
      <c r="Z37" s="199"/>
    </row>
    <row r="38">
      <c r="A38" s="197" t="str">
        <f>IFERROR(__xludf.DUMMYFUNCTION("""COMPUTED_VALUE"""),"АО МОСОБЛГАЗ")</f>
        <v>АО МОСОБЛГАЗ</v>
      </c>
      <c r="B38" s="198">
        <f>IFERROR(__xludf.DUMMYFUNCTION("""COMPUTED_VALUE"""),1.0)</f>
        <v>1</v>
      </c>
      <c r="C38" s="199" t="str">
        <f>IFERROR(__xludf.DUMMYFUNCTION("""COMPUTED_VALUE"""),"Да")</f>
        <v>Да</v>
      </c>
      <c r="D38" s="199"/>
      <c r="E38" s="199"/>
      <c r="F38" s="199"/>
      <c r="G38" s="199"/>
      <c r="H38" s="199"/>
      <c r="I38" s="199"/>
      <c r="J38" s="199"/>
      <c r="K38" s="199"/>
      <c r="L38" s="199"/>
      <c r="M38" s="199"/>
      <c r="N38" s="199"/>
      <c r="O38" s="199"/>
      <c r="P38" s="199"/>
      <c r="Q38" s="199"/>
      <c r="R38" s="199"/>
      <c r="S38" s="199"/>
      <c r="T38" s="199"/>
      <c r="U38" s="199"/>
      <c r="V38" s="199"/>
      <c r="W38" s="199"/>
      <c r="X38" s="199"/>
      <c r="Y38" s="199"/>
      <c r="Z38" s="199"/>
    </row>
    <row r="39">
      <c r="A39" s="197" t="str">
        <f>IFERROR(__xludf.DUMMYFUNCTION("""COMPUTED_VALUE"""),"АО МОСОБЛГАЗ")</f>
        <v>АО МОСОБЛГАЗ</v>
      </c>
      <c r="B39" s="198">
        <f>IFERROR(__xludf.DUMMYFUNCTION("""COMPUTED_VALUE"""),1.0)</f>
        <v>1</v>
      </c>
      <c r="C39" s="199" t="str">
        <f>IFERROR(__xludf.DUMMYFUNCTION("""COMPUTED_VALUE"""),"Да")</f>
        <v>Да</v>
      </c>
      <c r="D39" s="199"/>
      <c r="E39" s="199"/>
      <c r="F39" s="199"/>
      <c r="G39" s="199"/>
      <c r="H39" s="199"/>
      <c r="I39" s="199"/>
      <c r="J39" s="199"/>
      <c r="K39" s="199"/>
      <c r="L39" s="199"/>
      <c r="M39" s="199"/>
      <c r="N39" s="199"/>
      <c r="O39" s="199"/>
      <c r="P39" s="199"/>
      <c r="Q39" s="199"/>
      <c r="R39" s="199"/>
      <c r="S39" s="199"/>
      <c r="T39" s="199"/>
      <c r="U39" s="199"/>
      <c r="V39" s="199"/>
      <c r="W39" s="199"/>
      <c r="X39" s="199"/>
      <c r="Y39" s="199"/>
      <c r="Z39" s="199"/>
    </row>
    <row r="40">
      <c r="A40" s="197" t="str">
        <f>IFERROR(__xludf.DUMMYFUNCTION("""COMPUTED_VALUE"""),"АО МОСОБЛГАЗ")</f>
        <v>АО МОСОБЛГАЗ</v>
      </c>
      <c r="B40" s="198">
        <f>IFERROR(__xludf.DUMMYFUNCTION("""COMPUTED_VALUE"""),1.0)</f>
        <v>1</v>
      </c>
      <c r="C40" s="199" t="str">
        <f>IFERROR(__xludf.DUMMYFUNCTION("""COMPUTED_VALUE"""),"Да")</f>
        <v>Да</v>
      </c>
      <c r="D40" s="199"/>
      <c r="E40" s="199"/>
      <c r="F40" s="199"/>
      <c r="G40" s="199"/>
      <c r="H40" s="199"/>
      <c r="I40" s="199"/>
      <c r="J40" s="199"/>
      <c r="K40" s="199"/>
      <c r="L40" s="199"/>
      <c r="M40" s="199"/>
      <c r="N40" s="199"/>
      <c r="O40" s="199"/>
      <c r="P40" s="199"/>
      <c r="Q40" s="199"/>
      <c r="R40" s="199"/>
      <c r="S40" s="199"/>
      <c r="T40" s="199"/>
      <c r="U40" s="199"/>
      <c r="V40" s="199"/>
      <c r="W40" s="199"/>
      <c r="X40" s="199"/>
      <c r="Y40" s="199"/>
      <c r="Z40" s="199"/>
    </row>
    <row r="41">
      <c r="A41" s="197" t="str">
        <f>IFERROR(__xludf.DUMMYFUNCTION("""COMPUTED_VALUE"""),"АО МОСОБЛГАЗ")</f>
        <v>АО МОСОБЛГАЗ</v>
      </c>
      <c r="B41" s="198">
        <f>IFERROR(__xludf.DUMMYFUNCTION("""COMPUTED_VALUE"""),1.0)</f>
        <v>1</v>
      </c>
      <c r="C41" s="199" t="str">
        <f>IFERROR(__xludf.DUMMYFUNCTION("""COMPUTED_VALUE"""),"Да")</f>
        <v>Да</v>
      </c>
      <c r="D41" s="199"/>
      <c r="E41" s="199"/>
      <c r="F41" s="199"/>
      <c r="G41" s="199"/>
      <c r="H41" s="199"/>
      <c r="I41" s="199"/>
      <c r="J41" s="199"/>
      <c r="K41" s="199"/>
      <c r="L41" s="199"/>
      <c r="M41" s="199"/>
      <c r="N41" s="199"/>
      <c r="O41" s="199"/>
      <c r="P41" s="199"/>
      <c r="Q41" s="199"/>
      <c r="R41" s="199"/>
      <c r="S41" s="199"/>
      <c r="T41" s="199"/>
      <c r="U41" s="199"/>
      <c r="V41" s="199"/>
      <c r="W41" s="199"/>
      <c r="X41" s="199"/>
      <c r="Y41" s="199"/>
      <c r="Z41" s="199"/>
    </row>
    <row r="42">
      <c r="A42" s="197" t="str">
        <f>IFERROR(__xludf.DUMMYFUNCTION("""COMPUTED_VALUE"""),"АО МОСОБЛГАЗ")</f>
        <v>АО МОСОБЛГАЗ</v>
      </c>
      <c r="B42" s="198">
        <f>IFERROR(__xludf.DUMMYFUNCTION("""COMPUTED_VALUE"""),1.0)</f>
        <v>1</v>
      </c>
      <c r="C42" s="199" t="str">
        <f>IFERROR(__xludf.DUMMYFUNCTION("""COMPUTED_VALUE"""),"Да")</f>
        <v>Да</v>
      </c>
      <c r="D42" s="199"/>
      <c r="E42" s="199"/>
      <c r="F42" s="199"/>
      <c r="G42" s="199"/>
      <c r="H42" s="199"/>
      <c r="I42" s="199"/>
      <c r="J42" s="199"/>
      <c r="K42" s="199"/>
      <c r="L42" s="199"/>
      <c r="M42" s="199"/>
      <c r="N42" s="199"/>
      <c r="O42" s="199"/>
      <c r="P42" s="199"/>
      <c r="Q42" s="199"/>
      <c r="R42" s="199"/>
      <c r="S42" s="199"/>
      <c r="T42" s="199"/>
      <c r="U42" s="199"/>
      <c r="V42" s="199"/>
      <c r="W42" s="199"/>
      <c r="X42" s="199"/>
      <c r="Y42" s="199"/>
      <c r="Z42" s="199"/>
    </row>
    <row r="43">
      <c r="A43" s="197" t="str">
        <f>IFERROR(__xludf.DUMMYFUNCTION("""COMPUTED_VALUE"""),"АО МОСОБЛГАЗ")</f>
        <v>АО МОСОБЛГАЗ</v>
      </c>
      <c r="B43" s="198">
        <f>IFERROR(__xludf.DUMMYFUNCTION("""COMPUTED_VALUE"""),1.0)</f>
        <v>1</v>
      </c>
      <c r="C43" s="199" t="str">
        <f>IFERROR(__xludf.DUMMYFUNCTION("""COMPUTED_VALUE"""),"Да")</f>
        <v>Да</v>
      </c>
      <c r="D43" s="199"/>
      <c r="E43" s="199"/>
      <c r="F43" s="199"/>
      <c r="G43" s="199"/>
      <c r="H43" s="199"/>
      <c r="I43" s="199"/>
      <c r="J43" s="199"/>
      <c r="K43" s="199"/>
      <c r="L43" s="199"/>
      <c r="M43" s="199"/>
      <c r="N43" s="199"/>
      <c r="O43" s="199"/>
      <c r="P43" s="199"/>
      <c r="Q43" s="199"/>
      <c r="R43" s="199"/>
      <c r="S43" s="199"/>
      <c r="T43" s="199"/>
      <c r="U43" s="199"/>
      <c r="V43" s="199"/>
      <c r="W43" s="199"/>
      <c r="X43" s="199"/>
      <c r="Y43" s="199"/>
      <c r="Z43" s="199"/>
    </row>
    <row r="44">
      <c r="A44" s="197" t="str">
        <f>IFERROR(__xludf.DUMMYFUNCTION("""COMPUTED_VALUE"""),"АО МОСОБЛГАЗ")</f>
        <v>АО МОСОБЛГАЗ</v>
      </c>
      <c r="B44" s="198">
        <f>IFERROR(__xludf.DUMMYFUNCTION("""COMPUTED_VALUE"""),0.98)</f>
        <v>0.98</v>
      </c>
      <c r="C44" s="199" t="str">
        <f>IFERROR(__xludf.DUMMYFUNCTION("""COMPUTED_VALUE"""),"Частично")</f>
        <v>Частично</v>
      </c>
      <c r="D44" s="199"/>
      <c r="E44" s="199"/>
      <c r="F44" s="199"/>
      <c r="G44" s="199"/>
      <c r="H44" s="199"/>
      <c r="I44" s="199"/>
      <c r="J44" s="199"/>
      <c r="K44" s="199"/>
      <c r="L44" s="199"/>
      <c r="M44" s="199"/>
      <c r="N44" s="199"/>
      <c r="O44" s="199"/>
      <c r="P44" s="199"/>
      <c r="Q44" s="199"/>
      <c r="R44" s="199"/>
      <c r="S44" s="199"/>
      <c r="T44" s="199"/>
      <c r="U44" s="199"/>
      <c r="V44" s="199"/>
      <c r="W44" s="199"/>
      <c r="X44" s="199"/>
      <c r="Y44" s="199"/>
      <c r="Z44" s="199"/>
    </row>
    <row r="45">
      <c r="A45" s="197" t="str">
        <f>IFERROR(__xludf.DUMMYFUNCTION("""COMPUTED_VALUE"""),"АО МОСОБЛГАЗ")</f>
        <v>АО МОСОБЛГАЗ</v>
      </c>
      <c r="B45" s="198">
        <f>IFERROR(__xludf.DUMMYFUNCTION("""COMPUTED_VALUE"""),0.97)</f>
        <v>0.97</v>
      </c>
      <c r="C45" s="199" t="str">
        <f>IFERROR(__xludf.DUMMYFUNCTION("""COMPUTED_VALUE"""),"Нет")</f>
        <v>Нет</v>
      </c>
      <c r="D45" s="199"/>
      <c r="E45" s="199"/>
      <c r="F45" s="199"/>
      <c r="G45" s="199"/>
      <c r="H45" s="199"/>
      <c r="I45" s="199"/>
      <c r="J45" s="199"/>
      <c r="K45" s="199"/>
      <c r="L45" s="199"/>
      <c r="M45" s="199"/>
      <c r="N45" s="199"/>
      <c r="O45" s="199"/>
      <c r="P45" s="199"/>
      <c r="Q45" s="199"/>
      <c r="R45" s="199"/>
      <c r="S45" s="199"/>
      <c r="T45" s="199"/>
      <c r="U45" s="199"/>
      <c r="V45" s="199"/>
      <c r="W45" s="199"/>
      <c r="X45" s="199"/>
      <c r="Y45" s="199"/>
      <c r="Z45" s="199"/>
    </row>
    <row r="46">
      <c r="A46" s="197" t="str">
        <f>IFERROR(__xludf.DUMMYFUNCTION("""COMPUTED_VALUE"""),"АО МОСОБЛГАЗ")</f>
        <v>АО МОСОБЛГАЗ</v>
      </c>
      <c r="B46" s="198">
        <f>IFERROR(__xludf.DUMMYFUNCTION("""COMPUTED_VALUE"""),0.95)</f>
        <v>0.95</v>
      </c>
      <c r="C46" s="199" t="str">
        <f>IFERROR(__xludf.DUMMYFUNCTION("""COMPUTED_VALUE"""),"Нет")</f>
        <v>Нет</v>
      </c>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c r="A47" s="197" t="str">
        <f>IFERROR(__xludf.DUMMYFUNCTION("""COMPUTED_VALUE"""),"АО МОСОБЛГАЗ")</f>
        <v>АО МОСОБЛГАЗ</v>
      </c>
      <c r="B47" s="198">
        <f>IFERROR(__xludf.DUMMYFUNCTION("""COMPUTED_VALUE"""),0.91)</f>
        <v>0.91</v>
      </c>
      <c r="C47" s="199" t="str">
        <f>IFERROR(__xludf.DUMMYFUNCTION("""COMPUTED_VALUE"""),"Частично")</f>
        <v>Частично</v>
      </c>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c r="A48" s="197" t="str">
        <f>IFERROR(__xludf.DUMMYFUNCTION("""COMPUTED_VALUE"""),"АО МОСОБЛГАЗ")</f>
        <v>АО МОСОБЛГАЗ</v>
      </c>
      <c r="B48" s="198">
        <f>IFERROR(__xludf.DUMMYFUNCTION("""COMPUTED_VALUE"""),0.82)</f>
        <v>0.82</v>
      </c>
      <c r="C48" s="199" t="str">
        <f>IFERROR(__xludf.DUMMYFUNCTION("""COMPUTED_VALUE"""),"Нет")</f>
        <v>Нет</v>
      </c>
      <c r="D48" s="199"/>
      <c r="E48" s="199"/>
      <c r="F48" s="199"/>
      <c r="G48" s="199"/>
      <c r="H48" s="199"/>
      <c r="I48" s="199"/>
      <c r="J48" s="199"/>
      <c r="K48" s="199"/>
      <c r="L48" s="199"/>
      <c r="M48" s="199"/>
      <c r="N48" s="199"/>
      <c r="O48" s="199"/>
      <c r="P48" s="199"/>
      <c r="Q48" s="199"/>
      <c r="R48" s="199"/>
      <c r="S48" s="199"/>
      <c r="T48" s="199"/>
      <c r="U48" s="199"/>
      <c r="V48" s="199"/>
      <c r="W48" s="199"/>
      <c r="X48" s="199"/>
      <c r="Y48" s="199"/>
      <c r="Z48" s="199"/>
    </row>
    <row r="49">
      <c r="A49" s="197" t="str">
        <f>IFERROR(__xludf.DUMMYFUNCTION("""COMPUTED_VALUE"""),"АО МОСОБЛГАЗ")</f>
        <v>АО МОСОБЛГАЗ</v>
      </c>
      <c r="B49" s="198">
        <f>IFERROR(__xludf.DUMMYFUNCTION("""COMPUTED_VALUE"""),0.78)</f>
        <v>0.78</v>
      </c>
      <c r="C49" s="199" t="str">
        <f>IFERROR(__xludf.DUMMYFUNCTION("""COMPUTED_VALUE"""),"Частично")</f>
        <v>Частично</v>
      </c>
      <c r="D49" s="199"/>
      <c r="E49" s="199"/>
      <c r="F49" s="199"/>
      <c r="G49" s="199"/>
      <c r="H49" s="199"/>
      <c r="I49" s="199"/>
      <c r="J49" s="199"/>
      <c r="K49" s="199"/>
      <c r="L49" s="199"/>
      <c r="M49" s="199"/>
      <c r="N49" s="199"/>
      <c r="O49" s="199"/>
      <c r="P49" s="199"/>
      <c r="Q49" s="199"/>
      <c r="R49" s="199"/>
      <c r="S49" s="199"/>
      <c r="T49" s="199"/>
      <c r="U49" s="199"/>
      <c r="V49" s="199"/>
      <c r="W49" s="199"/>
      <c r="X49" s="199"/>
      <c r="Y49" s="199"/>
      <c r="Z49" s="199"/>
    </row>
    <row r="50">
      <c r="A50" s="197" t="str">
        <f>IFERROR(__xludf.DUMMYFUNCTION("""COMPUTED_VALUE"""),"АО МОСОБЛГАЗ")</f>
        <v>АО МОСОБЛГАЗ</v>
      </c>
      <c r="B50" s="198">
        <f>IFERROR(__xludf.DUMMYFUNCTION("""COMPUTED_VALUE"""),0.72)</f>
        <v>0.72</v>
      </c>
      <c r="C50" s="199" t="str">
        <f>IFERROR(__xludf.DUMMYFUNCTION("""COMPUTED_VALUE"""),"Нет")</f>
        <v>Нет</v>
      </c>
      <c r="D50" s="199"/>
      <c r="E50" s="199"/>
      <c r="F50" s="199"/>
      <c r="G50" s="199"/>
      <c r="H50" s="199"/>
      <c r="I50" s="199"/>
      <c r="J50" s="199"/>
      <c r="K50" s="199"/>
      <c r="L50" s="199"/>
      <c r="M50" s="199"/>
      <c r="N50" s="199"/>
      <c r="O50" s="199"/>
      <c r="P50" s="199"/>
      <c r="Q50" s="199"/>
      <c r="R50" s="199"/>
      <c r="S50" s="199"/>
      <c r="T50" s="199"/>
      <c r="U50" s="199"/>
      <c r="V50" s="199"/>
      <c r="W50" s="199"/>
      <c r="X50" s="199"/>
      <c r="Y50" s="199"/>
      <c r="Z50" s="199"/>
    </row>
    <row r="51">
      <c r="A51" s="197" t="str">
        <f>IFERROR(__xludf.DUMMYFUNCTION("""COMPUTED_VALUE"""),"АО МОСОБЛГАЗ")</f>
        <v>АО МОСОБЛГАЗ</v>
      </c>
      <c r="B51" s="198">
        <f>IFERROR(__xludf.DUMMYFUNCTION("""COMPUTED_VALUE"""),0.37)</f>
        <v>0.37</v>
      </c>
      <c r="C51" s="199" t="str">
        <f>IFERROR(__xludf.DUMMYFUNCTION("""COMPUTED_VALUE"""),"Нет")</f>
        <v>Нет</v>
      </c>
      <c r="D51" s="199"/>
      <c r="E51" s="199"/>
      <c r="F51" s="199"/>
      <c r="G51" s="199"/>
      <c r="H51" s="199"/>
      <c r="I51" s="199"/>
      <c r="J51" s="199"/>
      <c r="K51" s="199"/>
      <c r="L51" s="199"/>
      <c r="M51" s="199"/>
      <c r="N51" s="199"/>
      <c r="O51" s="199"/>
      <c r="P51" s="199"/>
      <c r="Q51" s="199"/>
      <c r="R51" s="199"/>
      <c r="S51" s="199"/>
      <c r="T51" s="199"/>
      <c r="U51" s="199"/>
      <c r="V51" s="199"/>
      <c r="W51" s="199"/>
      <c r="X51" s="199"/>
      <c r="Y51" s="199"/>
      <c r="Z51" s="199"/>
    </row>
    <row r="52">
      <c r="A52" s="197" t="str">
        <f>IFERROR(__xludf.DUMMYFUNCTION("""COMPUTED_VALUE"""),"АО МОСОБЛГАЗ")</f>
        <v>АО МОСОБЛГАЗ</v>
      </c>
      <c r="B52" s="198"/>
      <c r="C52" s="199" t="str">
        <f>IFERROR(__xludf.DUMMYFUNCTION("""COMPUTED_VALUE"""),"Да")</f>
        <v>Да</v>
      </c>
      <c r="D52" s="199"/>
      <c r="E52" s="199"/>
      <c r="F52" s="199"/>
      <c r="G52" s="199"/>
      <c r="H52" s="199"/>
      <c r="I52" s="199"/>
      <c r="J52" s="199"/>
      <c r="K52" s="199"/>
      <c r="L52" s="199"/>
      <c r="M52" s="199"/>
      <c r="N52" s="199"/>
      <c r="O52" s="199"/>
      <c r="P52" s="199"/>
      <c r="Q52" s="199"/>
      <c r="R52" s="199"/>
      <c r="S52" s="199"/>
      <c r="T52" s="199"/>
      <c r="U52" s="199"/>
      <c r="V52" s="199"/>
      <c r="W52" s="199"/>
      <c r="X52" s="199"/>
      <c r="Y52" s="199"/>
      <c r="Z52" s="199"/>
    </row>
    <row r="53">
      <c r="A53" s="197" t="str">
        <f>IFERROR(__xludf.DUMMYFUNCTION("""COMPUTED_VALUE"""),"АО МОСОБЛГАЗ")</f>
        <v>АО МОСОБЛГАЗ</v>
      </c>
      <c r="B53" s="198"/>
      <c r="C53" s="199" t="str">
        <f>IFERROR(__xludf.DUMMYFUNCTION("""COMPUTED_VALUE"""),"Да")</f>
        <v>Да</v>
      </c>
      <c r="D53" s="199"/>
      <c r="E53" s="199"/>
      <c r="F53" s="199"/>
      <c r="G53" s="199"/>
      <c r="H53" s="199"/>
      <c r="I53" s="199"/>
      <c r="J53" s="199"/>
      <c r="K53" s="199"/>
      <c r="L53" s="199"/>
      <c r="M53" s="199"/>
      <c r="N53" s="199"/>
      <c r="O53" s="199"/>
      <c r="P53" s="199"/>
      <c r="Q53" s="199"/>
      <c r="R53" s="199"/>
      <c r="S53" s="199"/>
      <c r="T53" s="199"/>
      <c r="U53" s="199"/>
      <c r="V53" s="199"/>
      <c r="W53" s="199"/>
      <c r="X53" s="199"/>
      <c r="Y53" s="199"/>
      <c r="Z53" s="199"/>
    </row>
    <row r="54">
      <c r="A54" s="197" t="str">
        <f>IFERROR(__xludf.DUMMYFUNCTION("""COMPUTED_VALUE"""),"АО МОСОБЛГАЗ")</f>
        <v>АО МОСОБЛГАЗ</v>
      </c>
      <c r="B54" s="198"/>
      <c r="C54" s="199" t="str">
        <f>IFERROR(__xludf.DUMMYFUNCTION("""COMPUTED_VALUE"""),"Да")</f>
        <v>Да</v>
      </c>
      <c r="D54" s="199"/>
      <c r="E54" s="199"/>
      <c r="F54" s="199"/>
      <c r="G54" s="199"/>
      <c r="H54" s="199"/>
      <c r="I54" s="199"/>
      <c r="J54" s="199"/>
      <c r="K54" s="199"/>
      <c r="L54" s="199"/>
      <c r="M54" s="199"/>
      <c r="N54" s="199"/>
      <c r="O54" s="199"/>
      <c r="P54" s="199"/>
      <c r="Q54" s="199"/>
      <c r="R54" s="199"/>
      <c r="S54" s="199"/>
      <c r="T54" s="199"/>
      <c r="U54" s="199"/>
      <c r="V54" s="199"/>
      <c r="W54" s="199"/>
      <c r="X54" s="199"/>
      <c r="Y54" s="199"/>
      <c r="Z54" s="199"/>
    </row>
    <row r="55">
      <c r="A55" s="197" t="str">
        <f>IFERROR(__xludf.DUMMYFUNCTION("""COMPUTED_VALUE"""),"АО МОСОБЛГАЗ")</f>
        <v>АО МОСОБЛГАЗ</v>
      </c>
      <c r="B55" s="198"/>
      <c r="C55" s="199" t="str">
        <f>IFERROR(__xludf.DUMMYFUNCTION("""COMPUTED_VALUE"""),"Да")</f>
        <v>Да</v>
      </c>
      <c r="D55" s="199"/>
      <c r="E55" s="199"/>
      <c r="F55" s="199"/>
      <c r="G55" s="199"/>
      <c r="H55" s="199"/>
      <c r="I55" s="199"/>
      <c r="J55" s="199"/>
      <c r="K55" s="199"/>
      <c r="L55" s="199"/>
      <c r="M55" s="199"/>
      <c r="N55" s="199"/>
      <c r="O55" s="199"/>
      <c r="P55" s="199"/>
      <c r="Q55" s="199"/>
      <c r="R55" s="199"/>
      <c r="S55" s="199"/>
      <c r="T55" s="199"/>
      <c r="U55" s="199"/>
      <c r="V55" s="199"/>
      <c r="W55" s="199"/>
      <c r="X55" s="199"/>
      <c r="Y55" s="199"/>
      <c r="Z55" s="199"/>
    </row>
    <row r="56">
      <c r="A56" s="197" t="str">
        <f>IFERROR(__xludf.DUMMYFUNCTION("""COMPUTED_VALUE"""),"АО МОСОБЛГАЗ")</f>
        <v>АО МОСОБЛГАЗ</v>
      </c>
      <c r="B56" s="198"/>
      <c r="C56" s="199" t="str">
        <f>IFERROR(__xludf.DUMMYFUNCTION("""COMPUTED_VALUE"""),"Да")</f>
        <v>Да</v>
      </c>
      <c r="D56" s="199"/>
      <c r="E56" s="199"/>
      <c r="F56" s="199"/>
      <c r="G56" s="199"/>
      <c r="H56" s="199"/>
      <c r="I56" s="199"/>
      <c r="J56" s="199"/>
      <c r="K56" s="199"/>
      <c r="L56" s="199"/>
      <c r="M56" s="199"/>
      <c r="N56" s="199"/>
      <c r="O56" s="199"/>
      <c r="P56" s="199"/>
      <c r="Q56" s="199"/>
      <c r="R56" s="199"/>
      <c r="S56" s="199"/>
      <c r="T56" s="199"/>
      <c r="U56" s="199"/>
      <c r="V56" s="199"/>
      <c r="W56" s="199"/>
      <c r="X56" s="199"/>
      <c r="Y56" s="199"/>
      <c r="Z56" s="199"/>
    </row>
    <row r="57">
      <c r="A57" s="197" t="str">
        <f>IFERROR(__xludf.DUMMYFUNCTION("""COMPUTED_VALUE"""),"АО МОСОБЛТЕПЛО")</f>
        <v>АО МОСОБЛТЕПЛО</v>
      </c>
      <c r="B57" s="198">
        <f>IFERROR(__xludf.DUMMYFUNCTION("""COMPUTED_VALUE"""),0.96)</f>
        <v>0.96</v>
      </c>
      <c r="C57" s="199" t="str">
        <f>IFERROR(__xludf.DUMMYFUNCTION("""COMPUTED_VALUE"""),"Частично")</f>
        <v>Частично</v>
      </c>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c r="A58" s="197" t="str">
        <f>IFERROR(__xludf.DUMMYFUNCTION("""COMPUTED_VALUE"""),"АО МОСОБЛТЕПЛО")</f>
        <v>АО МОСОБЛТЕПЛО</v>
      </c>
      <c r="B58" s="198">
        <f>IFERROR(__xludf.DUMMYFUNCTION("""COMPUTED_VALUE"""),0.95)</f>
        <v>0.95</v>
      </c>
      <c r="C58" s="199" t="str">
        <f>IFERROR(__xludf.DUMMYFUNCTION("""COMPUTED_VALUE"""),"Нет")</f>
        <v>Нет</v>
      </c>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c r="A59" s="197" t="str">
        <f>IFERROR(__xludf.DUMMYFUNCTION("""COMPUTED_VALUE"""),"АО МОСОБЛТЕПЛО")</f>
        <v>АО МОСОБЛТЕПЛО</v>
      </c>
      <c r="B59" s="198">
        <f>IFERROR(__xludf.DUMMYFUNCTION("""COMPUTED_VALUE"""),0.95)</f>
        <v>0.95</v>
      </c>
      <c r="C59" s="199" t="str">
        <f>IFERROR(__xludf.DUMMYFUNCTION("""COMPUTED_VALUE"""),"Нет")</f>
        <v>Нет</v>
      </c>
      <c r="D59" s="199"/>
      <c r="E59" s="199"/>
      <c r="F59" s="199"/>
      <c r="G59" s="199"/>
      <c r="H59" s="199"/>
      <c r="I59" s="199"/>
      <c r="J59" s="199"/>
      <c r="K59" s="199"/>
      <c r="L59" s="199"/>
      <c r="M59" s="199"/>
      <c r="N59" s="199"/>
      <c r="O59" s="199"/>
      <c r="P59" s="199"/>
      <c r="Q59" s="199"/>
      <c r="R59" s="199"/>
      <c r="S59" s="199"/>
      <c r="T59" s="199"/>
      <c r="U59" s="199"/>
      <c r="V59" s="199"/>
      <c r="W59" s="199"/>
      <c r="X59" s="199"/>
      <c r="Y59" s="199"/>
      <c r="Z59" s="199"/>
    </row>
    <row r="60">
      <c r="A60" s="197" t="str">
        <f>IFERROR(__xludf.DUMMYFUNCTION("""COMPUTED_VALUE"""),"АО МОСОБЛТЕПЛО")</f>
        <v>АО МОСОБЛТЕПЛО</v>
      </c>
      <c r="B60" s="198">
        <f>IFERROR(__xludf.DUMMYFUNCTION("""COMPUTED_VALUE"""),0.94)</f>
        <v>0.94</v>
      </c>
      <c r="C60" s="199" t="str">
        <f>IFERROR(__xludf.DUMMYFUNCTION("""COMPUTED_VALUE"""),"Частично")</f>
        <v>Частично</v>
      </c>
      <c r="D60" s="199"/>
      <c r="E60" s="199"/>
      <c r="F60" s="199"/>
      <c r="G60" s="199"/>
      <c r="H60" s="199"/>
      <c r="I60" s="199"/>
      <c r="J60" s="199"/>
      <c r="K60" s="199"/>
      <c r="L60" s="199"/>
      <c r="M60" s="199"/>
      <c r="N60" s="199"/>
      <c r="O60" s="199"/>
      <c r="P60" s="199"/>
      <c r="Q60" s="199"/>
      <c r="R60" s="199"/>
      <c r="S60" s="199"/>
      <c r="T60" s="199"/>
      <c r="U60" s="199"/>
      <c r="V60" s="199"/>
      <c r="W60" s="199"/>
      <c r="X60" s="199"/>
      <c r="Y60" s="199"/>
      <c r="Z60" s="199"/>
    </row>
    <row r="61">
      <c r="A61" s="197" t="str">
        <f>IFERROR(__xludf.DUMMYFUNCTION("""COMPUTED_VALUE"""),"АО МОСОБЛТЕПЛО")</f>
        <v>АО МОСОБЛТЕПЛО</v>
      </c>
      <c r="B61" s="198">
        <f>IFERROR(__xludf.DUMMYFUNCTION("""COMPUTED_VALUE"""),0.9)</f>
        <v>0.9</v>
      </c>
      <c r="C61" s="199" t="str">
        <f>IFERROR(__xludf.DUMMYFUNCTION("""COMPUTED_VALUE"""),"Частично")</f>
        <v>Частично</v>
      </c>
      <c r="D61" s="199"/>
      <c r="E61" s="199"/>
      <c r="F61" s="199"/>
      <c r="G61" s="199"/>
      <c r="H61" s="199"/>
      <c r="I61" s="199"/>
      <c r="J61" s="199"/>
      <c r="K61" s="199"/>
      <c r="L61" s="199"/>
      <c r="M61" s="199"/>
      <c r="N61" s="199"/>
      <c r="O61" s="199"/>
      <c r="P61" s="199"/>
      <c r="Q61" s="199"/>
      <c r="R61" s="199"/>
      <c r="S61" s="199"/>
      <c r="T61" s="199"/>
      <c r="U61" s="199"/>
      <c r="V61" s="199"/>
      <c r="W61" s="199"/>
      <c r="X61" s="199"/>
      <c r="Y61" s="199"/>
      <c r="Z61" s="199"/>
    </row>
    <row r="62">
      <c r="A62" s="197" t="str">
        <f>IFERROR(__xludf.DUMMYFUNCTION("""COMPUTED_VALUE"""),"АО МОСОБЛТЕПЛО")</f>
        <v>АО МОСОБЛТЕПЛО</v>
      </c>
      <c r="B62" s="198">
        <f>IFERROR(__xludf.DUMMYFUNCTION("""COMPUTED_VALUE"""),0.85)</f>
        <v>0.85</v>
      </c>
      <c r="C62" s="199" t="str">
        <f>IFERROR(__xludf.DUMMYFUNCTION("""COMPUTED_VALUE"""),"Частично")</f>
        <v>Частично</v>
      </c>
      <c r="D62" s="199"/>
      <c r="E62" s="199"/>
      <c r="F62" s="199"/>
      <c r="G62" s="199"/>
      <c r="H62" s="199"/>
      <c r="I62" s="199"/>
      <c r="J62" s="199"/>
      <c r="K62" s="199"/>
      <c r="L62" s="199"/>
      <c r="M62" s="199"/>
      <c r="N62" s="199"/>
      <c r="O62" s="199"/>
      <c r="P62" s="199"/>
      <c r="Q62" s="199"/>
      <c r="R62" s="199"/>
      <c r="S62" s="199"/>
      <c r="T62" s="199"/>
      <c r="U62" s="199"/>
      <c r="V62" s="199"/>
      <c r="W62" s="199"/>
      <c r="X62" s="199"/>
      <c r="Y62" s="199"/>
      <c r="Z62" s="199"/>
    </row>
    <row r="63">
      <c r="A63" s="197" t="str">
        <f>IFERROR(__xludf.DUMMYFUNCTION("""COMPUTED_VALUE"""),"АО МОСОБЛТЕПЛО")</f>
        <v>АО МОСОБЛТЕПЛО</v>
      </c>
      <c r="B63" s="198">
        <f>IFERROR(__xludf.DUMMYFUNCTION("""COMPUTED_VALUE"""),0.84)</f>
        <v>0.84</v>
      </c>
      <c r="C63" s="199" t="str">
        <f>IFERROR(__xludf.DUMMYFUNCTION("""COMPUTED_VALUE"""),"Частично")</f>
        <v>Частично</v>
      </c>
      <c r="D63" s="199"/>
      <c r="E63" s="199"/>
      <c r="F63" s="199"/>
      <c r="G63" s="199"/>
      <c r="H63" s="199"/>
      <c r="I63" s="199"/>
      <c r="J63" s="199"/>
      <c r="K63" s="199"/>
      <c r="L63" s="199"/>
      <c r="M63" s="199"/>
      <c r="N63" s="199"/>
      <c r="O63" s="199"/>
      <c r="P63" s="199"/>
      <c r="Q63" s="199"/>
      <c r="R63" s="199"/>
      <c r="S63" s="199"/>
      <c r="T63" s="199"/>
      <c r="U63" s="199"/>
      <c r="V63" s="199"/>
      <c r="W63" s="199"/>
      <c r="X63" s="199"/>
      <c r="Y63" s="199"/>
      <c r="Z63" s="199"/>
    </row>
    <row r="64">
      <c r="A64" s="197" t="str">
        <f>IFERROR(__xludf.DUMMYFUNCTION("""COMPUTED_VALUE"""),"АО МОСОБЛТЕПЛО")</f>
        <v>АО МОСОБЛТЕПЛО</v>
      </c>
      <c r="B64" s="198">
        <f>IFERROR(__xludf.DUMMYFUNCTION("""COMPUTED_VALUE"""),0.83)</f>
        <v>0.83</v>
      </c>
      <c r="C64" s="199" t="str">
        <f>IFERROR(__xludf.DUMMYFUNCTION("""COMPUTED_VALUE"""),"Частично")</f>
        <v>Частично</v>
      </c>
      <c r="D64" s="199"/>
      <c r="E64" s="199"/>
      <c r="F64" s="199"/>
      <c r="G64" s="199"/>
      <c r="H64" s="199"/>
      <c r="I64" s="199"/>
      <c r="J64" s="199"/>
      <c r="K64" s="199"/>
      <c r="L64" s="199"/>
      <c r="M64" s="199"/>
      <c r="N64" s="199"/>
      <c r="O64" s="199"/>
      <c r="P64" s="199"/>
      <c r="Q64" s="199"/>
      <c r="R64" s="199"/>
      <c r="S64" s="199"/>
      <c r="T64" s="199"/>
      <c r="U64" s="199"/>
      <c r="V64" s="199"/>
      <c r="W64" s="199"/>
      <c r="X64" s="199"/>
      <c r="Y64" s="199"/>
      <c r="Z64" s="199"/>
    </row>
    <row r="65">
      <c r="A65" s="197" t="str">
        <f>IFERROR(__xludf.DUMMYFUNCTION("""COMPUTED_VALUE"""),"АО МОСОБЛТЕПЛО")</f>
        <v>АО МОСОБЛТЕПЛО</v>
      </c>
      <c r="B65" s="198">
        <f>IFERROR(__xludf.DUMMYFUNCTION("""COMPUTED_VALUE"""),0.77)</f>
        <v>0.77</v>
      </c>
      <c r="C65" s="199" t="str">
        <f>IFERROR(__xludf.DUMMYFUNCTION("""COMPUTED_VALUE"""),"Частично")</f>
        <v>Частично</v>
      </c>
      <c r="D65" s="199"/>
      <c r="E65" s="199"/>
      <c r="F65" s="199"/>
      <c r="G65" s="199"/>
      <c r="H65" s="199"/>
      <c r="I65" s="199"/>
      <c r="J65" s="199"/>
      <c r="K65" s="199"/>
      <c r="L65" s="199"/>
      <c r="M65" s="199"/>
      <c r="N65" s="199"/>
      <c r="O65" s="199"/>
      <c r="P65" s="199"/>
      <c r="Q65" s="199"/>
      <c r="R65" s="199"/>
      <c r="S65" s="199"/>
      <c r="T65" s="199"/>
      <c r="U65" s="199"/>
      <c r="V65" s="199"/>
      <c r="W65" s="199"/>
      <c r="X65" s="199"/>
      <c r="Y65" s="199"/>
      <c r="Z65" s="199"/>
    </row>
    <row r="66">
      <c r="A66" s="197" t="str">
        <f>IFERROR(__xludf.DUMMYFUNCTION("""COMPUTED_VALUE"""),"АО МОСОБЛТЕПЛО")</f>
        <v>АО МОСОБЛТЕПЛО</v>
      </c>
      <c r="B66" s="198">
        <f>IFERROR(__xludf.DUMMYFUNCTION("""COMPUTED_VALUE"""),0.76)</f>
        <v>0.76</v>
      </c>
      <c r="C66" s="199" t="str">
        <f>IFERROR(__xludf.DUMMYFUNCTION("""COMPUTED_VALUE"""),"Частично")</f>
        <v>Частично</v>
      </c>
      <c r="D66" s="199"/>
      <c r="E66" s="199"/>
      <c r="F66" s="199"/>
      <c r="G66" s="199"/>
      <c r="H66" s="199"/>
      <c r="I66" s="199"/>
      <c r="J66" s="199"/>
      <c r="K66" s="199"/>
      <c r="L66" s="199"/>
      <c r="M66" s="199"/>
      <c r="N66" s="199"/>
      <c r="O66" s="199"/>
      <c r="P66" s="199"/>
      <c r="Q66" s="199"/>
      <c r="R66" s="199"/>
      <c r="S66" s="199"/>
      <c r="T66" s="199"/>
      <c r="U66" s="199"/>
      <c r="V66" s="199"/>
      <c r="W66" s="199"/>
      <c r="X66" s="199"/>
      <c r="Y66" s="199"/>
      <c r="Z66" s="199"/>
    </row>
    <row r="67">
      <c r="A67" s="197" t="str">
        <f>IFERROR(__xludf.DUMMYFUNCTION("""COMPUTED_VALUE"""),"АО МОСОБЛТЕПЛО")</f>
        <v>АО МОСОБЛТЕПЛО</v>
      </c>
      <c r="B67" s="198">
        <f>IFERROR(__xludf.DUMMYFUNCTION("""COMPUTED_VALUE"""),0.08)</f>
        <v>0.08</v>
      </c>
      <c r="C67" s="199" t="str">
        <f>IFERROR(__xludf.DUMMYFUNCTION("""COMPUTED_VALUE"""),"Нет")</f>
        <v>Нет</v>
      </c>
      <c r="D67" s="199"/>
      <c r="E67" s="199"/>
      <c r="F67" s="199"/>
      <c r="G67" s="199"/>
      <c r="H67" s="199"/>
      <c r="I67" s="199"/>
      <c r="J67" s="199"/>
      <c r="K67" s="199"/>
      <c r="L67" s="199"/>
      <c r="M67" s="199"/>
      <c r="N67" s="199"/>
      <c r="O67" s="199"/>
      <c r="P67" s="199"/>
      <c r="Q67" s="199"/>
      <c r="R67" s="199"/>
      <c r="S67" s="199"/>
      <c r="T67" s="199"/>
      <c r="U67" s="199"/>
      <c r="V67" s="199"/>
      <c r="W67" s="199"/>
      <c r="X67" s="199"/>
      <c r="Y67" s="199"/>
      <c r="Z67" s="199"/>
    </row>
    <row r="68">
      <c r="A68" s="197" t="str">
        <f>IFERROR(__xludf.DUMMYFUNCTION("""COMPUTED_VALUE"""),"АО МОСОБЛТЕПЛО")</f>
        <v>АО МОСОБЛТЕПЛО</v>
      </c>
      <c r="B68" s="198"/>
      <c r="C68" s="199" t="str">
        <f>IFERROR(__xludf.DUMMYFUNCTION("""COMPUTED_VALUE"""),"Нет")</f>
        <v>Нет</v>
      </c>
      <c r="D68" s="199"/>
      <c r="E68" s="199"/>
      <c r="F68" s="199"/>
      <c r="G68" s="199"/>
      <c r="H68" s="199"/>
      <c r="I68" s="199"/>
      <c r="J68" s="199"/>
      <c r="K68" s="199"/>
      <c r="L68" s="199"/>
      <c r="M68" s="199"/>
      <c r="N68" s="199"/>
      <c r="O68" s="199"/>
      <c r="P68" s="199"/>
      <c r="Q68" s="199"/>
      <c r="R68" s="199"/>
      <c r="S68" s="199"/>
      <c r="T68" s="199"/>
      <c r="U68" s="199"/>
      <c r="V68" s="199"/>
      <c r="W68" s="199"/>
      <c r="X68" s="199"/>
      <c r="Y68" s="199"/>
      <c r="Z68" s="199"/>
    </row>
    <row r="69">
      <c r="A69" s="197" t="str">
        <f>IFERROR(__xludf.DUMMYFUNCTION("""COMPUTED_VALUE"""),"АО МОСОБЛТЕПЛО")</f>
        <v>АО МОСОБЛТЕПЛО</v>
      </c>
      <c r="B69" s="198"/>
      <c r="C69" s="199" t="str">
        <f>IFERROR(__xludf.DUMMYFUNCTION("""COMPUTED_VALUE"""),"Да")</f>
        <v>Да</v>
      </c>
      <c r="D69" s="199"/>
      <c r="E69" s="199"/>
      <c r="F69" s="199"/>
      <c r="G69" s="199"/>
      <c r="H69" s="199"/>
      <c r="I69" s="199"/>
      <c r="J69" s="199"/>
      <c r="K69" s="199"/>
      <c r="L69" s="199"/>
      <c r="M69" s="199"/>
      <c r="N69" s="199"/>
      <c r="O69" s="199"/>
      <c r="P69" s="199"/>
      <c r="Q69" s="199"/>
      <c r="R69" s="199"/>
      <c r="S69" s="199"/>
      <c r="T69" s="199"/>
      <c r="U69" s="199"/>
      <c r="V69" s="199"/>
      <c r="W69" s="199"/>
      <c r="X69" s="199"/>
      <c r="Y69" s="199"/>
      <c r="Z69" s="199"/>
    </row>
    <row r="70">
      <c r="A70" s="197" t="str">
        <f>IFERROR(__xludf.DUMMYFUNCTION("""COMPUTED_VALUE"""),"АО МОСОБЛТЕПЛО")</f>
        <v>АО МОСОБЛТЕПЛО</v>
      </c>
      <c r="B70" s="198"/>
      <c r="C70" s="199" t="str">
        <f>IFERROR(__xludf.DUMMYFUNCTION("""COMPUTED_VALUE"""),"Да")</f>
        <v>Да</v>
      </c>
      <c r="D70" s="199"/>
      <c r="E70" s="199"/>
      <c r="F70" s="199"/>
      <c r="G70" s="199"/>
      <c r="H70" s="199"/>
      <c r="I70" s="199"/>
      <c r="J70" s="199"/>
      <c r="K70" s="199"/>
      <c r="L70" s="199"/>
      <c r="M70" s="199"/>
      <c r="N70" s="199"/>
      <c r="O70" s="199"/>
      <c r="P70" s="199"/>
      <c r="Q70" s="199"/>
      <c r="R70" s="199"/>
      <c r="S70" s="199"/>
      <c r="T70" s="199"/>
      <c r="U70" s="199"/>
      <c r="V70" s="199"/>
      <c r="W70" s="199"/>
      <c r="X70" s="199"/>
      <c r="Y70" s="199"/>
      <c r="Z70" s="199"/>
    </row>
    <row r="71">
      <c r="A71" s="197" t="str">
        <f>IFERROR(__xludf.DUMMYFUNCTION("""COMPUTED_VALUE"""),"АО МОСОБЛТЕПЛО")</f>
        <v>АО МОСОБЛТЕПЛО</v>
      </c>
      <c r="B71" s="198"/>
      <c r="C71" s="199" t="str">
        <f>IFERROR(__xludf.DUMMYFUNCTION("""COMPUTED_VALUE"""),"Да")</f>
        <v>Да</v>
      </c>
      <c r="D71" s="199"/>
      <c r="E71" s="199"/>
      <c r="F71" s="199"/>
      <c r="G71" s="199"/>
      <c r="H71" s="199"/>
      <c r="I71" s="199"/>
      <c r="J71" s="199"/>
      <c r="K71" s="199"/>
      <c r="L71" s="199"/>
      <c r="M71" s="199"/>
      <c r="N71" s="199"/>
      <c r="O71" s="199"/>
      <c r="P71" s="199"/>
      <c r="Q71" s="199"/>
      <c r="R71" s="199"/>
      <c r="S71" s="199"/>
      <c r="T71" s="199"/>
      <c r="U71" s="199"/>
      <c r="V71" s="199"/>
      <c r="W71" s="199"/>
      <c r="X71" s="199"/>
      <c r="Y71" s="199"/>
      <c r="Z71" s="199"/>
    </row>
    <row r="72">
      <c r="A72" s="197" t="str">
        <f>IFERROR(__xludf.DUMMYFUNCTION("""COMPUTED_VALUE"""),"АО МОСОБЛТЕПЛО")</f>
        <v>АО МОСОБЛТЕПЛО</v>
      </c>
      <c r="B72" s="198"/>
      <c r="C72" s="199" t="str">
        <f>IFERROR(__xludf.DUMMYFUNCTION("""COMPUTED_VALUE"""),"Да")</f>
        <v>Да</v>
      </c>
      <c r="D72" s="199"/>
      <c r="E72" s="199"/>
      <c r="F72" s="199"/>
      <c r="G72" s="199"/>
      <c r="H72" s="199"/>
      <c r="I72" s="199"/>
      <c r="J72" s="199"/>
      <c r="K72" s="199"/>
      <c r="L72" s="199"/>
      <c r="M72" s="199"/>
      <c r="N72" s="199"/>
      <c r="O72" s="199"/>
      <c r="P72" s="199"/>
      <c r="Q72" s="199"/>
      <c r="R72" s="199"/>
      <c r="S72" s="199"/>
      <c r="T72" s="199"/>
      <c r="U72" s="199"/>
      <c r="V72" s="199"/>
      <c r="W72" s="199"/>
      <c r="X72" s="199"/>
      <c r="Y72" s="199"/>
      <c r="Z72" s="199"/>
    </row>
    <row r="73">
      <c r="A73" s="197" t="str">
        <f>IFERROR(__xludf.DUMMYFUNCTION("""COMPUTED_VALUE"""),"АО НПТО ЖКХ")</f>
        <v>АО НПТО ЖКХ</v>
      </c>
      <c r="B73" s="198"/>
      <c r="C73" s="199" t="str">
        <f>IFERROR(__xludf.DUMMYFUNCTION("""COMPUTED_VALUE"""),"Да")</f>
        <v>Да</v>
      </c>
      <c r="D73" s="199"/>
      <c r="E73" s="199"/>
      <c r="F73" s="199"/>
      <c r="G73" s="199"/>
      <c r="H73" s="199"/>
      <c r="I73" s="199"/>
      <c r="J73" s="199"/>
      <c r="K73" s="199"/>
      <c r="L73" s="199"/>
      <c r="M73" s="199"/>
      <c r="N73" s="199"/>
      <c r="O73" s="199"/>
      <c r="P73" s="199"/>
      <c r="Q73" s="199"/>
      <c r="R73" s="199"/>
      <c r="S73" s="199"/>
      <c r="T73" s="199"/>
      <c r="U73" s="199"/>
      <c r="V73" s="199"/>
      <c r="W73" s="199"/>
      <c r="X73" s="199"/>
      <c r="Y73" s="199"/>
      <c r="Z73" s="199"/>
    </row>
    <row r="74">
      <c r="A74" s="197" t="str">
        <f>IFERROR(__xludf.DUMMYFUNCTION("""COMPUTED_VALUE"""),"АО НПТО ЖКХ")</f>
        <v>АО НПТО ЖКХ</v>
      </c>
      <c r="B74" s="198"/>
      <c r="C74" s="199" t="str">
        <f>IFERROR(__xludf.DUMMYFUNCTION("""COMPUTED_VALUE"""),"Да")</f>
        <v>Да</v>
      </c>
      <c r="D74" s="199"/>
      <c r="E74" s="199"/>
      <c r="F74" s="199"/>
      <c r="G74" s="199"/>
      <c r="H74" s="199"/>
      <c r="I74" s="199"/>
      <c r="J74" s="199"/>
      <c r="K74" s="199"/>
      <c r="L74" s="199"/>
      <c r="M74" s="199"/>
      <c r="N74" s="199"/>
      <c r="O74" s="199"/>
      <c r="P74" s="199"/>
      <c r="Q74" s="199"/>
      <c r="R74" s="199"/>
      <c r="S74" s="199"/>
      <c r="T74" s="199"/>
      <c r="U74" s="199"/>
      <c r="V74" s="199"/>
      <c r="W74" s="199"/>
      <c r="X74" s="199"/>
      <c r="Y74" s="199"/>
      <c r="Z74" s="199"/>
    </row>
    <row r="75">
      <c r="A75" s="197" t="str">
        <f>IFERROR(__xludf.DUMMYFUNCTION("""COMPUTED_VALUE"""),"АО НПТО ЖКХ")</f>
        <v>АО НПТО ЖКХ</v>
      </c>
      <c r="B75" s="198"/>
      <c r="C75" s="199" t="str">
        <f>IFERROR(__xludf.DUMMYFUNCTION("""COMPUTED_VALUE"""),"Да")</f>
        <v>Да</v>
      </c>
      <c r="D75" s="199"/>
      <c r="E75" s="199"/>
      <c r="F75" s="199"/>
      <c r="G75" s="199"/>
      <c r="H75" s="199"/>
      <c r="I75" s="199"/>
      <c r="J75" s="199"/>
      <c r="K75" s="199"/>
      <c r="L75" s="199"/>
      <c r="M75" s="199"/>
      <c r="N75" s="199"/>
      <c r="O75" s="199"/>
      <c r="P75" s="199"/>
      <c r="Q75" s="199"/>
      <c r="R75" s="199"/>
      <c r="S75" s="199"/>
      <c r="T75" s="199"/>
      <c r="U75" s="199"/>
      <c r="V75" s="199"/>
      <c r="W75" s="199"/>
      <c r="X75" s="199"/>
      <c r="Y75" s="199"/>
      <c r="Z75" s="199"/>
    </row>
    <row r="76">
      <c r="A76" s="197" t="str">
        <f>IFERROR(__xludf.DUMMYFUNCTION("""COMPUTED_VALUE"""),"АО ПК ТИС")</f>
        <v>АО ПК ТИС</v>
      </c>
      <c r="B76" s="198"/>
      <c r="C76" s="199" t="str">
        <f>IFERROR(__xludf.DUMMYFUNCTION("""COMPUTED_VALUE"""),"Да")</f>
        <v>Да</v>
      </c>
      <c r="D76" s="199"/>
      <c r="E76" s="199"/>
      <c r="F76" s="199"/>
      <c r="G76" s="199"/>
      <c r="H76" s="199"/>
      <c r="I76" s="199"/>
      <c r="J76" s="199"/>
      <c r="K76" s="199"/>
      <c r="L76" s="199"/>
      <c r="M76" s="199"/>
      <c r="N76" s="199"/>
      <c r="O76" s="199"/>
      <c r="P76" s="199"/>
      <c r="Q76" s="199"/>
      <c r="R76" s="199"/>
      <c r="S76" s="199"/>
      <c r="T76" s="199"/>
      <c r="U76" s="199"/>
      <c r="V76" s="199"/>
      <c r="W76" s="199"/>
      <c r="X76" s="199"/>
      <c r="Y76" s="199"/>
      <c r="Z76" s="199"/>
    </row>
    <row r="77">
      <c r="A77" s="197" t="str">
        <f>IFERROR(__xludf.DUMMYFUNCTION("""COMPUTED_VALUE"""),"АО ПК ТИС")</f>
        <v>АО ПК ТИС</v>
      </c>
      <c r="B77" s="198"/>
      <c r="C77" s="199" t="str">
        <f>IFERROR(__xludf.DUMMYFUNCTION("""COMPUTED_VALUE"""),"Да")</f>
        <v>Да</v>
      </c>
      <c r="D77" s="199"/>
      <c r="E77" s="199"/>
      <c r="F77" s="199"/>
      <c r="G77" s="199"/>
      <c r="H77" s="199"/>
      <c r="I77" s="199"/>
      <c r="J77" s="199"/>
      <c r="K77" s="199"/>
      <c r="L77" s="199"/>
      <c r="M77" s="199"/>
      <c r="N77" s="199"/>
      <c r="O77" s="199"/>
      <c r="P77" s="199"/>
      <c r="Q77" s="199"/>
      <c r="R77" s="199"/>
      <c r="S77" s="199"/>
      <c r="T77" s="199"/>
      <c r="U77" s="199"/>
      <c r="V77" s="199"/>
      <c r="W77" s="199"/>
      <c r="X77" s="199"/>
      <c r="Y77" s="199"/>
      <c r="Z77" s="199"/>
    </row>
    <row r="78">
      <c r="A78" s="197" t="str">
        <f>IFERROR(__xludf.DUMMYFUNCTION("""COMPUTED_VALUE"""),"АО ТЕПЛОСЕТЬ")</f>
        <v>АО ТЕПЛОСЕТЬ</v>
      </c>
      <c r="B78" s="198"/>
      <c r="C78" s="199" t="str">
        <f>IFERROR(__xludf.DUMMYFUNCTION("""COMPUTED_VALUE"""),"Да")</f>
        <v>Да</v>
      </c>
      <c r="D78" s="199"/>
      <c r="E78" s="199"/>
      <c r="F78" s="199"/>
      <c r="G78" s="199"/>
      <c r="H78" s="199"/>
      <c r="I78" s="199"/>
      <c r="J78" s="199"/>
      <c r="K78" s="199"/>
      <c r="L78" s="199"/>
      <c r="M78" s="199"/>
      <c r="N78" s="199"/>
      <c r="O78" s="199"/>
      <c r="P78" s="199"/>
      <c r="Q78" s="199"/>
      <c r="R78" s="199"/>
      <c r="S78" s="199"/>
      <c r="T78" s="199"/>
      <c r="U78" s="199"/>
      <c r="V78" s="199"/>
      <c r="W78" s="199"/>
      <c r="X78" s="199"/>
      <c r="Y78" s="199"/>
      <c r="Z78" s="199"/>
    </row>
    <row r="79">
      <c r="A79" s="197" t="str">
        <f>IFERROR(__xludf.DUMMYFUNCTION("""COMPUTED_VALUE"""),"АО ТЕПЛОСЕТЬ ФРЯЗИНО")</f>
        <v>АО ТЕПЛОСЕТЬ ФРЯЗИНО</v>
      </c>
      <c r="B79" s="198"/>
      <c r="C79" s="199" t="str">
        <f>IFERROR(__xludf.DUMMYFUNCTION("""COMPUTED_VALUE"""),"Да")</f>
        <v>Да</v>
      </c>
      <c r="D79" s="199"/>
      <c r="E79" s="199"/>
      <c r="F79" s="199"/>
      <c r="G79" s="199"/>
      <c r="H79" s="199"/>
      <c r="I79" s="199"/>
      <c r="J79" s="199"/>
      <c r="K79" s="199"/>
      <c r="L79" s="199"/>
      <c r="M79" s="199"/>
      <c r="N79" s="199"/>
      <c r="O79" s="199"/>
      <c r="P79" s="199"/>
      <c r="Q79" s="199"/>
      <c r="R79" s="199"/>
      <c r="S79" s="199"/>
      <c r="T79" s="199"/>
      <c r="U79" s="199"/>
      <c r="V79" s="199"/>
      <c r="W79" s="199"/>
      <c r="X79" s="199"/>
      <c r="Y79" s="199"/>
      <c r="Z79" s="199"/>
    </row>
    <row r="80">
      <c r="A80" s="197" t="str">
        <f>IFERROR(__xludf.DUMMYFUNCTION("""COMPUTED_VALUE"""),"АО ТЕПЛОУЧЕТ")</f>
        <v>АО ТЕПЛОУЧЕТ</v>
      </c>
      <c r="B80" s="198">
        <f>IFERROR(__xludf.DUMMYFUNCTION("""COMPUTED_VALUE"""),0.29)</f>
        <v>0.29</v>
      </c>
      <c r="C80" s="199" t="str">
        <f>IFERROR(__xludf.DUMMYFUNCTION("""COMPUTED_VALUE"""),"Нет")</f>
        <v>Нет</v>
      </c>
      <c r="D80" s="199"/>
      <c r="E80" s="199"/>
      <c r="F80" s="199"/>
      <c r="G80" s="199"/>
      <c r="H80" s="199"/>
      <c r="I80" s="199"/>
      <c r="J80" s="199"/>
      <c r="K80" s="199"/>
      <c r="L80" s="199"/>
      <c r="M80" s="199"/>
      <c r="N80" s="199"/>
      <c r="O80" s="199"/>
      <c r="P80" s="199"/>
      <c r="Q80" s="199"/>
      <c r="R80" s="199"/>
      <c r="S80" s="199"/>
      <c r="T80" s="199"/>
      <c r="U80" s="199"/>
      <c r="V80" s="199"/>
      <c r="W80" s="199"/>
      <c r="X80" s="199"/>
      <c r="Y80" s="199"/>
      <c r="Z80" s="199"/>
    </row>
    <row r="81">
      <c r="A81" s="197" t="str">
        <f>IFERROR(__xludf.DUMMYFUNCTION("""COMPUTED_VALUE"""),"был ООО ВКС ПРОЕКТ")</f>
        <v>был ООО ВКС ПРОЕКТ</v>
      </c>
      <c r="B81" s="198">
        <f>IFERROR(__xludf.DUMMYFUNCTION("""COMPUTED_VALUE"""),0.17)</f>
        <v>0.17</v>
      </c>
      <c r="C81" s="199" t="str">
        <f>IFERROR(__xludf.DUMMYFUNCTION("""COMPUTED_VALUE"""),"Нет")</f>
        <v>Нет</v>
      </c>
      <c r="D81" s="199"/>
      <c r="E81" s="199"/>
      <c r="F81" s="199"/>
      <c r="G81" s="199"/>
      <c r="H81" s="199"/>
      <c r="I81" s="199"/>
      <c r="J81" s="199"/>
      <c r="K81" s="199"/>
      <c r="L81" s="199"/>
      <c r="M81" s="199"/>
      <c r="N81" s="199"/>
      <c r="O81" s="199"/>
      <c r="P81" s="199"/>
      <c r="Q81" s="199"/>
      <c r="R81" s="199"/>
      <c r="S81" s="199"/>
      <c r="T81" s="199"/>
      <c r="U81" s="199"/>
      <c r="V81" s="199"/>
      <c r="W81" s="199"/>
      <c r="X81" s="199"/>
      <c r="Y81" s="199"/>
      <c r="Z81" s="199"/>
    </row>
    <row r="82">
      <c r="A82" s="197" t="str">
        <f>IFERROR(__xludf.DUMMYFUNCTION("""COMPUTED_VALUE"""),"был ООО ГРАНДХИТ")</f>
        <v>был ООО ГРАНДХИТ</v>
      </c>
      <c r="B82" s="198">
        <f>IFERROR(__xludf.DUMMYFUNCTION("""COMPUTED_VALUE"""),0.89)</f>
        <v>0.89</v>
      </c>
      <c r="C82" s="199" t="str">
        <f>IFERROR(__xludf.DUMMYFUNCTION("""COMPUTED_VALUE"""),"Нет")</f>
        <v>Нет</v>
      </c>
      <c r="D82" s="199"/>
      <c r="E82" s="199"/>
      <c r="F82" s="199"/>
      <c r="G82" s="199"/>
      <c r="H82" s="199"/>
      <c r="I82" s="199"/>
      <c r="J82" s="199"/>
      <c r="K82" s="199"/>
      <c r="L82" s="199"/>
      <c r="M82" s="199"/>
      <c r="N82" s="199"/>
      <c r="O82" s="199"/>
      <c r="P82" s="199"/>
      <c r="Q82" s="199"/>
      <c r="R82" s="199"/>
      <c r="S82" s="199"/>
      <c r="T82" s="199"/>
      <c r="U82" s="199"/>
      <c r="V82" s="199"/>
      <c r="W82" s="199"/>
      <c r="X82" s="199"/>
      <c r="Y82" s="199"/>
      <c r="Z82" s="199"/>
    </row>
    <row r="83">
      <c r="A83" s="197" t="str">
        <f>IFERROR(__xludf.DUMMYFUNCTION("""COMPUTED_VALUE"""),"ЗАО ПК КОТЛОСТРОЙ")</f>
        <v>ЗАО ПК КОТЛОСТРОЙ</v>
      </c>
      <c r="B83" s="198">
        <f>IFERROR(__xludf.DUMMYFUNCTION("""COMPUTED_VALUE"""),1.0)</f>
        <v>1</v>
      </c>
      <c r="C83" s="199" t="str">
        <f>IFERROR(__xludf.DUMMYFUNCTION("""COMPUTED_VALUE"""),"Да")</f>
        <v>Да</v>
      </c>
      <c r="D83" s="199"/>
      <c r="E83" s="199"/>
      <c r="F83" s="199"/>
      <c r="G83" s="199"/>
      <c r="H83" s="199"/>
      <c r="I83" s="199"/>
      <c r="J83" s="199"/>
      <c r="K83" s="199"/>
      <c r="L83" s="199"/>
      <c r="M83" s="199"/>
      <c r="N83" s="199"/>
      <c r="O83" s="199"/>
      <c r="P83" s="199"/>
      <c r="Q83" s="199"/>
      <c r="R83" s="199"/>
      <c r="S83" s="199"/>
      <c r="T83" s="199"/>
      <c r="U83" s="199"/>
      <c r="V83" s="199"/>
      <c r="W83" s="199"/>
      <c r="X83" s="199"/>
      <c r="Y83" s="199"/>
      <c r="Z83" s="199"/>
    </row>
    <row r="84">
      <c r="A84" s="197" t="str">
        <f>IFERROR(__xludf.DUMMYFUNCTION("""COMPUTED_VALUE"""),"ЗАО ПК КОТЛОСТРОЙ")</f>
        <v>ЗАО ПК КОТЛОСТРОЙ</v>
      </c>
      <c r="B84" s="198">
        <f>IFERROR(__xludf.DUMMYFUNCTION("""COMPUTED_VALUE"""),0.98)</f>
        <v>0.98</v>
      </c>
      <c r="C84" s="199" t="str">
        <f>IFERROR(__xludf.DUMMYFUNCTION("""COMPUTED_VALUE"""),"Частично")</f>
        <v>Частично</v>
      </c>
      <c r="D84" s="199"/>
      <c r="E84" s="199"/>
      <c r="F84" s="199"/>
      <c r="G84" s="199"/>
      <c r="H84" s="199"/>
      <c r="I84" s="199"/>
      <c r="J84" s="199"/>
      <c r="K84" s="199"/>
      <c r="L84" s="199"/>
      <c r="M84" s="199"/>
      <c r="N84" s="199"/>
      <c r="O84" s="199"/>
      <c r="P84" s="199"/>
      <c r="Q84" s="199"/>
      <c r="R84" s="199"/>
      <c r="S84" s="199"/>
      <c r="T84" s="199"/>
      <c r="U84" s="199"/>
      <c r="V84" s="199"/>
      <c r="W84" s="199"/>
      <c r="X84" s="199"/>
      <c r="Y84" s="199"/>
      <c r="Z84" s="199"/>
    </row>
    <row r="85">
      <c r="A85" s="197" t="str">
        <f>IFERROR(__xludf.DUMMYFUNCTION("""COMPUTED_VALUE"""),"ЗАО ПК КОТЛОСТРОЙ")</f>
        <v>ЗАО ПК КОТЛОСТРОЙ</v>
      </c>
      <c r="B85" s="198">
        <f>IFERROR(__xludf.DUMMYFUNCTION("""COMPUTED_VALUE"""),0.87)</f>
        <v>0.87</v>
      </c>
      <c r="C85" s="199" t="str">
        <f>IFERROR(__xludf.DUMMYFUNCTION("""COMPUTED_VALUE"""),"Нет")</f>
        <v>Нет</v>
      </c>
      <c r="D85" s="199"/>
      <c r="E85" s="199"/>
      <c r="F85" s="199"/>
      <c r="G85" s="199"/>
      <c r="H85" s="199"/>
      <c r="I85" s="199"/>
      <c r="J85" s="199"/>
      <c r="K85" s="199"/>
      <c r="L85" s="199"/>
      <c r="M85" s="199"/>
      <c r="N85" s="199"/>
      <c r="O85" s="199"/>
      <c r="P85" s="199"/>
      <c r="Q85" s="199"/>
      <c r="R85" s="199"/>
      <c r="S85" s="199"/>
      <c r="T85" s="199"/>
      <c r="U85" s="199"/>
      <c r="V85" s="199"/>
      <c r="W85" s="199"/>
      <c r="X85" s="199"/>
      <c r="Y85" s="199"/>
      <c r="Z85" s="199"/>
    </row>
    <row r="86">
      <c r="A86" s="197" t="str">
        <f>IFERROR(__xludf.DUMMYFUNCTION("""COMPUTED_VALUE"""),"ЗАО ПК КОТЛОСТРОЙ")</f>
        <v>ЗАО ПК КОТЛОСТРОЙ</v>
      </c>
      <c r="B86" s="198"/>
      <c r="C86" s="199" t="str">
        <f>IFERROR(__xludf.DUMMYFUNCTION("""COMPUTED_VALUE"""),"Да")</f>
        <v>Да</v>
      </c>
      <c r="D86" s="199"/>
      <c r="E86" s="199"/>
      <c r="F86" s="199"/>
      <c r="G86" s="199"/>
      <c r="H86" s="199"/>
      <c r="I86" s="199"/>
      <c r="J86" s="199"/>
      <c r="K86" s="199"/>
      <c r="L86" s="199"/>
      <c r="M86" s="199"/>
      <c r="N86" s="199"/>
      <c r="O86" s="199"/>
      <c r="P86" s="199"/>
      <c r="Q86" s="199"/>
      <c r="R86" s="199"/>
      <c r="S86" s="199"/>
      <c r="T86" s="199"/>
      <c r="U86" s="199"/>
      <c r="V86" s="199"/>
      <c r="W86" s="199"/>
      <c r="X86" s="199"/>
      <c r="Y86" s="199"/>
      <c r="Z86" s="199"/>
    </row>
    <row r="87">
      <c r="A87" s="197" t="str">
        <f>IFERROR(__xludf.DUMMYFUNCTION("""COMPUTED_VALUE"""),"ЗАО ПК КОТЛОСТРОЙ")</f>
        <v>ЗАО ПК КОТЛОСТРОЙ</v>
      </c>
      <c r="B87" s="198"/>
      <c r="C87" s="199" t="str">
        <f>IFERROR(__xludf.DUMMYFUNCTION("""COMPUTED_VALUE"""),"Да")</f>
        <v>Да</v>
      </c>
      <c r="D87" s="199"/>
      <c r="E87" s="199"/>
      <c r="F87" s="199"/>
      <c r="G87" s="199"/>
      <c r="H87" s="199"/>
      <c r="I87" s="199"/>
      <c r="J87" s="199"/>
      <c r="K87" s="199"/>
      <c r="L87" s="199"/>
      <c r="M87" s="199"/>
      <c r="N87" s="199"/>
      <c r="O87" s="199"/>
      <c r="P87" s="199"/>
      <c r="Q87" s="199"/>
      <c r="R87" s="199"/>
      <c r="S87" s="199"/>
      <c r="T87" s="199"/>
      <c r="U87" s="199"/>
      <c r="V87" s="199"/>
      <c r="W87" s="199"/>
      <c r="X87" s="199"/>
      <c r="Y87" s="199"/>
      <c r="Z87" s="199"/>
    </row>
    <row r="88">
      <c r="A88" s="197" t="str">
        <f>IFERROR(__xludf.DUMMYFUNCTION("""COMPUTED_VALUE"""),"ЗАО ПК КОТЛОСТРОЙ")</f>
        <v>ЗАО ПК КОТЛОСТРОЙ</v>
      </c>
      <c r="B88" s="198"/>
      <c r="C88" s="199" t="str">
        <f>IFERROR(__xludf.DUMMYFUNCTION("""COMPUTED_VALUE"""),"Да")</f>
        <v>Да</v>
      </c>
      <c r="D88" s="199"/>
      <c r="E88" s="199"/>
      <c r="F88" s="199"/>
      <c r="G88" s="199"/>
      <c r="H88" s="199"/>
      <c r="I88" s="199"/>
      <c r="J88" s="199"/>
      <c r="K88" s="199"/>
      <c r="L88" s="199"/>
      <c r="M88" s="199"/>
      <c r="N88" s="199"/>
      <c r="O88" s="199"/>
      <c r="P88" s="199"/>
      <c r="Q88" s="199"/>
      <c r="R88" s="199"/>
      <c r="S88" s="199"/>
      <c r="T88" s="199"/>
      <c r="U88" s="199"/>
      <c r="V88" s="199"/>
      <c r="W88" s="199"/>
      <c r="X88" s="199"/>
      <c r="Y88" s="199"/>
      <c r="Z88" s="199"/>
    </row>
    <row r="89">
      <c r="A89" s="197" t="str">
        <f>IFERROR(__xludf.DUMMYFUNCTION("""COMPUTED_VALUE"""),"ЗАО ПК КОТЛОСТРОЙ")</f>
        <v>ЗАО ПК КОТЛОСТРОЙ</v>
      </c>
      <c r="B89" s="198"/>
      <c r="C89" s="199" t="str">
        <f>IFERROR(__xludf.DUMMYFUNCTION("""COMPUTED_VALUE"""),"Да")</f>
        <v>Да</v>
      </c>
      <c r="D89" s="199"/>
      <c r="E89" s="199"/>
      <c r="F89" s="199"/>
      <c r="G89" s="199"/>
      <c r="H89" s="199"/>
      <c r="I89" s="199"/>
      <c r="J89" s="199"/>
      <c r="K89" s="199"/>
      <c r="L89" s="199"/>
      <c r="M89" s="199"/>
      <c r="N89" s="199"/>
      <c r="O89" s="199"/>
      <c r="P89" s="199"/>
      <c r="Q89" s="199"/>
      <c r="R89" s="199"/>
      <c r="S89" s="199"/>
      <c r="T89" s="199"/>
      <c r="U89" s="199"/>
      <c r="V89" s="199"/>
      <c r="W89" s="199"/>
      <c r="X89" s="199"/>
      <c r="Y89" s="199"/>
      <c r="Z89" s="199"/>
    </row>
    <row r="90">
      <c r="A90" s="197" t="str">
        <f>IFERROR(__xludf.DUMMYFUNCTION("""COMPUTED_VALUE"""),"ЗАО ПК КОТЛОСТРОЙ")</f>
        <v>ЗАО ПК КОТЛОСТРОЙ</v>
      </c>
      <c r="B90" s="198"/>
      <c r="C90" s="199" t="str">
        <f>IFERROR(__xludf.DUMMYFUNCTION("""COMPUTED_VALUE"""),"Да")</f>
        <v>Да</v>
      </c>
      <c r="D90" s="199"/>
      <c r="E90" s="199"/>
      <c r="F90" s="199"/>
      <c r="G90" s="199"/>
      <c r="H90" s="199"/>
      <c r="I90" s="199"/>
      <c r="J90" s="199"/>
      <c r="K90" s="199"/>
      <c r="L90" s="199"/>
      <c r="M90" s="199"/>
      <c r="N90" s="199"/>
      <c r="O90" s="199"/>
      <c r="P90" s="199"/>
      <c r="Q90" s="199"/>
      <c r="R90" s="199"/>
      <c r="S90" s="199"/>
      <c r="T90" s="199"/>
      <c r="U90" s="199"/>
      <c r="V90" s="199"/>
      <c r="W90" s="199"/>
      <c r="X90" s="199"/>
      <c r="Y90" s="199"/>
      <c r="Z90" s="199"/>
    </row>
    <row r="91">
      <c r="A91" s="197" t="str">
        <f>IFERROR(__xludf.DUMMYFUNCTION("""COMPUTED_VALUE"""),"ИП ДОБРА ЛИДИЯ ЕВГЕНЬЕВНА")</f>
        <v>ИП ДОБРА ЛИДИЯ ЕВГЕНЬЕВНА</v>
      </c>
      <c r="B91" s="198"/>
      <c r="C91" s="199" t="str">
        <f>IFERROR(__xludf.DUMMYFUNCTION("""COMPUTED_VALUE"""),"Да")</f>
        <v>Да</v>
      </c>
      <c r="D91" s="199"/>
      <c r="E91" s="199"/>
      <c r="F91" s="199"/>
      <c r="G91" s="199"/>
      <c r="H91" s="199"/>
      <c r="I91" s="199"/>
      <c r="J91" s="199"/>
      <c r="K91" s="199"/>
      <c r="L91" s="199"/>
      <c r="M91" s="199"/>
      <c r="N91" s="199"/>
      <c r="O91" s="199"/>
      <c r="P91" s="199"/>
      <c r="Q91" s="199"/>
      <c r="R91" s="199"/>
      <c r="S91" s="199"/>
      <c r="T91" s="199"/>
      <c r="U91" s="199"/>
      <c r="V91" s="199"/>
      <c r="W91" s="199"/>
      <c r="X91" s="199"/>
      <c r="Y91" s="199"/>
      <c r="Z91" s="199"/>
    </row>
    <row r="92">
      <c r="A92" s="197" t="str">
        <f>IFERROR(__xludf.DUMMYFUNCTION("""COMPUTED_VALUE"""),"ИП РАКОВСКИЙ ДЕНИС ВИКТОРОВИЧ")</f>
        <v>ИП РАКОВСКИЙ ДЕНИС ВИКТОРОВИЧ</v>
      </c>
      <c r="B92" s="198">
        <f>IFERROR(__xludf.DUMMYFUNCTION("""COMPUTED_VALUE"""),1.0)</f>
        <v>1</v>
      </c>
      <c r="C92" s="199" t="str">
        <f>IFERROR(__xludf.DUMMYFUNCTION("""COMPUTED_VALUE"""),"Да")</f>
        <v>Да</v>
      </c>
      <c r="D92" s="199"/>
      <c r="E92" s="199"/>
      <c r="F92" s="199"/>
      <c r="G92" s="199"/>
      <c r="H92" s="199"/>
      <c r="I92" s="199"/>
      <c r="J92" s="199"/>
      <c r="K92" s="199"/>
      <c r="L92" s="199"/>
      <c r="M92" s="199"/>
      <c r="N92" s="199"/>
      <c r="O92" s="199"/>
      <c r="P92" s="199"/>
      <c r="Q92" s="199"/>
      <c r="R92" s="199"/>
      <c r="S92" s="199"/>
      <c r="T92" s="199"/>
      <c r="U92" s="199"/>
      <c r="V92" s="199"/>
      <c r="W92" s="199"/>
      <c r="X92" s="199"/>
      <c r="Y92" s="199"/>
      <c r="Z92" s="199"/>
    </row>
    <row r="93">
      <c r="A93" s="197" t="str">
        <f>IFERROR(__xludf.DUMMYFUNCTION("""COMPUTED_VALUE"""),"ИП РАКОВСКИЙ ДЕНИС ВИКТОРОВИЧ")</f>
        <v>ИП РАКОВСКИЙ ДЕНИС ВИКТОРОВИЧ</v>
      </c>
      <c r="B93" s="198">
        <f>IFERROR(__xludf.DUMMYFUNCTION("""COMPUTED_VALUE"""),1.0)</f>
        <v>1</v>
      </c>
      <c r="C93" s="199" t="str">
        <f>IFERROR(__xludf.DUMMYFUNCTION("""COMPUTED_VALUE"""),"Да")</f>
        <v>Да</v>
      </c>
      <c r="D93" s="199"/>
      <c r="E93" s="199"/>
      <c r="F93" s="199"/>
      <c r="G93" s="199"/>
      <c r="H93" s="199"/>
      <c r="I93" s="199"/>
      <c r="J93" s="199"/>
      <c r="K93" s="199"/>
      <c r="L93" s="199"/>
      <c r="M93" s="199"/>
      <c r="N93" s="199"/>
      <c r="O93" s="199"/>
      <c r="P93" s="199"/>
      <c r="Q93" s="199"/>
      <c r="R93" s="199"/>
      <c r="S93" s="199"/>
      <c r="T93" s="199"/>
      <c r="U93" s="199"/>
      <c r="V93" s="199"/>
      <c r="W93" s="199"/>
      <c r="X93" s="199"/>
      <c r="Y93" s="199"/>
      <c r="Z93" s="199"/>
    </row>
    <row r="94">
      <c r="A94" s="197" t="str">
        <f>IFERROR(__xludf.DUMMYFUNCTION("""COMPUTED_VALUE"""),"МПКХ ШАХОВСКАЯ")</f>
        <v>МПКХ ШАХОВСКАЯ</v>
      </c>
      <c r="B94" s="198"/>
      <c r="C94" s="199" t="str">
        <f>IFERROR(__xludf.DUMMYFUNCTION("""COMPUTED_VALUE"""),"Да")</f>
        <v>Да</v>
      </c>
      <c r="D94" s="199"/>
      <c r="E94" s="199"/>
      <c r="F94" s="199"/>
      <c r="G94" s="199"/>
      <c r="H94" s="199"/>
      <c r="I94" s="199"/>
      <c r="J94" s="199"/>
      <c r="K94" s="199"/>
      <c r="L94" s="199"/>
      <c r="M94" s="199"/>
      <c r="N94" s="199"/>
      <c r="O94" s="199"/>
      <c r="P94" s="199"/>
      <c r="Q94" s="199"/>
      <c r="R94" s="199"/>
      <c r="S94" s="199"/>
      <c r="T94" s="199"/>
      <c r="U94" s="199"/>
      <c r="V94" s="199"/>
      <c r="W94" s="199"/>
      <c r="X94" s="199"/>
      <c r="Y94" s="199"/>
      <c r="Z94" s="199"/>
    </row>
    <row r="95">
      <c r="A95" s="197" t="str">
        <f>IFERROR(__xludf.DUMMYFUNCTION("""COMPUTED_VALUE"""),"МПКХ ШАХОВСКАЯ")</f>
        <v>МПКХ ШАХОВСКАЯ</v>
      </c>
      <c r="B95" s="198"/>
      <c r="C95" s="199" t="str">
        <f>IFERROR(__xludf.DUMMYFUNCTION("""COMPUTED_VALUE"""),"Да")</f>
        <v>Да</v>
      </c>
      <c r="D95" s="199"/>
      <c r="E95" s="199"/>
      <c r="F95" s="199"/>
      <c r="G95" s="199"/>
      <c r="H95" s="199"/>
      <c r="I95" s="199"/>
      <c r="J95" s="199"/>
      <c r="K95" s="199"/>
      <c r="L95" s="199"/>
      <c r="M95" s="199"/>
      <c r="N95" s="199"/>
      <c r="O95" s="199"/>
      <c r="P95" s="199"/>
      <c r="Q95" s="199"/>
      <c r="R95" s="199"/>
      <c r="S95" s="199"/>
      <c r="T95" s="199"/>
      <c r="U95" s="199"/>
      <c r="V95" s="199"/>
      <c r="W95" s="199"/>
      <c r="X95" s="199"/>
      <c r="Y95" s="199"/>
      <c r="Z95" s="199"/>
    </row>
    <row r="96">
      <c r="A96" s="197" t="str">
        <f>IFERROR(__xludf.DUMMYFUNCTION("""COMPUTED_VALUE"""),"МУП БЛАГОУСТРОЙСТВО И РАЗВИТИЕ ГОРОДСКОГО ОКРУГА ВЛАСИХА")</f>
        <v>МУП БЛАГОУСТРОЙСТВО И РАЗВИТИЕ ГОРОДСКОГО ОКРУГА ВЛАСИХА</v>
      </c>
      <c r="B96" s="198">
        <f>IFERROR(__xludf.DUMMYFUNCTION("""COMPUTED_VALUE"""),0.95)</f>
        <v>0.95</v>
      </c>
      <c r="C96" s="199" t="str">
        <f>IFERROR(__xludf.DUMMYFUNCTION("""COMPUTED_VALUE"""),"Да")</f>
        <v>Да</v>
      </c>
      <c r="D96" s="199"/>
      <c r="E96" s="199"/>
      <c r="F96" s="199"/>
      <c r="G96" s="199"/>
      <c r="H96" s="199"/>
      <c r="I96" s="199"/>
      <c r="J96" s="199"/>
      <c r="K96" s="199"/>
      <c r="L96" s="199"/>
      <c r="M96" s="199"/>
      <c r="N96" s="199"/>
      <c r="O96" s="199"/>
      <c r="P96" s="199"/>
      <c r="Q96" s="199"/>
      <c r="R96" s="199"/>
      <c r="S96" s="199"/>
      <c r="T96" s="199"/>
      <c r="U96" s="199"/>
      <c r="V96" s="199"/>
      <c r="W96" s="199"/>
      <c r="X96" s="199"/>
      <c r="Y96" s="199"/>
      <c r="Z96" s="199"/>
    </row>
    <row r="97">
      <c r="A97" s="197" t="str">
        <f>IFERROR(__xludf.DUMMYFUNCTION("""COMPUTED_VALUE"""),"ООО А-ГРУПП")</f>
        <v>ООО А-ГРУПП</v>
      </c>
      <c r="B97" s="198">
        <f>IFERROR(__xludf.DUMMYFUNCTION("""COMPUTED_VALUE"""),1.0)</f>
        <v>1</v>
      </c>
      <c r="C97" s="199" t="str">
        <f>IFERROR(__xludf.DUMMYFUNCTION("""COMPUTED_VALUE"""),"Да")</f>
        <v>Да</v>
      </c>
      <c r="D97" s="199"/>
      <c r="E97" s="199"/>
      <c r="F97" s="199"/>
      <c r="G97" s="199"/>
      <c r="H97" s="199"/>
      <c r="I97" s="199"/>
      <c r="J97" s="199"/>
      <c r="K97" s="199"/>
      <c r="L97" s="199"/>
      <c r="M97" s="199"/>
      <c r="N97" s="199"/>
      <c r="O97" s="199"/>
      <c r="P97" s="199"/>
      <c r="Q97" s="199"/>
      <c r="R97" s="199"/>
      <c r="S97" s="199"/>
      <c r="T97" s="199"/>
      <c r="U97" s="199"/>
      <c r="V97" s="199"/>
      <c r="W97" s="199"/>
      <c r="X97" s="199"/>
      <c r="Y97" s="199"/>
      <c r="Z97" s="199"/>
    </row>
    <row r="98">
      <c r="A98" s="197" t="str">
        <f>IFERROR(__xludf.DUMMYFUNCTION("""COMPUTED_VALUE"""),"ООО А-ГРУПП")</f>
        <v>ООО А-ГРУПП</v>
      </c>
      <c r="B98" s="198">
        <f>IFERROR(__xludf.DUMMYFUNCTION("""COMPUTED_VALUE"""),1.0)</f>
        <v>1</v>
      </c>
      <c r="C98" s="199" t="str">
        <f>IFERROR(__xludf.DUMMYFUNCTION("""COMPUTED_VALUE"""),"Частично")</f>
        <v>Частично</v>
      </c>
      <c r="D98" s="199"/>
      <c r="E98" s="199"/>
      <c r="F98" s="199"/>
      <c r="G98" s="199"/>
      <c r="H98" s="199"/>
      <c r="I98" s="199"/>
      <c r="J98" s="199"/>
      <c r="K98" s="199"/>
      <c r="L98" s="199"/>
      <c r="M98" s="199"/>
      <c r="N98" s="199"/>
      <c r="O98" s="199"/>
      <c r="P98" s="199"/>
      <c r="Q98" s="199"/>
      <c r="R98" s="199"/>
      <c r="S98" s="199"/>
      <c r="T98" s="199"/>
      <c r="U98" s="199"/>
      <c r="V98" s="199"/>
      <c r="W98" s="199"/>
      <c r="X98" s="199"/>
      <c r="Y98" s="199"/>
      <c r="Z98" s="199"/>
    </row>
    <row r="99">
      <c r="A99" s="197" t="str">
        <f>IFERROR(__xludf.DUMMYFUNCTION("""COMPUTED_VALUE"""),"ООО А-ГРУПП")</f>
        <v>ООО А-ГРУПП</v>
      </c>
      <c r="B99" s="198">
        <f>IFERROR(__xludf.DUMMYFUNCTION("""COMPUTED_VALUE"""),1.0)</f>
        <v>1</v>
      </c>
      <c r="C99" s="199" t="str">
        <f>IFERROR(__xludf.DUMMYFUNCTION("""COMPUTED_VALUE"""),"Частично")</f>
        <v>Частично</v>
      </c>
      <c r="D99" s="199"/>
      <c r="E99" s="199"/>
      <c r="F99" s="199"/>
      <c r="G99" s="199"/>
      <c r="H99" s="199"/>
      <c r="I99" s="199"/>
      <c r="J99" s="199"/>
      <c r="K99" s="199"/>
      <c r="L99" s="199"/>
      <c r="M99" s="199"/>
      <c r="N99" s="199"/>
      <c r="O99" s="199"/>
      <c r="P99" s="199"/>
      <c r="Q99" s="199"/>
      <c r="R99" s="199"/>
      <c r="S99" s="199"/>
      <c r="T99" s="199"/>
      <c r="U99" s="199"/>
      <c r="V99" s="199"/>
      <c r="W99" s="199"/>
      <c r="X99" s="199"/>
      <c r="Y99" s="199"/>
      <c r="Z99" s="199"/>
    </row>
    <row r="100">
      <c r="A100" s="197" t="str">
        <f>IFERROR(__xludf.DUMMYFUNCTION("""COMPUTED_VALUE"""),"ООО А-ГРУПП")</f>
        <v>ООО А-ГРУПП</v>
      </c>
      <c r="B100" s="198">
        <f>IFERROR(__xludf.DUMMYFUNCTION("""COMPUTED_VALUE"""),0.98)</f>
        <v>0.98</v>
      </c>
      <c r="C100" s="199" t="str">
        <f>IFERROR(__xludf.DUMMYFUNCTION("""COMPUTED_VALUE"""),"Частично")</f>
        <v>Частично</v>
      </c>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row>
    <row r="101">
      <c r="A101" s="197" t="str">
        <f>IFERROR(__xludf.DUMMYFUNCTION("""COMPUTED_VALUE"""),"ООО А-ГРУПП")</f>
        <v>ООО А-ГРУПП</v>
      </c>
      <c r="B101" s="198">
        <f>IFERROR(__xludf.DUMMYFUNCTION("""COMPUTED_VALUE"""),0.95)</f>
        <v>0.95</v>
      </c>
      <c r="C101" s="199" t="str">
        <f>IFERROR(__xludf.DUMMYFUNCTION("""COMPUTED_VALUE"""),"Да")</f>
        <v>Да</v>
      </c>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row>
    <row r="102">
      <c r="A102" s="197" t="str">
        <f>IFERROR(__xludf.DUMMYFUNCTION("""COMPUTED_VALUE"""),"ООО А-ГРУПП")</f>
        <v>ООО А-ГРУПП</v>
      </c>
      <c r="B102" s="198">
        <f>IFERROR(__xludf.DUMMYFUNCTION("""COMPUTED_VALUE"""),0.95)</f>
        <v>0.95</v>
      </c>
      <c r="C102" s="199" t="str">
        <f>IFERROR(__xludf.DUMMYFUNCTION("""COMPUTED_VALUE"""),"Частично")</f>
        <v>Частично</v>
      </c>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row>
    <row r="103">
      <c r="A103" s="197" t="str">
        <f>IFERROR(__xludf.DUMMYFUNCTION("""COMPUTED_VALUE"""),"ООО А-ГРУПП")</f>
        <v>ООО А-ГРУПП</v>
      </c>
      <c r="B103" s="198">
        <f>IFERROR(__xludf.DUMMYFUNCTION("""COMPUTED_VALUE"""),0.65)</f>
        <v>0.65</v>
      </c>
      <c r="C103" s="199" t="str">
        <f>IFERROR(__xludf.DUMMYFUNCTION("""COMPUTED_VALUE"""),"Нет")</f>
        <v>Нет</v>
      </c>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row>
    <row r="104">
      <c r="A104" s="197" t="str">
        <f>IFERROR(__xludf.DUMMYFUNCTION("""COMPUTED_VALUE"""),"ООО А-ГРУПП")</f>
        <v>ООО А-ГРУПП</v>
      </c>
      <c r="B104" s="198"/>
      <c r="C104" s="199" t="str">
        <f>IFERROR(__xludf.DUMMYFUNCTION("""COMPUTED_VALUE"""),"Да")</f>
        <v>Да</v>
      </c>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row>
    <row r="105">
      <c r="A105" s="197" t="str">
        <f>IFERROR(__xludf.DUMMYFUNCTION("""COMPUTED_VALUE"""),"ООО А-ГРУПП")</f>
        <v>ООО А-ГРУПП</v>
      </c>
      <c r="B105" s="198"/>
      <c r="C105" s="199" t="str">
        <f>IFERROR(__xludf.DUMMYFUNCTION("""COMPUTED_VALUE"""),"Да")</f>
        <v>Да</v>
      </c>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row>
    <row r="106">
      <c r="A106" s="197" t="str">
        <f>IFERROR(__xludf.DUMMYFUNCTION("""COMPUTED_VALUE"""),"ООО А-ГРУПП")</f>
        <v>ООО А-ГРУПП</v>
      </c>
      <c r="B106" s="198"/>
      <c r="C106" s="199" t="str">
        <f>IFERROR(__xludf.DUMMYFUNCTION("""COMPUTED_VALUE"""),"Да")</f>
        <v>Да</v>
      </c>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row>
    <row r="107">
      <c r="A107" s="197" t="str">
        <f>IFERROR(__xludf.DUMMYFUNCTION("""COMPUTED_VALUE"""),"ООО АЛСТРОЙ")</f>
        <v>ООО АЛСТРОЙ</v>
      </c>
      <c r="B107" s="198">
        <f>IFERROR(__xludf.DUMMYFUNCTION("""COMPUTED_VALUE"""),0.99)</f>
        <v>0.99</v>
      </c>
      <c r="C107" s="199" t="str">
        <f>IFERROR(__xludf.DUMMYFUNCTION("""COMPUTED_VALUE"""),"Частично")</f>
        <v>Частично</v>
      </c>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row>
    <row r="108">
      <c r="A108" s="197" t="str">
        <f>IFERROR(__xludf.DUMMYFUNCTION("""COMPUTED_VALUE"""),"ООО АЛСТРОЙ")</f>
        <v>ООО АЛСТРОЙ</v>
      </c>
      <c r="B108" s="198">
        <f>IFERROR(__xludf.DUMMYFUNCTION("""COMPUTED_VALUE"""),0.96)</f>
        <v>0.96</v>
      </c>
      <c r="C108" s="199" t="str">
        <f>IFERROR(__xludf.DUMMYFUNCTION("""COMPUTED_VALUE"""),"Частично")</f>
        <v>Частично</v>
      </c>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row>
    <row r="109">
      <c r="A109" s="197" t="str">
        <f>IFERROR(__xludf.DUMMYFUNCTION("""COMPUTED_VALUE"""),"ООО АЛСТРОЙ")</f>
        <v>ООО АЛСТРОЙ</v>
      </c>
      <c r="B109" s="198">
        <f>IFERROR(__xludf.DUMMYFUNCTION("""COMPUTED_VALUE"""),0.93)</f>
        <v>0.93</v>
      </c>
      <c r="C109" s="199" t="str">
        <f>IFERROR(__xludf.DUMMYFUNCTION("""COMPUTED_VALUE"""),"Частично")</f>
        <v>Частично</v>
      </c>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row>
    <row r="110">
      <c r="A110" s="197" t="str">
        <f>IFERROR(__xludf.DUMMYFUNCTION("""COMPUTED_VALUE"""),"ООО АЛЬФА СТРОЙ")</f>
        <v>ООО АЛЬФА СТРОЙ</v>
      </c>
      <c r="B110" s="198"/>
      <c r="C110" s="199" t="str">
        <f>IFERROR(__xludf.DUMMYFUNCTION("""COMPUTED_VALUE"""),"Да")</f>
        <v>Да</v>
      </c>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row>
    <row r="111">
      <c r="A111" s="197" t="str">
        <f>IFERROR(__xludf.DUMMYFUNCTION("""COMPUTED_VALUE"""),"ООО АЛЬФА СТРОЙ")</f>
        <v>ООО АЛЬФА СТРОЙ</v>
      </c>
      <c r="B111" s="198"/>
      <c r="C111" s="199" t="str">
        <f>IFERROR(__xludf.DUMMYFUNCTION("""COMPUTED_VALUE"""),"Да")</f>
        <v>Да</v>
      </c>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row>
    <row r="112">
      <c r="A112" s="197" t="str">
        <f>IFERROR(__xludf.DUMMYFUNCTION("""COMPUTED_VALUE"""),"ООО АЛЬФА СТРОЙ")</f>
        <v>ООО АЛЬФА СТРОЙ</v>
      </c>
      <c r="B112" s="198"/>
      <c r="C112" s="199" t="str">
        <f>IFERROR(__xludf.DUMMYFUNCTION("""COMPUTED_VALUE"""),"Да")</f>
        <v>Да</v>
      </c>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row>
    <row r="113">
      <c r="A113" s="197" t="str">
        <f>IFERROR(__xludf.DUMMYFUNCTION("""COMPUTED_VALUE"""),"ООО АЛЬФА СТРОЙ")</f>
        <v>ООО АЛЬФА СТРОЙ</v>
      </c>
      <c r="B113" s="198"/>
      <c r="C113" s="199" t="str">
        <f>IFERROR(__xludf.DUMMYFUNCTION("""COMPUTED_VALUE"""),"Да")</f>
        <v>Да</v>
      </c>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row>
    <row r="114">
      <c r="A114" s="197" t="str">
        <f>IFERROR(__xludf.DUMMYFUNCTION("""COMPUTED_VALUE"""),"ООО АЛЬФАГИДРОСТРОЙ")</f>
        <v>ООО АЛЬФАГИДРОСТРОЙ</v>
      </c>
      <c r="B114" s="198"/>
      <c r="C114" s="199" t="str">
        <f>IFERROR(__xludf.DUMMYFUNCTION("""COMPUTED_VALUE"""),"Да")</f>
        <v>Да</v>
      </c>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row>
    <row r="115">
      <c r="A115" s="197" t="str">
        <f>IFERROR(__xludf.DUMMYFUNCTION("""COMPUTED_VALUE"""),"ООО АЛЬФАСТРОЙ")</f>
        <v>ООО АЛЬФАСТРОЙ</v>
      </c>
      <c r="B115" s="198"/>
      <c r="C115" s="199" t="str">
        <f>IFERROR(__xludf.DUMMYFUNCTION("""COMPUTED_VALUE"""),"Да")</f>
        <v>Да</v>
      </c>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row>
    <row r="116">
      <c r="A116" s="197" t="str">
        <f>IFERROR(__xludf.DUMMYFUNCTION("""COMPUTED_VALUE"""),"ООО АРТ СТРОЙ")</f>
        <v>ООО АРТ СТРОЙ</v>
      </c>
      <c r="B116" s="198"/>
      <c r="C116" s="199" t="str">
        <f>IFERROR(__xludf.DUMMYFUNCTION("""COMPUTED_VALUE"""),"Да")</f>
        <v>Да</v>
      </c>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row>
    <row r="117">
      <c r="A117" s="197" t="str">
        <f>IFERROR(__xludf.DUMMYFUNCTION("""COMPUTED_VALUE"""),"ООО АРХИН")</f>
        <v>ООО АРХИН</v>
      </c>
      <c r="B117" s="198">
        <f>IFERROR(__xludf.DUMMYFUNCTION("""COMPUTED_VALUE"""),0.92)</f>
        <v>0.92</v>
      </c>
      <c r="C117" s="199" t="str">
        <f>IFERROR(__xludf.DUMMYFUNCTION("""COMPUTED_VALUE"""),"Да")</f>
        <v>Да</v>
      </c>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row>
    <row r="118">
      <c r="A118" s="197" t="str">
        <f>IFERROR(__xludf.DUMMYFUNCTION("""COMPUTED_VALUE"""),"ООО АРХИН")</f>
        <v>ООО АРХИН</v>
      </c>
      <c r="B118" s="198"/>
      <c r="C118" s="199" t="str">
        <f>IFERROR(__xludf.DUMMYFUNCTION("""COMPUTED_VALUE"""),"Да")</f>
        <v>Да</v>
      </c>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row>
    <row r="119">
      <c r="A119" s="197" t="str">
        <f>IFERROR(__xludf.DUMMYFUNCTION("""COMPUTED_VALUE"""),"ООО АРХИН")</f>
        <v>ООО АРХИН</v>
      </c>
      <c r="B119" s="198"/>
      <c r="C119" s="199" t="str">
        <f>IFERROR(__xludf.DUMMYFUNCTION("""COMPUTED_VALUE"""),"Да")</f>
        <v>Да</v>
      </c>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row>
    <row r="120">
      <c r="A120" s="197" t="str">
        <f>IFERROR(__xludf.DUMMYFUNCTION("""COMPUTED_VALUE"""),"ООО АРХИН")</f>
        <v>ООО АРХИН</v>
      </c>
      <c r="B120" s="198"/>
      <c r="C120" s="199" t="str">
        <f>IFERROR(__xludf.DUMMYFUNCTION("""COMPUTED_VALUE"""),"Да")</f>
        <v>Да</v>
      </c>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row>
    <row r="121">
      <c r="A121" s="197" t="str">
        <f>IFERROR(__xludf.DUMMYFUNCTION("""COMPUTED_VALUE"""),"ООО АРХИН")</f>
        <v>ООО АРХИН</v>
      </c>
      <c r="B121" s="198"/>
      <c r="C121" s="199" t="str">
        <f>IFERROR(__xludf.DUMMYFUNCTION("""COMPUTED_VALUE"""),"Да")</f>
        <v>Да</v>
      </c>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row>
    <row r="122">
      <c r="A122" s="197" t="str">
        <f>IFERROR(__xludf.DUMMYFUNCTION("""COMPUTED_VALUE"""),"ООО АРХИН")</f>
        <v>ООО АРХИН</v>
      </c>
      <c r="B122" s="198"/>
      <c r="C122" s="199" t="str">
        <f>IFERROR(__xludf.DUMMYFUNCTION("""COMPUTED_VALUE"""),"Да")</f>
        <v>Да</v>
      </c>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row>
    <row r="123">
      <c r="A123" s="197" t="str">
        <f>IFERROR(__xludf.DUMMYFUNCTION("""COMPUTED_VALUE"""),"ООО АСК-38")</f>
        <v>ООО АСК-38</v>
      </c>
      <c r="B123" s="198"/>
      <c r="C123" s="199" t="str">
        <f>IFERROR(__xludf.DUMMYFUNCTION("""COMPUTED_VALUE"""),"Нет")</f>
        <v>Нет</v>
      </c>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row>
    <row r="124">
      <c r="A124" s="197" t="str">
        <f>IFERROR(__xludf.DUMMYFUNCTION("""COMPUTED_VALUE"""),"ООО АСК-38")</f>
        <v>ООО АСК-38</v>
      </c>
      <c r="B124" s="198"/>
      <c r="C124" s="199" t="str">
        <f>IFERROR(__xludf.DUMMYFUNCTION("""COMPUTED_VALUE"""),"Нет")</f>
        <v>Нет</v>
      </c>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row>
    <row r="125">
      <c r="A125" s="197" t="str">
        <f>IFERROR(__xludf.DUMMYFUNCTION("""COMPUTED_VALUE"""),"ООО АСК-38")</f>
        <v>ООО АСК-38</v>
      </c>
      <c r="B125" s="198"/>
      <c r="C125" s="199" t="str">
        <f>IFERROR(__xludf.DUMMYFUNCTION("""COMPUTED_VALUE"""),"Нет")</f>
        <v>Нет</v>
      </c>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row>
    <row r="126">
      <c r="A126" s="197" t="str">
        <f>IFERROR(__xludf.DUMMYFUNCTION("""COMPUTED_VALUE"""),"ООО АСК-38")</f>
        <v>ООО АСК-38</v>
      </c>
      <c r="B126" s="198"/>
      <c r="C126" s="199" t="str">
        <f>IFERROR(__xludf.DUMMYFUNCTION("""COMPUTED_VALUE"""),"Да")</f>
        <v>Да</v>
      </c>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row>
    <row r="127">
      <c r="A127" s="197" t="str">
        <f>IFERROR(__xludf.DUMMYFUNCTION("""COMPUTED_VALUE"""),"ООО АСТАТ")</f>
        <v>ООО АСТАТ</v>
      </c>
      <c r="B127" s="198"/>
      <c r="C127" s="199" t="str">
        <f>IFERROR(__xludf.DUMMYFUNCTION("""COMPUTED_VALUE"""),"Да")</f>
        <v>Да</v>
      </c>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row>
    <row r="128">
      <c r="A128" s="197" t="str">
        <f>IFERROR(__xludf.DUMMYFUNCTION("""COMPUTED_VALUE"""),"ООО ВЕКТОР")</f>
        <v>ООО ВЕКТОР</v>
      </c>
      <c r="B128" s="198">
        <f>IFERROR(__xludf.DUMMYFUNCTION("""COMPUTED_VALUE"""),1.0)</f>
        <v>1</v>
      </c>
      <c r="C128" s="199" t="str">
        <f>IFERROR(__xludf.DUMMYFUNCTION("""COMPUTED_VALUE"""),"Да")</f>
        <v>Да</v>
      </c>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row>
    <row r="129">
      <c r="A129" s="197" t="str">
        <f>IFERROR(__xludf.DUMMYFUNCTION("""COMPUTED_VALUE"""),"ООО ВКС ПРОЕКТ")</f>
        <v>ООО ВКС ПРОЕКТ</v>
      </c>
      <c r="B129" s="198">
        <f>IFERROR(__xludf.DUMMYFUNCTION("""COMPUTED_VALUE"""),0.78)</f>
        <v>0.78</v>
      </c>
      <c r="C129" s="199" t="str">
        <f>IFERROR(__xludf.DUMMYFUNCTION("""COMPUTED_VALUE"""),"Да")</f>
        <v>Да</v>
      </c>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row>
    <row r="130">
      <c r="A130" s="197" t="str">
        <f>IFERROR(__xludf.DUMMYFUNCTION("""COMPUTED_VALUE"""),"ООО ВКС ПРОЕКТ")</f>
        <v>ООО ВКС ПРОЕКТ</v>
      </c>
      <c r="B130" s="198"/>
      <c r="C130" s="199" t="str">
        <f>IFERROR(__xludf.DUMMYFUNCTION("""COMPUTED_VALUE"""),"Да")</f>
        <v>Да</v>
      </c>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row>
    <row r="131">
      <c r="A131" s="197" t="str">
        <f>IFERROR(__xludf.DUMMYFUNCTION("""COMPUTED_VALUE"""),"ООО ВКС ПРОЕКТ")</f>
        <v>ООО ВКС ПРОЕКТ</v>
      </c>
      <c r="B131" s="198"/>
      <c r="C131" s="199" t="str">
        <f>IFERROR(__xludf.DUMMYFUNCTION("""COMPUTED_VALUE"""),"Да")</f>
        <v>Да</v>
      </c>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row>
    <row r="132">
      <c r="A132" s="197" t="str">
        <f>IFERROR(__xludf.DUMMYFUNCTION("""COMPUTED_VALUE"""),"ООО ВКС ПРОЕКТ")</f>
        <v>ООО ВКС ПРОЕКТ</v>
      </c>
      <c r="B132" s="198"/>
      <c r="C132" s="199" t="str">
        <f>IFERROR(__xludf.DUMMYFUNCTION("""COMPUTED_VALUE"""),"Частично")</f>
        <v>Частично</v>
      </c>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row>
    <row r="133">
      <c r="A133" s="197" t="str">
        <f>IFERROR(__xludf.DUMMYFUNCTION("""COMPUTED_VALUE"""),"ООО ВМО-ПРОЕКТ")</f>
        <v>ООО ВМО-ПРОЕКТ</v>
      </c>
      <c r="B133" s="198">
        <f>IFERROR(__xludf.DUMMYFUNCTION("""COMPUTED_VALUE"""),0.97)</f>
        <v>0.97</v>
      </c>
      <c r="C133" s="199" t="str">
        <f>IFERROR(__xludf.DUMMYFUNCTION("""COMPUTED_VALUE"""),"Частично")</f>
        <v>Частично</v>
      </c>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row>
    <row r="134">
      <c r="A134" s="197" t="str">
        <f>IFERROR(__xludf.DUMMYFUNCTION("""COMPUTED_VALUE"""),"ООО ВМО-ПРОЕКТ")</f>
        <v>ООО ВМО-ПРОЕКТ</v>
      </c>
      <c r="B134" s="198">
        <f>IFERROR(__xludf.DUMMYFUNCTION("""COMPUTED_VALUE"""),0.25)</f>
        <v>0.25</v>
      </c>
      <c r="C134" s="199" t="str">
        <f>IFERROR(__xludf.DUMMYFUNCTION("""COMPUTED_VALUE"""),"Частично")</f>
        <v>Частично</v>
      </c>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row>
    <row r="135">
      <c r="A135" s="197" t="str">
        <f>IFERROR(__xludf.DUMMYFUNCTION("""COMPUTED_VALUE"""),"ООО ВРЕМЯ")</f>
        <v>ООО ВРЕМЯ</v>
      </c>
      <c r="B135" s="198">
        <f>IFERROR(__xludf.DUMMYFUNCTION("""COMPUTED_VALUE"""),1.0)</f>
        <v>1</v>
      </c>
      <c r="C135" s="199" t="str">
        <f>IFERROR(__xludf.DUMMYFUNCTION("""COMPUTED_VALUE"""),"Да")</f>
        <v>Да</v>
      </c>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row>
    <row r="136">
      <c r="A136" s="197" t="str">
        <f>IFERROR(__xludf.DUMMYFUNCTION("""COMPUTED_VALUE"""),"ООО ВРЕМЯ")</f>
        <v>ООО ВРЕМЯ</v>
      </c>
      <c r="B136" s="198">
        <f>IFERROR(__xludf.DUMMYFUNCTION("""COMPUTED_VALUE"""),1.0)</f>
        <v>1</v>
      </c>
      <c r="C136" s="199" t="str">
        <f>IFERROR(__xludf.DUMMYFUNCTION("""COMPUTED_VALUE"""),"Да")</f>
        <v>Да</v>
      </c>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row>
    <row r="137">
      <c r="A137" s="197" t="str">
        <f>IFERROR(__xludf.DUMMYFUNCTION("""COMPUTED_VALUE"""),"ООО ВРЕМЯ")</f>
        <v>ООО ВРЕМЯ</v>
      </c>
      <c r="B137" s="198">
        <f>IFERROR(__xludf.DUMMYFUNCTION("""COMPUTED_VALUE"""),1.0)</f>
        <v>1</v>
      </c>
      <c r="C137" s="199" t="str">
        <f>IFERROR(__xludf.DUMMYFUNCTION("""COMPUTED_VALUE"""),"Да")</f>
        <v>Да</v>
      </c>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row>
    <row r="138">
      <c r="A138" s="197" t="str">
        <f>IFERROR(__xludf.DUMMYFUNCTION("""COMPUTED_VALUE"""),"ООО ВРЕМЯ")</f>
        <v>ООО ВРЕМЯ</v>
      </c>
      <c r="B138" s="198"/>
      <c r="C138" s="199" t="str">
        <f>IFERROR(__xludf.DUMMYFUNCTION("""COMPUTED_VALUE"""),"Да")</f>
        <v>Да</v>
      </c>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row>
    <row r="139">
      <c r="A139" s="197" t="str">
        <f>IFERROR(__xludf.DUMMYFUNCTION("""COMPUTED_VALUE"""),"ООО ВЫМПЕЛСТРОЙ")</f>
        <v>ООО ВЫМПЕЛСТРОЙ</v>
      </c>
      <c r="B139" s="198">
        <f>IFERROR(__xludf.DUMMYFUNCTION("""COMPUTED_VALUE"""),0.5)</f>
        <v>0.5</v>
      </c>
      <c r="C139" s="199" t="str">
        <f>IFERROR(__xludf.DUMMYFUNCTION("""COMPUTED_VALUE"""),"Нет")</f>
        <v>Нет</v>
      </c>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row>
    <row r="140">
      <c r="A140" s="197" t="str">
        <f>IFERROR(__xludf.DUMMYFUNCTION("""COMPUTED_VALUE"""),"ООО ВЫМПЕЛСТРОЙ")</f>
        <v>ООО ВЫМПЕЛСТРОЙ</v>
      </c>
      <c r="B140" s="198">
        <f>IFERROR(__xludf.DUMMYFUNCTION("""COMPUTED_VALUE"""),0.14)</f>
        <v>0.14</v>
      </c>
      <c r="C140" s="199" t="str">
        <f>IFERROR(__xludf.DUMMYFUNCTION("""COMPUTED_VALUE"""),"Нет")</f>
        <v>Нет</v>
      </c>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row>
    <row r="141">
      <c r="A141" s="197" t="str">
        <f>IFERROR(__xludf.DUMMYFUNCTION("""COMPUTED_VALUE"""),"ООО ВЫМПЕЛСТРОЙ")</f>
        <v>ООО ВЫМПЕЛСТРОЙ</v>
      </c>
      <c r="B141" s="198"/>
      <c r="C141" s="199" t="str">
        <f>IFERROR(__xludf.DUMMYFUNCTION("""COMPUTED_VALUE"""),"Да")</f>
        <v>Да</v>
      </c>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row>
    <row r="142">
      <c r="A142" s="197" t="str">
        <f>IFERROR(__xludf.DUMMYFUNCTION("""COMPUTED_VALUE"""),"ООО ГАЗПРОЕКТМОНТАЖ")</f>
        <v>ООО ГАЗПРОЕКТМОНТАЖ</v>
      </c>
      <c r="B142" s="198"/>
      <c r="C142" s="199" t="str">
        <f>IFERROR(__xludf.DUMMYFUNCTION("""COMPUTED_VALUE"""),"Да")</f>
        <v>Да</v>
      </c>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row>
    <row r="143">
      <c r="A143" s="197" t="str">
        <f>IFERROR(__xludf.DUMMYFUNCTION("""COMPUTED_VALUE"""),"ООО ГАЗПРОЕКТМОНТАЖ")</f>
        <v>ООО ГАЗПРОЕКТМОНТАЖ</v>
      </c>
      <c r="B143" s="198"/>
      <c r="C143" s="199" t="str">
        <f>IFERROR(__xludf.DUMMYFUNCTION("""COMPUTED_VALUE"""),"Да")</f>
        <v>Да</v>
      </c>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row>
    <row r="144">
      <c r="A144" s="197" t="str">
        <f>IFERROR(__xludf.DUMMYFUNCTION("""COMPUTED_VALUE"""),"ООО ГАЗЭНЕРГО ПРОМСЕРВИС")</f>
        <v>ООО ГАЗЭНЕРГО ПРОМСЕРВИС</v>
      </c>
      <c r="B144" s="198">
        <f>IFERROR(__xludf.DUMMYFUNCTION("""COMPUTED_VALUE"""),0.8)</f>
        <v>0.8</v>
      </c>
      <c r="C144" s="199" t="str">
        <f>IFERROR(__xludf.DUMMYFUNCTION("""COMPUTED_VALUE"""),"Частично")</f>
        <v>Частично</v>
      </c>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row>
    <row r="145">
      <c r="A145" s="197" t="str">
        <f>IFERROR(__xludf.DUMMYFUNCTION("""COMPUTED_VALUE"""),"ООО ГЕОМАР")</f>
        <v>ООО ГЕОМАР</v>
      </c>
      <c r="B145" s="198">
        <f>IFERROR(__xludf.DUMMYFUNCTION("""COMPUTED_VALUE"""),0.82)</f>
        <v>0.82</v>
      </c>
      <c r="C145" s="199" t="str">
        <f>IFERROR(__xludf.DUMMYFUNCTION("""COMPUTED_VALUE"""),"Частично")</f>
        <v>Частично</v>
      </c>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row>
    <row r="146">
      <c r="A146" s="197" t="str">
        <f>IFERROR(__xludf.DUMMYFUNCTION("""COMPUTED_VALUE"""),"ООО ГИПРОН")</f>
        <v>ООО ГИПРОН</v>
      </c>
      <c r="B146" s="198">
        <f>IFERROR(__xludf.DUMMYFUNCTION("""COMPUTED_VALUE"""),0.8)</f>
        <v>0.8</v>
      </c>
      <c r="C146" s="199" t="str">
        <f>IFERROR(__xludf.DUMMYFUNCTION("""COMPUTED_VALUE"""),"Нет")</f>
        <v>Нет</v>
      </c>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row>
    <row r="147">
      <c r="A147" s="197" t="str">
        <f>IFERROR(__xludf.DUMMYFUNCTION("""COMPUTED_VALUE"""),"ООО ГК А-СТРОЙ")</f>
        <v>ООО ГК А-СТРОЙ</v>
      </c>
      <c r="B147" s="198"/>
      <c r="C147" s="199" t="str">
        <f>IFERROR(__xludf.DUMMYFUNCTION("""COMPUTED_VALUE"""),"Да")</f>
        <v>Да</v>
      </c>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row>
    <row r="148">
      <c r="A148" s="197" t="str">
        <f>IFERROR(__xludf.DUMMYFUNCTION("""COMPUTED_VALUE"""),"ООО ГК А-СТРОЙ")</f>
        <v>ООО ГК А-СТРОЙ</v>
      </c>
      <c r="B148" s="198"/>
      <c r="C148" s="199" t="str">
        <f>IFERROR(__xludf.DUMMYFUNCTION("""COMPUTED_VALUE"""),"Да")</f>
        <v>Да</v>
      </c>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row>
    <row r="149">
      <c r="A149" s="197" t="str">
        <f>IFERROR(__xludf.DUMMYFUNCTION("""COMPUTED_VALUE"""),"ООО ГК А-СТРОЙ")</f>
        <v>ООО ГК А-СТРОЙ</v>
      </c>
      <c r="B149" s="198"/>
      <c r="C149" s="199" t="str">
        <f>IFERROR(__xludf.DUMMYFUNCTION("""COMPUTED_VALUE"""),"Да")</f>
        <v>Да</v>
      </c>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row>
    <row r="150">
      <c r="A150" s="197" t="str">
        <f>IFERROR(__xludf.DUMMYFUNCTION("""COMPUTED_VALUE"""),"ООО ГК ИМПЕРИЯ")</f>
        <v>ООО ГК ИМПЕРИЯ</v>
      </c>
      <c r="B150" s="198"/>
      <c r="C150" s="199" t="str">
        <f>IFERROR(__xludf.DUMMYFUNCTION("""COMPUTED_VALUE"""),"Да")</f>
        <v>Да</v>
      </c>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row>
    <row r="151">
      <c r="A151" s="197" t="str">
        <f>IFERROR(__xludf.DUMMYFUNCTION("""COMPUTED_VALUE"""),"ООО ГК ИМПЕРИЯ")</f>
        <v>ООО ГК ИМПЕРИЯ</v>
      </c>
      <c r="B151" s="198"/>
      <c r="C151" s="199" t="str">
        <f>IFERROR(__xludf.DUMMYFUNCTION("""COMPUTED_VALUE"""),"Да")</f>
        <v>Да</v>
      </c>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row>
    <row r="152">
      <c r="A152" s="197" t="str">
        <f>IFERROR(__xludf.DUMMYFUNCTION("""COMPUTED_VALUE"""),"ООО ГК ИМПЕРИЯ")</f>
        <v>ООО ГК ИМПЕРИЯ</v>
      </c>
      <c r="B152" s="198"/>
      <c r="C152" s="199" t="str">
        <f>IFERROR(__xludf.DUMMYFUNCTION("""COMPUTED_VALUE"""),"Да")</f>
        <v>Да</v>
      </c>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row>
    <row r="153">
      <c r="A153" s="197" t="str">
        <f>IFERROR(__xludf.DUMMYFUNCTION("""COMPUTED_VALUE"""),"ООО ГК ИМПЕРИЯ")</f>
        <v>ООО ГК ИМПЕРИЯ</v>
      </c>
      <c r="B153" s="198"/>
      <c r="C153" s="199" t="str">
        <f>IFERROR(__xludf.DUMMYFUNCTION("""COMPUTED_VALUE"""),"Да")</f>
        <v>Да</v>
      </c>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row>
    <row r="154">
      <c r="A154" s="197" t="str">
        <f>IFERROR(__xludf.DUMMYFUNCTION("""COMPUTED_VALUE"""),"ООО ГК ИМПЕРИЯ")</f>
        <v>ООО ГК ИМПЕРИЯ</v>
      </c>
      <c r="B154" s="198"/>
      <c r="C154" s="199" t="str">
        <f>IFERROR(__xludf.DUMMYFUNCTION("""COMPUTED_VALUE"""),"Да")</f>
        <v>Да</v>
      </c>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row>
    <row r="155">
      <c r="A155" s="197" t="str">
        <f>IFERROR(__xludf.DUMMYFUNCTION("""COMPUTED_VALUE"""),"ООО ГК ИМПЕРИЯ")</f>
        <v>ООО ГК ИМПЕРИЯ</v>
      </c>
      <c r="B155" s="198"/>
      <c r="C155" s="199" t="str">
        <f>IFERROR(__xludf.DUMMYFUNCTION("""COMPUTED_VALUE"""),"Да")</f>
        <v>Да</v>
      </c>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row>
    <row r="156">
      <c r="A156" s="197" t="str">
        <f>IFERROR(__xludf.DUMMYFUNCTION("""COMPUTED_VALUE"""),"ООО ГК ИМПЕРИЯ")</f>
        <v>ООО ГК ИМПЕРИЯ</v>
      </c>
      <c r="B156" s="198"/>
      <c r="C156" s="199" t="str">
        <f>IFERROR(__xludf.DUMMYFUNCTION("""COMPUTED_VALUE"""),"Да")</f>
        <v>Да</v>
      </c>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row>
    <row r="157">
      <c r="A157" s="197" t="str">
        <f>IFERROR(__xludf.DUMMYFUNCTION("""COMPUTED_VALUE"""),"ООО ГК ТРАНСГАЗ РАЗВИТИЕ")</f>
        <v>ООО ГК ТРАНСГАЗ РАЗВИТИЕ</v>
      </c>
      <c r="B157" s="198"/>
      <c r="C157" s="199" t="str">
        <f>IFERROR(__xludf.DUMMYFUNCTION("""COMPUTED_VALUE"""),"Да")</f>
        <v>Да</v>
      </c>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row>
    <row r="158">
      <c r="A158" s="197" t="str">
        <f>IFERROR(__xludf.DUMMYFUNCTION("""COMPUTED_VALUE"""),"ООО ГК ТРАНСГАЗ РАЗВИТИЕ")</f>
        <v>ООО ГК ТРАНСГАЗ РАЗВИТИЕ</v>
      </c>
      <c r="B158" s="198"/>
      <c r="C158" s="199" t="str">
        <f>IFERROR(__xludf.DUMMYFUNCTION("""COMPUTED_VALUE"""),"Да")</f>
        <v>Да</v>
      </c>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c r="A159" s="197" t="str">
        <f>IFERROR(__xludf.DUMMYFUNCTION("""COMPUTED_VALUE"""),"ООО ГЛАВСТРОЙ")</f>
        <v>ООО ГЛАВСТРОЙ</v>
      </c>
      <c r="B159" s="198">
        <f>IFERROR(__xludf.DUMMYFUNCTION("""COMPUTED_VALUE"""),0.98)</f>
        <v>0.98</v>
      </c>
      <c r="C159" s="199" t="str">
        <f>IFERROR(__xludf.DUMMYFUNCTION("""COMPUTED_VALUE"""),"Частично")</f>
        <v>Частично</v>
      </c>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row>
    <row r="160">
      <c r="A160" s="197" t="str">
        <f>IFERROR(__xludf.DUMMYFUNCTION("""COMPUTED_VALUE"""),"ООО ГЛАВСТРОЙ")</f>
        <v>ООО ГЛАВСТРОЙ</v>
      </c>
      <c r="B160" s="198">
        <f>IFERROR(__xludf.DUMMYFUNCTION("""COMPUTED_VALUE"""),0.96)</f>
        <v>0.96</v>
      </c>
      <c r="C160" s="199" t="str">
        <f>IFERROR(__xludf.DUMMYFUNCTION("""COMPUTED_VALUE"""),"Частично")</f>
        <v>Частично</v>
      </c>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row>
    <row r="161">
      <c r="A161" s="197" t="str">
        <f>IFERROR(__xludf.DUMMYFUNCTION("""COMPUTED_VALUE"""),"ООО ГЛАВСТРОЙ")</f>
        <v>ООО ГЛАВСТРОЙ</v>
      </c>
      <c r="B161" s="198">
        <f>IFERROR(__xludf.DUMMYFUNCTION("""COMPUTED_VALUE"""),0.95)</f>
        <v>0.95</v>
      </c>
      <c r="C161" s="199" t="str">
        <f>IFERROR(__xludf.DUMMYFUNCTION("""COMPUTED_VALUE"""),"Частично")</f>
        <v>Частично</v>
      </c>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row>
    <row r="162">
      <c r="A162" s="197" t="str">
        <f>IFERROR(__xludf.DUMMYFUNCTION("""COMPUTED_VALUE"""),"ООО ГЛАВСТРОЙ")</f>
        <v>ООО ГЛАВСТРОЙ</v>
      </c>
      <c r="B162" s="198">
        <f>IFERROR(__xludf.DUMMYFUNCTION("""COMPUTED_VALUE"""),0.95)</f>
        <v>0.95</v>
      </c>
      <c r="C162" s="199" t="str">
        <f>IFERROR(__xludf.DUMMYFUNCTION("""COMPUTED_VALUE"""),"Нет")</f>
        <v>Нет</v>
      </c>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row>
    <row r="163">
      <c r="A163" s="197" t="str">
        <f>IFERROR(__xludf.DUMMYFUNCTION("""COMPUTED_VALUE"""),"ООО ГЛАВСТРОЙ")</f>
        <v>ООО ГЛАВСТРОЙ</v>
      </c>
      <c r="B163" s="198">
        <f>IFERROR(__xludf.DUMMYFUNCTION("""COMPUTED_VALUE"""),0.9)</f>
        <v>0.9</v>
      </c>
      <c r="C163" s="199" t="str">
        <f>IFERROR(__xludf.DUMMYFUNCTION("""COMPUTED_VALUE"""),"Нет")</f>
        <v>Нет</v>
      </c>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row>
    <row r="164">
      <c r="A164" s="197" t="str">
        <f>IFERROR(__xludf.DUMMYFUNCTION("""COMPUTED_VALUE"""),"ООО ГЛАВСТРОЙ")</f>
        <v>ООО ГЛАВСТРОЙ</v>
      </c>
      <c r="B164" s="198">
        <f>IFERROR(__xludf.DUMMYFUNCTION("""COMPUTED_VALUE"""),0.9)</f>
        <v>0.9</v>
      </c>
      <c r="C164" s="199" t="str">
        <f>IFERROR(__xludf.DUMMYFUNCTION("""COMPUTED_VALUE"""),"Частично")</f>
        <v>Частично</v>
      </c>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row>
    <row r="165">
      <c r="A165" s="197" t="str">
        <f>IFERROR(__xludf.DUMMYFUNCTION("""COMPUTED_VALUE"""),"ООО ГЛАВСТРОЙ")</f>
        <v>ООО ГЛАВСТРОЙ</v>
      </c>
      <c r="B165" s="198">
        <f>IFERROR(__xludf.DUMMYFUNCTION("""COMPUTED_VALUE"""),0.9)</f>
        <v>0.9</v>
      </c>
      <c r="C165" s="199" t="str">
        <f>IFERROR(__xludf.DUMMYFUNCTION("""COMPUTED_VALUE"""),"Нет")</f>
        <v>Нет</v>
      </c>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row>
    <row r="166">
      <c r="A166" s="197" t="str">
        <f>IFERROR(__xludf.DUMMYFUNCTION("""COMPUTED_VALUE"""),"ООО ГЛАВСТРОЙ")</f>
        <v>ООО ГЛАВСТРОЙ</v>
      </c>
      <c r="B166" s="198">
        <f>IFERROR(__xludf.DUMMYFUNCTION("""COMPUTED_VALUE"""),0.9)</f>
        <v>0.9</v>
      </c>
      <c r="C166" s="199" t="str">
        <f>IFERROR(__xludf.DUMMYFUNCTION("""COMPUTED_VALUE"""),"Нет")</f>
        <v>Нет</v>
      </c>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row>
    <row r="167">
      <c r="A167" s="197" t="str">
        <f>IFERROR(__xludf.DUMMYFUNCTION("""COMPUTED_VALUE"""),"ООО ГЛАВСТРОЙ")</f>
        <v>ООО ГЛАВСТРОЙ</v>
      </c>
      <c r="B167" s="198">
        <f>IFERROR(__xludf.DUMMYFUNCTION("""COMPUTED_VALUE"""),0.9)</f>
        <v>0.9</v>
      </c>
      <c r="C167" s="199" t="str">
        <f>IFERROR(__xludf.DUMMYFUNCTION("""COMPUTED_VALUE"""),"Частично")</f>
        <v>Частично</v>
      </c>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row>
    <row r="168">
      <c r="A168" s="197" t="str">
        <f>IFERROR(__xludf.DUMMYFUNCTION("""COMPUTED_VALUE"""),"ООО ГЛАВСТРОЙ")</f>
        <v>ООО ГЛАВСТРОЙ</v>
      </c>
      <c r="B168" s="198">
        <f>IFERROR(__xludf.DUMMYFUNCTION("""COMPUTED_VALUE"""),0.87)</f>
        <v>0.87</v>
      </c>
      <c r="C168" s="199" t="str">
        <f>IFERROR(__xludf.DUMMYFUNCTION("""COMPUTED_VALUE"""),"Частично")</f>
        <v>Частично</v>
      </c>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row>
    <row r="169">
      <c r="A169" s="197" t="str">
        <f>IFERROR(__xludf.DUMMYFUNCTION("""COMPUTED_VALUE"""),"ООО ГЛАВСТРОЙ")</f>
        <v>ООО ГЛАВСТРОЙ</v>
      </c>
      <c r="B169" s="198">
        <f>IFERROR(__xludf.DUMMYFUNCTION("""COMPUTED_VALUE"""),0.85)</f>
        <v>0.85</v>
      </c>
      <c r="C169" s="199" t="str">
        <f>IFERROR(__xludf.DUMMYFUNCTION("""COMPUTED_VALUE"""),"Нет")</f>
        <v>Нет</v>
      </c>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row>
    <row r="170">
      <c r="A170" s="197" t="str">
        <f>IFERROR(__xludf.DUMMYFUNCTION("""COMPUTED_VALUE"""),"ООО ГЛАВСТРОЙ")</f>
        <v>ООО ГЛАВСТРОЙ</v>
      </c>
      <c r="B170" s="198">
        <f>IFERROR(__xludf.DUMMYFUNCTION("""COMPUTED_VALUE"""),0.58)</f>
        <v>0.58</v>
      </c>
      <c r="C170" s="199" t="str">
        <f>IFERROR(__xludf.DUMMYFUNCTION("""COMPUTED_VALUE"""),"Частично")</f>
        <v>Частично</v>
      </c>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row>
    <row r="171">
      <c r="A171" s="197" t="str">
        <f>IFERROR(__xludf.DUMMYFUNCTION("""COMPUTED_VALUE"""),"ООО ГЛАВСТРОЙ")</f>
        <v>ООО ГЛАВСТРОЙ</v>
      </c>
      <c r="B171" s="198">
        <f>IFERROR(__xludf.DUMMYFUNCTION("""COMPUTED_VALUE"""),0.55)</f>
        <v>0.55</v>
      </c>
      <c r="C171" s="199" t="str">
        <f>IFERROR(__xludf.DUMMYFUNCTION("""COMPUTED_VALUE"""),"Частично")</f>
        <v>Частично</v>
      </c>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row>
    <row r="172">
      <c r="A172" s="197" t="str">
        <f>IFERROR(__xludf.DUMMYFUNCTION("""COMPUTED_VALUE"""),"ООО ГЛАВСТРОЙ")</f>
        <v>ООО ГЛАВСТРОЙ</v>
      </c>
      <c r="B172" s="198">
        <f>IFERROR(__xludf.DUMMYFUNCTION("""COMPUTED_VALUE"""),0.55)</f>
        <v>0.55</v>
      </c>
      <c r="C172" s="199" t="str">
        <f>IFERROR(__xludf.DUMMYFUNCTION("""COMPUTED_VALUE"""),"Частично")</f>
        <v>Частично</v>
      </c>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row>
    <row r="173">
      <c r="A173" s="197" t="str">
        <f>IFERROR(__xludf.DUMMYFUNCTION("""COMPUTED_VALUE"""),"ООО ГЛАВСТРОЙ")</f>
        <v>ООО ГЛАВСТРОЙ</v>
      </c>
      <c r="B173" s="198">
        <f>IFERROR(__xludf.DUMMYFUNCTION("""COMPUTED_VALUE"""),0.5)</f>
        <v>0.5</v>
      </c>
      <c r="C173" s="199" t="str">
        <f>IFERROR(__xludf.DUMMYFUNCTION("""COMPUTED_VALUE"""),"Нет")</f>
        <v>Нет</v>
      </c>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row>
    <row r="174">
      <c r="A174" s="197" t="str">
        <f>IFERROR(__xludf.DUMMYFUNCTION("""COMPUTED_VALUE"""),"ООО ГЛАВСТРОЙ")</f>
        <v>ООО ГЛАВСТРОЙ</v>
      </c>
      <c r="B174" s="198">
        <f>IFERROR(__xludf.DUMMYFUNCTION("""COMPUTED_VALUE"""),0.3)</f>
        <v>0.3</v>
      </c>
      <c r="C174" s="199" t="str">
        <f>IFERROR(__xludf.DUMMYFUNCTION("""COMPUTED_VALUE"""),"Нет")</f>
        <v>Нет</v>
      </c>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row>
    <row r="175">
      <c r="A175" s="197" t="str">
        <f>IFERROR(__xludf.DUMMYFUNCTION("""COMPUTED_VALUE"""),"ООО ГСП")</f>
        <v>ООО ГСП</v>
      </c>
      <c r="B175" s="198"/>
      <c r="C175" s="199" t="str">
        <f>IFERROR(__xludf.DUMMYFUNCTION("""COMPUTED_VALUE"""),"Да")</f>
        <v>Да</v>
      </c>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row>
    <row r="176">
      <c r="A176" s="197" t="str">
        <f>IFERROR(__xludf.DUMMYFUNCTION("""COMPUTED_VALUE"""),"ООО ГЭС")</f>
        <v>ООО ГЭС</v>
      </c>
      <c r="B176" s="198">
        <f>IFERROR(__xludf.DUMMYFUNCTION("""COMPUTED_VALUE"""),1.0)</f>
        <v>1</v>
      </c>
      <c r="C176" s="199" t="str">
        <f>IFERROR(__xludf.DUMMYFUNCTION("""COMPUTED_VALUE"""),"Да")</f>
        <v>Да</v>
      </c>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row>
    <row r="177">
      <c r="A177" s="197" t="str">
        <f>IFERROR(__xludf.DUMMYFUNCTION("""COMPUTED_VALUE"""),"ООО ГЭС")</f>
        <v>ООО ГЭС</v>
      </c>
      <c r="B177" s="198"/>
      <c r="C177" s="199" t="str">
        <f>IFERROR(__xludf.DUMMYFUNCTION("""COMPUTED_VALUE"""),"Да")</f>
        <v>Да</v>
      </c>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row>
    <row r="178">
      <c r="A178" s="197" t="str">
        <f>IFERROR(__xludf.DUMMYFUNCTION("""COMPUTED_VALUE"""),"ООО ДАКОРП")</f>
        <v>ООО ДАКОРП</v>
      </c>
      <c r="B178" s="198">
        <f>IFERROR(__xludf.DUMMYFUNCTION("""COMPUTED_VALUE"""),0.53)</f>
        <v>0.53</v>
      </c>
      <c r="C178" s="199" t="str">
        <f>IFERROR(__xludf.DUMMYFUNCTION("""COMPUTED_VALUE"""),"Частично")</f>
        <v>Частично</v>
      </c>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row>
    <row r="179">
      <c r="A179" s="197" t="str">
        <f>IFERROR(__xludf.DUMMYFUNCTION("""COMPUTED_VALUE"""),"ООО ЕВРО СТРОЙ")</f>
        <v>ООО ЕВРО СТРОЙ</v>
      </c>
      <c r="B179" s="198">
        <f>IFERROR(__xludf.DUMMYFUNCTION("""COMPUTED_VALUE"""),1.0)</f>
        <v>1</v>
      </c>
      <c r="C179" s="199" t="str">
        <f>IFERROR(__xludf.DUMMYFUNCTION("""COMPUTED_VALUE"""),"Да")</f>
        <v>Да</v>
      </c>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row>
    <row r="180">
      <c r="A180" s="197" t="str">
        <f>IFERROR(__xludf.DUMMYFUNCTION("""COMPUTED_VALUE"""),"ООО ЕВРОГАЗ")</f>
        <v>ООО ЕВРОГАЗ</v>
      </c>
      <c r="B180" s="198">
        <f>IFERROR(__xludf.DUMMYFUNCTION("""COMPUTED_VALUE"""),1.0)</f>
        <v>1</v>
      </c>
      <c r="C180" s="199" t="str">
        <f>IFERROR(__xludf.DUMMYFUNCTION("""COMPUTED_VALUE"""),"Частично")</f>
        <v>Частично</v>
      </c>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row>
    <row r="181">
      <c r="A181" s="197" t="str">
        <f>IFERROR(__xludf.DUMMYFUNCTION("""COMPUTED_VALUE"""),"ООО ИМПУЛЬСЭНЕРГОСТРОЙ")</f>
        <v>ООО ИМПУЛЬСЭНЕРГОСТРОЙ</v>
      </c>
      <c r="B181" s="198">
        <f>IFERROR(__xludf.DUMMYFUNCTION("""COMPUTED_VALUE"""),0.98)</f>
        <v>0.98</v>
      </c>
      <c r="C181" s="199" t="str">
        <f>IFERROR(__xludf.DUMMYFUNCTION("""COMPUTED_VALUE"""),"Да")</f>
        <v>Да</v>
      </c>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row>
    <row r="182">
      <c r="A182" s="197" t="str">
        <f>IFERROR(__xludf.DUMMYFUNCTION("""COMPUTED_VALUE"""),"ООО ИМПУЛЬСЭНЕРГОСТРОЙ")</f>
        <v>ООО ИМПУЛЬСЭНЕРГОСТРОЙ</v>
      </c>
      <c r="B182" s="198">
        <f>IFERROR(__xludf.DUMMYFUNCTION("""COMPUTED_VALUE"""),0.92)</f>
        <v>0.92</v>
      </c>
      <c r="C182" s="199" t="str">
        <f>IFERROR(__xludf.DUMMYFUNCTION("""COMPUTED_VALUE"""),"Да")</f>
        <v>Да</v>
      </c>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row>
    <row r="183">
      <c r="A183" s="197" t="str">
        <f>IFERROR(__xludf.DUMMYFUNCTION("""COMPUTED_VALUE"""),"ООО ИМПУЛЬСЭНЕРГОСТРОЙ")</f>
        <v>ООО ИМПУЛЬСЭНЕРГОСТРОЙ</v>
      </c>
      <c r="B183" s="198"/>
      <c r="C183" s="199" t="str">
        <f>IFERROR(__xludf.DUMMYFUNCTION("""COMPUTED_VALUE"""),"Да")</f>
        <v>Да</v>
      </c>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row>
    <row r="184">
      <c r="A184" s="197" t="str">
        <f>IFERROR(__xludf.DUMMYFUNCTION("""COMPUTED_VALUE"""),"ООО ИНВЕСТСТРОЙ")</f>
        <v>ООО ИНВЕСТСТРОЙ</v>
      </c>
      <c r="B184" s="198">
        <f>IFERROR(__xludf.DUMMYFUNCTION("""COMPUTED_VALUE"""),0.98)</f>
        <v>0.98</v>
      </c>
      <c r="C184" s="199" t="str">
        <f>IFERROR(__xludf.DUMMYFUNCTION("""COMPUTED_VALUE"""),"Частично")</f>
        <v>Частично</v>
      </c>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row>
    <row r="185">
      <c r="A185" s="197" t="str">
        <f>IFERROR(__xludf.DUMMYFUNCTION("""COMPUTED_VALUE"""),"ООО ИНВЕСТСТРОЙ")</f>
        <v>ООО ИНВЕСТСТРОЙ</v>
      </c>
      <c r="B185" s="198">
        <f>IFERROR(__xludf.DUMMYFUNCTION("""COMPUTED_VALUE"""),0.71)</f>
        <v>0.71</v>
      </c>
      <c r="C185" s="199" t="str">
        <f>IFERROR(__xludf.DUMMYFUNCTION("""COMPUTED_VALUE"""),"Частично")</f>
        <v>Частично</v>
      </c>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row>
    <row r="186">
      <c r="A186" s="197" t="str">
        <f>IFERROR(__xludf.DUMMYFUNCTION("""COMPUTED_VALUE"""),"ООО ИНВЕСТСТРОЙ")</f>
        <v>ООО ИНВЕСТСТРОЙ</v>
      </c>
      <c r="B186" s="198">
        <f>IFERROR(__xludf.DUMMYFUNCTION("""COMPUTED_VALUE"""),0.6)</f>
        <v>0.6</v>
      </c>
      <c r="C186" s="199" t="str">
        <f>IFERROR(__xludf.DUMMYFUNCTION("""COMPUTED_VALUE"""),"Частично")</f>
        <v>Частично</v>
      </c>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row>
    <row r="187">
      <c r="A187" s="197" t="str">
        <f>IFERROR(__xludf.DUMMYFUNCTION("""COMPUTED_VALUE"""),"ООО ИНВЕСТСТРОЙ")</f>
        <v>ООО ИНВЕСТСТРОЙ</v>
      </c>
      <c r="B187" s="198">
        <f>IFERROR(__xludf.DUMMYFUNCTION("""COMPUTED_VALUE"""),0.45)</f>
        <v>0.45</v>
      </c>
      <c r="C187" s="199" t="str">
        <f>IFERROR(__xludf.DUMMYFUNCTION("""COMPUTED_VALUE"""),"Частично")</f>
        <v>Частично</v>
      </c>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row>
    <row r="188">
      <c r="A188" s="197" t="str">
        <f>IFERROR(__xludf.DUMMYFUNCTION("""COMPUTED_VALUE"""),"ООО ИНДЖЕТ")</f>
        <v>ООО ИНДЖЕТ</v>
      </c>
      <c r="B188" s="198">
        <f>IFERROR(__xludf.DUMMYFUNCTION("""COMPUTED_VALUE"""),0.74)</f>
        <v>0.74</v>
      </c>
      <c r="C188" s="199" t="str">
        <f>IFERROR(__xludf.DUMMYFUNCTION("""COMPUTED_VALUE"""),"Частично")</f>
        <v>Частично</v>
      </c>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row>
    <row r="189">
      <c r="A189" s="197" t="str">
        <f>IFERROR(__xludf.DUMMYFUNCTION("""COMPUTED_VALUE"""),"ООО ИНДЖЕТ")</f>
        <v>ООО ИНДЖЕТ</v>
      </c>
      <c r="B189" s="198">
        <f>IFERROR(__xludf.DUMMYFUNCTION("""COMPUTED_VALUE"""),0.72)</f>
        <v>0.72</v>
      </c>
      <c r="C189" s="199" t="str">
        <f>IFERROR(__xludf.DUMMYFUNCTION("""COMPUTED_VALUE"""),"Частично")</f>
        <v>Частично</v>
      </c>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row>
    <row r="190">
      <c r="A190" s="197" t="str">
        <f>IFERROR(__xludf.DUMMYFUNCTION("""COMPUTED_VALUE"""),"ООО ИНДЖЕТ")</f>
        <v>ООО ИНДЖЕТ</v>
      </c>
      <c r="B190" s="198">
        <f>IFERROR(__xludf.DUMMYFUNCTION("""COMPUTED_VALUE"""),0.72)</f>
        <v>0.72</v>
      </c>
      <c r="C190" s="199" t="str">
        <f>IFERROR(__xludf.DUMMYFUNCTION("""COMPUTED_VALUE"""),"Частично")</f>
        <v>Частично</v>
      </c>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row>
    <row r="191">
      <c r="A191" s="197" t="str">
        <f>IFERROR(__xludf.DUMMYFUNCTION("""COMPUTED_VALUE"""),"ООО ИНДЖЕТ")</f>
        <v>ООО ИНДЖЕТ</v>
      </c>
      <c r="B191" s="198">
        <f>IFERROR(__xludf.DUMMYFUNCTION("""COMPUTED_VALUE"""),0.68)</f>
        <v>0.68</v>
      </c>
      <c r="C191" s="199" t="str">
        <f>IFERROR(__xludf.DUMMYFUNCTION("""COMPUTED_VALUE"""),"Частично")</f>
        <v>Частично</v>
      </c>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row>
    <row r="192">
      <c r="A192" s="197" t="str">
        <f>IFERROR(__xludf.DUMMYFUNCTION("""COMPUTED_VALUE"""),"ООО ИНЖГОРСТРОЙ")</f>
        <v>ООО ИНЖГОРСТРОЙ</v>
      </c>
      <c r="B192" s="198">
        <f>IFERROR(__xludf.DUMMYFUNCTION("""COMPUTED_VALUE"""),0.99)</f>
        <v>0.99</v>
      </c>
      <c r="C192" s="199" t="str">
        <f>IFERROR(__xludf.DUMMYFUNCTION("""COMPUTED_VALUE"""),"Частично")</f>
        <v>Частично</v>
      </c>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row>
    <row r="193">
      <c r="A193" s="197" t="str">
        <f>IFERROR(__xludf.DUMMYFUNCTION("""COMPUTED_VALUE"""),"ООО ИНЖГОРСТРОЙ")</f>
        <v>ООО ИНЖГОРСТРОЙ</v>
      </c>
      <c r="B193" s="198">
        <f>IFERROR(__xludf.DUMMYFUNCTION("""COMPUTED_VALUE"""),0.98)</f>
        <v>0.98</v>
      </c>
      <c r="C193" s="199" t="str">
        <f>IFERROR(__xludf.DUMMYFUNCTION("""COMPUTED_VALUE"""),"Нет")</f>
        <v>Нет</v>
      </c>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row>
    <row r="194">
      <c r="A194" s="197" t="str">
        <f>IFERROR(__xludf.DUMMYFUNCTION("""COMPUTED_VALUE"""),"ООО ИНЖГОРСТРОЙ")</f>
        <v>ООО ИНЖГОРСТРОЙ</v>
      </c>
      <c r="B194" s="198">
        <f>IFERROR(__xludf.DUMMYFUNCTION("""COMPUTED_VALUE"""),0.98)</f>
        <v>0.98</v>
      </c>
      <c r="C194" s="199" t="str">
        <f>IFERROR(__xludf.DUMMYFUNCTION("""COMPUTED_VALUE"""),"Частично")</f>
        <v>Частично</v>
      </c>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row>
    <row r="195">
      <c r="A195" s="197" t="str">
        <f>IFERROR(__xludf.DUMMYFUNCTION("""COMPUTED_VALUE"""),"ООО ИНЖГОРСТРОЙ")</f>
        <v>ООО ИНЖГОРСТРОЙ</v>
      </c>
      <c r="B195" s="198">
        <f>IFERROR(__xludf.DUMMYFUNCTION("""COMPUTED_VALUE"""),0.98)</f>
        <v>0.98</v>
      </c>
      <c r="C195" s="199" t="str">
        <f>IFERROR(__xludf.DUMMYFUNCTION("""COMPUTED_VALUE"""),"Нет")</f>
        <v>Нет</v>
      </c>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row>
    <row r="196">
      <c r="A196" s="197" t="str">
        <f>IFERROR(__xludf.DUMMYFUNCTION("""COMPUTED_VALUE"""),"ООО ИНЖГОРСТРОЙ")</f>
        <v>ООО ИНЖГОРСТРОЙ</v>
      </c>
      <c r="B196" s="198">
        <f>IFERROR(__xludf.DUMMYFUNCTION("""COMPUTED_VALUE"""),0.98)</f>
        <v>0.98</v>
      </c>
      <c r="C196" s="199" t="str">
        <f>IFERROR(__xludf.DUMMYFUNCTION("""COMPUTED_VALUE"""),"Частично")</f>
        <v>Частично</v>
      </c>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row>
    <row r="197">
      <c r="A197" s="197" t="str">
        <f>IFERROR(__xludf.DUMMYFUNCTION("""COMPUTED_VALUE"""),"ООО ИНЖГОРСТРОЙ")</f>
        <v>ООО ИНЖГОРСТРОЙ</v>
      </c>
      <c r="B197" s="198">
        <f>IFERROR(__xludf.DUMMYFUNCTION("""COMPUTED_VALUE"""),0.98)</f>
        <v>0.98</v>
      </c>
      <c r="C197" s="199" t="str">
        <f>IFERROR(__xludf.DUMMYFUNCTION("""COMPUTED_VALUE"""),"Нет")</f>
        <v>Нет</v>
      </c>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row>
    <row r="198">
      <c r="A198" s="197" t="str">
        <f>IFERROR(__xludf.DUMMYFUNCTION("""COMPUTED_VALUE"""),"ООО ИНЖГОРСТРОЙ")</f>
        <v>ООО ИНЖГОРСТРОЙ</v>
      </c>
      <c r="B198" s="198">
        <f>IFERROR(__xludf.DUMMYFUNCTION("""COMPUTED_VALUE"""),0.98)</f>
        <v>0.98</v>
      </c>
      <c r="C198" s="199" t="str">
        <f>IFERROR(__xludf.DUMMYFUNCTION("""COMPUTED_VALUE"""),"Нет")</f>
        <v>Нет</v>
      </c>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row>
    <row r="199">
      <c r="A199" s="197" t="str">
        <f>IFERROR(__xludf.DUMMYFUNCTION("""COMPUTED_VALUE"""),"ООО ИНЖГОРСТРОЙ")</f>
        <v>ООО ИНЖГОРСТРОЙ</v>
      </c>
      <c r="B199" s="198">
        <f>IFERROR(__xludf.DUMMYFUNCTION("""COMPUTED_VALUE"""),0.98)</f>
        <v>0.98</v>
      </c>
      <c r="C199" s="199" t="str">
        <f>IFERROR(__xludf.DUMMYFUNCTION("""COMPUTED_VALUE"""),"Нет")</f>
        <v>Нет</v>
      </c>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row>
    <row r="200">
      <c r="A200" s="197" t="str">
        <f>IFERROR(__xludf.DUMMYFUNCTION("""COMPUTED_VALUE"""),"ООО ИНЖГОРСТРОЙ")</f>
        <v>ООО ИНЖГОРСТРОЙ</v>
      </c>
      <c r="B200" s="198">
        <f>IFERROR(__xludf.DUMMYFUNCTION("""COMPUTED_VALUE"""),0.97)</f>
        <v>0.97</v>
      </c>
      <c r="C200" s="199" t="str">
        <f>IFERROR(__xludf.DUMMYFUNCTION("""COMPUTED_VALUE"""),"Нет")</f>
        <v>Нет</v>
      </c>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row>
    <row r="201">
      <c r="A201" s="197" t="str">
        <f>IFERROR(__xludf.DUMMYFUNCTION("""COMPUTED_VALUE"""),"ООО ИНЖГОРСТРОЙ")</f>
        <v>ООО ИНЖГОРСТРОЙ</v>
      </c>
      <c r="B201" s="198">
        <f>IFERROR(__xludf.DUMMYFUNCTION("""COMPUTED_VALUE"""),0.97)</f>
        <v>0.97</v>
      </c>
      <c r="C201" s="199" t="str">
        <f>IFERROR(__xludf.DUMMYFUNCTION("""COMPUTED_VALUE"""),"Нет")</f>
        <v>Нет</v>
      </c>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row>
    <row r="202">
      <c r="A202" s="197" t="str">
        <f>IFERROR(__xludf.DUMMYFUNCTION("""COMPUTED_VALUE"""),"ООО ИНЖГОРСТРОЙ")</f>
        <v>ООО ИНЖГОРСТРОЙ</v>
      </c>
      <c r="B202" s="198">
        <f>IFERROR(__xludf.DUMMYFUNCTION("""COMPUTED_VALUE"""),0.96)</f>
        <v>0.96</v>
      </c>
      <c r="C202" s="199" t="str">
        <f>IFERROR(__xludf.DUMMYFUNCTION("""COMPUTED_VALUE"""),"Нет")</f>
        <v>Нет</v>
      </c>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row>
    <row r="203">
      <c r="A203" s="197" t="str">
        <f>IFERROR(__xludf.DUMMYFUNCTION("""COMPUTED_VALUE"""),"ООО ИНЖГОРСТРОЙ")</f>
        <v>ООО ИНЖГОРСТРОЙ</v>
      </c>
      <c r="B203" s="198">
        <f>IFERROR(__xludf.DUMMYFUNCTION("""COMPUTED_VALUE"""),0.96)</f>
        <v>0.96</v>
      </c>
      <c r="C203" s="199" t="str">
        <f>IFERROR(__xludf.DUMMYFUNCTION("""COMPUTED_VALUE"""),"Нет")</f>
        <v>Нет</v>
      </c>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row>
    <row r="204">
      <c r="A204" s="197" t="str">
        <f>IFERROR(__xludf.DUMMYFUNCTION("""COMPUTED_VALUE"""),"ООО ИНЖГОРСТРОЙ")</f>
        <v>ООО ИНЖГОРСТРОЙ</v>
      </c>
      <c r="B204" s="198">
        <f>IFERROR(__xludf.DUMMYFUNCTION("""COMPUTED_VALUE"""),0.95)</f>
        <v>0.95</v>
      </c>
      <c r="C204" s="199" t="str">
        <f>IFERROR(__xludf.DUMMYFUNCTION("""COMPUTED_VALUE"""),"Нет")</f>
        <v>Нет</v>
      </c>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row>
    <row r="205">
      <c r="A205" s="197" t="str">
        <f>IFERROR(__xludf.DUMMYFUNCTION("""COMPUTED_VALUE"""),"ООО ИНЖГОРСТРОЙ")</f>
        <v>ООО ИНЖГОРСТРОЙ</v>
      </c>
      <c r="B205" s="198">
        <f>IFERROR(__xludf.DUMMYFUNCTION("""COMPUTED_VALUE"""),0.95)</f>
        <v>0.95</v>
      </c>
      <c r="C205" s="199" t="str">
        <f>IFERROR(__xludf.DUMMYFUNCTION("""COMPUTED_VALUE"""),"Частично")</f>
        <v>Частично</v>
      </c>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row>
    <row r="206">
      <c r="A206" s="197" t="str">
        <f>IFERROR(__xludf.DUMMYFUNCTION("""COMPUTED_VALUE"""),"ООО ИНЖГОРСТРОЙ")</f>
        <v>ООО ИНЖГОРСТРОЙ</v>
      </c>
      <c r="B206" s="198">
        <f>IFERROR(__xludf.DUMMYFUNCTION("""COMPUTED_VALUE"""),0.95)</f>
        <v>0.95</v>
      </c>
      <c r="C206" s="199" t="str">
        <f>IFERROR(__xludf.DUMMYFUNCTION("""COMPUTED_VALUE"""),"Частично")</f>
        <v>Частично</v>
      </c>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row>
    <row r="207">
      <c r="A207" s="197" t="str">
        <f>IFERROR(__xludf.DUMMYFUNCTION("""COMPUTED_VALUE"""),"ООО ИНЖГОРСТРОЙ")</f>
        <v>ООО ИНЖГОРСТРОЙ</v>
      </c>
      <c r="B207" s="198">
        <f>IFERROR(__xludf.DUMMYFUNCTION("""COMPUTED_VALUE"""),0.95)</f>
        <v>0.95</v>
      </c>
      <c r="C207" s="199" t="str">
        <f>IFERROR(__xludf.DUMMYFUNCTION("""COMPUTED_VALUE"""),"Частично")</f>
        <v>Частично</v>
      </c>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row>
    <row r="208">
      <c r="A208" s="197" t="str">
        <f>IFERROR(__xludf.DUMMYFUNCTION("""COMPUTED_VALUE"""),"ООО ИНЖГОРСТРОЙ")</f>
        <v>ООО ИНЖГОРСТРОЙ</v>
      </c>
      <c r="B208" s="198">
        <f>IFERROR(__xludf.DUMMYFUNCTION("""COMPUTED_VALUE"""),0.95)</f>
        <v>0.95</v>
      </c>
      <c r="C208" s="199" t="str">
        <f>IFERROR(__xludf.DUMMYFUNCTION("""COMPUTED_VALUE"""),"Частично")</f>
        <v>Частично</v>
      </c>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row>
    <row r="209">
      <c r="A209" s="197" t="str">
        <f>IFERROR(__xludf.DUMMYFUNCTION("""COMPUTED_VALUE"""),"ООО ИНЖГОРСТРОЙ")</f>
        <v>ООО ИНЖГОРСТРОЙ</v>
      </c>
      <c r="B209" s="198">
        <f>IFERROR(__xludf.DUMMYFUNCTION("""COMPUTED_VALUE"""),0.95)</f>
        <v>0.95</v>
      </c>
      <c r="C209" s="199" t="str">
        <f>IFERROR(__xludf.DUMMYFUNCTION("""COMPUTED_VALUE"""),"Нет")</f>
        <v>Нет</v>
      </c>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row>
    <row r="210">
      <c r="A210" s="197" t="str">
        <f>IFERROR(__xludf.DUMMYFUNCTION("""COMPUTED_VALUE"""),"ООО ИНЖГОРСТРОЙ")</f>
        <v>ООО ИНЖГОРСТРОЙ</v>
      </c>
      <c r="B210" s="198">
        <f>IFERROR(__xludf.DUMMYFUNCTION("""COMPUTED_VALUE"""),0.93)</f>
        <v>0.93</v>
      </c>
      <c r="C210" s="199" t="str">
        <f>IFERROR(__xludf.DUMMYFUNCTION("""COMPUTED_VALUE"""),"Нет")</f>
        <v>Нет</v>
      </c>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row>
    <row r="211">
      <c r="A211" s="197" t="str">
        <f>IFERROR(__xludf.DUMMYFUNCTION("""COMPUTED_VALUE"""),"ООО ИНЖГОРСТРОЙ")</f>
        <v>ООО ИНЖГОРСТРОЙ</v>
      </c>
      <c r="B211" s="198">
        <f>IFERROR(__xludf.DUMMYFUNCTION("""COMPUTED_VALUE"""),0.92)</f>
        <v>0.92</v>
      </c>
      <c r="C211" s="199" t="str">
        <f>IFERROR(__xludf.DUMMYFUNCTION("""COMPUTED_VALUE"""),"Нет")</f>
        <v>Нет</v>
      </c>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row>
    <row r="212">
      <c r="A212" s="197" t="str">
        <f>IFERROR(__xludf.DUMMYFUNCTION("""COMPUTED_VALUE"""),"ООО ИНЖГОРСТРОЙ")</f>
        <v>ООО ИНЖГОРСТРОЙ</v>
      </c>
      <c r="B212" s="198">
        <f>IFERROR(__xludf.DUMMYFUNCTION("""COMPUTED_VALUE"""),0.9)</f>
        <v>0.9</v>
      </c>
      <c r="C212" s="199" t="str">
        <f>IFERROR(__xludf.DUMMYFUNCTION("""COMPUTED_VALUE"""),"Нет")</f>
        <v>Нет</v>
      </c>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row>
    <row r="213">
      <c r="A213" s="197" t="str">
        <f>IFERROR(__xludf.DUMMYFUNCTION("""COMPUTED_VALUE"""),"ООО ИНЖГОРСТРОЙ")</f>
        <v>ООО ИНЖГОРСТРОЙ</v>
      </c>
      <c r="B213" s="198">
        <f>IFERROR(__xludf.DUMMYFUNCTION("""COMPUTED_VALUE"""),0.9)</f>
        <v>0.9</v>
      </c>
      <c r="C213" s="199" t="str">
        <f>IFERROR(__xludf.DUMMYFUNCTION("""COMPUTED_VALUE"""),"Нет")</f>
        <v>Нет</v>
      </c>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row>
    <row r="214">
      <c r="A214" s="197" t="str">
        <f>IFERROR(__xludf.DUMMYFUNCTION("""COMPUTED_VALUE"""),"ООО ИНЖГОРСТРОЙ")</f>
        <v>ООО ИНЖГОРСТРОЙ</v>
      </c>
      <c r="B214" s="198">
        <f>IFERROR(__xludf.DUMMYFUNCTION("""COMPUTED_VALUE"""),0.9)</f>
        <v>0.9</v>
      </c>
      <c r="C214" s="199" t="str">
        <f>IFERROR(__xludf.DUMMYFUNCTION("""COMPUTED_VALUE"""),"Нет")</f>
        <v>Нет</v>
      </c>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row>
    <row r="215">
      <c r="A215" s="197" t="str">
        <f>IFERROR(__xludf.DUMMYFUNCTION("""COMPUTED_VALUE"""),"ООО ИНЖГОРСТРОЙ")</f>
        <v>ООО ИНЖГОРСТРОЙ</v>
      </c>
      <c r="B215" s="198">
        <f>IFERROR(__xludf.DUMMYFUNCTION("""COMPUTED_VALUE"""),0.87)</f>
        <v>0.87</v>
      </c>
      <c r="C215" s="199" t="str">
        <f>IFERROR(__xludf.DUMMYFUNCTION("""COMPUTED_VALUE"""),"Частично")</f>
        <v>Частично</v>
      </c>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row>
    <row r="216">
      <c r="A216" s="197" t="str">
        <f>IFERROR(__xludf.DUMMYFUNCTION("""COMPUTED_VALUE"""),"ООО ИНЖГОРСТРОЙ")</f>
        <v>ООО ИНЖГОРСТРОЙ</v>
      </c>
      <c r="B216" s="198">
        <f>IFERROR(__xludf.DUMMYFUNCTION("""COMPUTED_VALUE"""),0.15)</f>
        <v>0.15</v>
      </c>
      <c r="C216" s="199" t="str">
        <f>IFERROR(__xludf.DUMMYFUNCTION("""COMPUTED_VALUE"""),"Частично")</f>
        <v>Частично</v>
      </c>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row>
    <row r="217">
      <c r="A217" s="197" t="str">
        <f>IFERROR(__xludf.DUMMYFUNCTION("""COMPUTED_VALUE"""),"ООО ИНЖГОРСТРОЙ")</f>
        <v>ООО ИНЖГОРСТРОЙ</v>
      </c>
      <c r="B217" s="198"/>
      <c r="C217" s="199" t="str">
        <f>IFERROR(__xludf.DUMMYFUNCTION("""COMPUTED_VALUE"""),"Да")</f>
        <v>Да</v>
      </c>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row>
    <row r="218">
      <c r="A218" s="197" t="str">
        <f>IFERROR(__xludf.DUMMYFUNCTION("""COMPUTED_VALUE"""),"ООО ИНЖГОРСТРОЙ")</f>
        <v>ООО ИНЖГОРСТРОЙ</v>
      </c>
      <c r="B218" s="198"/>
      <c r="C218" s="199" t="str">
        <f>IFERROR(__xludf.DUMMYFUNCTION("""COMPUTED_VALUE"""),"Да")</f>
        <v>Да</v>
      </c>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row>
    <row r="219">
      <c r="A219" s="197" t="str">
        <f>IFERROR(__xludf.DUMMYFUNCTION("""COMPUTED_VALUE"""),"ООО ИНЖСТРОЙ")</f>
        <v>ООО ИНЖСТРОЙ</v>
      </c>
      <c r="B219" s="198"/>
      <c r="C219" s="199" t="str">
        <f>IFERROR(__xludf.DUMMYFUNCTION("""COMPUTED_VALUE"""),"Да")</f>
        <v>Да</v>
      </c>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row>
    <row r="220">
      <c r="A220" s="197" t="str">
        <f>IFERROR(__xludf.DUMMYFUNCTION("""COMPUTED_VALUE"""),"ООО ИНЖСТРОЙ")</f>
        <v>ООО ИНЖСТРОЙ</v>
      </c>
      <c r="B220" s="198"/>
      <c r="C220" s="199" t="str">
        <f>IFERROR(__xludf.DUMMYFUNCTION("""COMPUTED_VALUE"""),"Да")</f>
        <v>Да</v>
      </c>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row>
    <row r="221">
      <c r="A221" s="197" t="str">
        <f>IFERROR(__xludf.DUMMYFUNCTION("""COMPUTED_VALUE"""),"ООО ИНЖСТРОЙ")</f>
        <v>ООО ИНЖСТРОЙ</v>
      </c>
      <c r="B221" s="198"/>
      <c r="C221" s="199" t="str">
        <f>IFERROR(__xludf.DUMMYFUNCTION("""COMPUTED_VALUE"""),"Да")</f>
        <v>Да</v>
      </c>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row>
    <row r="222">
      <c r="A222" s="197" t="str">
        <f>IFERROR(__xludf.DUMMYFUNCTION("""COMPUTED_VALUE"""),"ООО ИНЖСТРОЙ")</f>
        <v>ООО ИНЖСТРОЙ</v>
      </c>
      <c r="B222" s="198"/>
      <c r="C222" s="199" t="str">
        <f>IFERROR(__xludf.DUMMYFUNCTION("""COMPUTED_VALUE"""),"Да")</f>
        <v>Да</v>
      </c>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row>
    <row r="223">
      <c r="A223" s="197" t="str">
        <f>IFERROR(__xludf.DUMMYFUNCTION("""COMPUTED_VALUE"""),"ООО ИСК")</f>
        <v>ООО ИСК</v>
      </c>
      <c r="B223" s="198">
        <f>IFERROR(__xludf.DUMMYFUNCTION("""COMPUTED_VALUE"""),0.95)</f>
        <v>0.95</v>
      </c>
      <c r="C223" s="199" t="str">
        <f>IFERROR(__xludf.DUMMYFUNCTION("""COMPUTED_VALUE"""),"Да")</f>
        <v>Да</v>
      </c>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row>
    <row r="224">
      <c r="A224" s="197" t="str">
        <f>IFERROR(__xludf.DUMMYFUNCTION("""COMPUTED_VALUE"""),"ООО ИТС-СТРОЙ")</f>
        <v>ООО ИТС-СТРОЙ</v>
      </c>
      <c r="B224" s="198"/>
      <c r="C224" s="199" t="str">
        <f>IFERROR(__xludf.DUMMYFUNCTION("""COMPUTED_VALUE"""),"Да")</f>
        <v>Да</v>
      </c>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c r="A225" s="197" t="str">
        <f>IFERROR(__xludf.DUMMYFUNCTION("""COMPUTED_VALUE"""),"ООО ИЭС")</f>
        <v>ООО ИЭС</v>
      </c>
      <c r="B225" s="198">
        <f>IFERROR(__xludf.DUMMYFUNCTION("""COMPUTED_VALUE"""),0.8)</f>
        <v>0.8</v>
      </c>
      <c r="C225" s="199" t="str">
        <f>IFERROR(__xludf.DUMMYFUNCTION("""COMPUTED_VALUE"""),"Частично")</f>
        <v>Частично</v>
      </c>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c r="A226" s="197" t="str">
        <f>IFERROR(__xludf.DUMMYFUNCTION("""COMPUTED_VALUE"""),"ООО КАЛЬДЕРА")</f>
        <v>ООО КАЛЬДЕРА</v>
      </c>
      <c r="B226" s="198">
        <f>IFERROR(__xludf.DUMMYFUNCTION("""COMPUTED_VALUE"""),0.98)</f>
        <v>0.98</v>
      </c>
      <c r="C226" s="199" t="str">
        <f>IFERROR(__xludf.DUMMYFUNCTION("""COMPUTED_VALUE"""),"Частично")</f>
        <v>Частично</v>
      </c>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c r="A227" s="197" t="str">
        <f>IFERROR(__xludf.DUMMYFUNCTION("""COMPUTED_VALUE"""),"ООО КАСКАД-ЭНЕРГО")</f>
        <v>ООО КАСКАД-ЭНЕРГО</v>
      </c>
      <c r="B227" s="198">
        <f>IFERROR(__xludf.DUMMYFUNCTION("""COMPUTED_VALUE"""),0.8)</f>
        <v>0.8</v>
      </c>
      <c r="C227" s="199" t="str">
        <f>IFERROR(__xludf.DUMMYFUNCTION("""COMPUTED_VALUE"""),"Частично")</f>
        <v>Частично</v>
      </c>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c r="A228" s="197" t="str">
        <f>IFERROR(__xludf.DUMMYFUNCTION("""COMPUTED_VALUE"""),"ООО КДС")</f>
        <v>ООО КДС</v>
      </c>
      <c r="B228" s="198">
        <f>IFERROR(__xludf.DUMMYFUNCTION("""COMPUTED_VALUE"""),0.99)</f>
        <v>0.99</v>
      </c>
      <c r="C228" s="199" t="str">
        <f>IFERROR(__xludf.DUMMYFUNCTION("""COMPUTED_VALUE"""),"Да")</f>
        <v>Да</v>
      </c>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c r="A229" s="197" t="str">
        <f>IFERROR(__xludf.DUMMYFUNCTION("""COMPUTED_VALUE"""),"ООО КДС")</f>
        <v>ООО КДС</v>
      </c>
      <c r="B229" s="198">
        <f>IFERROR(__xludf.DUMMYFUNCTION("""COMPUTED_VALUE"""),0.99)</f>
        <v>0.99</v>
      </c>
      <c r="C229" s="199" t="str">
        <f>IFERROR(__xludf.DUMMYFUNCTION("""COMPUTED_VALUE"""),"Да")</f>
        <v>Да</v>
      </c>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c r="A230" s="197" t="str">
        <f>IFERROR(__xludf.DUMMYFUNCTION("""COMPUTED_VALUE"""),"ООО КДС")</f>
        <v>ООО КДС</v>
      </c>
      <c r="B230" s="198">
        <f>IFERROR(__xludf.DUMMYFUNCTION("""COMPUTED_VALUE"""),0.98)</f>
        <v>0.98</v>
      </c>
      <c r="C230" s="199" t="str">
        <f>IFERROR(__xludf.DUMMYFUNCTION("""COMPUTED_VALUE"""),"Да")</f>
        <v>Да</v>
      </c>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c r="A231" s="197" t="str">
        <f>IFERROR(__xludf.DUMMYFUNCTION("""COMPUTED_VALUE"""),"ООО КДС")</f>
        <v>ООО КДС</v>
      </c>
      <c r="B231" s="198">
        <f>IFERROR(__xludf.DUMMYFUNCTION("""COMPUTED_VALUE"""),0.98)</f>
        <v>0.98</v>
      </c>
      <c r="C231" s="199" t="str">
        <f>IFERROR(__xludf.DUMMYFUNCTION("""COMPUTED_VALUE"""),"Нет")</f>
        <v>Нет</v>
      </c>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c r="A232" s="197" t="str">
        <f>IFERROR(__xludf.DUMMYFUNCTION("""COMPUTED_VALUE"""),"ООО КДС")</f>
        <v>ООО КДС</v>
      </c>
      <c r="B232" s="198">
        <f>IFERROR(__xludf.DUMMYFUNCTION("""COMPUTED_VALUE"""),0.97)</f>
        <v>0.97</v>
      </c>
      <c r="C232" s="199" t="str">
        <f>IFERROR(__xludf.DUMMYFUNCTION("""COMPUTED_VALUE"""),"Нет")</f>
        <v>Нет</v>
      </c>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c r="A233" s="197" t="str">
        <f>IFERROR(__xludf.DUMMYFUNCTION("""COMPUTED_VALUE"""),"ООО КДС")</f>
        <v>ООО КДС</v>
      </c>
      <c r="B233" s="198">
        <f>IFERROR(__xludf.DUMMYFUNCTION("""COMPUTED_VALUE"""),0.96)</f>
        <v>0.96</v>
      </c>
      <c r="C233" s="199" t="str">
        <f>IFERROR(__xludf.DUMMYFUNCTION("""COMPUTED_VALUE"""),"Нет")</f>
        <v>Нет</v>
      </c>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row>
    <row r="234">
      <c r="A234" s="197" t="str">
        <f>IFERROR(__xludf.DUMMYFUNCTION("""COMPUTED_VALUE"""),"ООО КДС")</f>
        <v>ООО КДС</v>
      </c>
      <c r="B234" s="198">
        <f>IFERROR(__xludf.DUMMYFUNCTION("""COMPUTED_VALUE"""),0.96)</f>
        <v>0.96</v>
      </c>
      <c r="C234" s="199" t="str">
        <f>IFERROR(__xludf.DUMMYFUNCTION("""COMPUTED_VALUE"""),"Нет")</f>
        <v>Нет</v>
      </c>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row>
    <row r="235">
      <c r="A235" s="197" t="str">
        <f>IFERROR(__xludf.DUMMYFUNCTION("""COMPUTED_VALUE"""),"ООО КДС")</f>
        <v>ООО КДС</v>
      </c>
      <c r="B235" s="198">
        <f>IFERROR(__xludf.DUMMYFUNCTION("""COMPUTED_VALUE"""),0.96)</f>
        <v>0.96</v>
      </c>
      <c r="C235" s="199" t="str">
        <f>IFERROR(__xludf.DUMMYFUNCTION("""COMPUTED_VALUE"""),"Нет")</f>
        <v>Нет</v>
      </c>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row>
    <row r="236">
      <c r="A236" s="197" t="str">
        <f>IFERROR(__xludf.DUMMYFUNCTION("""COMPUTED_VALUE"""),"ООО КДС")</f>
        <v>ООО КДС</v>
      </c>
      <c r="B236" s="198">
        <f>IFERROR(__xludf.DUMMYFUNCTION("""COMPUTED_VALUE"""),0.96)</f>
        <v>0.96</v>
      </c>
      <c r="C236" s="199" t="str">
        <f>IFERROR(__xludf.DUMMYFUNCTION("""COMPUTED_VALUE"""),"Нет")</f>
        <v>Нет</v>
      </c>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row>
    <row r="237">
      <c r="A237" s="197" t="str">
        <f>IFERROR(__xludf.DUMMYFUNCTION("""COMPUTED_VALUE"""),"ООО КДС")</f>
        <v>ООО КДС</v>
      </c>
      <c r="B237" s="198">
        <f>IFERROR(__xludf.DUMMYFUNCTION("""COMPUTED_VALUE"""),0.95)</f>
        <v>0.95</v>
      </c>
      <c r="C237" s="199" t="str">
        <f>IFERROR(__xludf.DUMMYFUNCTION("""COMPUTED_VALUE"""),"Нет")</f>
        <v>Нет</v>
      </c>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row>
    <row r="238">
      <c r="A238" s="197" t="str">
        <f>IFERROR(__xludf.DUMMYFUNCTION("""COMPUTED_VALUE"""),"ООО КДС")</f>
        <v>ООО КДС</v>
      </c>
      <c r="B238" s="198">
        <f>IFERROR(__xludf.DUMMYFUNCTION("""COMPUTED_VALUE"""),0.94)</f>
        <v>0.94</v>
      </c>
      <c r="C238" s="199" t="str">
        <f>IFERROR(__xludf.DUMMYFUNCTION("""COMPUTED_VALUE"""),"Нет")</f>
        <v>Нет</v>
      </c>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row>
    <row r="239">
      <c r="A239" s="197" t="str">
        <f>IFERROR(__xludf.DUMMYFUNCTION("""COMPUTED_VALUE"""),"ООО КДС")</f>
        <v>ООО КДС</v>
      </c>
      <c r="B239" s="198">
        <f>IFERROR(__xludf.DUMMYFUNCTION("""COMPUTED_VALUE"""),0.92)</f>
        <v>0.92</v>
      </c>
      <c r="C239" s="199" t="str">
        <f>IFERROR(__xludf.DUMMYFUNCTION("""COMPUTED_VALUE"""),"Нет")</f>
        <v>Нет</v>
      </c>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row>
    <row r="240">
      <c r="A240" s="197" t="str">
        <f>IFERROR(__xludf.DUMMYFUNCTION("""COMPUTED_VALUE"""),"ООО КДС")</f>
        <v>ООО КДС</v>
      </c>
      <c r="B240" s="198">
        <f>IFERROR(__xludf.DUMMYFUNCTION("""COMPUTED_VALUE"""),0.9)</f>
        <v>0.9</v>
      </c>
      <c r="C240" s="199" t="str">
        <f>IFERROR(__xludf.DUMMYFUNCTION("""COMPUTED_VALUE"""),"Нет")</f>
        <v>Нет</v>
      </c>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row>
    <row r="241">
      <c r="A241" s="197" t="str">
        <f>IFERROR(__xludf.DUMMYFUNCTION("""COMPUTED_VALUE"""),"ООО КДС")</f>
        <v>ООО КДС</v>
      </c>
      <c r="B241" s="198">
        <f>IFERROR(__xludf.DUMMYFUNCTION("""COMPUTED_VALUE"""),0.88)</f>
        <v>0.88</v>
      </c>
      <c r="C241" s="199" t="str">
        <f>IFERROR(__xludf.DUMMYFUNCTION("""COMPUTED_VALUE"""),"Нет")</f>
        <v>Нет</v>
      </c>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row>
    <row r="242">
      <c r="A242" s="197" t="str">
        <f>IFERROR(__xludf.DUMMYFUNCTION("""COMPUTED_VALUE"""),"ООО КДС")</f>
        <v>ООО КДС</v>
      </c>
      <c r="B242" s="198">
        <f>IFERROR(__xludf.DUMMYFUNCTION("""COMPUTED_VALUE"""),0.87)</f>
        <v>0.87</v>
      </c>
      <c r="C242" s="199" t="str">
        <f>IFERROR(__xludf.DUMMYFUNCTION("""COMPUTED_VALUE"""),"Нет")</f>
        <v>Нет</v>
      </c>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row>
    <row r="243">
      <c r="A243" s="197" t="str">
        <f>IFERROR(__xludf.DUMMYFUNCTION("""COMPUTED_VALUE"""),"ООО КДС")</f>
        <v>ООО КДС</v>
      </c>
      <c r="B243" s="198">
        <f>IFERROR(__xludf.DUMMYFUNCTION("""COMPUTED_VALUE"""),0.85)</f>
        <v>0.85</v>
      </c>
      <c r="C243" s="199" t="str">
        <f>IFERROR(__xludf.DUMMYFUNCTION("""COMPUTED_VALUE"""),"Нет")</f>
        <v>Нет</v>
      </c>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row>
    <row r="244">
      <c r="A244" s="197" t="str">
        <f>IFERROR(__xludf.DUMMYFUNCTION("""COMPUTED_VALUE"""),"ООО КОСМА")</f>
        <v>ООО КОСМА</v>
      </c>
      <c r="B244" s="198">
        <f>IFERROR(__xludf.DUMMYFUNCTION("""COMPUTED_VALUE"""),1.0)</f>
        <v>1</v>
      </c>
      <c r="C244" s="199" t="str">
        <f>IFERROR(__xludf.DUMMYFUNCTION("""COMPUTED_VALUE"""),"Частично")</f>
        <v>Частично</v>
      </c>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row>
    <row r="245">
      <c r="A245" s="197" t="str">
        <f>IFERROR(__xludf.DUMMYFUNCTION("""COMPUTED_VALUE"""),"ООО КОСМА")</f>
        <v>ООО КОСМА</v>
      </c>
      <c r="B245" s="198">
        <f>IFERROR(__xludf.DUMMYFUNCTION("""COMPUTED_VALUE"""),0.95)</f>
        <v>0.95</v>
      </c>
      <c r="C245" s="199" t="str">
        <f>IFERROR(__xludf.DUMMYFUNCTION("""COMPUTED_VALUE"""),"Нет")</f>
        <v>Нет</v>
      </c>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row>
    <row r="246">
      <c r="A246" s="197" t="str">
        <f>IFERROR(__xludf.DUMMYFUNCTION("""COMPUTED_VALUE"""),"ООО КСК")</f>
        <v>ООО КСК</v>
      </c>
      <c r="B246" s="198"/>
      <c r="C246" s="199" t="str">
        <f>IFERROR(__xludf.DUMMYFUNCTION("""COMPUTED_VALUE"""),"Да")</f>
        <v>Да</v>
      </c>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row>
    <row r="247">
      <c r="A247" s="197" t="str">
        <f>IFERROR(__xludf.DUMMYFUNCTION("""COMPUTED_VALUE"""),"ООО КЭС ГРУПП")</f>
        <v>ООО КЭС ГРУПП</v>
      </c>
      <c r="B247" s="198">
        <f>IFERROR(__xludf.DUMMYFUNCTION("""COMPUTED_VALUE"""),0.3)</f>
        <v>0.3</v>
      </c>
      <c r="C247" s="199" t="str">
        <f>IFERROR(__xludf.DUMMYFUNCTION("""COMPUTED_VALUE"""),"Нет")</f>
        <v>Нет</v>
      </c>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row>
    <row r="248">
      <c r="A248" s="197" t="str">
        <f>IFERROR(__xludf.DUMMYFUNCTION("""COMPUTED_VALUE"""),"ООО ЛЕГИОНСТРОЙГРУПП")</f>
        <v>ООО ЛЕГИОНСТРОЙГРУПП</v>
      </c>
      <c r="B248" s="198">
        <f>IFERROR(__xludf.DUMMYFUNCTION("""COMPUTED_VALUE"""),0.85)</f>
        <v>0.85</v>
      </c>
      <c r="C248" s="199" t="str">
        <f>IFERROR(__xludf.DUMMYFUNCTION("""COMPUTED_VALUE"""),"Частично")</f>
        <v>Частично</v>
      </c>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row>
    <row r="249">
      <c r="A249" s="197" t="str">
        <f>IFERROR(__xludf.DUMMYFUNCTION("""COMPUTED_VALUE"""),"ООО ЛИДЕР")</f>
        <v>ООО ЛИДЕР</v>
      </c>
      <c r="B249" s="198">
        <f>IFERROR(__xludf.DUMMYFUNCTION("""COMPUTED_VALUE"""),0.67)</f>
        <v>0.67</v>
      </c>
      <c r="C249" s="199" t="str">
        <f>IFERROR(__xludf.DUMMYFUNCTION("""COMPUTED_VALUE"""),"Нет")</f>
        <v>Нет</v>
      </c>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row>
    <row r="250">
      <c r="A250" s="197" t="str">
        <f>IFERROR(__xludf.DUMMYFUNCTION("""COMPUTED_VALUE"""),"ООО ЛЭНДСТРОЙ")</f>
        <v>ООО ЛЭНДСТРОЙ</v>
      </c>
      <c r="B250" s="198"/>
      <c r="C250" s="199" t="str">
        <f>IFERROR(__xludf.DUMMYFUNCTION("""COMPUTED_VALUE"""),"Да")</f>
        <v>Да</v>
      </c>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row>
    <row r="251">
      <c r="A251" s="197" t="str">
        <f>IFERROR(__xludf.DUMMYFUNCTION("""COMPUTED_VALUE"""),"ООО М1 ГАЗЭКСПЛУАТАЦИЯ")</f>
        <v>ООО М1 ГАЗЭКСПЛУАТАЦИЯ</v>
      </c>
      <c r="B251" s="198">
        <f>IFERROR(__xludf.DUMMYFUNCTION("""COMPUTED_VALUE"""),1.0)</f>
        <v>1</v>
      </c>
      <c r="C251" s="199" t="str">
        <f>IFERROR(__xludf.DUMMYFUNCTION("""COMPUTED_VALUE"""),"Да")</f>
        <v>Да</v>
      </c>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c r="A252" s="197" t="str">
        <f>IFERROR(__xludf.DUMMYFUNCTION("""COMPUTED_VALUE"""),"ООО М1 ГАЗЭКСПЛУАТАЦИЯ")</f>
        <v>ООО М1 ГАЗЭКСПЛУАТАЦИЯ</v>
      </c>
      <c r="B252" s="198">
        <f>IFERROR(__xludf.DUMMYFUNCTION("""COMPUTED_VALUE"""),0.88)</f>
        <v>0.88</v>
      </c>
      <c r="C252" s="199" t="str">
        <f>IFERROR(__xludf.DUMMYFUNCTION("""COMPUTED_VALUE"""),"Частично")</f>
        <v>Частично</v>
      </c>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c r="A253" s="197" t="str">
        <f>IFERROR(__xludf.DUMMYFUNCTION("""COMPUTED_VALUE"""),"ООО М1 ГАЗЭКСПЛУАТАЦИЯ")</f>
        <v>ООО М1 ГАЗЭКСПЛУАТАЦИЯ</v>
      </c>
      <c r="B253" s="198">
        <f>IFERROR(__xludf.DUMMYFUNCTION("""COMPUTED_VALUE"""),0.68)</f>
        <v>0.68</v>
      </c>
      <c r="C253" s="199" t="str">
        <f>IFERROR(__xludf.DUMMYFUNCTION("""COMPUTED_VALUE"""),"Нет")</f>
        <v>Нет</v>
      </c>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c r="A254" s="197" t="str">
        <f>IFERROR(__xludf.DUMMYFUNCTION("""COMPUTED_VALUE"""),"ООО М1 ГАЗЭКСПЛУАТАЦИЯ")</f>
        <v>ООО М1 ГАЗЭКСПЛУАТАЦИЯ</v>
      </c>
      <c r="B254" s="198"/>
      <c r="C254" s="199" t="str">
        <f>IFERROR(__xludf.DUMMYFUNCTION("""COMPUTED_VALUE"""),"Да")</f>
        <v>Да</v>
      </c>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c r="A255" s="197" t="str">
        <f>IFERROR(__xludf.DUMMYFUNCTION("""COMPUTED_VALUE"""),"ООО М1 ГАЗЭКСПЛУАТАЦИЯ")</f>
        <v>ООО М1 ГАЗЭКСПЛУАТАЦИЯ</v>
      </c>
      <c r="B255" s="198"/>
      <c r="C255" s="199" t="str">
        <f>IFERROR(__xludf.DUMMYFUNCTION("""COMPUTED_VALUE"""),"Да")</f>
        <v>Да</v>
      </c>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c r="A256" s="197" t="str">
        <f>IFERROR(__xludf.DUMMYFUNCTION("""COMPUTED_VALUE"""),"ООО М1 ГАЗЭКСПЛУАТАЦИЯ")</f>
        <v>ООО М1 ГАЗЭКСПЛУАТАЦИЯ</v>
      </c>
      <c r="B256" s="198"/>
      <c r="C256" s="199" t="str">
        <f>IFERROR(__xludf.DUMMYFUNCTION("""COMPUTED_VALUE"""),"Да")</f>
        <v>Да</v>
      </c>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c r="A257" s="197" t="str">
        <f>IFERROR(__xludf.DUMMYFUNCTION("""COMPUTED_VALUE"""),"ООО М1 ГАЗЭКСПЛУАТАЦИЯ")</f>
        <v>ООО М1 ГАЗЭКСПЛУАТАЦИЯ</v>
      </c>
      <c r="B257" s="198"/>
      <c r="C257" s="199" t="str">
        <f>IFERROR(__xludf.DUMMYFUNCTION("""COMPUTED_VALUE"""),"Да")</f>
        <v>Да</v>
      </c>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row>
    <row r="258">
      <c r="A258" s="197" t="str">
        <f>IFERROR(__xludf.DUMMYFUNCTION("""COMPUTED_VALUE"""),"ООО МЕГАПОЛИС")</f>
        <v>ООО МЕГАПОЛИС</v>
      </c>
      <c r="B258" s="198">
        <f>IFERROR(__xludf.DUMMYFUNCTION("""COMPUTED_VALUE"""),0.89)</f>
        <v>0.89</v>
      </c>
      <c r="C258" s="199" t="str">
        <f>IFERROR(__xludf.DUMMYFUNCTION("""COMPUTED_VALUE"""),"Нет")</f>
        <v>Нет</v>
      </c>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row>
    <row r="259">
      <c r="A259" s="197" t="str">
        <f>IFERROR(__xludf.DUMMYFUNCTION("""COMPUTED_VALUE"""),"ООО МИРАСТРОЙ")</f>
        <v>ООО МИРАСТРОЙ</v>
      </c>
      <c r="B259" s="198"/>
      <c r="C259" s="199" t="str">
        <f>IFERROR(__xludf.DUMMYFUNCTION("""COMPUTED_VALUE"""),"Да")</f>
        <v>Да</v>
      </c>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row>
    <row r="260">
      <c r="A260" s="197" t="str">
        <f>IFERROR(__xludf.DUMMYFUNCTION("""COMPUTED_VALUE"""),"ООО МКСМ")</f>
        <v>ООО МКСМ</v>
      </c>
      <c r="B260" s="198">
        <f>IFERROR(__xludf.DUMMYFUNCTION("""COMPUTED_VALUE"""),0.43)</f>
        <v>0.43</v>
      </c>
      <c r="C260" s="199" t="str">
        <f>IFERROR(__xludf.DUMMYFUNCTION("""COMPUTED_VALUE"""),"Частично")</f>
        <v>Частично</v>
      </c>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row>
    <row r="261">
      <c r="A261" s="197" t="str">
        <f>IFERROR(__xludf.DUMMYFUNCTION("""COMPUTED_VALUE"""),"ООО МОИК")</f>
        <v>ООО МОИК</v>
      </c>
      <c r="B261" s="198">
        <f>IFERROR(__xludf.DUMMYFUNCTION("""COMPUTED_VALUE"""),1.0)</f>
        <v>1</v>
      </c>
      <c r="C261" s="199" t="str">
        <f>IFERROR(__xludf.DUMMYFUNCTION("""COMPUTED_VALUE"""),"Да")</f>
        <v>Да</v>
      </c>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row>
    <row r="262">
      <c r="A262" s="197" t="str">
        <f>IFERROR(__xludf.DUMMYFUNCTION("""COMPUTED_VALUE"""),"ООО МОИК")</f>
        <v>ООО МОИК</v>
      </c>
      <c r="B262" s="198">
        <f>IFERROR(__xludf.DUMMYFUNCTION("""COMPUTED_VALUE"""),0.98)</f>
        <v>0.98</v>
      </c>
      <c r="C262" s="199" t="str">
        <f>IFERROR(__xludf.DUMMYFUNCTION("""COMPUTED_VALUE"""),"Частично")</f>
        <v>Частично</v>
      </c>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row>
    <row r="263">
      <c r="A263" s="197" t="str">
        <f>IFERROR(__xludf.DUMMYFUNCTION("""COMPUTED_VALUE"""),"ООО МОИК")</f>
        <v>ООО МОИК</v>
      </c>
      <c r="B263" s="198">
        <f>IFERROR(__xludf.DUMMYFUNCTION("""COMPUTED_VALUE"""),0.96)</f>
        <v>0.96</v>
      </c>
      <c r="C263" s="199" t="str">
        <f>IFERROR(__xludf.DUMMYFUNCTION("""COMPUTED_VALUE"""),"Частично")</f>
        <v>Частично</v>
      </c>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row>
    <row r="264">
      <c r="A264" s="197" t="str">
        <f>IFERROR(__xludf.DUMMYFUNCTION("""COMPUTED_VALUE"""),"ООО МОИК")</f>
        <v>ООО МОИК</v>
      </c>
      <c r="B264" s="198">
        <f>IFERROR(__xludf.DUMMYFUNCTION("""COMPUTED_VALUE"""),0.95)</f>
        <v>0.95</v>
      </c>
      <c r="C264" s="199" t="str">
        <f>IFERROR(__xludf.DUMMYFUNCTION("""COMPUTED_VALUE"""),"Частично")</f>
        <v>Частично</v>
      </c>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row>
    <row r="265">
      <c r="A265" s="197" t="str">
        <f>IFERROR(__xludf.DUMMYFUNCTION("""COMPUTED_VALUE"""),"ООО МОИК")</f>
        <v>ООО МОИК</v>
      </c>
      <c r="B265" s="198">
        <f>IFERROR(__xludf.DUMMYFUNCTION("""COMPUTED_VALUE"""),0.92)</f>
        <v>0.92</v>
      </c>
      <c r="C265" s="199" t="str">
        <f>IFERROR(__xludf.DUMMYFUNCTION("""COMPUTED_VALUE"""),"Частично")</f>
        <v>Частично</v>
      </c>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row>
    <row r="266">
      <c r="A266" s="197" t="str">
        <f>IFERROR(__xludf.DUMMYFUNCTION("""COMPUTED_VALUE"""),"ООО МОНТАЖ")</f>
        <v>ООО МОНТАЖ</v>
      </c>
      <c r="B266" s="198">
        <f>IFERROR(__xludf.DUMMYFUNCTION("""COMPUTED_VALUE"""),0.68)</f>
        <v>0.68</v>
      </c>
      <c r="C266" s="199" t="str">
        <f>IFERROR(__xludf.DUMMYFUNCTION("""COMPUTED_VALUE"""),"Частично")</f>
        <v>Частично</v>
      </c>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row>
    <row r="267">
      <c r="A267" s="197" t="str">
        <f>IFERROR(__xludf.DUMMYFUNCTION("""COMPUTED_VALUE"""),"ООО МОСПРОЕКТ")</f>
        <v>ООО МОСПРОЕКТ</v>
      </c>
      <c r="B267" s="198"/>
      <c r="C267" s="199" t="str">
        <f>IFERROR(__xludf.DUMMYFUNCTION("""COMPUTED_VALUE"""),"Да")</f>
        <v>Да</v>
      </c>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row>
    <row r="268">
      <c r="A268" s="197" t="str">
        <f>IFERROR(__xludf.DUMMYFUNCTION("""COMPUTED_VALUE"""),"ООО МТ-ПРОЕКТ")</f>
        <v>ООО МТ-ПРОЕКТ</v>
      </c>
      <c r="B268" s="198"/>
      <c r="C268" s="199" t="str">
        <f>IFERROR(__xludf.DUMMYFUNCTION("""COMPUTED_VALUE"""),"Да")</f>
        <v>Да</v>
      </c>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row>
    <row r="269">
      <c r="A269" s="197" t="str">
        <f>IFERROR(__xludf.DUMMYFUNCTION("""COMPUTED_VALUE"""),"ООО НИЛ")</f>
        <v>ООО НИЛ</v>
      </c>
      <c r="B269" s="198"/>
      <c r="C269" s="199" t="str">
        <f>IFERROR(__xludf.DUMMYFUNCTION("""COMPUTED_VALUE"""),"Да")</f>
        <v>Да</v>
      </c>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row>
    <row r="270">
      <c r="A270" s="197" t="str">
        <f>IFERROR(__xludf.DUMMYFUNCTION("""COMPUTED_VALUE"""),"ООО ОПТИМГРУПП")</f>
        <v>ООО ОПТИМГРУПП</v>
      </c>
      <c r="B270" s="198">
        <f>IFERROR(__xludf.DUMMYFUNCTION("""COMPUTED_VALUE"""),0.9)</f>
        <v>0.9</v>
      </c>
      <c r="C270" s="199" t="str">
        <f>IFERROR(__xludf.DUMMYFUNCTION("""COMPUTED_VALUE"""),"Нет")</f>
        <v>Нет</v>
      </c>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row>
    <row r="271">
      <c r="A271" s="197" t="str">
        <f>IFERROR(__xludf.DUMMYFUNCTION("""COMPUTED_VALUE"""),"ООО ОПТИМГРУПП")</f>
        <v>ООО ОПТИМГРУПП</v>
      </c>
      <c r="B271" s="198"/>
      <c r="C271" s="199" t="str">
        <f>IFERROR(__xludf.DUMMYFUNCTION("""COMPUTED_VALUE"""),"Да")</f>
        <v>Да</v>
      </c>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row>
    <row r="272">
      <c r="A272" s="197" t="str">
        <f>IFERROR(__xludf.DUMMYFUNCTION("""COMPUTED_VALUE"""),"ООО ОПУСГРУПП")</f>
        <v>ООО ОПУСГРУПП</v>
      </c>
      <c r="B272" s="198">
        <f>IFERROR(__xludf.DUMMYFUNCTION("""COMPUTED_VALUE"""),0.99)</f>
        <v>0.99</v>
      </c>
      <c r="C272" s="199" t="str">
        <f>IFERROR(__xludf.DUMMYFUNCTION("""COMPUTED_VALUE"""),"Нет")</f>
        <v>Нет</v>
      </c>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row>
    <row r="273">
      <c r="A273" s="197" t="str">
        <f>IFERROR(__xludf.DUMMYFUNCTION("""COMPUTED_VALUE"""),"ООО ПГК МСК")</f>
        <v>ООО ПГК МСК</v>
      </c>
      <c r="B273" s="198">
        <f>IFERROR(__xludf.DUMMYFUNCTION("""COMPUTED_VALUE"""),0.98)</f>
        <v>0.98</v>
      </c>
      <c r="C273" s="199" t="str">
        <f>IFERROR(__xludf.DUMMYFUNCTION("""COMPUTED_VALUE"""),"Нет")</f>
        <v>Нет</v>
      </c>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row>
    <row r="274">
      <c r="A274" s="197" t="str">
        <f>IFERROR(__xludf.DUMMYFUNCTION("""COMPUTED_VALUE"""),"ООО ПГК МСК")</f>
        <v>ООО ПГК МСК</v>
      </c>
      <c r="B274" s="198"/>
      <c r="C274" s="199" t="str">
        <f>IFERROR(__xludf.DUMMYFUNCTION("""COMPUTED_VALUE"""),"Да")</f>
        <v>Да</v>
      </c>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row>
    <row r="275">
      <c r="A275" s="197" t="str">
        <f>IFERROR(__xludf.DUMMYFUNCTION("""COMPUTED_VALUE"""),"ООО ПКФ ЭНЕРГОСТРОЙ")</f>
        <v>ООО ПКФ ЭНЕРГОСТРОЙ</v>
      </c>
      <c r="B275" s="198">
        <f>IFERROR(__xludf.DUMMYFUNCTION("""COMPUTED_VALUE"""),1.0)</f>
        <v>1</v>
      </c>
      <c r="C275" s="199" t="str">
        <f>IFERROR(__xludf.DUMMYFUNCTION("""COMPUTED_VALUE"""),"Да")</f>
        <v>Да</v>
      </c>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row>
    <row r="276">
      <c r="A276" s="197" t="str">
        <f>IFERROR(__xludf.DUMMYFUNCTION("""COMPUTED_VALUE"""),"ООО ПКФ ЭНЕРГОСТРОЙ")</f>
        <v>ООО ПКФ ЭНЕРГОСТРОЙ</v>
      </c>
      <c r="B276" s="198"/>
      <c r="C276" s="199" t="str">
        <f>IFERROR(__xludf.DUMMYFUNCTION("""COMPUTED_VALUE"""),"Да")</f>
        <v>Да</v>
      </c>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row>
    <row r="277">
      <c r="A277" s="197" t="str">
        <f>IFERROR(__xludf.DUMMYFUNCTION("""COMPUTED_VALUE"""),"ООО ПРОМИНЖИНИРИНГ")</f>
        <v>ООО ПРОМИНЖИНИРИНГ</v>
      </c>
      <c r="B277" s="198">
        <f>IFERROR(__xludf.DUMMYFUNCTION("""COMPUTED_VALUE"""),0.98)</f>
        <v>0.98</v>
      </c>
      <c r="C277" s="199" t="str">
        <f>IFERROR(__xludf.DUMMYFUNCTION("""COMPUTED_VALUE"""),"Частично")</f>
        <v>Частично</v>
      </c>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row>
    <row r="278">
      <c r="A278" s="197" t="str">
        <f>IFERROR(__xludf.DUMMYFUNCTION("""COMPUTED_VALUE"""),"ООО ПРОМИНЖИНИРИНГ")</f>
        <v>ООО ПРОМИНЖИНИРИНГ</v>
      </c>
      <c r="B278" s="198">
        <f>IFERROR(__xludf.DUMMYFUNCTION("""COMPUTED_VALUE"""),0.95)</f>
        <v>0.95</v>
      </c>
      <c r="C278" s="199" t="str">
        <f>IFERROR(__xludf.DUMMYFUNCTION("""COMPUTED_VALUE"""),"Частично")</f>
        <v>Частично</v>
      </c>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row>
    <row r="279">
      <c r="A279" s="197" t="str">
        <f>IFERROR(__xludf.DUMMYFUNCTION("""COMPUTED_VALUE"""),"ООО ПРОМСТРОЙЭКСПЕРТИЗА")</f>
        <v>ООО ПРОМСТРОЙЭКСПЕРТИЗА</v>
      </c>
      <c r="B279" s="198"/>
      <c r="C279" s="199" t="str">
        <f>IFERROR(__xludf.DUMMYFUNCTION("""COMPUTED_VALUE"""),"Нет")</f>
        <v>Нет</v>
      </c>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row>
    <row r="280">
      <c r="A280" s="197" t="str">
        <f>IFERROR(__xludf.DUMMYFUNCTION("""COMPUTED_VALUE"""),"ООО ПРОФИСТРОЙ")</f>
        <v>ООО ПРОФИСТРОЙ</v>
      </c>
      <c r="B280" s="198">
        <f>IFERROR(__xludf.DUMMYFUNCTION("""COMPUTED_VALUE"""),0.56)</f>
        <v>0.56</v>
      </c>
      <c r="C280" s="199" t="str">
        <f>IFERROR(__xludf.DUMMYFUNCTION("""COMPUTED_VALUE"""),"Частично")</f>
        <v>Частично</v>
      </c>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row>
    <row r="281">
      <c r="A281" s="197" t="str">
        <f>IFERROR(__xludf.DUMMYFUNCTION("""COMPUTED_VALUE"""),"ООО ПСК-71")</f>
        <v>ООО ПСК-71</v>
      </c>
      <c r="B281" s="198"/>
      <c r="C281" s="199" t="str">
        <f>IFERROR(__xludf.DUMMYFUNCTION("""COMPUTED_VALUE"""),"Нет")</f>
        <v>Нет</v>
      </c>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row>
    <row r="282">
      <c r="A282" s="197" t="str">
        <f>IFERROR(__xludf.DUMMYFUNCTION("""COMPUTED_VALUE"""),"ООО ПСК-71")</f>
        <v>ООО ПСК-71</v>
      </c>
      <c r="B282" s="198"/>
      <c r="C282" s="199" t="str">
        <f>IFERROR(__xludf.DUMMYFUNCTION("""COMPUTED_VALUE"""),"Да")</f>
        <v>Да</v>
      </c>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row>
    <row r="283">
      <c r="A283" s="197" t="str">
        <f>IFERROR(__xludf.DUMMYFUNCTION("""COMPUTED_VALUE"""),"ООО ПСК-71")</f>
        <v>ООО ПСК-71</v>
      </c>
      <c r="B283" s="198"/>
      <c r="C283" s="199" t="str">
        <f>IFERROR(__xludf.DUMMYFUNCTION("""COMPUTED_VALUE"""),"Да")</f>
        <v>Да</v>
      </c>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row>
    <row r="284">
      <c r="A284" s="197" t="str">
        <f>IFERROR(__xludf.DUMMYFUNCTION("""COMPUTED_VALUE"""),"ООО ПСК-71")</f>
        <v>ООО ПСК-71</v>
      </c>
      <c r="B284" s="198"/>
      <c r="C284" s="199" t="str">
        <f>IFERROR(__xludf.DUMMYFUNCTION("""COMPUTED_VALUE"""),"Да")</f>
        <v>Да</v>
      </c>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row>
    <row r="285">
      <c r="A285" s="197" t="str">
        <f>IFERROR(__xludf.DUMMYFUNCTION("""COMPUTED_VALUE"""),"ООО ПСК-71")</f>
        <v>ООО ПСК-71</v>
      </c>
      <c r="B285" s="198"/>
      <c r="C285" s="199" t="str">
        <f>IFERROR(__xludf.DUMMYFUNCTION("""COMPUTED_VALUE"""),"Да")</f>
        <v>Да</v>
      </c>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row>
    <row r="286">
      <c r="A286" s="197" t="str">
        <f>IFERROR(__xludf.DUMMYFUNCTION("""COMPUTED_VALUE"""),"ООО ПСМ")</f>
        <v>ООО ПСМ</v>
      </c>
      <c r="B286" s="198">
        <f>IFERROR(__xludf.DUMMYFUNCTION("""COMPUTED_VALUE"""),1.0)</f>
        <v>1</v>
      </c>
      <c r="C286" s="199" t="str">
        <f>IFERROR(__xludf.DUMMYFUNCTION("""COMPUTED_VALUE"""),"Частично")</f>
        <v>Частично</v>
      </c>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row>
    <row r="287">
      <c r="A287" s="197" t="str">
        <f>IFERROR(__xludf.DUMMYFUNCTION("""COMPUTED_VALUE"""),"ООО ПСМ")</f>
        <v>ООО ПСМ</v>
      </c>
      <c r="B287" s="198">
        <f>IFERROR(__xludf.DUMMYFUNCTION("""COMPUTED_VALUE"""),1.0)</f>
        <v>1</v>
      </c>
      <c r="C287" s="199" t="str">
        <f>IFERROR(__xludf.DUMMYFUNCTION("""COMPUTED_VALUE"""),"Да")</f>
        <v>Да</v>
      </c>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row>
    <row r="288">
      <c r="A288" s="197" t="str">
        <f>IFERROR(__xludf.DUMMYFUNCTION("""COMPUTED_VALUE"""),"ООО ПСМ")</f>
        <v>ООО ПСМ</v>
      </c>
      <c r="B288" s="198">
        <f>IFERROR(__xludf.DUMMYFUNCTION("""COMPUTED_VALUE"""),1.0)</f>
        <v>1</v>
      </c>
      <c r="C288" s="199" t="str">
        <f>IFERROR(__xludf.DUMMYFUNCTION("""COMPUTED_VALUE"""),"Да")</f>
        <v>Да</v>
      </c>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row>
    <row r="289">
      <c r="A289" s="197" t="str">
        <f>IFERROR(__xludf.DUMMYFUNCTION("""COMPUTED_VALUE"""),"ООО ПСМ")</f>
        <v>ООО ПСМ</v>
      </c>
      <c r="B289" s="198">
        <f>IFERROR(__xludf.DUMMYFUNCTION("""COMPUTED_VALUE"""),1.0)</f>
        <v>1</v>
      </c>
      <c r="C289" s="199" t="str">
        <f>IFERROR(__xludf.DUMMYFUNCTION("""COMPUTED_VALUE"""),"Да")</f>
        <v>Да</v>
      </c>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row>
    <row r="290">
      <c r="A290" s="197" t="str">
        <f>IFERROR(__xludf.DUMMYFUNCTION("""COMPUTED_VALUE"""),"ООО ПСМ")</f>
        <v>ООО ПСМ</v>
      </c>
      <c r="B290" s="198">
        <f>IFERROR(__xludf.DUMMYFUNCTION("""COMPUTED_VALUE"""),1.0)</f>
        <v>1</v>
      </c>
      <c r="C290" s="199" t="str">
        <f>IFERROR(__xludf.DUMMYFUNCTION("""COMPUTED_VALUE"""),"Да")</f>
        <v>Да</v>
      </c>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row>
    <row r="291">
      <c r="A291" s="197" t="str">
        <f>IFERROR(__xludf.DUMMYFUNCTION("""COMPUTED_VALUE"""),"ООО ПСМ")</f>
        <v>ООО ПСМ</v>
      </c>
      <c r="B291" s="198">
        <f>IFERROR(__xludf.DUMMYFUNCTION("""COMPUTED_VALUE"""),1.0)</f>
        <v>1</v>
      </c>
      <c r="C291" s="199" t="str">
        <f>IFERROR(__xludf.DUMMYFUNCTION("""COMPUTED_VALUE"""),"Да")</f>
        <v>Да</v>
      </c>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row>
    <row r="292">
      <c r="A292" s="197" t="str">
        <f>IFERROR(__xludf.DUMMYFUNCTION("""COMPUTED_VALUE"""),"ООО ПСМ")</f>
        <v>ООО ПСМ</v>
      </c>
      <c r="B292" s="198">
        <f>IFERROR(__xludf.DUMMYFUNCTION("""COMPUTED_VALUE"""),1.0)</f>
        <v>1</v>
      </c>
      <c r="C292" s="199" t="str">
        <f>IFERROR(__xludf.DUMMYFUNCTION("""COMPUTED_VALUE"""),"Да")</f>
        <v>Да</v>
      </c>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row>
    <row r="293">
      <c r="A293" s="197" t="str">
        <f>IFERROR(__xludf.DUMMYFUNCTION("""COMPUTED_VALUE"""),"ООО ПСМ")</f>
        <v>ООО ПСМ</v>
      </c>
      <c r="B293" s="198">
        <f>IFERROR(__xludf.DUMMYFUNCTION("""COMPUTED_VALUE"""),1.0)</f>
        <v>1</v>
      </c>
      <c r="C293" s="199" t="str">
        <f>IFERROR(__xludf.DUMMYFUNCTION("""COMPUTED_VALUE"""),"Да")</f>
        <v>Да</v>
      </c>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row>
    <row r="294">
      <c r="A294" s="197" t="str">
        <f>IFERROR(__xludf.DUMMYFUNCTION("""COMPUTED_VALUE"""),"ООО ПСМ")</f>
        <v>ООО ПСМ</v>
      </c>
      <c r="B294" s="198">
        <f>IFERROR(__xludf.DUMMYFUNCTION("""COMPUTED_VALUE"""),1.0)</f>
        <v>1</v>
      </c>
      <c r="C294" s="199" t="str">
        <f>IFERROR(__xludf.DUMMYFUNCTION("""COMPUTED_VALUE"""),"Да")</f>
        <v>Да</v>
      </c>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row>
    <row r="295">
      <c r="A295" s="197" t="str">
        <f>IFERROR(__xludf.DUMMYFUNCTION("""COMPUTED_VALUE"""),"ООО ПСМ")</f>
        <v>ООО ПСМ</v>
      </c>
      <c r="B295" s="198">
        <f>IFERROR(__xludf.DUMMYFUNCTION("""COMPUTED_VALUE"""),1.0)</f>
        <v>1</v>
      </c>
      <c r="C295" s="199" t="str">
        <f>IFERROR(__xludf.DUMMYFUNCTION("""COMPUTED_VALUE"""),"Частично")</f>
        <v>Частично</v>
      </c>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row>
    <row r="296">
      <c r="A296" s="197" t="str">
        <f>IFERROR(__xludf.DUMMYFUNCTION("""COMPUTED_VALUE"""),"ООО ПСМ")</f>
        <v>ООО ПСМ</v>
      </c>
      <c r="B296" s="198">
        <f>IFERROR(__xludf.DUMMYFUNCTION("""COMPUTED_VALUE"""),1.0)</f>
        <v>1</v>
      </c>
      <c r="C296" s="199" t="str">
        <f>IFERROR(__xludf.DUMMYFUNCTION("""COMPUTED_VALUE"""),"Частично")</f>
        <v>Частично</v>
      </c>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row>
    <row r="297">
      <c r="A297" s="197" t="str">
        <f>IFERROR(__xludf.DUMMYFUNCTION("""COMPUTED_VALUE"""),"ООО ПСМ")</f>
        <v>ООО ПСМ</v>
      </c>
      <c r="B297" s="198">
        <f>IFERROR(__xludf.DUMMYFUNCTION("""COMPUTED_VALUE"""),1.0)</f>
        <v>1</v>
      </c>
      <c r="C297" s="199" t="str">
        <f>IFERROR(__xludf.DUMMYFUNCTION("""COMPUTED_VALUE"""),"Частично")</f>
        <v>Частично</v>
      </c>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row>
    <row r="298">
      <c r="A298" s="197" t="str">
        <f>IFERROR(__xludf.DUMMYFUNCTION("""COMPUTED_VALUE"""),"ООО ПСМ")</f>
        <v>ООО ПСМ</v>
      </c>
      <c r="B298" s="198">
        <f>IFERROR(__xludf.DUMMYFUNCTION("""COMPUTED_VALUE"""),0.99)</f>
        <v>0.99</v>
      </c>
      <c r="C298" s="199" t="str">
        <f>IFERROR(__xludf.DUMMYFUNCTION("""COMPUTED_VALUE"""),"Да")</f>
        <v>Да</v>
      </c>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row>
    <row r="299">
      <c r="A299" s="197" t="str">
        <f>IFERROR(__xludf.DUMMYFUNCTION("""COMPUTED_VALUE"""),"ООО ПСМ")</f>
        <v>ООО ПСМ</v>
      </c>
      <c r="B299" s="198">
        <f>IFERROR(__xludf.DUMMYFUNCTION("""COMPUTED_VALUE"""),0.99)</f>
        <v>0.99</v>
      </c>
      <c r="C299" s="199" t="str">
        <f>IFERROR(__xludf.DUMMYFUNCTION("""COMPUTED_VALUE"""),"Да")</f>
        <v>Да</v>
      </c>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row>
    <row r="300">
      <c r="A300" s="197" t="str">
        <f>IFERROR(__xludf.DUMMYFUNCTION("""COMPUTED_VALUE"""),"ООО ПСМ")</f>
        <v>ООО ПСМ</v>
      </c>
      <c r="B300" s="198">
        <f>IFERROR(__xludf.DUMMYFUNCTION("""COMPUTED_VALUE"""),0.99)</f>
        <v>0.99</v>
      </c>
      <c r="C300" s="199" t="str">
        <f>IFERROR(__xludf.DUMMYFUNCTION("""COMPUTED_VALUE"""),"Частично")</f>
        <v>Частично</v>
      </c>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row>
    <row r="301">
      <c r="A301" s="197" t="str">
        <f>IFERROR(__xludf.DUMMYFUNCTION("""COMPUTED_VALUE"""),"ООО ПСМ")</f>
        <v>ООО ПСМ</v>
      </c>
      <c r="B301" s="198">
        <f>IFERROR(__xludf.DUMMYFUNCTION("""COMPUTED_VALUE"""),0.98)</f>
        <v>0.98</v>
      </c>
      <c r="C301" s="199" t="str">
        <f>IFERROR(__xludf.DUMMYFUNCTION("""COMPUTED_VALUE"""),"Частично")</f>
        <v>Частично</v>
      </c>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row>
    <row r="302">
      <c r="A302" s="197" t="str">
        <f>IFERROR(__xludf.DUMMYFUNCTION("""COMPUTED_VALUE"""),"ООО ПСМ")</f>
        <v>ООО ПСМ</v>
      </c>
      <c r="B302" s="198">
        <f>IFERROR(__xludf.DUMMYFUNCTION("""COMPUTED_VALUE"""),0.98)</f>
        <v>0.98</v>
      </c>
      <c r="C302" s="199" t="str">
        <f>IFERROR(__xludf.DUMMYFUNCTION("""COMPUTED_VALUE"""),"Частично")</f>
        <v>Частично</v>
      </c>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row>
    <row r="303">
      <c r="A303" s="197" t="str">
        <f>IFERROR(__xludf.DUMMYFUNCTION("""COMPUTED_VALUE"""),"ООО ПСМ")</f>
        <v>ООО ПСМ</v>
      </c>
      <c r="B303" s="198">
        <f>IFERROR(__xludf.DUMMYFUNCTION("""COMPUTED_VALUE"""),0.98)</f>
        <v>0.98</v>
      </c>
      <c r="C303" s="199" t="str">
        <f>IFERROR(__xludf.DUMMYFUNCTION("""COMPUTED_VALUE"""),"Частично")</f>
        <v>Частично</v>
      </c>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row>
    <row r="304">
      <c r="A304" s="197" t="str">
        <f>IFERROR(__xludf.DUMMYFUNCTION("""COMPUTED_VALUE"""),"ООО ПСМ")</f>
        <v>ООО ПСМ</v>
      </c>
      <c r="B304" s="198">
        <f>IFERROR(__xludf.DUMMYFUNCTION("""COMPUTED_VALUE"""),0.97)</f>
        <v>0.97</v>
      </c>
      <c r="C304" s="199" t="str">
        <f>IFERROR(__xludf.DUMMYFUNCTION("""COMPUTED_VALUE"""),"Да")</f>
        <v>Да</v>
      </c>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row>
    <row r="305">
      <c r="A305" s="197" t="str">
        <f>IFERROR(__xludf.DUMMYFUNCTION("""COMPUTED_VALUE"""),"ООО ПСМ")</f>
        <v>ООО ПСМ</v>
      </c>
      <c r="B305" s="198">
        <f>IFERROR(__xludf.DUMMYFUNCTION("""COMPUTED_VALUE"""),0.97)</f>
        <v>0.97</v>
      </c>
      <c r="C305" s="199" t="str">
        <f>IFERROR(__xludf.DUMMYFUNCTION("""COMPUTED_VALUE"""),"Да")</f>
        <v>Да</v>
      </c>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row>
    <row r="306">
      <c r="A306" s="197" t="str">
        <f>IFERROR(__xludf.DUMMYFUNCTION("""COMPUTED_VALUE"""),"ООО ПСМ")</f>
        <v>ООО ПСМ</v>
      </c>
      <c r="B306" s="198">
        <f>IFERROR(__xludf.DUMMYFUNCTION("""COMPUTED_VALUE"""),0.97)</f>
        <v>0.97</v>
      </c>
      <c r="C306" s="199" t="str">
        <f>IFERROR(__xludf.DUMMYFUNCTION("""COMPUTED_VALUE"""),"Да")</f>
        <v>Да</v>
      </c>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row>
    <row r="307">
      <c r="A307" s="197" t="str">
        <f>IFERROR(__xludf.DUMMYFUNCTION("""COMPUTED_VALUE"""),"ООО ПСМ")</f>
        <v>ООО ПСМ</v>
      </c>
      <c r="B307" s="198">
        <f>IFERROR(__xludf.DUMMYFUNCTION("""COMPUTED_VALUE"""),0.97)</f>
        <v>0.97</v>
      </c>
      <c r="C307" s="199" t="str">
        <f>IFERROR(__xludf.DUMMYFUNCTION("""COMPUTED_VALUE"""),"Да")</f>
        <v>Да</v>
      </c>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row>
    <row r="308">
      <c r="A308" s="197" t="str">
        <f>IFERROR(__xludf.DUMMYFUNCTION("""COMPUTED_VALUE"""),"ООО ПСМ")</f>
        <v>ООО ПСМ</v>
      </c>
      <c r="B308" s="198">
        <f>IFERROR(__xludf.DUMMYFUNCTION("""COMPUTED_VALUE"""),0.97)</f>
        <v>0.97</v>
      </c>
      <c r="C308" s="199" t="str">
        <f>IFERROR(__xludf.DUMMYFUNCTION("""COMPUTED_VALUE"""),"Частично")</f>
        <v>Частично</v>
      </c>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row>
    <row r="309">
      <c r="A309" s="197" t="str">
        <f>IFERROR(__xludf.DUMMYFUNCTION("""COMPUTED_VALUE"""),"ООО ПСМ")</f>
        <v>ООО ПСМ</v>
      </c>
      <c r="B309" s="198">
        <f>IFERROR(__xludf.DUMMYFUNCTION("""COMPUTED_VALUE"""),0.97)</f>
        <v>0.97</v>
      </c>
      <c r="C309" s="199" t="str">
        <f>IFERROR(__xludf.DUMMYFUNCTION("""COMPUTED_VALUE"""),"Частично")</f>
        <v>Частично</v>
      </c>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row>
    <row r="310">
      <c r="A310" s="197" t="str">
        <f>IFERROR(__xludf.DUMMYFUNCTION("""COMPUTED_VALUE"""),"ООО ПСМ")</f>
        <v>ООО ПСМ</v>
      </c>
      <c r="B310" s="198">
        <f>IFERROR(__xludf.DUMMYFUNCTION("""COMPUTED_VALUE"""),0.97)</f>
        <v>0.97</v>
      </c>
      <c r="C310" s="199" t="str">
        <f>IFERROR(__xludf.DUMMYFUNCTION("""COMPUTED_VALUE"""),"Частично")</f>
        <v>Частично</v>
      </c>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row>
    <row r="311">
      <c r="A311" s="197" t="str">
        <f>IFERROR(__xludf.DUMMYFUNCTION("""COMPUTED_VALUE"""),"ООО ПСМ")</f>
        <v>ООО ПСМ</v>
      </c>
      <c r="B311" s="198">
        <f>IFERROR(__xludf.DUMMYFUNCTION("""COMPUTED_VALUE"""),0.89)</f>
        <v>0.89</v>
      </c>
      <c r="C311" s="199" t="str">
        <f>IFERROR(__xludf.DUMMYFUNCTION("""COMPUTED_VALUE"""),"Да")</f>
        <v>Да</v>
      </c>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row>
    <row r="312">
      <c r="A312" s="197" t="str">
        <f>IFERROR(__xludf.DUMMYFUNCTION("""COMPUTED_VALUE"""),"ООО ПСМ")</f>
        <v>ООО ПСМ</v>
      </c>
      <c r="B312" s="198">
        <f>IFERROR(__xludf.DUMMYFUNCTION("""COMPUTED_VALUE"""),0.89)</f>
        <v>0.89</v>
      </c>
      <c r="C312" s="199" t="str">
        <f>IFERROR(__xludf.DUMMYFUNCTION("""COMPUTED_VALUE"""),"Да")</f>
        <v>Да</v>
      </c>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row>
    <row r="313">
      <c r="A313" s="197" t="str">
        <f>IFERROR(__xludf.DUMMYFUNCTION("""COMPUTED_VALUE"""),"ООО ПСМ")</f>
        <v>ООО ПСМ</v>
      </c>
      <c r="B313" s="198">
        <f>IFERROR(__xludf.DUMMYFUNCTION("""COMPUTED_VALUE"""),0.87)</f>
        <v>0.87</v>
      </c>
      <c r="C313" s="199" t="str">
        <f>IFERROR(__xludf.DUMMYFUNCTION("""COMPUTED_VALUE"""),"Да")</f>
        <v>Да</v>
      </c>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row>
    <row r="314">
      <c r="A314" s="197" t="str">
        <f>IFERROR(__xludf.DUMMYFUNCTION("""COMPUTED_VALUE"""),"ООО ПСМ")</f>
        <v>ООО ПСМ</v>
      </c>
      <c r="B314" s="198">
        <f>IFERROR(__xludf.DUMMYFUNCTION("""COMPUTED_VALUE"""),0.62)</f>
        <v>0.62</v>
      </c>
      <c r="C314" s="199" t="str">
        <f>IFERROR(__xludf.DUMMYFUNCTION("""COMPUTED_VALUE"""),"Да")</f>
        <v>Да</v>
      </c>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row>
    <row r="315">
      <c r="A315" s="197" t="str">
        <f>IFERROR(__xludf.DUMMYFUNCTION("""COMPUTED_VALUE"""),"ООО ПСМ")</f>
        <v>ООО ПСМ</v>
      </c>
      <c r="B315" s="198"/>
      <c r="C315" s="199" t="str">
        <f>IFERROR(__xludf.DUMMYFUNCTION("""COMPUTED_VALUE"""),"Да")</f>
        <v>Да</v>
      </c>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row>
    <row r="316">
      <c r="A316" s="197" t="str">
        <f>IFERROR(__xludf.DUMMYFUNCTION("""COMPUTED_VALUE"""),"ООО ПСМ")</f>
        <v>ООО ПСМ</v>
      </c>
      <c r="B316" s="198"/>
      <c r="C316" s="199" t="str">
        <f>IFERROR(__xludf.DUMMYFUNCTION("""COMPUTED_VALUE"""),"Да")</f>
        <v>Да</v>
      </c>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row>
    <row r="317">
      <c r="A317" s="197" t="str">
        <f>IFERROR(__xludf.DUMMYFUNCTION("""COMPUTED_VALUE"""),"ООО ПСМ")</f>
        <v>ООО ПСМ</v>
      </c>
      <c r="B317" s="198"/>
      <c r="C317" s="199" t="str">
        <f>IFERROR(__xludf.DUMMYFUNCTION("""COMPUTED_VALUE"""),"Да")</f>
        <v>Да</v>
      </c>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row>
    <row r="318">
      <c r="A318" s="197" t="str">
        <f>IFERROR(__xludf.DUMMYFUNCTION("""COMPUTED_VALUE"""),"ООО ПСМ")</f>
        <v>ООО ПСМ</v>
      </c>
      <c r="B318" s="198"/>
      <c r="C318" s="199" t="str">
        <f>IFERROR(__xludf.DUMMYFUNCTION("""COMPUTED_VALUE"""),"Да")</f>
        <v>Да</v>
      </c>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row>
    <row r="319">
      <c r="A319" s="197" t="str">
        <f>IFERROR(__xludf.DUMMYFUNCTION("""COMPUTED_VALUE"""),"ООО ПСМ")</f>
        <v>ООО ПСМ</v>
      </c>
      <c r="B319" s="198"/>
      <c r="C319" s="199" t="str">
        <f>IFERROR(__xludf.DUMMYFUNCTION("""COMPUTED_VALUE"""),"Да")</f>
        <v>Да</v>
      </c>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row>
    <row r="320">
      <c r="A320" s="197" t="str">
        <f>IFERROR(__xludf.DUMMYFUNCTION("""COMPUTED_VALUE"""),"ООО ПСМ")</f>
        <v>ООО ПСМ</v>
      </c>
      <c r="B320" s="198"/>
      <c r="C320" s="199" t="str">
        <f>IFERROR(__xludf.DUMMYFUNCTION("""COMPUTED_VALUE"""),"Да")</f>
        <v>Да</v>
      </c>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row>
    <row r="321">
      <c r="A321" s="197" t="str">
        <f>IFERROR(__xludf.DUMMYFUNCTION("""COMPUTED_VALUE"""),"ООО ПСМ")</f>
        <v>ООО ПСМ</v>
      </c>
      <c r="B321" s="198"/>
      <c r="C321" s="199" t="str">
        <f>IFERROR(__xludf.DUMMYFUNCTION("""COMPUTED_VALUE"""),"Да")</f>
        <v>Да</v>
      </c>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row>
    <row r="322">
      <c r="A322" s="197" t="str">
        <f>IFERROR(__xludf.DUMMYFUNCTION("""COMPUTED_VALUE"""),"ООО ПСМ")</f>
        <v>ООО ПСМ</v>
      </c>
      <c r="B322" s="198"/>
      <c r="C322" s="199" t="str">
        <f>IFERROR(__xludf.DUMMYFUNCTION("""COMPUTED_VALUE"""),"Да")</f>
        <v>Да</v>
      </c>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row>
    <row r="323">
      <c r="A323" s="197" t="str">
        <f>IFERROR(__xludf.DUMMYFUNCTION("""COMPUTED_VALUE"""),"ООО РАДУГА")</f>
        <v>ООО РАДУГА</v>
      </c>
      <c r="B323" s="198">
        <f>IFERROR(__xludf.DUMMYFUNCTION("""COMPUTED_VALUE"""),1.0)</f>
        <v>1</v>
      </c>
      <c r="C323" s="199" t="str">
        <f>IFERROR(__xludf.DUMMYFUNCTION("""COMPUTED_VALUE"""),"Да")</f>
        <v>Да</v>
      </c>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row>
    <row r="324">
      <c r="A324" s="197" t="str">
        <f>IFERROR(__xludf.DUMMYFUNCTION("""COMPUTED_VALUE"""),"ООО РАДУГА")</f>
        <v>ООО РАДУГА</v>
      </c>
      <c r="B324" s="198">
        <f>IFERROR(__xludf.DUMMYFUNCTION("""COMPUTED_VALUE"""),1.0)</f>
        <v>1</v>
      </c>
      <c r="C324" s="199" t="str">
        <f>IFERROR(__xludf.DUMMYFUNCTION("""COMPUTED_VALUE"""),"Да")</f>
        <v>Да</v>
      </c>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row>
    <row r="325">
      <c r="A325" s="197" t="str">
        <f>IFERROR(__xludf.DUMMYFUNCTION("""COMPUTED_VALUE"""),"ООО РБК СТРОЙИНВЕСТ")</f>
        <v>ООО РБК СТРОЙИНВЕСТ</v>
      </c>
      <c r="B325" s="198">
        <f>IFERROR(__xludf.DUMMYFUNCTION("""COMPUTED_VALUE"""),0.73)</f>
        <v>0.73</v>
      </c>
      <c r="C325" s="199" t="str">
        <f>IFERROR(__xludf.DUMMYFUNCTION("""COMPUTED_VALUE"""),"Нет")</f>
        <v>Нет</v>
      </c>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row>
    <row r="326">
      <c r="A326" s="197" t="str">
        <f>IFERROR(__xludf.DUMMYFUNCTION("""COMPUTED_VALUE"""),"ООО РЕМИСТР")</f>
        <v>ООО РЕМИСТР</v>
      </c>
      <c r="B326" s="198">
        <f>IFERROR(__xludf.DUMMYFUNCTION("""COMPUTED_VALUE"""),0.79)</f>
        <v>0.79</v>
      </c>
      <c r="C326" s="199" t="str">
        <f>IFERROR(__xludf.DUMMYFUNCTION("""COMPUTED_VALUE"""),"Нет")</f>
        <v>Нет</v>
      </c>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row>
    <row r="327">
      <c r="A327" s="197" t="str">
        <f>IFERROR(__xludf.DUMMYFUNCTION("""COMPUTED_VALUE"""),"ООО РЕСУРС")</f>
        <v>ООО РЕСУРС</v>
      </c>
      <c r="B327" s="198"/>
      <c r="C327" s="199" t="str">
        <f>IFERROR(__xludf.DUMMYFUNCTION("""COMPUTED_VALUE"""),"Да")</f>
        <v>Да</v>
      </c>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row>
    <row r="328">
      <c r="A328" s="197" t="str">
        <f>IFERROR(__xludf.DUMMYFUNCTION("""COMPUTED_VALUE"""),"ООО РКС")</f>
        <v>ООО РКС</v>
      </c>
      <c r="B328" s="198">
        <f>IFERROR(__xludf.DUMMYFUNCTION("""COMPUTED_VALUE"""),1.0)</f>
        <v>1</v>
      </c>
      <c r="C328" s="199" t="str">
        <f>IFERROR(__xludf.DUMMYFUNCTION("""COMPUTED_VALUE"""),"Нет")</f>
        <v>Нет</v>
      </c>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row>
    <row r="329">
      <c r="A329" s="197" t="str">
        <f>IFERROR(__xludf.DUMMYFUNCTION("""COMPUTED_VALUE"""),"ООО РКС")</f>
        <v>ООО РКС</v>
      </c>
      <c r="B329" s="198">
        <f>IFERROR(__xludf.DUMMYFUNCTION("""COMPUTED_VALUE"""),1.0)</f>
        <v>1</v>
      </c>
      <c r="C329" s="199" t="str">
        <f>IFERROR(__xludf.DUMMYFUNCTION("""COMPUTED_VALUE"""),"Да")</f>
        <v>Да</v>
      </c>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row>
    <row r="330">
      <c r="A330" s="197" t="str">
        <f>IFERROR(__xludf.DUMMYFUNCTION("""COMPUTED_VALUE"""),"ООО РКС")</f>
        <v>ООО РКС</v>
      </c>
      <c r="B330" s="198">
        <f>IFERROR(__xludf.DUMMYFUNCTION("""COMPUTED_VALUE"""),1.0)</f>
        <v>1</v>
      </c>
      <c r="C330" s="199" t="str">
        <f>IFERROR(__xludf.DUMMYFUNCTION("""COMPUTED_VALUE"""),"Да")</f>
        <v>Да</v>
      </c>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row>
    <row r="331">
      <c r="A331" s="197" t="str">
        <f>IFERROR(__xludf.DUMMYFUNCTION("""COMPUTED_VALUE"""),"ООО РКС")</f>
        <v>ООО РКС</v>
      </c>
      <c r="B331" s="198">
        <f>IFERROR(__xludf.DUMMYFUNCTION("""COMPUTED_VALUE"""),1.0)</f>
        <v>1</v>
      </c>
      <c r="C331" s="199" t="str">
        <f>IFERROR(__xludf.DUMMYFUNCTION("""COMPUTED_VALUE"""),"Да")</f>
        <v>Да</v>
      </c>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row>
    <row r="332">
      <c r="A332" s="197" t="str">
        <f>IFERROR(__xludf.DUMMYFUNCTION("""COMPUTED_VALUE"""),"ООО РКС")</f>
        <v>ООО РКС</v>
      </c>
      <c r="B332" s="198">
        <f>IFERROR(__xludf.DUMMYFUNCTION("""COMPUTED_VALUE"""),0.98)</f>
        <v>0.98</v>
      </c>
      <c r="C332" s="199" t="str">
        <f>IFERROR(__xludf.DUMMYFUNCTION("""COMPUTED_VALUE"""),"Да")</f>
        <v>Да</v>
      </c>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row>
    <row r="333">
      <c r="A333" s="197" t="str">
        <f>IFERROR(__xludf.DUMMYFUNCTION("""COMPUTED_VALUE"""),"ООО РКС")</f>
        <v>ООО РКС</v>
      </c>
      <c r="B333" s="198">
        <f>IFERROR(__xludf.DUMMYFUNCTION("""COMPUTED_VALUE"""),0.95)</f>
        <v>0.95</v>
      </c>
      <c r="C333" s="199" t="str">
        <f>IFERROR(__xludf.DUMMYFUNCTION("""COMPUTED_VALUE"""),"Нет")</f>
        <v>Нет</v>
      </c>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row>
    <row r="334">
      <c r="A334" s="197" t="str">
        <f>IFERROR(__xludf.DUMMYFUNCTION("""COMPUTED_VALUE"""),"ООО РКС")</f>
        <v>ООО РКС</v>
      </c>
      <c r="B334" s="198">
        <f>IFERROR(__xludf.DUMMYFUNCTION("""COMPUTED_VALUE"""),0.95)</f>
        <v>0.95</v>
      </c>
      <c r="C334" s="199" t="str">
        <f>IFERROR(__xludf.DUMMYFUNCTION("""COMPUTED_VALUE"""),"Частично")</f>
        <v>Частично</v>
      </c>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row>
    <row r="335">
      <c r="A335" s="197" t="str">
        <f>IFERROR(__xludf.DUMMYFUNCTION("""COMPUTED_VALUE"""),"ООО РКС")</f>
        <v>ООО РКС</v>
      </c>
      <c r="B335" s="198">
        <f>IFERROR(__xludf.DUMMYFUNCTION("""COMPUTED_VALUE"""),0.95)</f>
        <v>0.95</v>
      </c>
      <c r="C335" s="199" t="str">
        <f>IFERROR(__xludf.DUMMYFUNCTION("""COMPUTED_VALUE"""),"Нет")</f>
        <v>Нет</v>
      </c>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row>
    <row r="336">
      <c r="A336" s="197" t="str">
        <f>IFERROR(__xludf.DUMMYFUNCTION("""COMPUTED_VALUE"""),"ООО РКС")</f>
        <v>ООО РКС</v>
      </c>
      <c r="B336" s="198">
        <f>IFERROR(__xludf.DUMMYFUNCTION("""COMPUTED_VALUE"""),0.94)</f>
        <v>0.94</v>
      </c>
      <c r="C336" s="199" t="str">
        <f>IFERROR(__xludf.DUMMYFUNCTION("""COMPUTED_VALUE"""),"Частично")</f>
        <v>Частично</v>
      </c>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row>
    <row r="337">
      <c r="A337" s="197" t="str">
        <f>IFERROR(__xludf.DUMMYFUNCTION("""COMPUTED_VALUE"""),"ООО РКС")</f>
        <v>ООО РКС</v>
      </c>
      <c r="B337" s="198">
        <f>IFERROR(__xludf.DUMMYFUNCTION("""COMPUTED_VALUE"""),0.9)</f>
        <v>0.9</v>
      </c>
      <c r="C337" s="199" t="str">
        <f>IFERROR(__xludf.DUMMYFUNCTION("""COMPUTED_VALUE"""),"Нет")</f>
        <v>Нет</v>
      </c>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row>
    <row r="338">
      <c r="A338" s="197" t="str">
        <f>IFERROR(__xludf.DUMMYFUNCTION("""COMPUTED_VALUE"""),"ООО РКС")</f>
        <v>ООО РКС</v>
      </c>
      <c r="B338" s="198">
        <f>IFERROR(__xludf.DUMMYFUNCTION("""COMPUTED_VALUE"""),0.89)</f>
        <v>0.89</v>
      </c>
      <c r="C338" s="199" t="str">
        <f>IFERROR(__xludf.DUMMYFUNCTION("""COMPUTED_VALUE"""),"Частично")</f>
        <v>Частично</v>
      </c>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row>
    <row r="339">
      <c r="A339" s="197" t="str">
        <f>IFERROR(__xludf.DUMMYFUNCTION("""COMPUTED_VALUE"""),"ООО РКС")</f>
        <v>ООО РКС</v>
      </c>
      <c r="B339" s="198">
        <f>IFERROR(__xludf.DUMMYFUNCTION("""COMPUTED_VALUE"""),0.82)</f>
        <v>0.82</v>
      </c>
      <c r="C339" s="199" t="str">
        <f>IFERROR(__xludf.DUMMYFUNCTION("""COMPUTED_VALUE"""),"Частично")</f>
        <v>Частично</v>
      </c>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row>
    <row r="340">
      <c r="A340" s="197" t="str">
        <f>IFERROR(__xludf.DUMMYFUNCTION("""COMPUTED_VALUE"""),"ООО РКС")</f>
        <v>ООО РКС</v>
      </c>
      <c r="B340" s="198">
        <f>IFERROR(__xludf.DUMMYFUNCTION("""COMPUTED_VALUE"""),0.73)</f>
        <v>0.73</v>
      </c>
      <c r="C340" s="199" t="str">
        <f>IFERROR(__xludf.DUMMYFUNCTION("""COMPUTED_VALUE"""),"Нет")</f>
        <v>Нет</v>
      </c>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row>
    <row r="341">
      <c r="A341" s="197" t="str">
        <f>IFERROR(__xludf.DUMMYFUNCTION("""COMPUTED_VALUE"""),"ООО РКС")</f>
        <v>ООО РКС</v>
      </c>
      <c r="B341" s="198"/>
      <c r="C341" s="199" t="str">
        <f>IFERROR(__xludf.DUMMYFUNCTION("""COMPUTED_VALUE"""),"Да")</f>
        <v>Да</v>
      </c>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row>
    <row r="342">
      <c r="A342" s="197" t="str">
        <f>IFERROR(__xludf.DUMMYFUNCTION("""COMPUTED_VALUE"""),"ООО РКС")</f>
        <v>ООО РКС</v>
      </c>
      <c r="B342" s="198"/>
      <c r="C342" s="199" t="str">
        <f>IFERROR(__xludf.DUMMYFUNCTION("""COMPUTED_VALUE"""),"Да")</f>
        <v>Да</v>
      </c>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row>
    <row r="343">
      <c r="A343" s="197" t="str">
        <f>IFERROR(__xludf.DUMMYFUNCTION("""COMPUTED_VALUE"""),"ООО РКС")</f>
        <v>ООО РКС</v>
      </c>
      <c r="B343" s="198"/>
      <c r="C343" s="199" t="str">
        <f>IFERROR(__xludf.DUMMYFUNCTION("""COMPUTED_VALUE"""),"Да")</f>
        <v>Да</v>
      </c>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row>
    <row r="344">
      <c r="A344" s="197" t="str">
        <f>IFERROR(__xludf.DUMMYFUNCTION("""COMPUTED_VALUE"""),"ООО РКС")</f>
        <v>ООО РКС</v>
      </c>
      <c r="B344" s="198"/>
      <c r="C344" s="199" t="str">
        <f>IFERROR(__xludf.DUMMYFUNCTION("""COMPUTED_VALUE"""),"Да")</f>
        <v>Да</v>
      </c>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row>
    <row r="345">
      <c r="A345" s="197" t="str">
        <f>IFERROR(__xludf.DUMMYFUNCTION("""COMPUTED_VALUE"""),"ООО РНП")</f>
        <v>ООО РНП</v>
      </c>
      <c r="B345" s="198">
        <f>IFERROR(__xludf.DUMMYFUNCTION("""COMPUTED_VALUE"""),0.95)</f>
        <v>0.95</v>
      </c>
      <c r="C345" s="199" t="str">
        <f>IFERROR(__xludf.DUMMYFUNCTION("""COMPUTED_VALUE"""),"Нет")</f>
        <v>Нет</v>
      </c>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row>
    <row r="346">
      <c r="A346" s="197" t="str">
        <f>IFERROR(__xludf.DUMMYFUNCTION("""COMPUTED_VALUE"""),"ООО РНП")</f>
        <v>ООО РНП</v>
      </c>
      <c r="B346" s="198"/>
      <c r="C346" s="199" t="str">
        <f>IFERROR(__xludf.DUMMYFUNCTION("""COMPUTED_VALUE"""),"Да")</f>
        <v>Да</v>
      </c>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row>
    <row r="347">
      <c r="A347" s="197" t="str">
        <f>IFERROR(__xludf.DUMMYFUNCTION("""COMPUTED_VALUE"""),"ООО РОУД ГРУПП")</f>
        <v>ООО РОУД ГРУПП</v>
      </c>
      <c r="B347" s="198">
        <f>IFERROR(__xludf.DUMMYFUNCTION("""COMPUTED_VALUE"""),0.99)</f>
        <v>0.99</v>
      </c>
      <c r="C347" s="199" t="str">
        <f>IFERROR(__xludf.DUMMYFUNCTION("""COMPUTED_VALUE"""),"Частично")</f>
        <v>Частично</v>
      </c>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row>
    <row r="348">
      <c r="A348" s="197" t="str">
        <f>IFERROR(__xludf.DUMMYFUNCTION("""COMPUTED_VALUE"""),"ООО РСК ИМПУЛЬС")</f>
        <v>ООО РСК ИМПУЛЬС</v>
      </c>
      <c r="B348" s="198">
        <f>IFERROR(__xludf.DUMMYFUNCTION("""COMPUTED_VALUE"""),1.0)</f>
        <v>1</v>
      </c>
      <c r="C348" s="199" t="str">
        <f>IFERROR(__xludf.DUMMYFUNCTION("""COMPUTED_VALUE"""),"Да")</f>
        <v>Да</v>
      </c>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row>
    <row r="349">
      <c r="A349" s="197" t="str">
        <f>IFERROR(__xludf.DUMMYFUNCTION("""COMPUTED_VALUE"""),"ООО РСПК")</f>
        <v>ООО РСПК</v>
      </c>
      <c r="B349" s="198">
        <f>IFERROR(__xludf.DUMMYFUNCTION("""COMPUTED_VALUE"""),1.0)</f>
        <v>1</v>
      </c>
      <c r="C349" s="199" t="str">
        <f>IFERROR(__xludf.DUMMYFUNCTION("""COMPUTED_VALUE"""),"Да")</f>
        <v>Да</v>
      </c>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row>
    <row r="350">
      <c r="A350" s="197" t="str">
        <f>IFERROR(__xludf.DUMMYFUNCTION("""COMPUTED_VALUE"""),"ООО РСПК")</f>
        <v>ООО РСПК</v>
      </c>
      <c r="B350" s="198">
        <f>IFERROR(__xludf.DUMMYFUNCTION("""COMPUTED_VALUE"""),1.0)</f>
        <v>1</v>
      </c>
      <c r="C350" s="199" t="str">
        <f>IFERROR(__xludf.DUMMYFUNCTION("""COMPUTED_VALUE"""),"Да")</f>
        <v>Да</v>
      </c>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row>
    <row r="351">
      <c r="A351" s="197" t="str">
        <f>IFERROR(__xludf.DUMMYFUNCTION("""COMPUTED_VALUE"""),"ООО РСПК")</f>
        <v>ООО РСПК</v>
      </c>
      <c r="B351" s="198">
        <f>IFERROR(__xludf.DUMMYFUNCTION("""COMPUTED_VALUE"""),1.0)</f>
        <v>1</v>
      </c>
      <c r="C351" s="199" t="str">
        <f>IFERROR(__xludf.DUMMYFUNCTION("""COMPUTED_VALUE"""),"Частично")</f>
        <v>Частично</v>
      </c>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row>
    <row r="352">
      <c r="A352" s="197" t="str">
        <f>IFERROR(__xludf.DUMMYFUNCTION("""COMPUTED_VALUE"""),"ООО РСПК")</f>
        <v>ООО РСПК</v>
      </c>
      <c r="B352" s="198">
        <f>IFERROR(__xludf.DUMMYFUNCTION("""COMPUTED_VALUE"""),1.0)</f>
        <v>1</v>
      </c>
      <c r="C352" s="199" t="str">
        <f>IFERROR(__xludf.DUMMYFUNCTION("""COMPUTED_VALUE"""),"Да")</f>
        <v>Да</v>
      </c>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row>
    <row r="353">
      <c r="A353" s="197" t="str">
        <f>IFERROR(__xludf.DUMMYFUNCTION("""COMPUTED_VALUE"""),"ООО РСПК")</f>
        <v>ООО РСПК</v>
      </c>
      <c r="B353" s="198">
        <f>IFERROR(__xludf.DUMMYFUNCTION("""COMPUTED_VALUE"""),1.0)</f>
        <v>1</v>
      </c>
      <c r="C353" s="199" t="str">
        <f>IFERROR(__xludf.DUMMYFUNCTION("""COMPUTED_VALUE"""),"Да")</f>
        <v>Да</v>
      </c>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row>
    <row r="354">
      <c r="A354" s="197" t="str">
        <f>IFERROR(__xludf.DUMMYFUNCTION("""COMPUTED_VALUE"""),"ООО РСПК")</f>
        <v>ООО РСПК</v>
      </c>
      <c r="B354" s="198">
        <f>IFERROR(__xludf.DUMMYFUNCTION("""COMPUTED_VALUE"""),1.0)</f>
        <v>1</v>
      </c>
      <c r="C354" s="199" t="str">
        <f>IFERROR(__xludf.DUMMYFUNCTION("""COMPUTED_VALUE"""),"Да")</f>
        <v>Да</v>
      </c>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row>
    <row r="355">
      <c r="A355" s="197" t="str">
        <f>IFERROR(__xludf.DUMMYFUNCTION("""COMPUTED_VALUE"""),"ООО РСПК")</f>
        <v>ООО РСПК</v>
      </c>
      <c r="B355" s="198">
        <f>IFERROR(__xludf.DUMMYFUNCTION("""COMPUTED_VALUE"""),0.94)</f>
        <v>0.94</v>
      </c>
      <c r="C355" s="199" t="str">
        <f>IFERROR(__xludf.DUMMYFUNCTION("""COMPUTED_VALUE"""),"Частично")</f>
        <v>Частично</v>
      </c>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row>
    <row r="356">
      <c r="A356" s="197" t="str">
        <f>IFERROR(__xludf.DUMMYFUNCTION("""COMPUTED_VALUE"""),"ООО РСПК")</f>
        <v>ООО РСПК</v>
      </c>
      <c r="B356" s="198">
        <f>IFERROR(__xludf.DUMMYFUNCTION("""COMPUTED_VALUE"""),0.9)</f>
        <v>0.9</v>
      </c>
      <c r="C356" s="199" t="str">
        <f>IFERROR(__xludf.DUMMYFUNCTION("""COMPUTED_VALUE"""),"Нет")</f>
        <v>Нет</v>
      </c>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row>
    <row r="357">
      <c r="A357" s="197" t="str">
        <f>IFERROR(__xludf.DUMMYFUNCTION("""COMPUTED_VALUE"""),"ООО РСПК")</f>
        <v>ООО РСПК</v>
      </c>
      <c r="B357" s="198">
        <f>IFERROR(__xludf.DUMMYFUNCTION("""COMPUTED_VALUE"""),0.81)</f>
        <v>0.81</v>
      </c>
      <c r="C357" s="199" t="str">
        <f>IFERROR(__xludf.DUMMYFUNCTION("""COMPUTED_VALUE"""),"Нет")</f>
        <v>Нет</v>
      </c>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row>
    <row r="358">
      <c r="A358" s="197" t="str">
        <f>IFERROR(__xludf.DUMMYFUNCTION("""COMPUTED_VALUE"""),"ООО РСПК")</f>
        <v>ООО РСПК</v>
      </c>
      <c r="B358" s="198">
        <f>IFERROR(__xludf.DUMMYFUNCTION("""COMPUTED_VALUE"""),0.75)</f>
        <v>0.75</v>
      </c>
      <c r="C358" s="199" t="str">
        <f>IFERROR(__xludf.DUMMYFUNCTION("""COMPUTED_VALUE"""),"Нет")</f>
        <v>Нет</v>
      </c>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row>
    <row r="359">
      <c r="A359" s="197" t="str">
        <f>IFERROR(__xludf.DUMMYFUNCTION("""COMPUTED_VALUE"""),"ООО РСПК")</f>
        <v>ООО РСПК</v>
      </c>
      <c r="B359" s="198">
        <f>IFERROR(__xludf.DUMMYFUNCTION("""COMPUTED_VALUE"""),0.75)</f>
        <v>0.75</v>
      </c>
      <c r="C359" s="199" t="str">
        <f>IFERROR(__xludf.DUMMYFUNCTION("""COMPUTED_VALUE"""),"Нет")</f>
        <v>Нет</v>
      </c>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row>
    <row r="360">
      <c r="A360" s="197" t="str">
        <f>IFERROR(__xludf.DUMMYFUNCTION("""COMPUTED_VALUE"""),"ООО РСПК")</f>
        <v>ООО РСПК</v>
      </c>
      <c r="B360" s="198">
        <f>IFERROR(__xludf.DUMMYFUNCTION("""COMPUTED_VALUE"""),0.45)</f>
        <v>0.45</v>
      </c>
      <c r="C360" s="199" t="str">
        <f>IFERROR(__xludf.DUMMYFUNCTION("""COMPUTED_VALUE"""),"Нет")</f>
        <v>Нет</v>
      </c>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row>
    <row r="361">
      <c r="A361" s="197" t="str">
        <f>IFERROR(__xludf.DUMMYFUNCTION("""COMPUTED_VALUE"""),"ООО РСПК")</f>
        <v>ООО РСПК</v>
      </c>
      <c r="B361" s="198"/>
      <c r="C361" s="199" t="str">
        <f>IFERROR(__xludf.DUMMYFUNCTION("""COMPUTED_VALUE"""),"Да")</f>
        <v>Да</v>
      </c>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row>
    <row r="362">
      <c r="A362" s="197" t="str">
        <f>IFERROR(__xludf.DUMMYFUNCTION("""COMPUTED_VALUE"""),"ООО РУСВОДА ИНЖИНИРИНГ")</f>
        <v>ООО РУСВОДА ИНЖИНИРИНГ</v>
      </c>
      <c r="B362" s="198">
        <f>IFERROR(__xludf.DUMMYFUNCTION("""COMPUTED_VALUE"""),0.85)</f>
        <v>0.85</v>
      </c>
      <c r="C362" s="199" t="str">
        <f>IFERROR(__xludf.DUMMYFUNCTION("""COMPUTED_VALUE"""),"Частично")</f>
        <v>Частично</v>
      </c>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row>
    <row r="363">
      <c r="A363" s="197" t="str">
        <f>IFERROR(__xludf.DUMMYFUNCTION("""COMPUTED_VALUE"""),"ООО РУССТРОЙТЕХНОЛОГИИ")</f>
        <v>ООО РУССТРОЙТЕХНОЛОГИИ</v>
      </c>
      <c r="B363" s="198">
        <f>IFERROR(__xludf.DUMMYFUNCTION("""COMPUTED_VALUE"""),0.22)</f>
        <v>0.22</v>
      </c>
      <c r="C363" s="199" t="str">
        <f>IFERROR(__xludf.DUMMYFUNCTION("""COMPUTED_VALUE"""),"Нет")</f>
        <v>Нет</v>
      </c>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row>
    <row r="364">
      <c r="A364" s="197" t="str">
        <f>IFERROR(__xludf.DUMMYFUNCTION("""COMPUTED_VALUE"""),"ООО САРАТОВТЕХМОНТАЖ")</f>
        <v>ООО САРАТОВТЕХМОНТАЖ</v>
      </c>
      <c r="B364" s="198"/>
      <c r="C364" s="199" t="str">
        <f>IFERROR(__xludf.DUMMYFUNCTION("""COMPUTED_VALUE"""),"Да")</f>
        <v>Да</v>
      </c>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row>
    <row r="365">
      <c r="A365" s="197" t="str">
        <f>IFERROR(__xludf.DUMMYFUNCTION("""COMPUTED_VALUE"""),"ООО САРАТОВТЕХМОНТАЖ")</f>
        <v>ООО САРАТОВТЕХМОНТАЖ</v>
      </c>
      <c r="B365" s="198"/>
      <c r="C365" s="199" t="str">
        <f>IFERROR(__xludf.DUMMYFUNCTION("""COMPUTED_VALUE"""),"Да")</f>
        <v>Да</v>
      </c>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row>
    <row r="366">
      <c r="A366" s="197" t="str">
        <f>IFERROR(__xludf.DUMMYFUNCTION("""COMPUTED_VALUE"""),"ООО САРАТОВТЕХМОНТАЖ")</f>
        <v>ООО САРАТОВТЕХМОНТАЖ</v>
      </c>
      <c r="B366" s="198"/>
      <c r="C366" s="199" t="str">
        <f>IFERROR(__xludf.DUMMYFUNCTION("""COMPUTED_VALUE"""),"Да")</f>
        <v>Да</v>
      </c>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row>
    <row r="367">
      <c r="A367" s="197" t="str">
        <f>IFERROR(__xludf.DUMMYFUNCTION("""COMPUTED_VALUE"""),"ООО СЗ ФОРМУЛА РЕМОНТА")</f>
        <v>ООО СЗ ФОРМУЛА РЕМОНТА</v>
      </c>
      <c r="B367" s="198">
        <f>IFERROR(__xludf.DUMMYFUNCTION("""COMPUTED_VALUE"""),0.35)</f>
        <v>0.35</v>
      </c>
      <c r="C367" s="199" t="str">
        <f>IFERROR(__xludf.DUMMYFUNCTION("""COMPUTED_VALUE"""),"Нет")</f>
        <v>Нет</v>
      </c>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row>
    <row r="368">
      <c r="A368" s="197" t="str">
        <f>IFERROR(__xludf.DUMMYFUNCTION("""COMPUTED_VALUE"""),"ООО СЗСМЭУ")</f>
        <v>ООО СЗСМЭУ</v>
      </c>
      <c r="B368" s="198">
        <f>IFERROR(__xludf.DUMMYFUNCTION("""COMPUTED_VALUE"""),0.7)</f>
        <v>0.7</v>
      </c>
      <c r="C368" s="199" t="str">
        <f>IFERROR(__xludf.DUMMYFUNCTION("""COMPUTED_VALUE"""),"Частично")</f>
        <v>Частично</v>
      </c>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row>
    <row r="369">
      <c r="A369" s="197" t="str">
        <f>IFERROR(__xludf.DUMMYFUNCTION("""COMPUTED_VALUE"""),"ООО СИТИ ИТИ РИТЕЙЛ")</f>
        <v>ООО СИТИ ИТИ РИТЕЙЛ</v>
      </c>
      <c r="B369" s="198"/>
      <c r="C369" s="199" t="str">
        <f>IFERROR(__xludf.DUMMYFUNCTION("""COMPUTED_VALUE"""),"Нет")</f>
        <v>Нет</v>
      </c>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row>
    <row r="370">
      <c r="A370" s="197" t="str">
        <f>IFERROR(__xludf.DUMMYFUNCTION("""COMPUTED_VALUE"""),"ООО СК")</f>
        <v>ООО СК</v>
      </c>
      <c r="B370" s="198">
        <f>IFERROR(__xludf.DUMMYFUNCTION("""COMPUTED_VALUE"""),1.0)</f>
        <v>1</v>
      </c>
      <c r="C370" s="199" t="str">
        <f>IFERROR(__xludf.DUMMYFUNCTION("""COMPUTED_VALUE"""),"Да")</f>
        <v>Да</v>
      </c>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row>
    <row r="371">
      <c r="A371" s="197" t="str">
        <f>IFERROR(__xludf.DUMMYFUNCTION("""COMPUTED_VALUE"""),"ООО СК ВЕКТОР")</f>
        <v>ООО СК ВЕКТОР</v>
      </c>
      <c r="B371" s="198">
        <f>IFERROR(__xludf.DUMMYFUNCTION("""COMPUTED_VALUE"""),0.9)</f>
        <v>0.9</v>
      </c>
      <c r="C371" s="199" t="str">
        <f>IFERROR(__xludf.DUMMYFUNCTION("""COMPUTED_VALUE"""),"Частично")</f>
        <v>Частично</v>
      </c>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row>
    <row r="372">
      <c r="A372" s="197" t="str">
        <f>IFERROR(__xludf.DUMMYFUNCTION("""COMPUTED_VALUE"""),"ООО СК ВЕКТОР")</f>
        <v>ООО СК ВЕКТОР</v>
      </c>
      <c r="B372" s="198">
        <f>IFERROR(__xludf.DUMMYFUNCTION("""COMPUTED_VALUE"""),0.9)</f>
        <v>0.9</v>
      </c>
      <c r="C372" s="199" t="str">
        <f>IFERROR(__xludf.DUMMYFUNCTION("""COMPUTED_VALUE"""),"Частично")</f>
        <v>Частично</v>
      </c>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row>
    <row r="373">
      <c r="A373" s="197" t="str">
        <f>IFERROR(__xludf.DUMMYFUNCTION("""COMPUTED_VALUE"""),"ООО СК ВЕКТОР")</f>
        <v>ООО СК ВЕКТОР</v>
      </c>
      <c r="B373" s="198">
        <f>IFERROR(__xludf.DUMMYFUNCTION("""COMPUTED_VALUE"""),0.75)</f>
        <v>0.75</v>
      </c>
      <c r="C373" s="199" t="str">
        <f>IFERROR(__xludf.DUMMYFUNCTION("""COMPUTED_VALUE"""),"Частично")</f>
        <v>Частично</v>
      </c>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row>
    <row r="374">
      <c r="A374" s="197" t="str">
        <f>IFERROR(__xludf.DUMMYFUNCTION("""COMPUTED_VALUE"""),"ООО СК ИМПЕРИЯ")</f>
        <v>ООО СК ИМПЕРИЯ</v>
      </c>
      <c r="B374" s="198">
        <f>IFERROR(__xludf.DUMMYFUNCTION("""COMPUTED_VALUE"""),0.96)</f>
        <v>0.96</v>
      </c>
      <c r="C374" s="199" t="str">
        <f>IFERROR(__xludf.DUMMYFUNCTION("""COMPUTED_VALUE"""),"Частично")</f>
        <v>Частично</v>
      </c>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row>
    <row r="375">
      <c r="A375" s="197" t="str">
        <f>IFERROR(__xludf.DUMMYFUNCTION("""COMPUTED_VALUE"""),"ООО СК ИМПЕРИЯ")</f>
        <v>ООО СК ИМПЕРИЯ</v>
      </c>
      <c r="B375" s="198">
        <f>IFERROR(__xludf.DUMMYFUNCTION("""COMPUTED_VALUE"""),0.9)</f>
        <v>0.9</v>
      </c>
      <c r="C375" s="199" t="str">
        <f>IFERROR(__xludf.DUMMYFUNCTION("""COMPUTED_VALUE"""),"Частично")</f>
        <v>Частично</v>
      </c>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row>
    <row r="376">
      <c r="A376" s="197" t="str">
        <f>IFERROR(__xludf.DUMMYFUNCTION("""COMPUTED_VALUE"""),"ООО СК ИМПЕРИЯ")</f>
        <v>ООО СК ИМПЕРИЯ</v>
      </c>
      <c r="B376" s="198">
        <f>IFERROR(__xludf.DUMMYFUNCTION("""COMPUTED_VALUE"""),0.88)</f>
        <v>0.88</v>
      </c>
      <c r="C376" s="199" t="str">
        <f>IFERROR(__xludf.DUMMYFUNCTION("""COMPUTED_VALUE"""),"Частично")</f>
        <v>Частично</v>
      </c>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row>
    <row r="377">
      <c r="A377" s="197" t="str">
        <f>IFERROR(__xludf.DUMMYFUNCTION("""COMPUTED_VALUE"""),"ООО СК ИМПЕРИЯ")</f>
        <v>ООО СК ИМПЕРИЯ</v>
      </c>
      <c r="B377" s="198">
        <f>IFERROR(__xludf.DUMMYFUNCTION("""COMPUTED_VALUE"""),0.76)</f>
        <v>0.76</v>
      </c>
      <c r="C377" s="199" t="str">
        <f>IFERROR(__xludf.DUMMYFUNCTION("""COMPUTED_VALUE"""),"Частично")</f>
        <v>Частично</v>
      </c>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row>
    <row r="378">
      <c r="A378" s="197" t="str">
        <f>IFERROR(__xludf.DUMMYFUNCTION("""COMPUTED_VALUE"""),"ООО СК ИМПЕРИЯ")</f>
        <v>ООО СК ИМПЕРИЯ</v>
      </c>
      <c r="B378" s="198">
        <f>IFERROR(__xludf.DUMMYFUNCTION("""COMPUTED_VALUE"""),0.67)</f>
        <v>0.67</v>
      </c>
      <c r="C378" s="199" t="str">
        <f>IFERROR(__xludf.DUMMYFUNCTION("""COMPUTED_VALUE"""),"Частично")</f>
        <v>Частично</v>
      </c>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row>
    <row r="379">
      <c r="A379" s="197" t="str">
        <f>IFERROR(__xludf.DUMMYFUNCTION("""COMPUTED_VALUE"""),"ООО СК ИМПЕРИЯ")</f>
        <v>ООО СК ИМПЕРИЯ</v>
      </c>
      <c r="B379" s="198"/>
      <c r="C379" s="199" t="str">
        <f>IFERROR(__xludf.DUMMYFUNCTION("""COMPUTED_VALUE"""),"Да")</f>
        <v>Да</v>
      </c>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row>
    <row r="380">
      <c r="A380" s="197" t="str">
        <f>IFERROR(__xludf.DUMMYFUNCTION("""COMPUTED_VALUE"""),"ООО СК ИМПЕРИЯ")</f>
        <v>ООО СК ИМПЕРИЯ</v>
      </c>
      <c r="B380" s="198"/>
      <c r="C380" s="199" t="str">
        <f>IFERROR(__xludf.DUMMYFUNCTION("""COMPUTED_VALUE"""),"Да")</f>
        <v>Да</v>
      </c>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row>
    <row r="381">
      <c r="A381" s="197" t="str">
        <f>IFERROR(__xludf.DUMMYFUNCTION("""COMPUTED_VALUE"""),"ООО СК ИМПЕРИЯ")</f>
        <v>ООО СК ИМПЕРИЯ</v>
      </c>
      <c r="B381" s="198"/>
      <c r="C381" s="199" t="str">
        <f>IFERROR(__xludf.DUMMYFUNCTION("""COMPUTED_VALUE"""),"Да")</f>
        <v>Да</v>
      </c>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row>
    <row r="382">
      <c r="A382" s="197" t="str">
        <f>IFERROR(__xludf.DUMMYFUNCTION("""COMPUTED_VALUE"""),"ООО СК ИМПЕРИЯ")</f>
        <v>ООО СК ИМПЕРИЯ</v>
      </c>
      <c r="B382" s="198"/>
      <c r="C382" s="199" t="str">
        <f>IFERROR(__xludf.DUMMYFUNCTION("""COMPUTED_VALUE"""),"Да")</f>
        <v>Да</v>
      </c>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row>
    <row r="383">
      <c r="A383" s="197" t="str">
        <f>IFERROR(__xludf.DUMMYFUNCTION("""COMPUTED_VALUE"""),"ООО СК МАГИРУС")</f>
        <v>ООО СК МАГИРУС</v>
      </c>
      <c r="B383" s="198">
        <f>IFERROR(__xludf.DUMMYFUNCTION("""COMPUTED_VALUE"""),1.0)</f>
        <v>1</v>
      </c>
      <c r="C383" s="199" t="str">
        <f>IFERROR(__xludf.DUMMYFUNCTION("""COMPUTED_VALUE"""),"Да")</f>
        <v>Да</v>
      </c>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row>
    <row r="384">
      <c r="A384" s="197" t="str">
        <f>IFERROR(__xludf.DUMMYFUNCTION("""COMPUTED_VALUE"""),"ООО СК МАГИРУС")</f>
        <v>ООО СК МАГИРУС</v>
      </c>
      <c r="B384" s="198">
        <f>IFERROR(__xludf.DUMMYFUNCTION("""COMPUTED_VALUE"""),1.0)</f>
        <v>1</v>
      </c>
      <c r="C384" s="199" t="str">
        <f>IFERROR(__xludf.DUMMYFUNCTION("""COMPUTED_VALUE"""),"Да")</f>
        <v>Да</v>
      </c>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row>
    <row r="385">
      <c r="A385" s="197" t="str">
        <f>IFERROR(__xludf.DUMMYFUNCTION("""COMPUTED_VALUE"""),"ООО СК МАГИРУС")</f>
        <v>ООО СК МАГИРУС</v>
      </c>
      <c r="B385" s="198">
        <f>IFERROR(__xludf.DUMMYFUNCTION("""COMPUTED_VALUE"""),1.0)</f>
        <v>1</v>
      </c>
      <c r="C385" s="199" t="str">
        <f>IFERROR(__xludf.DUMMYFUNCTION("""COMPUTED_VALUE"""),"Да")</f>
        <v>Да</v>
      </c>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row>
    <row r="386">
      <c r="A386" s="197" t="str">
        <f>IFERROR(__xludf.DUMMYFUNCTION("""COMPUTED_VALUE"""),"ООО СК МАГИРУС")</f>
        <v>ООО СК МАГИРУС</v>
      </c>
      <c r="B386" s="198">
        <f>IFERROR(__xludf.DUMMYFUNCTION("""COMPUTED_VALUE"""),1.0)</f>
        <v>1</v>
      </c>
      <c r="C386" s="199" t="str">
        <f>IFERROR(__xludf.DUMMYFUNCTION("""COMPUTED_VALUE"""),"Да")</f>
        <v>Да</v>
      </c>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row>
    <row r="387">
      <c r="A387" s="197" t="str">
        <f>IFERROR(__xludf.DUMMYFUNCTION("""COMPUTED_VALUE"""),"ООО СК МАГИРУС")</f>
        <v>ООО СК МАГИРУС</v>
      </c>
      <c r="B387" s="198">
        <f>IFERROR(__xludf.DUMMYFUNCTION("""COMPUTED_VALUE"""),0.94)</f>
        <v>0.94</v>
      </c>
      <c r="C387" s="199" t="str">
        <f>IFERROR(__xludf.DUMMYFUNCTION("""COMPUTED_VALUE"""),"Частично")</f>
        <v>Частично</v>
      </c>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row>
    <row r="388">
      <c r="A388" s="197" t="str">
        <f>IFERROR(__xludf.DUMMYFUNCTION("""COMPUTED_VALUE"""),"ООО СК МАГИРУС")</f>
        <v>ООО СК МАГИРУС</v>
      </c>
      <c r="B388" s="198"/>
      <c r="C388" s="199" t="str">
        <f>IFERROR(__xludf.DUMMYFUNCTION("""COMPUTED_VALUE"""),"Да")</f>
        <v>Да</v>
      </c>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row>
    <row r="389">
      <c r="A389" s="197" t="str">
        <f>IFERROR(__xludf.DUMMYFUNCTION("""COMPUTED_VALUE"""),"ООО СК МАГИРУС")</f>
        <v>ООО СК МАГИРУС</v>
      </c>
      <c r="B389" s="198"/>
      <c r="C389" s="199" t="str">
        <f>IFERROR(__xludf.DUMMYFUNCTION("""COMPUTED_VALUE"""),"Да")</f>
        <v>Да</v>
      </c>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row>
    <row r="390">
      <c r="A390" s="197" t="str">
        <f>IFERROR(__xludf.DUMMYFUNCTION("""COMPUTED_VALUE"""),"ООО СК МАГИРУС")</f>
        <v>ООО СК МАГИРУС</v>
      </c>
      <c r="B390" s="198"/>
      <c r="C390" s="199" t="str">
        <f>IFERROR(__xludf.DUMMYFUNCTION("""COMPUTED_VALUE"""),"Да")</f>
        <v>Да</v>
      </c>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row>
    <row r="391">
      <c r="A391" s="197" t="str">
        <f>IFERROR(__xludf.DUMMYFUNCTION("""COMPUTED_VALUE"""),"ООО СК МАГИРУС")</f>
        <v>ООО СК МАГИРУС</v>
      </c>
      <c r="B391" s="198"/>
      <c r="C391" s="199" t="str">
        <f>IFERROR(__xludf.DUMMYFUNCTION("""COMPUTED_VALUE"""),"Да")</f>
        <v>Да</v>
      </c>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row>
    <row r="392">
      <c r="A392" s="197" t="str">
        <f>IFERROR(__xludf.DUMMYFUNCTION("""COMPUTED_VALUE"""),"ООО СК МАГИРУС")</f>
        <v>ООО СК МАГИРУС</v>
      </c>
      <c r="B392" s="198"/>
      <c r="C392" s="199" t="str">
        <f>IFERROR(__xludf.DUMMYFUNCTION("""COMPUTED_VALUE"""),"Да")</f>
        <v>Да</v>
      </c>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row>
    <row r="393">
      <c r="A393" s="197" t="str">
        <f>IFERROR(__xludf.DUMMYFUNCTION("""COMPUTED_VALUE"""),"ООО СК МАГИРУС")</f>
        <v>ООО СК МАГИРУС</v>
      </c>
      <c r="B393" s="198"/>
      <c r="C393" s="199" t="str">
        <f>IFERROR(__xludf.DUMMYFUNCTION("""COMPUTED_VALUE"""),"Да")</f>
        <v>Да</v>
      </c>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row>
    <row r="394">
      <c r="A394" s="197" t="str">
        <f>IFERROR(__xludf.DUMMYFUNCTION("""COMPUTED_VALUE"""),"ООО СК МАГИРУС")</f>
        <v>ООО СК МАГИРУС</v>
      </c>
      <c r="B394" s="198"/>
      <c r="C394" s="199" t="str">
        <f>IFERROR(__xludf.DUMMYFUNCTION("""COMPUTED_VALUE"""),"Да")</f>
        <v>Да</v>
      </c>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row>
    <row r="395">
      <c r="A395" s="197" t="str">
        <f>IFERROR(__xludf.DUMMYFUNCTION("""COMPUTED_VALUE"""),"ООО СК МАГИРУС")</f>
        <v>ООО СК МАГИРУС</v>
      </c>
      <c r="B395" s="198"/>
      <c r="C395" s="199" t="str">
        <f>IFERROR(__xludf.DUMMYFUNCTION("""COMPUTED_VALUE"""),"Да")</f>
        <v>Да</v>
      </c>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row>
    <row r="396">
      <c r="A396" s="197" t="str">
        <f>IFERROR(__xludf.DUMMYFUNCTION("""COMPUTED_VALUE"""),"ООО СМУ-102")</f>
        <v>ООО СМУ-102</v>
      </c>
      <c r="B396" s="198">
        <f>IFERROR(__xludf.DUMMYFUNCTION("""COMPUTED_VALUE"""),0.7)</f>
        <v>0.7</v>
      </c>
      <c r="C396" s="199" t="str">
        <f>IFERROR(__xludf.DUMMYFUNCTION("""COMPUTED_VALUE"""),"Нет")</f>
        <v>Нет</v>
      </c>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row>
    <row r="397">
      <c r="A397" s="197" t="str">
        <f>IFERROR(__xludf.DUMMYFUNCTION("""COMPUTED_VALUE"""),"ООО СМУ-102")</f>
        <v>ООО СМУ-102</v>
      </c>
      <c r="B397" s="198"/>
      <c r="C397" s="199" t="str">
        <f>IFERROR(__xludf.DUMMYFUNCTION("""COMPUTED_VALUE"""),"Да")</f>
        <v>Да</v>
      </c>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row>
    <row r="398">
      <c r="A398" s="197" t="str">
        <f>IFERROR(__xludf.DUMMYFUNCTION("""COMPUTED_VALUE"""),"ООО СМУ-ЭС")</f>
        <v>ООО СМУ-ЭС</v>
      </c>
      <c r="B398" s="198">
        <f>IFERROR(__xludf.DUMMYFUNCTION("""COMPUTED_VALUE"""),1.0)</f>
        <v>1</v>
      </c>
      <c r="C398" s="199" t="str">
        <f>IFERROR(__xludf.DUMMYFUNCTION("""COMPUTED_VALUE"""),"Да")</f>
        <v>Да</v>
      </c>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row>
    <row r="399">
      <c r="A399" s="197" t="str">
        <f>IFERROR(__xludf.DUMMYFUNCTION("""COMPUTED_VALUE"""),"ООО СМУ-ЭС")</f>
        <v>ООО СМУ-ЭС</v>
      </c>
      <c r="B399" s="198">
        <f>IFERROR(__xludf.DUMMYFUNCTION("""COMPUTED_VALUE"""),0.93)</f>
        <v>0.93</v>
      </c>
      <c r="C399" s="199" t="str">
        <f>IFERROR(__xludf.DUMMYFUNCTION("""COMPUTED_VALUE"""),"Да")</f>
        <v>Да</v>
      </c>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row>
    <row r="400">
      <c r="A400" s="197" t="str">
        <f>IFERROR(__xludf.DUMMYFUNCTION("""COMPUTED_VALUE"""),"ООО СМУ-ЭС")</f>
        <v>ООО СМУ-ЭС</v>
      </c>
      <c r="B400" s="198">
        <f>IFERROR(__xludf.DUMMYFUNCTION("""COMPUTED_VALUE"""),0.92)</f>
        <v>0.92</v>
      </c>
      <c r="C400" s="199" t="str">
        <f>IFERROR(__xludf.DUMMYFUNCTION("""COMPUTED_VALUE"""),"Частично")</f>
        <v>Частично</v>
      </c>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row>
    <row r="401">
      <c r="A401" s="197" t="str">
        <f>IFERROR(__xludf.DUMMYFUNCTION("""COMPUTED_VALUE"""),"ООО СМУ-ЭС")</f>
        <v>ООО СМУ-ЭС</v>
      </c>
      <c r="B401" s="198">
        <f>IFERROR(__xludf.DUMMYFUNCTION("""COMPUTED_VALUE"""),0.87)</f>
        <v>0.87</v>
      </c>
      <c r="C401" s="199" t="str">
        <f>IFERROR(__xludf.DUMMYFUNCTION("""COMPUTED_VALUE"""),"Частично")</f>
        <v>Частично</v>
      </c>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row>
    <row r="402">
      <c r="A402" s="197" t="str">
        <f>IFERROR(__xludf.DUMMYFUNCTION("""COMPUTED_VALUE"""),"ООО СМУ-ЭС")</f>
        <v>ООО СМУ-ЭС</v>
      </c>
      <c r="B402" s="198">
        <f>IFERROR(__xludf.DUMMYFUNCTION("""COMPUTED_VALUE"""),0.84)</f>
        <v>0.84</v>
      </c>
      <c r="C402" s="199" t="str">
        <f>IFERROR(__xludf.DUMMYFUNCTION("""COMPUTED_VALUE"""),"Да")</f>
        <v>Да</v>
      </c>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row>
    <row r="403">
      <c r="A403" s="197" t="str">
        <f>IFERROR(__xludf.DUMMYFUNCTION("""COMPUTED_VALUE"""),"ООО СМУ-ЭС")</f>
        <v>ООО СМУ-ЭС</v>
      </c>
      <c r="B403" s="198">
        <f>IFERROR(__xludf.DUMMYFUNCTION("""COMPUTED_VALUE"""),0.69)</f>
        <v>0.69</v>
      </c>
      <c r="C403" s="199" t="str">
        <f>IFERROR(__xludf.DUMMYFUNCTION("""COMPUTED_VALUE"""),"Частично")</f>
        <v>Частично</v>
      </c>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row>
    <row r="404">
      <c r="A404" s="197" t="str">
        <f>IFERROR(__xludf.DUMMYFUNCTION("""COMPUTED_VALUE"""),"ООО СМУ-ЭС")</f>
        <v>ООО СМУ-ЭС</v>
      </c>
      <c r="B404" s="198"/>
      <c r="C404" s="199" t="str">
        <f>IFERROR(__xludf.DUMMYFUNCTION("""COMPUTED_VALUE"""),"Да")</f>
        <v>Да</v>
      </c>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row>
    <row r="405">
      <c r="A405" s="197" t="str">
        <f>IFERROR(__xludf.DUMMYFUNCTION("""COMPUTED_VALUE"""),"ООО СОВРЕМЕННЫЕ ТЕХНОЛОГИИ ТЕПЛОСНАБЖЕНИЯ")</f>
        <v>ООО СОВРЕМЕННЫЕ ТЕХНОЛОГИИ ТЕПЛОСНАБЖЕНИЯ</v>
      </c>
      <c r="B405" s="198">
        <f>IFERROR(__xludf.DUMMYFUNCTION("""COMPUTED_VALUE"""),1.0)</f>
        <v>1</v>
      </c>
      <c r="C405" s="199" t="str">
        <f>IFERROR(__xludf.DUMMYFUNCTION("""COMPUTED_VALUE"""),"Да")</f>
        <v>Да</v>
      </c>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row>
    <row r="406">
      <c r="A406" s="197" t="str">
        <f>IFERROR(__xludf.DUMMYFUNCTION("""COMPUTED_VALUE"""),"ООО СПМК МАГИСТРАЛЬ")</f>
        <v>ООО СПМК МАГИСТРАЛЬ</v>
      </c>
      <c r="B406" s="198">
        <f>IFERROR(__xludf.DUMMYFUNCTION("""COMPUTED_VALUE"""),0.98)</f>
        <v>0.98</v>
      </c>
      <c r="C406" s="199" t="str">
        <f>IFERROR(__xludf.DUMMYFUNCTION("""COMPUTED_VALUE"""),"Нет")</f>
        <v>Нет</v>
      </c>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row>
    <row r="407">
      <c r="A407" s="197" t="str">
        <f>IFERROR(__xludf.DUMMYFUNCTION("""COMPUTED_VALUE"""),"ООО СПМК МАГИСТРАЛЬ")</f>
        <v>ООО СПМК МАГИСТРАЛЬ</v>
      </c>
      <c r="B407" s="198"/>
      <c r="C407" s="199" t="str">
        <f>IFERROR(__xludf.DUMMYFUNCTION("""COMPUTED_VALUE"""),"Да")</f>
        <v>Да</v>
      </c>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row>
    <row r="408">
      <c r="A408" s="197" t="str">
        <f>IFERROR(__xludf.DUMMYFUNCTION("""COMPUTED_VALUE"""),"ООО СТАЙЛГРУПП")</f>
        <v>ООО СТАЙЛГРУПП</v>
      </c>
      <c r="B408" s="198">
        <f>IFERROR(__xludf.DUMMYFUNCTION("""COMPUTED_VALUE"""),0.88)</f>
        <v>0.88</v>
      </c>
      <c r="C408" s="199" t="str">
        <f>IFERROR(__xludf.DUMMYFUNCTION("""COMPUTED_VALUE"""),"Частично")</f>
        <v>Частично</v>
      </c>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row>
    <row r="409">
      <c r="A409" s="197" t="str">
        <f>IFERROR(__xludf.DUMMYFUNCTION("""COMPUTED_VALUE"""),"ООО СТАЙЛГРУПП")</f>
        <v>ООО СТАЙЛГРУПП</v>
      </c>
      <c r="B409" s="198">
        <f>IFERROR(__xludf.DUMMYFUNCTION("""COMPUTED_VALUE"""),0.87)</f>
        <v>0.87</v>
      </c>
      <c r="C409" s="199" t="str">
        <f>IFERROR(__xludf.DUMMYFUNCTION("""COMPUTED_VALUE"""),"Нет")</f>
        <v>Нет</v>
      </c>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row>
    <row r="410">
      <c r="A410" s="197" t="str">
        <f>IFERROR(__xludf.DUMMYFUNCTION("""COMPUTED_VALUE"""),"ООО СТАНДАРТСТРОЙ")</f>
        <v>ООО СТАНДАРТСТРОЙ</v>
      </c>
      <c r="B410" s="198"/>
      <c r="C410" s="199" t="str">
        <f>IFERROR(__xludf.DUMMYFUNCTION("""COMPUTED_VALUE"""),"Да")</f>
        <v>Да</v>
      </c>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row>
    <row r="411">
      <c r="A411" s="197" t="str">
        <f>IFERROR(__xludf.DUMMYFUNCTION("""COMPUTED_VALUE"""),"ООО СТАРТСТРОЙ")</f>
        <v>ООО СТАРТСТРОЙ</v>
      </c>
      <c r="B411" s="198"/>
      <c r="C411" s="199" t="str">
        <f>IFERROR(__xludf.DUMMYFUNCTION("""COMPUTED_VALUE"""),"Да")</f>
        <v>Да</v>
      </c>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row>
    <row r="412">
      <c r="A412" s="197" t="str">
        <f>IFERROR(__xludf.DUMMYFUNCTION("""COMPUTED_VALUE"""),"ООО СТАРТСТРОЙ")</f>
        <v>ООО СТАРТСТРОЙ</v>
      </c>
      <c r="B412" s="198"/>
      <c r="C412" s="199" t="str">
        <f>IFERROR(__xludf.DUMMYFUNCTION("""COMPUTED_VALUE"""),"Да")</f>
        <v>Да</v>
      </c>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row>
    <row r="413">
      <c r="A413" s="197" t="str">
        <f>IFERROR(__xludf.DUMMYFUNCTION("""COMPUTED_VALUE"""),"ООО СТАРТСТРОЙ")</f>
        <v>ООО СТАРТСТРОЙ</v>
      </c>
      <c r="B413" s="198"/>
      <c r="C413" s="199" t="str">
        <f>IFERROR(__xludf.DUMMYFUNCTION("""COMPUTED_VALUE"""),"Да")</f>
        <v>Да</v>
      </c>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row>
    <row r="414">
      <c r="A414" s="197" t="str">
        <f>IFERROR(__xludf.DUMMYFUNCTION("""COMPUTED_VALUE"""),"ООО СТРОЙ ГРУПП")</f>
        <v>ООО СТРОЙ ГРУПП</v>
      </c>
      <c r="B414" s="198">
        <f>IFERROR(__xludf.DUMMYFUNCTION("""COMPUTED_VALUE"""),0.96)</f>
        <v>0.96</v>
      </c>
      <c r="C414" s="199" t="str">
        <f>IFERROR(__xludf.DUMMYFUNCTION("""COMPUTED_VALUE"""),"Нет")</f>
        <v>Нет</v>
      </c>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row>
    <row r="415">
      <c r="A415" s="197" t="str">
        <f>IFERROR(__xludf.DUMMYFUNCTION("""COMPUTED_VALUE"""),"ООО СТРОЙ ГРУПП")</f>
        <v>ООО СТРОЙ ГРУПП</v>
      </c>
      <c r="B415" s="198">
        <f>IFERROR(__xludf.DUMMYFUNCTION("""COMPUTED_VALUE"""),0.56)</f>
        <v>0.56</v>
      </c>
      <c r="C415" s="199" t="str">
        <f>IFERROR(__xludf.DUMMYFUNCTION("""COMPUTED_VALUE"""),"Нет")</f>
        <v>Нет</v>
      </c>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row>
    <row r="416">
      <c r="A416" s="197" t="str">
        <f>IFERROR(__xludf.DUMMYFUNCTION("""COMPUTED_VALUE"""),"ООО СТРОЙ ГРУПП")</f>
        <v>ООО СТРОЙ ГРУПП</v>
      </c>
      <c r="B416" s="198"/>
      <c r="C416" s="199" t="str">
        <f>IFERROR(__xludf.DUMMYFUNCTION("""COMPUTED_VALUE"""),"Да")</f>
        <v>Да</v>
      </c>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row>
    <row r="417">
      <c r="A417" s="197" t="str">
        <f>IFERROR(__xludf.DUMMYFUNCTION("""COMPUTED_VALUE"""),"ООО СТРОЙ ГРУПП")</f>
        <v>ООО СТРОЙ ГРУПП</v>
      </c>
      <c r="B417" s="198"/>
      <c r="C417" s="199" t="str">
        <f>IFERROR(__xludf.DUMMYFUNCTION("""COMPUTED_VALUE"""),"Нет")</f>
        <v>Нет</v>
      </c>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row>
    <row r="418">
      <c r="A418" s="197" t="str">
        <f>IFERROR(__xludf.DUMMYFUNCTION("""COMPUTED_VALUE"""),"ООО СТРОЙ ГРУПП")</f>
        <v>ООО СТРОЙ ГРУПП</v>
      </c>
      <c r="B418" s="198"/>
      <c r="C418" s="199" t="str">
        <f>IFERROR(__xludf.DUMMYFUNCTION("""COMPUTED_VALUE"""),"Да")</f>
        <v>Да</v>
      </c>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row>
    <row r="419">
      <c r="A419" s="197" t="str">
        <f>IFERROR(__xludf.DUMMYFUNCTION("""COMPUTED_VALUE"""),"ООО СТРОЙ ГРУПП")</f>
        <v>ООО СТРОЙ ГРУПП</v>
      </c>
      <c r="B419" s="198"/>
      <c r="C419" s="199" t="str">
        <f>IFERROR(__xludf.DUMMYFUNCTION("""COMPUTED_VALUE"""),"Да")</f>
        <v>Да</v>
      </c>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row>
    <row r="420">
      <c r="A420" s="197" t="str">
        <f>IFERROR(__xludf.DUMMYFUNCTION("""COMPUTED_VALUE"""),"ООО СТРОЙСЕРВИС")</f>
        <v>ООО СТРОЙСЕРВИС</v>
      </c>
      <c r="B420" s="198">
        <f>IFERROR(__xludf.DUMMYFUNCTION("""COMPUTED_VALUE"""),0.5)</f>
        <v>0.5</v>
      </c>
      <c r="C420" s="199" t="str">
        <f>IFERROR(__xludf.DUMMYFUNCTION("""COMPUTED_VALUE"""),"Нет")</f>
        <v>Нет</v>
      </c>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row>
    <row r="421">
      <c r="A421" s="197" t="str">
        <f>IFERROR(__xludf.DUMMYFUNCTION("""COMPUTED_VALUE"""),"ООО СТРОЙСНАБ")</f>
        <v>ООО СТРОЙСНАБ</v>
      </c>
      <c r="B421" s="198">
        <f>IFERROR(__xludf.DUMMYFUNCTION("""COMPUTED_VALUE"""),0.93)</f>
        <v>0.93</v>
      </c>
      <c r="C421" s="199" t="str">
        <f>IFERROR(__xludf.DUMMYFUNCTION("""COMPUTED_VALUE"""),"Частично")</f>
        <v>Частично</v>
      </c>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row>
    <row r="422">
      <c r="A422" s="197" t="str">
        <f>IFERROR(__xludf.DUMMYFUNCTION("""COMPUTED_VALUE"""),"ООО СТРОЙСНАБ")</f>
        <v>ООО СТРОЙСНАБ</v>
      </c>
      <c r="B422" s="198">
        <f>IFERROR(__xludf.DUMMYFUNCTION("""COMPUTED_VALUE"""),0.93)</f>
        <v>0.93</v>
      </c>
      <c r="C422" s="199" t="str">
        <f>IFERROR(__xludf.DUMMYFUNCTION("""COMPUTED_VALUE"""),"Да")</f>
        <v>Да</v>
      </c>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row>
    <row r="423">
      <c r="A423" s="197" t="str">
        <f>IFERROR(__xludf.DUMMYFUNCTION("""COMPUTED_VALUE"""),"ООО СТРОЙСНАБ")</f>
        <v>ООО СТРОЙСНАБ</v>
      </c>
      <c r="B423" s="198">
        <f>IFERROR(__xludf.DUMMYFUNCTION("""COMPUTED_VALUE"""),0.93)</f>
        <v>0.93</v>
      </c>
      <c r="C423" s="199" t="str">
        <f>IFERROR(__xludf.DUMMYFUNCTION("""COMPUTED_VALUE"""),"Да")</f>
        <v>Да</v>
      </c>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row>
    <row r="424">
      <c r="A424" s="197" t="str">
        <f>IFERROR(__xludf.DUMMYFUNCTION("""COMPUTED_VALUE"""),"ООО СУ-106")</f>
        <v>ООО СУ-106</v>
      </c>
      <c r="B424" s="198"/>
      <c r="C424" s="199" t="str">
        <f>IFERROR(__xludf.DUMMYFUNCTION("""COMPUTED_VALUE"""),"Да")</f>
        <v>Да</v>
      </c>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row>
    <row r="425">
      <c r="A425" s="197" t="str">
        <f>IFERROR(__xludf.DUMMYFUNCTION("""COMPUTED_VALUE"""),"ООО ТАРИУС ЭНЕРГО")</f>
        <v>ООО ТАРИУС ЭНЕРГО</v>
      </c>
      <c r="B425" s="198">
        <f>IFERROR(__xludf.DUMMYFUNCTION("""COMPUTED_VALUE"""),0.97)</f>
        <v>0.97</v>
      </c>
      <c r="C425" s="199" t="str">
        <f>IFERROR(__xludf.DUMMYFUNCTION("""COMPUTED_VALUE"""),"Частично")</f>
        <v>Частично</v>
      </c>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row>
    <row r="426">
      <c r="A426" s="197" t="str">
        <f>IFERROR(__xludf.DUMMYFUNCTION("""COMPUTED_VALUE"""),"ООО ТАРИУС ЭНЕРГО")</f>
        <v>ООО ТАРИУС ЭНЕРГО</v>
      </c>
      <c r="B426" s="198">
        <f>IFERROR(__xludf.DUMMYFUNCTION("""COMPUTED_VALUE"""),0.94)</f>
        <v>0.94</v>
      </c>
      <c r="C426" s="199" t="str">
        <f>IFERROR(__xludf.DUMMYFUNCTION("""COMPUTED_VALUE"""),"Да")</f>
        <v>Да</v>
      </c>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row>
    <row r="427">
      <c r="A427" s="197" t="str">
        <f>IFERROR(__xludf.DUMMYFUNCTION("""COMPUTED_VALUE"""),"ООО ТАРИУС ЭНЕРГО")</f>
        <v>ООО ТАРИУС ЭНЕРГО</v>
      </c>
      <c r="B427" s="198">
        <f>IFERROR(__xludf.DUMMYFUNCTION("""COMPUTED_VALUE"""),0.89)</f>
        <v>0.89</v>
      </c>
      <c r="C427" s="199" t="str">
        <f>IFERROR(__xludf.DUMMYFUNCTION("""COMPUTED_VALUE"""),"Частично")</f>
        <v>Частично</v>
      </c>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row>
    <row r="428">
      <c r="A428" s="197" t="str">
        <f>IFERROR(__xludf.DUMMYFUNCTION("""COMPUTED_VALUE"""),"ООО ТВЭЛ")</f>
        <v>ООО ТВЭЛ</v>
      </c>
      <c r="B428" s="198">
        <f>IFERROR(__xludf.DUMMYFUNCTION("""COMPUTED_VALUE"""),1.0)</f>
        <v>1</v>
      </c>
      <c r="C428" s="199" t="str">
        <f>IFERROR(__xludf.DUMMYFUNCTION("""COMPUTED_VALUE"""),"Да")</f>
        <v>Да</v>
      </c>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row>
    <row r="429">
      <c r="A429" s="197" t="str">
        <f>IFERROR(__xludf.DUMMYFUNCTION("""COMPUTED_VALUE"""),"ООО ТВЭЛ")</f>
        <v>ООО ТВЭЛ</v>
      </c>
      <c r="B429" s="198">
        <f>IFERROR(__xludf.DUMMYFUNCTION("""COMPUTED_VALUE"""),1.0)</f>
        <v>1</v>
      </c>
      <c r="C429" s="199" t="str">
        <f>IFERROR(__xludf.DUMMYFUNCTION("""COMPUTED_VALUE"""),"Да")</f>
        <v>Да</v>
      </c>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row>
    <row r="430">
      <c r="A430" s="197" t="str">
        <f>IFERROR(__xludf.DUMMYFUNCTION("""COMPUTED_VALUE"""),"ООО ТВЭЛ")</f>
        <v>ООО ТВЭЛ</v>
      </c>
      <c r="B430" s="198"/>
      <c r="C430" s="199" t="str">
        <f>IFERROR(__xludf.DUMMYFUNCTION("""COMPUTED_VALUE"""),"Да")</f>
        <v>Да</v>
      </c>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row>
    <row r="431">
      <c r="A431" s="197" t="str">
        <f>IFERROR(__xludf.DUMMYFUNCTION("""COMPUTED_VALUE"""),"ООО ТВЭЛ")</f>
        <v>ООО ТВЭЛ</v>
      </c>
      <c r="B431" s="198"/>
      <c r="C431" s="199" t="str">
        <f>IFERROR(__xludf.DUMMYFUNCTION("""COMPUTED_VALUE"""),"Да")</f>
        <v>Да</v>
      </c>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row>
    <row r="432">
      <c r="A432" s="197" t="str">
        <f>IFERROR(__xludf.DUMMYFUNCTION("""COMPUTED_VALUE"""),"ООО ТВЭЛ")</f>
        <v>ООО ТВЭЛ</v>
      </c>
      <c r="B432" s="198"/>
      <c r="C432" s="199" t="str">
        <f>IFERROR(__xludf.DUMMYFUNCTION("""COMPUTED_VALUE"""),"Да")</f>
        <v>Да</v>
      </c>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row>
    <row r="433">
      <c r="A433" s="197" t="str">
        <f>IFERROR(__xludf.DUMMYFUNCTION("""COMPUTED_VALUE"""),"ООО ТВЭЛ")</f>
        <v>ООО ТВЭЛ</v>
      </c>
      <c r="B433" s="198"/>
      <c r="C433" s="199" t="str">
        <f>IFERROR(__xludf.DUMMYFUNCTION("""COMPUTED_VALUE"""),"Да")</f>
        <v>Да</v>
      </c>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row>
    <row r="434">
      <c r="A434" s="197" t="str">
        <f>IFERROR(__xludf.DUMMYFUNCTION("""COMPUTED_VALUE"""),"ООО ТВЭЛ")</f>
        <v>ООО ТВЭЛ</v>
      </c>
      <c r="B434" s="198"/>
      <c r="C434" s="199" t="str">
        <f>IFERROR(__xludf.DUMMYFUNCTION("""COMPUTED_VALUE"""),"Да")</f>
        <v>Да</v>
      </c>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row>
    <row r="435">
      <c r="A435" s="197" t="str">
        <f>IFERROR(__xludf.DUMMYFUNCTION("""COMPUTED_VALUE"""),"ООО ТЕЗА-СТРОЙ")</f>
        <v>ООО ТЕЗА-СТРОЙ</v>
      </c>
      <c r="B435" s="198">
        <f>IFERROR(__xludf.DUMMYFUNCTION("""COMPUTED_VALUE"""),1.0)</f>
        <v>1</v>
      </c>
      <c r="C435" s="199" t="str">
        <f>IFERROR(__xludf.DUMMYFUNCTION("""COMPUTED_VALUE"""),"Да")</f>
        <v>Да</v>
      </c>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row>
    <row r="436">
      <c r="A436" s="197" t="str">
        <f>IFERROR(__xludf.DUMMYFUNCTION("""COMPUTED_VALUE"""),"ООО ТЕПЛОИНЖСТРОЙ")</f>
        <v>ООО ТЕПЛОИНЖСТРОЙ</v>
      </c>
      <c r="B436" s="198"/>
      <c r="C436" s="199" t="str">
        <f>IFERROR(__xludf.DUMMYFUNCTION("""COMPUTED_VALUE"""),"Да")</f>
        <v>Да</v>
      </c>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row>
    <row r="437">
      <c r="A437" s="197" t="str">
        <f>IFERROR(__xludf.DUMMYFUNCTION("""COMPUTED_VALUE"""),"ООО ТЕПЛОИНЖСТРОЙ")</f>
        <v>ООО ТЕПЛОИНЖСТРОЙ</v>
      </c>
      <c r="B437" s="198"/>
      <c r="C437" s="199" t="str">
        <f>IFERROR(__xludf.DUMMYFUNCTION("""COMPUTED_VALUE"""),"Да")</f>
        <v>Да</v>
      </c>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row>
    <row r="438">
      <c r="A438" s="197" t="str">
        <f>IFERROR(__xludf.DUMMYFUNCTION("""COMPUTED_VALUE"""),"ООО ТЕПЛОИНЖСТРОЙ")</f>
        <v>ООО ТЕПЛОИНЖСТРОЙ</v>
      </c>
      <c r="B438" s="198"/>
      <c r="C438" s="199" t="str">
        <f>IFERROR(__xludf.DUMMYFUNCTION("""COMPUTED_VALUE"""),"Да")</f>
        <v>Да</v>
      </c>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row>
    <row r="439">
      <c r="A439" s="197" t="str">
        <f>IFERROR(__xludf.DUMMYFUNCTION("""COMPUTED_VALUE"""),"ООО ТЕПЛОИНЖСТРОЙ")</f>
        <v>ООО ТЕПЛОИНЖСТРОЙ</v>
      </c>
      <c r="B439" s="198"/>
      <c r="C439" s="199" t="str">
        <f>IFERROR(__xludf.DUMMYFUNCTION("""COMPUTED_VALUE"""),"Да")</f>
        <v>Да</v>
      </c>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row>
    <row r="440">
      <c r="A440" s="197" t="str">
        <f>IFERROR(__xludf.DUMMYFUNCTION("""COMPUTED_VALUE"""),"ООО ТЕПЛОИНЖСТРОЙ")</f>
        <v>ООО ТЕПЛОИНЖСТРОЙ</v>
      </c>
      <c r="B440" s="198"/>
      <c r="C440" s="199" t="str">
        <f>IFERROR(__xludf.DUMMYFUNCTION("""COMPUTED_VALUE"""),"Да")</f>
        <v>Да</v>
      </c>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row>
    <row r="441">
      <c r="A441" s="197" t="str">
        <f>IFERROR(__xludf.DUMMYFUNCTION("""COMPUTED_VALUE"""),"ООО ТЕПЛОИНЖСТРОЙ")</f>
        <v>ООО ТЕПЛОИНЖСТРОЙ</v>
      </c>
      <c r="B441" s="198"/>
      <c r="C441" s="199" t="str">
        <f>IFERROR(__xludf.DUMMYFUNCTION("""COMPUTED_VALUE"""),"Да")</f>
        <v>Да</v>
      </c>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row>
    <row r="442">
      <c r="A442" s="197" t="str">
        <f>IFERROR(__xludf.DUMMYFUNCTION("""COMPUTED_VALUE"""),"ООО ТЕПЛОПОРТ")</f>
        <v>ООО ТЕПЛОПОРТ</v>
      </c>
      <c r="B442" s="198">
        <f>IFERROR(__xludf.DUMMYFUNCTION("""COMPUTED_VALUE"""),1.0)</f>
        <v>1</v>
      </c>
      <c r="C442" s="199" t="str">
        <f>IFERROR(__xludf.DUMMYFUNCTION("""COMPUTED_VALUE"""),"Да")</f>
        <v>Да</v>
      </c>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row>
    <row r="443">
      <c r="A443" s="197" t="str">
        <f>IFERROR(__xludf.DUMMYFUNCTION("""COMPUTED_VALUE"""),"ООО ТЕПЛОПОРТ")</f>
        <v>ООО ТЕПЛОПОРТ</v>
      </c>
      <c r="B443" s="198">
        <f>IFERROR(__xludf.DUMMYFUNCTION("""COMPUTED_VALUE"""),1.0)</f>
        <v>1</v>
      </c>
      <c r="C443" s="199" t="str">
        <f>IFERROR(__xludf.DUMMYFUNCTION("""COMPUTED_VALUE"""),"Да")</f>
        <v>Да</v>
      </c>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row>
    <row r="444">
      <c r="A444" s="197" t="str">
        <f>IFERROR(__xludf.DUMMYFUNCTION("""COMPUTED_VALUE"""),"ООО ТЕПЛОПОРТ")</f>
        <v>ООО ТЕПЛОПОРТ</v>
      </c>
      <c r="B444" s="198">
        <f>IFERROR(__xludf.DUMMYFUNCTION("""COMPUTED_VALUE"""),1.0)</f>
        <v>1</v>
      </c>
      <c r="C444" s="199" t="str">
        <f>IFERROR(__xludf.DUMMYFUNCTION("""COMPUTED_VALUE"""),"Да")</f>
        <v>Да</v>
      </c>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row>
    <row r="445">
      <c r="A445" s="197" t="str">
        <f>IFERROR(__xludf.DUMMYFUNCTION("""COMPUTED_VALUE"""),"ООО ТЕПЛОПОРТ")</f>
        <v>ООО ТЕПЛОПОРТ</v>
      </c>
      <c r="B445" s="198">
        <f>IFERROR(__xludf.DUMMYFUNCTION("""COMPUTED_VALUE"""),0.99)</f>
        <v>0.99</v>
      </c>
      <c r="C445" s="199" t="str">
        <f>IFERROR(__xludf.DUMMYFUNCTION("""COMPUTED_VALUE"""),"Да")</f>
        <v>Да</v>
      </c>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row>
    <row r="446">
      <c r="A446" s="197" t="str">
        <f>IFERROR(__xludf.DUMMYFUNCTION("""COMPUTED_VALUE"""),"ООО ТЕПЛОПОРТ")</f>
        <v>ООО ТЕПЛОПОРТ</v>
      </c>
      <c r="B446" s="198">
        <f>IFERROR(__xludf.DUMMYFUNCTION("""COMPUTED_VALUE"""),0.98)</f>
        <v>0.98</v>
      </c>
      <c r="C446" s="199" t="str">
        <f>IFERROR(__xludf.DUMMYFUNCTION("""COMPUTED_VALUE"""),"Да")</f>
        <v>Да</v>
      </c>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row>
    <row r="447">
      <c r="A447" s="197" t="str">
        <f>IFERROR(__xludf.DUMMYFUNCTION("""COMPUTED_VALUE"""),"ООО ТЕПЛОПОРТ")</f>
        <v>ООО ТЕПЛОПОРТ</v>
      </c>
      <c r="B447" s="198">
        <f>IFERROR(__xludf.DUMMYFUNCTION("""COMPUTED_VALUE"""),0.98)</f>
        <v>0.98</v>
      </c>
      <c r="C447" s="199" t="str">
        <f>IFERROR(__xludf.DUMMYFUNCTION("""COMPUTED_VALUE"""),"Частично")</f>
        <v>Частично</v>
      </c>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row>
    <row r="448">
      <c r="A448" s="197" t="str">
        <f>IFERROR(__xludf.DUMMYFUNCTION("""COMPUTED_VALUE"""),"ООО ТЕПЛОПОРТ")</f>
        <v>ООО ТЕПЛОПОРТ</v>
      </c>
      <c r="B448" s="198">
        <f>IFERROR(__xludf.DUMMYFUNCTION("""COMPUTED_VALUE"""),0.86)</f>
        <v>0.86</v>
      </c>
      <c r="C448" s="199" t="str">
        <f>IFERROR(__xludf.DUMMYFUNCTION("""COMPUTED_VALUE"""),"Нет")</f>
        <v>Нет</v>
      </c>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row>
    <row r="449">
      <c r="A449" s="197" t="str">
        <f>IFERROR(__xludf.DUMMYFUNCTION("""COMPUTED_VALUE"""),"ООО ТЕПЛОПОРТ")</f>
        <v>ООО ТЕПЛОПОРТ</v>
      </c>
      <c r="B449" s="198"/>
      <c r="C449" s="199" t="str">
        <f>IFERROR(__xludf.DUMMYFUNCTION("""COMPUTED_VALUE"""),"Да")</f>
        <v>Да</v>
      </c>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row>
    <row r="450">
      <c r="A450" s="197" t="str">
        <f>IFERROR(__xludf.DUMMYFUNCTION("""COMPUTED_VALUE"""),"ООО ТЕПЛОЭНЕРГОТЕХ")</f>
        <v>ООО ТЕПЛОЭНЕРГОТЕХ</v>
      </c>
      <c r="B450" s="198">
        <f>IFERROR(__xludf.DUMMYFUNCTION("""COMPUTED_VALUE"""),0.2)</f>
        <v>0.2</v>
      </c>
      <c r="C450" s="199" t="str">
        <f>IFERROR(__xludf.DUMMYFUNCTION("""COMPUTED_VALUE"""),"Нет")</f>
        <v>Нет</v>
      </c>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row>
    <row r="451">
      <c r="A451" s="197" t="str">
        <f>IFERROR(__xludf.DUMMYFUNCTION("""COMPUTED_VALUE"""),"ООО ТЕПЛОЭНЕРГОТЕХ")</f>
        <v>ООО ТЕПЛОЭНЕРГОТЕХ</v>
      </c>
      <c r="B451" s="198">
        <f>IFERROR(__xludf.DUMMYFUNCTION("""COMPUTED_VALUE"""),0.2)</f>
        <v>0.2</v>
      </c>
      <c r="C451" s="199" t="str">
        <f>IFERROR(__xludf.DUMMYFUNCTION("""COMPUTED_VALUE"""),"Нет")</f>
        <v>Нет</v>
      </c>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row>
    <row r="452">
      <c r="A452" s="197" t="str">
        <f>IFERROR(__xludf.DUMMYFUNCTION("""COMPUTED_VALUE"""),"ООО ТЕПЛОЭНЕРГОТЕХ")</f>
        <v>ООО ТЕПЛОЭНЕРГОТЕХ</v>
      </c>
      <c r="B452" s="198">
        <f>IFERROR(__xludf.DUMMYFUNCTION("""COMPUTED_VALUE"""),0.14)</f>
        <v>0.14</v>
      </c>
      <c r="C452" s="199" t="str">
        <f>IFERROR(__xludf.DUMMYFUNCTION("""COMPUTED_VALUE"""),"Нет")</f>
        <v>Нет</v>
      </c>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row>
    <row r="453">
      <c r="A453" s="197" t="str">
        <f>IFERROR(__xludf.DUMMYFUNCTION("""COMPUTED_VALUE"""),"ООО ТЕХНОЕВРОСТРОЙ")</f>
        <v>ООО ТЕХНОЕВРОСТРОЙ</v>
      </c>
      <c r="B453" s="198"/>
      <c r="C453" s="199" t="str">
        <f>IFERROR(__xludf.DUMMYFUNCTION("""COMPUTED_VALUE"""),"Да")</f>
        <v>Да</v>
      </c>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row>
    <row r="454">
      <c r="A454" s="197" t="str">
        <f>IFERROR(__xludf.DUMMYFUNCTION("""COMPUTED_VALUE"""),"ООО ТЕХНОЕВРОСТРОЙ")</f>
        <v>ООО ТЕХНОЕВРОСТРОЙ</v>
      </c>
      <c r="B454" s="198"/>
      <c r="C454" s="199" t="str">
        <f>IFERROR(__xludf.DUMMYFUNCTION("""COMPUTED_VALUE"""),"Да")</f>
        <v>Да</v>
      </c>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row>
    <row r="455">
      <c r="A455" s="197" t="str">
        <f>IFERROR(__xludf.DUMMYFUNCTION("""COMPUTED_VALUE"""),"ООО ТЕХПРОМСТРОЙ-13")</f>
        <v>ООО ТЕХПРОМСТРОЙ-13</v>
      </c>
      <c r="B455" s="198"/>
      <c r="C455" s="199" t="str">
        <f>IFERROR(__xludf.DUMMYFUNCTION("""COMPUTED_VALUE"""),"Да")</f>
        <v>Да</v>
      </c>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row>
    <row r="456">
      <c r="A456" s="197" t="str">
        <f>IFERROR(__xludf.DUMMYFUNCTION("""COMPUTED_VALUE"""),"ООО ТЕХПРОМСТРОЙ-13")</f>
        <v>ООО ТЕХПРОМСТРОЙ-13</v>
      </c>
      <c r="B456" s="198"/>
      <c r="C456" s="199" t="str">
        <f>IFERROR(__xludf.DUMMYFUNCTION("""COMPUTED_VALUE"""),"Да")</f>
        <v>Да</v>
      </c>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row>
    <row r="457">
      <c r="A457" s="197" t="str">
        <f>IFERROR(__xludf.DUMMYFUNCTION("""COMPUTED_VALUE"""),"ООО ТК СТРОЙ")</f>
        <v>ООО ТК СТРОЙ</v>
      </c>
      <c r="B457" s="198">
        <f>IFERROR(__xludf.DUMMYFUNCTION("""COMPUTED_VALUE"""),0.99)</f>
        <v>0.99</v>
      </c>
      <c r="C457" s="199" t="str">
        <f>IFERROR(__xludf.DUMMYFUNCTION("""COMPUTED_VALUE"""),"Нет")</f>
        <v>Нет</v>
      </c>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row>
    <row r="458">
      <c r="A458" s="197" t="str">
        <f>IFERROR(__xludf.DUMMYFUNCTION("""COMPUTED_VALUE"""),"ООО ТК СТРОЙ")</f>
        <v>ООО ТК СТРОЙ</v>
      </c>
      <c r="B458" s="198">
        <f>IFERROR(__xludf.DUMMYFUNCTION("""COMPUTED_VALUE"""),0.95)</f>
        <v>0.95</v>
      </c>
      <c r="C458" s="199" t="str">
        <f>IFERROR(__xludf.DUMMYFUNCTION("""COMPUTED_VALUE"""),"Частично")</f>
        <v>Частично</v>
      </c>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row>
    <row r="459">
      <c r="A459" s="197" t="str">
        <f>IFERROR(__xludf.DUMMYFUNCTION("""COMPUTED_VALUE"""),"ООО ТК СТРОЙ")</f>
        <v>ООО ТК СТРОЙ</v>
      </c>
      <c r="B459" s="198">
        <f>IFERROR(__xludf.DUMMYFUNCTION("""COMPUTED_VALUE"""),0.83)</f>
        <v>0.83</v>
      </c>
      <c r="C459" s="199" t="str">
        <f>IFERROR(__xludf.DUMMYFUNCTION("""COMPUTED_VALUE"""),"Нет")</f>
        <v>Нет</v>
      </c>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row>
    <row r="460">
      <c r="A460" s="197" t="str">
        <f>IFERROR(__xludf.DUMMYFUNCTION("""COMPUTED_VALUE"""),"ООО ТК СТРОЙ")</f>
        <v>ООО ТК СТРОЙ</v>
      </c>
      <c r="B460" s="198">
        <f>IFERROR(__xludf.DUMMYFUNCTION("""COMPUTED_VALUE"""),0.79)</f>
        <v>0.79</v>
      </c>
      <c r="C460" s="199" t="str">
        <f>IFERROR(__xludf.DUMMYFUNCTION("""COMPUTED_VALUE"""),"Нет")</f>
        <v>Нет</v>
      </c>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row>
    <row r="461">
      <c r="A461" s="197" t="str">
        <f>IFERROR(__xludf.DUMMYFUNCTION("""COMPUTED_VALUE"""),"ООО ТК СТРОЙ")</f>
        <v>ООО ТК СТРОЙ</v>
      </c>
      <c r="B461" s="198">
        <f>IFERROR(__xludf.DUMMYFUNCTION("""COMPUTED_VALUE"""),0.74)</f>
        <v>0.74</v>
      </c>
      <c r="C461" s="199" t="str">
        <f>IFERROR(__xludf.DUMMYFUNCTION("""COMPUTED_VALUE"""),"Нет")</f>
        <v>Нет</v>
      </c>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row>
    <row r="462">
      <c r="A462" s="197" t="str">
        <f>IFERROR(__xludf.DUMMYFUNCTION("""COMPUTED_VALUE"""),"ООО ТК СТРОЙ")</f>
        <v>ООО ТК СТРОЙ</v>
      </c>
      <c r="B462" s="198">
        <f>IFERROR(__xludf.DUMMYFUNCTION("""COMPUTED_VALUE"""),0.71)</f>
        <v>0.71</v>
      </c>
      <c r="C462" s="199" t="str">
        <f>IFERROR(__xludf.DUMMYFUNCTION("""COMPUTED_VALUE"""),"Нет")</f>
        <v>Нет</v>
      </c>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row>
    <row r="463">
      <c r="A463" s="197" t="str">
        <f>IFERROR(__xludf.DUMMYFUNCTION("""COMPUTED_VALUE"""),"ООО ТК СТРОЙ")</f>
        <v>ООО ТК СТРОЙ</v>
      </c>
      <c r="B463" s="198">
        <f>IFERROR(__xludf.DUMMYFUNCTION("""COMPUTED_VALUE"""),0.7)</f>
        <v>0.7</v>
      </c>
      <c r="C463" s="199" t="str">
        <f>IFERROR(__xludf.DUMMYFUNCTION("""COMPUTED_VALUE"""),"Нет")</f>
        <v>Нет</v>
      </c>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row>
    <row r="464">
      <c r="A464" s="197" t="str">
        <f>IFERROR(__xludf.DUMMYFUNCTION("""COMPUTED_VALUE"""),"ООО ТК СТРОЙ")</f>
        <v>ООО ТК СТРОЙ</v>
      </c>
      <c r="B464" s="198">
        <f>IFERROR(__xludf.DUMMYFUNCTION("""COMPUTED_VALUE"""),0.7)</f>
        <v>0.7</v>
      </c>
      <c r="C464" s="199" t="str">
        <f>IFERROR(__xludf.DUMMYFUNCTION("""COMPUTED_VALUE"""),"Нет")</f>
        <v>Нет</v>
      </c>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row>
    <row r="465">
      <c r="A465" s="197" t="str">
        <f>IFERROR(__xludf.DUMMYFUNCTION("""COMPUTED_VALUE"""),"ООО ТК СТРОЙ")</f>
        <v>ООО ТК СТРОЙ</v>
      </c>
      <c r="B465" s="198">
        <f>IFERROR(__xludf.DUMMYFUNCTION("""COMPUTED_VALUE"""),0.15)</f>
        <v>0.15</v>
      </c>
      <c r="C465" s="199" t="str">
        <f>IFERROR(__xludf.DUMMYFUNCTION("""COMPUTED_VALUE"""),"Нет")</f>
        <v>Нет</v>
      </c>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row>
    <row r="466">
      <c r="A466" s="197" t="str">
        <f>IFERROR(__xludf.DUMMYFUNCTION("""COMPUTED_VALUE"""),"ООО ТПП КОНТУР")</f>
        <v>ООО ТПП КОНТУР</v>
      </c>
      <c r="B466" s="198">
        <f>IFERROR(__xludf.DUMMYFUNCTION("""COMPUTED_VALUE"""),0.75)</f>
        <v>0.75</v>
      </c>
      <c r="C466" s="199" t="str">
        <f>IFERROR(__xludf.DUMMYFUNCTION("""COMPUTED_VALUE"""),"Нет")</f>
        <v>Нет</v>
      </c>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row>
    <row r="467">
      <c r="A467" s="197" t="str">
        <f>IFERROR(__xludf.DUMMYFUNCTION("""COMPUTED_VALUE"""),"ООО ТПП КОНТУР")</f>
        <v>ООО ТПП КОНТУР</v>
      </c>
      <c r="B467" s="198">
        <f>IFERROR(__xludf.DUMMYFUNCTION("""COMPUTED_VALUE"""),0.25)</f>
        <v>0.25</v>
      </c>
      <c r="C467" s="199" t="str">
        <f>IFERROR(__xludf.DUMMYFUNCTION("""COMPUTED_VALUE"""),"Нет")</f>
        <v>Нет</v>
      </c>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row>
    <row r="468">
      <c r="A468" s="197" t="str">
        <f>IFERROR(__xludf.DUMMYFUNCTION("""COMPUTED_VALUE"""),"ООО ТПП КОНТУР")</f>
        <v>ООО ТПП КОНТУР</v>
      </c>
      <c r="B468" s="198">
        <f>IFERROR(__xludf.DUMMYFUNCTION("""COMPUTED_VALUE"""),0.21)</f>
        <v>0.21</v>
      </c>
      <c r="C468" s="199" t="str">
        <f>IFERROR(__xludf.DUMMYFUNCTION("""COMPUTED_VALUE"""),"Нет")</f>
        <v>Нет</v>
      </c>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row>
    <row r="469">
      <c r="A469" s="197" t="str">
        <f>IFERROR(__xludf.DUMMYFUNCTION("""COMPUTED_VALUE"""),"ООО ТРАССТРОЙ")</f>
        <v>ООО ТРАССТРОЙ</v>
      </c>
      <c r="B469" s="198">
        <f>IFERROR(__xludf.DUMMYFUNCTION("""COMPUTED_VALUE"""),1.0)</f>
        <v>1</v>
      </c>
      <c r="C469" s="199" t="str">
        <f>IFERROR(__xludf.DUMMYFUNCTION("""COMPUTED_VALUE"""),"Да")</f>
        <v>Да</v>
      </c>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row>
    <row r="470">
      <c r="A470" s="197" t="str">
        <f>IFERROR(__xludf.DUMMYFUNCTION("""COMPUTED_VALUE"""),"ООО ТРАССТРОЙ")</f>
        <v>ООО ТРАССТРОЙ</v>
      </c>
      <c r="B470" s="198">
        <f>IFERROR(__xludf.DUMMYFUNCTION("""COMPUTED_VALUE"""),1.0)</f>
        <v>1</v>
      </c>
      <c r="C470" s="199" t="str">
        <f>IFERROR(__xludf.DUMMYFUNCTION("""COMPUTED_VALUE"""),"Да")</f>
        <v>Да</v>
      </c>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row>
    <row r="471">
      <c r="A471" s="197" t="str">
        <f>IFERROR(__xludf.DUMMYFUNCTION("""COMPUTED_VALUE"""),"ООО ТРАССТРОЙ")</f>
        <v>ООО ТРАССТРОЙ</v>
      </c>
      <c r="B471" s="198">
        <f>IFERROR(__xludf.DUMMYFUNCTION("""COMPUTED_VALUE"""),1.0)</f>
        <v>1</v>
      </c>
      <c r="C471" s="199" t="str">
        <f>IFERROR(__xludf.DUMMYFUNCTION("""COMPUTED_VALUE"""),"Да")</f>
        <v>Да</v>
      </c>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row>
    <row r="472">
      <c r="A472" s="197" t="str">
        <f>IFERROR(__xludf.DUMMYFUNCTION("""COMPUTED_VALUE"""),"ООО ТРОЯ")</f>
        <v>ООО ТРОЯ</v>
      </c>
      <c r="B472" s="198">
        <f>IFERROR(__xludf.DUMMYFUNCTION("""COMPUTED_VALUE"""),0.21)</f>
        <v>0.21</v>
      </c>
      <c r="C472" s="199" t="str">
        <f>IFERROR(__xludf.DUMMYFUNCTION("""COMPUTED_VALUE"""),"Нет")</f>
        <v>Нет</v>
      </c>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row>
    <row r="473">
      <c r="A473" s="197" t="str">
        <f>IFERROR(__xludf.DUMMYFUNCTION("""COMPUTED_VALUE"""),"ООО ТУЛАОБОРОНСТРОЙ")</f>
        <v>ООО ТУЛАОБОРОНСТРОЙ</v>
      </c>
      <c r="B473" s="198">
        <f>IFERROR(__xludf.DUMMYFUNCTION("""COMPUTED_VALUE"""),0.75)</f>
        <v>0.75</v>
      </c>
      <c r="C473" s="199" t="str">
        <f>IFERROR(__xludf.DUMMYFUNCTION("""COMPUTED_VALUE"""),"Частично")</f>
        <v>Частично</v>
      </c>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row>
    <row r="474">
      <c r="A474" s="197" t="str">
        <f>IFERROR(__xludf.DUMMYFUNCTION("""COMPUTED_VALUE"""),"ООО ТУЛАОБОРОНСТРОЙ")</f>
        <v>ООО ТУЛАОБОРОНСТРОЙ</v>
      </c>
      <c r="B474" s="198">
        <f>IFERROR(__xludf.DUMMYFUNCTION("""COMPUTED_VALUE"""),0.7)</f>
        <v>0.7</v>
      </c>
      <c r="C474" s="199" t="str">
        <f>IFERROR(__xludf.DUMMYFUNCTION("""COMPUTED_VALUE"""),"Частично")</f>
        <v>Частично</v>
      </c>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row>
    <row r="475">
      <c r="A475" s="197" t="str">
        <f>IFERROR(__xludf.DUMMYFUNCTION("""COMPUTED_VALUE"""),"ООО ТУЛАОБОРОНСТРОЙ")</f>
        <v>ООО ТУЛАОБОРОНСТРОЙ</v>
      </c>
      <c r="B475" s="198">
        <f>IFERROR(__xludf.DUMMYFUNCTION("""COMPUTED_VALUE"""),0.2)</f>
        <v>0.2</v>
      </c>
      <c r="C475" s="199" t="str">
        <f>IFERROR(__xludf.DUMMYFUNCTION("""COMPUTED_VALUE"""),"Нет")</f>
        <v>Нет</v>
      </c>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row>
    <row r="476">
      <c r="A476" s="197" t="str">
        <f>IFERROR(__xludf.DUMMYFUNCTION("""COMPUTED_VALUE"""),"ООО ТЭСКИП")</f>
        <v>ООО ТЭСКИП</v>
      </c>
      <c r="B476" s="198">
        <f>IFERROR(__xludf.DUMMYFUNCTION("""COMPUTED_VALUE"""),0.97)</f>
        <v>0.97</v>
      </c>
      <c r="C476" s="199" t="str">
        <f>IFERROR(__xludf.DUMMYFUNCTION("""COMPUTED_VALUE"""),"Частично")</f>
        <v>Частично</v>
      </c>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row>
    <row r="477">
      <c r="A477" s="197" t="str">
        <f>IFERROR(__xludf.DUMMYFUNCTION("""COMPUTED_VALUE"""),"ООО ТЭСКИП")</f>
        <v>ООО ТЭСКИП</v>
      </c>
      <c r="B477" s="198"/>
      <c r="C477" s="199" t="str">
        <f>IFERROR(__xludf.DUMMYFUNCTION("""COMPUTED_VALUE"""),"Да")</f>
        <v>Да</v>
      </c>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row>
    <row r="478">
      <c r="A478" s="197" t="str">
        <f>IFERROR(__xludf.DUMMYFUNCTION("""COMPUTED_VALUE"""),"ООО ТЭСКИП")</f>
        <v>ООО ТЭСКИП</v>
      </c>
      <c r="B478" s="198"/>
      <c r="C478" s="199" t="str">
        <f>IFERROR(__xludf.DUMMYFUNCTION("""COMPUTED_VALUE"""),"Нет")</f>
        <v>Нет</v>
      </c>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row>
    <row r="479">
      <c r="A479" s="197" t="str">
        <f>IFERROR(__xludf.DUMMYFUNCTION("""COMPUTED_VALUE"""),"ООО ТЭСКИП")</f>
        <v>ООО ТЭСКИП</v>
      </c>
      <c r="B479" s="198"/>
      <c r="C479" s="199" t="str">
        <f>IFERROR(__xludf.DUMMYFUNCTION("""COMPUTED_VALUE"""),"Нет")</f>
        <v>Нет</v>
      </c>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row>
    <row r="480">
      <c r="A480" s="197" t="str">
        <f>IFERROR(__xludf.DUMMYFUNCTION("""COMPUTED_VALUE"""),"ООО ТЭСКИП")</f>
        <v>ООО ТЭСКИП</v>
      </c>
      <c r="B480" s="198"/>
      <c r="C480" s="199" t="str">
        <f>IFERROR(__xludf.DUMMYFUNCTION("""COMPUTED_VALUE"""),"Частично")</f>
        <v>Частично</v>
      </c>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row>
    <row r="481">
      <c r="A481" s="197" t="str">
        <f>IFERROR(__xludf.DUMMYFUNCTION("""COMPUTED_VALUE"""),"ООО УНИСТРОЙ")</f>
        <v>ООО УНИСТРОЙ</v>
      </c>
      <c r="B481" s="198">
        <f>IFERROR(__xludf.DUMMYFUNCTION("""COMPUTED_VALUE"""),0.92)</f>
        <v>0.92</v>
      </c>
      <c r="C481" s="199" t="str">
        <f>IFERROR(__xludf.DUMMYFUNCTION("""COMPUTED_VALUE"""),"Частично")</f>
        <v>Частично</v>
      </c>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row>
    <row r="482">
      <c r="A482" s="197" t="str">
        <f>IFERROR(__xludf.DUMMYFUNCTION("""COMPUTED_VALUE"""),"ООО УНИСТРОЙ")</f>
        <v>ООО УНИСТРОЙ</v>
      </c>
      <c r="B482" s="198">
        <f>IFERROR(__xludf.DUMMYFUNCTION("""COMPUTED_VALUE"""),0.81)</f>
        <v>0.81</v>
      </c>
      <c r="C482" s="199" t="str">
        <f>IFERROR(__xludf.DUMMYFUNCTION("""COMPUTED_VALUE"""),"Частично")</f>
        <v>Частично</v>
      </c>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row>
    <row r="483">
      <c r="A483" s="197" t="str">
        <f>IFERROR(__xludf.DUMMYFUNCTION("""COMPUTED_VALUE"""),"ООО ЭКОМОНТАЖ")</f>
        <v>ООО ЭКОМОНТАЖ</v>
      </c>
      <c r="B483" s="198">
        <f>IFERROR(__xludf.DUMMYFUNCTION("""COMPUTED_VALUE"""),0.89)</f>
        <v>0.89</v>
      </c>
      <c r="C483" s="199" t="str">
        <f>IFERROR(__xludf.DUMMYFUNCTION("""COMPUTED_VALUE"""),"Частично")</f>
        <v>Частично</v>
      </c>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row>
    <row r="484">
      <c r="A484" s="197" t="str">
        <f>IFERROR(__xludf.DUMMYFUNCTION("""COMPUTED_VALUE"""),"ООО ЭКОМОНТАЖ")</f>
        <v>ООО ЭКОМОНТАЖ</v>
      </c>
      <c r="B484" s="198">
        <f>IFERROR(__xludf.DUMMYFUNCTION("""COMPUTED_VALUE"""),0.89)</f>
        <v>0.89</v>
      </c>
      <c r="C484" s="199" t="str">
        <f>IFERROR(__xludf.DUMMYFUNCTION("""COMPUTED_VALUE"""),"Частично")</f>
        <v>Частично</v>
      </c>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row>
    <row r="485">
      <c r="A485" s="197" t="str">
        <f>IFERROR(__xludf.DUMMYFUNCTION("""COMPUTED_VALUE"""),"ООО ЭКОМОНТАЖ")</f>
        <v>ООО ЭКОМОНТАЖ</v>
      </c>
      <c r="B485" s="198">
        <f>IFERROR(__xludf.DUMMYFUNCTION("""COMPUTED_VALUE"""),0.87)</f>
        <v>0.87</v>
      </c>
      <c r="C485" s="199" t="str">
        <f>IFERROR(__xludf.DUMMYFUNCTION("""COMPUTED_VALUE"""),"Частично")</f>
        <v>Частично</v>
      </c>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row>
    <row r="486">
      <c r="A486" s="197" t="str">
        <f>IFERROR(__xludf.DUMMYFUNCTION("""COMPUTED_VALUE"""),"ООО ЭКОМОНТАЖ")</f>
        <v>ООО ЭКОМОНТАЖ</v>
      </c>
      <c r="B486" s="198"/>
      <c r="C486" s="199" t="str">
        <f>IFERROR(__xludf.DUMMYFUNCTION("""COMPUTED_VALUE"""),"Да")</f>
        <v>Да</v>
      </c>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row>
    <row r="487">
      <c r="A487" s="197" t="str">
        <f>IFERROR(__xludf.DUMMYFUNCTION("""COMPUTED_VALUE"""),"ООО ЭКОМОНТАЖ")</f>
        <v>ООО ЭКОМОНТАЖ</v>
      </c>
      <c r="B487" s="198"/>
      <c r="C487" s="199" t="str">
        <f>IFERROR(__xludf.DUMMYFUNCTION("""COMPUTED_VALUE"""),"Да")</f>
        <v>Да</v>
      </c>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row>
    <row r="488">
      <c r="A488" s="197" t="str">
        <f>IFERROR(__xludf.DUMMYFUNCTION("""COMPUTED_VALUE"""),"ООО ЭКОМОНТАЖ")</f>
        <v>ООО ЭКОМОНТАЖ</v>
      </c>
      <c r="B488" s="198"/>
      <c r="C488" s="199" t="str">
        <f>IFERROR(__xludf.DUMMYFUNCTION("""COMPUTED_VALUE"""),"Да")</f>
        <v>Да</v>
      </c>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row>
    <row r="489">
      <c r="A489" s="197" t="str">
        <f>IFERROR(__xludf.DUMMYFUNCTION("""COMPUTED_VALUE"""),"ООО ЭЛЕКТРЕТИКА")</f>
        <v>ООО ЭЛЕКТРЕТИКА</v>
      </c>
      <c r="B489" s="198"/>
      <c r="C489" s="199" t="str">
        <f>IFERROR(__xludf.DUMMYFUNCTION("""COMPUTED_VALUE"""),"Да")</f>
        <v>Да</v>
      </c>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row>
    <row r="490">
      <c r="A490" s="197" t="str">
        <f>IFERROR(__xludf.DUMMYFUNCTION("""COMPUTED_VALUE"""),"ООО ЭНЕРГОИНДУСТРИЯ")</f>
        <v>ООО ЭНЕРГОИНДУСТРИЯ</v>
      </c>
      <c r="B490" s="198">
        <f>IFERROR(__xludf.DUMMYFUNCTION("""COMPUTED_VALUE"""),0.97)</f>
        <v>0.97</v>
      </c>
      <c r="C490" s="199" t="str">
        <f>IFERROR(__xludf.DUMMYFUNCTION("""COMPUTED_VALUE"""),"Нет")</f>
        <v>Нет</v>
      </c>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row>
    <row r="491">
      <c r="A491" s="197" t="str">
        <f>IFERROR(__xludf.DUMMYFUNCTION("""COMPUTED_VALUE"""),"ООО ЭНЕРГОРЕМСТРОЙ")</f>
        <v>ООО ЭНЕРГОРЕМСТРОЙ</v>
      </c>
      <c r="B491" s="198"/>
      <c r="C491" s="199" t="str">
        <f>IFERROR(__xludf.DUMMYFUNCTION("""COMPUTED_VALUE"""),"Да")</f>
        <v>Да</v>
      </c>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row>
    <row r="492">
      <c r="A492" s="197" t="str">
        <f>IFERROR(__xludf.DUMMYFUNCTION("""COMPUTED_VALUE"""),"ООО ЭРГАНА")</f>
        <v>ООО ЭРГАНА</v>
      </c>
      <c r="B492" s="198">
        <f>IFERROR(__xludf.DUMMYFUNCTION("""COMPUTED_VALUE"""),0.85)</f>
        <v>0.85</v>
      </c>
      <c r="C492" s="199" t="str">
        <f>IFERROR(__xludf.DUMMYFUNCTION("""COMPUTED_VALUE"""),"Да")</f>
        <v>Да</v>
      </c>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row>
    <row r="493">
      <c r="A493" s="197" t="str">
        <f>IFERROR(__xludf.DUMMYFUNCTION("""COMPUTED_VALUE"""),"ООО ЭРГАНА")</f>
        <v>ООО ЭРГАНА</v>
      </c>
      <c r="B493" s="198">
        <f>IFERROR(__xludf.DUMMYFUNCTION("""COMPUTED_VALUE"""),0.77)</f>
        <v>0.77</v>
      </c>
      <c r="C493" s="199" t="str">
        <f>IFERROR(__xludf.DUMMYFUNCTION("""COMPUTED_VALUE"""),"Да")</f>
        <v>Да</v>
      </c>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row>
    <row r="494">
      <c r="A494" s="197" t="str">
        <f>IFERROR(__xludf.DUMMYFUNCTION("""COMPUTED_VALUE"""),"ООО ЭРГАНА")</f>
        <v>ООО ЭРГАНА</v>
      </c>
      <c r="B494" s="198">
        <f>IFERROR(__xludf.DUMMYFUNCTION("""COMPUTED_VALUE"""),0.75)</f>
        <v>0.75</v>
      </c>
      <c r="C494" s="199" t="str">
        <f>IFERROR(__xludf.DUMMYFUNCTION("""COMPUTED_VALUE"""),"Частично")</f>
        <v>Частично</v>
      </c>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row>
    <row r="495">
      <c r="A495" s="197" t="str">
        <f>IFERROR(__xludf.DUMMYFUNCTION("""COMPUTED_VALUE"""),"ООО ЭРГАНА")</f>
        <v>ООО ЭРГАНА</v>
      </c>
      <c r="B495" s="198">
        <f>IFERROR(__xludf.DUMMYFUNCTION("""COMPUTED_VALUE"""),0.7)</f>
        <v>0.7</v>
      </c>
      <c r="C495" s="199" t="str">
        <f>IFERROR(__xludf.DUMMYFUNCTION("""COMPUTED_VALUE"""),"Нет")</f>
        <v>Нет</v>
      </c>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row>
    <row r="496">
      <c r="A496" s="197" t="str">
        <f>IFERROR(__xludf.DUMMYFUNCTION("""COMPUTED_VALUE"""),"ООО ЭРГАНА")</f>
        <v>ООО ЭРГАНА</v>
      </c>
      <c r="B496" s="198">
        <f>IFERROR(__xludf.DUMMYFUNCTION("""COMPUTED_VALUE"""),0.68)</f>
        <v>0.68</v>
      </c>
      <c r="C496" s="199" t="str">
        <f>IFERROR(__xludf.DUMMYFUNCTION("""COMPUTED_VALUE"""),"Нет")</f>
        <v>Нет</v>
      </c>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row>
    <row r="497">
      <c r="A497" s="197" t="str">
        <f>IFERROR(__xludf.DUMMYFUNCTION("""COMPUTED_VALUE"""),"ООО ЭРГАНА")</f>
        <v>ООО ЭРГАНА</v>
      </c>
      <c r="B497" s="198">
        <f>IFERROR(__xludf.DUMMYFUNCTION("""COMPUTED_VALUE"""),0.65)</f>
        <v>0.65</v>
      </c>
      <c r="C497" s="199" t="str">
        <f>IFERROR(__xludf.DUMMYFUNCTION("""COMPUTED_VALUE"""),"Нет")</f>
        <v>Нет</v>
      </c>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row>
    <row r="498">
      <c r="A498" s="197" t="str">
        <f>IFERROR(__xludf.DUMMYFUNCTION("""COMPUTED_VALUE"""),"ООО ЭРГАНА")</f>
        <v>ООО ЭРГАНА</v>
      </c>
      <c r="B498" s="198">
        <f>IFERROR(__xludf.DUMMYFUNCTION("""COMPUTED_VALUE"""),0.57)</f>
        <v>0.57</v>
      </c>
      <c r="C498" s="199" t="str">
        <f>IFERROR(__xludf.DUMMYFUNCTION("""COMPUTED_VALUE"""),"Нет")</f>
        <v>Нет</v>
      </c>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row>
    <row r="499">
      <c r="A499" s="197" t="str">
        <f>IFERROR(__xludf.DUMMYFUNCTION("""COMPUTED_VALUE"""),"ООО ЭРГАНА")</f>
        <v>ООО ЭРГАНА</v>
      </c>
      <c r="B499" s="198">
        <f>IFERROR(__xludf.DUMMYFUNCTION("""COMPUTED_VALUE"""),0.57)</f>
        <v>0.57</v>
      </c>
      <c r="C499" s="199" t="str">
        <f>IFERROR(__xludf.DUMMYFUNCTION("""COMPUTED_VALUE"""),"Нет")</f>
        <v>Нет</v>
      </c>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row>
    <row r="500">
      <c r="A500" s="197" t="str">
        <f>IFERROR(__xludf.DUMMYFUNCTION("""COMPUTED_VALUE"""),"ООО ЭРГАНА")</f>
        <v>ООО ЭРГАНА</v>
      </c>
      <c r="B500" s="198"/>
      <c r="C500" s="199" t="str">
        <f>IFERROR(__xludf.DUMMYFUNCTION("""COMPUTED_VALUE"""),"Да")</f>
        <v>Да</v>
      </c>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row>
    <row r="501">
      <c r="A501" s="197" t="str">
        <f>IFERROR(__xludf.DUMMYFUNCTION("""COMPUTED_VALUE"""),"ООО ЭТС")</f>
        <v>ООО ЭТС</v>
      </c>
      <c r="B501" s="198">
        <f>IFERROR(__xludf.DUMMYFUNCTION("""COMPUTED_VALUE"""),0.94)</f>
        <v>0.94</v>
      </c>
      <c r="C501" s="199" t="str">
        <f>IFERROR(__xludf.DUMMYFUNCTION("""COMPUTED_VALUE"""),"Нет")</f>
        <v>Нет</v>
      </c>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row>
    <row r="502">
      <c r="A502" s="194" t="str">
        <f>IFERROR(__xludf.DUMMYFUNCTION("""COMPUTED_VALUE"""),"ООО ЭТС")</f>
        <v>ООО ЭТС</v>
      </c>
      <c r="B502" s="195"/>
      <c r="C502" s="196" t="str">
        <f>IFERROR(__xludf.DUMMYFUNCTION("""COMPUTED_VALUE"""),"Да")</f>
        <v>Да</v>
      </c>
    </row>
    <row r="503">
      <c r="A503" s="194"/>
    </row>
    <row r="504">
      <c r="A504" s="194"/>
    </row>
    <row r="505">
      <c r="A505" s="194"/>
    </row>
    <row r="506">
      <c r="A506" s="194"/>
    </row>
    <row r="507">
      <c r="A507" s="194"/>
    </row>
    <row r="508">
      <c r="A508" s="194"/>
    </row>
    <row r="509">
      <c r="A509" s="194"/>
    </row>
    <row r="510">
      <c r="A510" s="194"/>
    </row>
    <row r="511">
      <c r="A511" s="194"/>
    </row>
    <row r="512">
      <c r="A512" s="194"/>
    </row>
    <row r="513">
      <c r="A513" s="194"/>
    </row>
    <row r="514">
      <c r="A514" s="194"/>
    </row>
    <row r="515">
      <c r="A515" s="194"/>
    </row>
    <row r="516">
      <c r="A516" s="194"/>
    </row>
    <row r="517">
      <c r="A517" s="194"/>
    </row>
    <row r="518">
      <c r="A518" s="194"/>
    </row>
    <row r="519">
      <c r="A519" s="194"/>
    </row>
    <row r="520">
      <c r="A520" s="194"/>
    </row>
    <row r="521">
      <c r="A521" s="194"/>
    </row>
    <row r="522">
      <c r="A522" s="194"/>
    </row>
    <row r="523">
      <c r="A523" s="194"/>
    </row>
    <row r="524">
      <c r="A524" s="194"/>
    </row>
    <row r="525">
      <c r="A525" s="194"/>
    </row>
    <row r="526">
      <c r="A526" s="194"/>
    </row>
    <row r="527">
      <c r="A527" s="194"/>
    </row>
    <row r="528">
      <c r="A528" s="194"/>
    </row>
    <row r="529">
      <c r="A529" s="194"/>
    </row>
    <row r="530">
      <c r="A530" s="194"/>
    </row>
    <row r="531">
      <c r="A531" s="194"/>
    </row>
    <row r="532">
      <c r="A532" s="194"/>
    </row>
    <row r="533">
      <c r="A533" s="194"/>
    </row>
    <row r="534">
      <c r="A534" s="194"/>
    </row>
    <row r="535">
      <c r="A535" s="194"/>
    </row>
    <row r="536">
      <c r="A536" s="194"/>
    </row>
    <row r="537">
      <c r="A537" s="194"/>
    </row>
    <row r="538">
      <c r="A538" s="194"/>
    </row>
    <row r="539">
      <c r="A539" s="194"/>
    </row>
    <row r="540">
      <c r="A540" s="194"/>
    </row>
    <row r="541">
      <c r="A541" s="194"/>
    </row>
    <row r="542">
      <c r="A542" s="194"/>
    </row>
    <row r="543">
      <c r="A543" s="194"/>
    </row>
    <row r="544">
      <c r="A544" s="194"/>
    </row>
    <row r="545">
      <c r="A545" s="194"/>
    </row>
    <row r="546">
      <c r="A546" s="194"/>
    </row>
    <row r="547">
      <c r="A547" s="194"/>
    </row>
    <row r="548">
      <c r="A548" s="194"/>
    </row>
    <row r="549">
      <c r="A549" s="194"/>
    </row>
    <row r="550">
      <c r="A550" s="194"/>
    </row>
    <row r="551">
      <c r="A551" s="194"/>
    </row>
    <row r="552">
      <c r="A552" s="194"/>
    </row>
    <row r="553">
      <c r="A553" s="194"/>
    </row>
    <row r="554">
      <c r="A554" s="194"/>
    </row>
    <row r="555">
      <c r="A555" s="194"/>
    </row>
    <row r="556">
      <c r="A556" s="194"/>
    </row>
    <row r="557">
      <c r="A557" s="194"/>
    </row>
    <row r="558">
      <c r="A558" s="194"/>
    </row>
    <row r="559">
      <c r="A559" s="194"/>
    </row>
    <row r="560">
      <c r="A560" s="194"/>
    </row>
    <row r="561">
      <c r="A561" s="194"/>
    </row>
    <row r="562">
      <c r="A562" s="194"/>
    </row>
    <row r="563">
      <c r="A563" s="194"/>
    </row>
    <row r="564">
      <c r="A564" s="194"/>
    </row>
    <row r="565">
      <c r="A565" s="194"/>
    </row>
    <row r="566">
      <c r="A566" s="194"/>
    </row>
    <row r="567">
      <c r="A567" s="194"/>
    </row>
    <row r="568">
      <c r="A568" s="194"/>
    </row>
    <row r="569">
      <c r="A569" s="194"/>
    </row>
    <row r="570">
      <c r="A570" s="194"/>
    </row>
    <row r="571">
      <c r="A571" s="194"/>
    </row>
    <row r="572">
      <c r="A572" s="194"/>
    </row>
    <row r="573">
      <c r="A573" s="194"/>
    </row>
    <row r="574">
      <c r="A574" s="194"/>
    </row>
    <row r="575">
      <c r="A575" s="194"/>
    </row>
    <row r="576">
      <c r="A576" s="194"/>
    </row>
    <row r="577">
      <c r="A577" s="194"/>
    </row>
    <row r="578">
      <c r="A578" s="194"/>
    </row>
    <row r="579">
      <c r="A579" s="194"/>
    </row>
    <row r="580">
      <c r="A580" s="194"/>
    </row>
    <row r="581">
      <c r="A581" s="194"/>
    </row>
    <row r="582">
      <c r="A582" s="194"/>
    </row>
    <row r="583">
      <c r="A583" s="194"/>
    </row>
    <row r="584">
      <c r="A584" s="194"/>
    </row>
    <row r="585">
      <c r="A585" s="194"/>
    </row>
    <row r="586">
      <c r="A586" s="194"/>
    </row>
    <row r="587">
      <c r="A587" s="194"/>
    </row>
    <row r="588">
      <c r="A588" s="194"/>
    </row>
    <row r="589">
      <c r="A589" s="194"/>
    </row>
    <row r="590">
      <c r="A590" s="194"/>
    </row>
    <row r="591">
      <c r="A591" s="194"/>
    </row>
    <row r="592">
      <c r="A592" s="194"/>
    </row>
    <row r="593">
      <c r="A593" s="194"/>
    </row>
    <row r="594">
      <c r="A594" s="194"/>
    </row>
    <row r="595">
      <c r="A595" s="194"/>
    </row>
    <row r="596">
      <c r="A596" s="194"/>
    </row>
    <row r="597">
      <c r="A597" s="194"/>
    </row>
    <row r="598">
      <c r="A598" s="194"/>
    </row>
    <row r="599">
      <c r="A599" s="194"/>
    </row>
    <row r="600">
      <c r="A600" s="194"/>
    </row>
    <row r="601">
      <c r="A601" s="194"/>
    </row>
    <row r="602">
      <c r="A602" s="194"/>
    </row>
    <row r="603">
      <c r="A603" s="194"/>
    </row>
    <row r="604">
      <c r="A604" s="194"/>
    </row>
    <row r="605">
      <c r="A605" s="194"/>
    </row>
    <row r="606">
      <c r="A606" s="194"/>
    </row>
    <row r="607">
      <c r="A607" s="194"/>
    </row>
    <row r="608">
      <c r="A608" s="194"/>
    </row>
    <row r="609">
      <c r="A609" s="194"/>
    </row>
    <row r="610">
      <c r="A610" s="194"/>
    </row>
    <row r="611">
      <c r="A611" s="194"/>
    </row>
    <row r="612">
      <c r="A612" s="194"/>
    </row>
    <row r="613">
      <c r="A613" s="194"/>
    </row>
    <row r="614">
      <c r="A614" s="194"/>
    </row>
    <row r="615">
      <c r="A615" s="194"/>
    </row>
    <row r="616">
      <c r="A616" s="194"/>
    </row>
    <row r="617">
      <c r="A617" s="194"/>
    </row>
    <row r="618">
      <c r="A618" s="194"/>
    </row>
    <row r="619">
      <c r="A619" s="194"/>
    </row>
    <row r="620">
      <c r="A620" s="194"/>
    </row>
    <row r="621">
      <c r="A621" s="194"/>
    </row>
    <row r="622">
      <c r="A622" s="194"/>
    </row>
    <row r="623">
      <c r="A623" s="194"/>
    </row>
    <row r="624">
      <c r="A624" s="194"/>
    </row>
    <row r="625">
      <c r="A625" s="194"/>
    </row>
    <row r="626">
      <c r="A626" s="194"/>
    </row>
    <row r="627">
      <c r="A627" s="194"/>
    </row>
    <row r="628">
      <c r="A628" s="194"/>
    </row>
    <row r="629">
      <c r="A629" s="194"/>
    </row>
    <row r="630">
      <c r="A630" s="194"/>
    </row>
    <row r="631">
      <c r="A631" s="194"/>
    </row>
    <row r="632">
      <c r="A632" s="194"/>
    </row>
    <row r="633">
      <c r="A633" s="194"/>
    </row>
    <row r="634">
      <c r="A634" s="194"/>
    </row>
    <row r="635">
      <c r="A635" s="194"/>
    </row>
    <row r="636">
      <c r="A636" s="194"/>
    </row>
    <row r="637">
      <c r="A637" s="194"/>
    </row>
    <row r="638">
      <c r="A638" s="194"/>
    </row>
    <row r="639">
      <c r="A639" s="194"/>
    </row>
    <row r="640">
      <c r="A640" s="194"/>
    </row>
    <row r="641">
      <c r="A641" s="194"/>
    </row>
    <row r="642">
      <c r="A642" s="194"/>
    </row>
    <row r="643">
      <c r="A643" s="194"/>
    </row>
    <row r="644">
      <c r="A644" s="194"/>
    </row>
    <row r="645">
      <c r="A645" s="194"/>
    </row>
    <row r="646">
      <c r="A646" s="194"/>
    </row>
    <row r="647">
      <c r="A647" s="194"/>
    </row>
    <row r="648">
      <c r="A648" s="194"/>
    </row>
    <row r="649">
      <c r="A649" s="194"/>
    </row>
    <row r="650">
      <c r="A650" s="194"/>
    </row>
    <row r="651">
      <c r="A651" s="194"/>
    </row>
    <row r="652">
      <c r="A652" s="194"/>
    </row>
    <row r="653">
      <c r="A653" s="194"/>
    </row>
    <row r="654">
      <c r="A654" s="194"/>
    </row>
    <row r="655">
      <c r="A655" s="194"/>
    </row>
    <row r="656">
      <c r="A656" s="194"/>
    </row>
    <row r="657">
      <c r="A657" s="194"/>
    </row>
    <row r="658">
      <c r="A658" s="194"/>
    </row>
    <row r="659">
      <c r="A659" s="194"/>
    </row>
    <row r="660">
      <c r="A660" s="194"/>
    </row>
    <row r="661">
      <c r="A661" s="194"/>
    </row>
    <row r="662">
      <c r="A662" s="194"/>
    </row>
    <row r="663">
      <c r="A663" s="194"/>
    </row>
    <row r="664">
      <c r="A664" s="194"/>
    </row>
    <row r="665">
      <c r="A665" s="194"/>
    </row>
    <row r="666">
      <c r="A666" s="194"/>
    </row>
    <row r="667">
      <c r="A667" s="194"/>
    </row>
    <row r="668">
      <c r="A668" s="194"/>
    </row>
    <row r="669">
      <c r="A669" s="194"/>
    </row>
    <row r="670">
      <c r="A670" s="194"/>
    </row>
    <row r="671">
      <c r="A671" s="194"/>
    </row>
    <row r="672">
      <c r="A672" s="194"/>
    </row>
    <row r="673">
      <c r="A673" s="194"/>
    </row>
    <row r="674">
      <c r="A674" s="194"/>
    </row>
    <row r="675">
      <c r="A675" s="194"/>
    </row>
    <row r="676">
      <c r="A676" s="194"/>
    </row>
    <row r="677">
      <c r="A677" s="194"/>
    </row>
    <row r="678">
      <c r="A678" s="194"/>
    </row>
    <row r="679">
      <c r="A679" s="194"/>
    </row>
    <row r="680">
      <c r="A680" s="194"/>
    </row>
    <row r="681">
      <c r="A681" s="194"/>
    </row>
    <row r="682">
      <c r="A682" s="194"/>
    </row>
    <row r="683">
      <c r="A683" s="194"/>
    </row>
    <row r="684">
      <c r="A684" s="194"/>
    </row>
    <row r="685">
      <c r="A685" s="194"/>
    </row>
    <row r="686">
      <c r="A686" s="194"/>
    </row>
    <row r="687">
      <c r="A687" s="194"/>
    </row>
    <row r="688">
      <c r="A688" s="194"/>
    </row>
    <row r="689">
      <c r="A689" s="194"/>
    </row>
    <row r="690">
      <c r="A690" s="194"/>
    </row>
    <row r="691">
      <c r="A691" s="194"/>
    </row>
    <row r="692">
      <c r="A692" s="194"/>
    </row>
    <row r="693">
      <c r="A693" s="194"/>
    </row>
    <row r="694">
      <c r="A694" s="194"/>
    </row>
    <row r="695">
      <c r="A695" s="194"/>
    </row>
    <row r="696">
      <c r="A696" s="194"/>
    </row>
    <row r="697">
      <c r="A697" s="194"/>
    </row>
    <row r="698">
      <c r="A698" s="194"/>
    </row>
    <row r="699">
      <c r="A699" s="194"/>
    </row>
    <row r="700">
      <c r="A700" s="194"/>
    </row>
    <row r="701">
      <c r="A701" s="194"/>
    </row>
    <row r="702">
      <c r="A702" s="194"/>
    </row>
    <row r="703">
      <c r="A703" s="194"/>
    </row>
    <row r="704">
      <c r="A704" s="194"/>
    </row>
    <row r="705">
      <c r="A705" s="194"/>
    </row>
    <row r="706">
      <c r="A706" s="194"/>
    </row>
    <row r="707">
      <c r="A707" s="194"/>
    </row>
    <row r="708">
      <c r="A708" s="194"/>
    </row>
    <row r="709">
      <c r="A709" s="194"/>
    </row>
    <row r="710">
      <c r="A710" s="194"/>
    </row>
    <row r="711">
      <c r="A711" s="194"/>
    </row>
    <row r="712">
      <c r="A712" s="194"/>
    </row>
    <row r="713">
      <c r="A713" s="194"/>
    </row>
    <row r="714">
      <c r="A714" s="194"/>
    </row>
    <row r="715">
      <c r="A715" s="194"/>
    </row>
    <row r="716">
      <c r="A716" s="194"/>
    </row>
    <row r="717">
      <c r="A717" s="194"/>
    </row>
    <row r="718">
      <c r="A718" s="194"/>
    </row>
    <row r="719">
      <c r="A719" s="194"/>
    </row>
    <row r="720">
      <c r="A720" s="194"/>
    </row>
    <row r="721">
      <c r="A721" s="194"/>
    </row>
    <row r="722">
      <c r="A722" s="194"/>
    </row>
    <row r="723">
      <c r="A723" s="194"/>
    </row>
    <row r="724">
      <c r="A724" s="194"/>
    </row>
    <row r="725">
      <c r="A725" s="194"/>
    </row>
    <row r="726">
      <c r="A726" s="194"/>
    </row>
    <row r="727">
      <c r="A727" s="194"/>
    </row>
    <row r="728">
      <c r="A728" s="194"/>
    </row>
    <row r="729">
      <c r="A729" s="194"/>
    </row>
    <row r="730">
      <c r="A730" s="194"/>
    </row>
    <row r="731">
      <c r="A731" s="194"/>
    </row>
    <row r="732">
      <c r="A732" s="194"/>
    </row>
    <row r="733">
      <c r="A733" s="194"/>
    </row>
    <row r="734">
      <c r="A734" s="194"/>
    </row>
    <row r="735">
      <c r="A735" s="194"/>
    </row>
    <row r="736">
      <c r="A736" s="194"/>
    </row>
    <row r="737">
      <c r="A737" s="194"/>
    </row>
    <row r="738">
      <c r="A738" s="194"/>
    </row>
    <row r="739">
      <c r="A739" s="194"/>
    </row>
    <row r="740">
      <c r="A740" s="194"/>
    </row>
    <row r="741">
      <c r="A741" s="194"/>
    </row>
    <row r="742">
      <c r="A742" s="194"/>
    </row>
    <row r="743">
      <c r="A743" s="194"/>
    </row>
    <row r="744">
      <c r="A744" s="194"/>
    </row>
    <row r="745">
      <c r="A745" s="194"/>
    </row>
    <row r="746">
      <c r="A746" s="194"/>
    </row>
    <row r="747">
      <c r="A747" s="194"/>
    </row>
    <row r="748">
      <c r="A748" s="194"/>
    </row>
    <row r="749">
      <c r="A749" s="194"/>
    </row>
    <row r="750">
      <c r="A750" s="194"/>
    </row>
    <row r="751">
      <c r="A751" s="194"/>
    </row>
    <row r="752">
      <c r="A752" s="194"/>
    </row>
    <row r="753">
      <c r="A753" s="194"/>
    </row>
    <row r="754">
      <c r="A754" s="194"/>
    </row>
    <row r="755">
      <c r="A755" s="194"/>
    </row>
    <row r="756">
      <c r="A756" s="194"/>
    </row>
    <row r="757">
      <c r="A757" s="194"/>
    </row>
    <row r="758">
      <c r="A758" s="194"/>
    </row>
    <row r="759">
      <c r="A759" s="194"/>
    </row>
    <row r="760">
      <c r="A760" s="194"/>
    </row>
    <row r="761">
      <c r="A761" s="194"/>
    </row>
    <row r="762">
      <c r="A762" s="194"/>
    </row>
    <row r="763">
      <c r="A763" s="194"/>
    </row>
    <row r="764">
      <c r="A764" s="194"/>
    </row>
    <row r="765">
      <c r="A765" s="194"/>
    </row>
    <row r="766">
      <c r="A766" s="194"/>
    </row>
    <row r="767">
      <c r="A767" s="194"/>
    </row>
    <row r="768">
      <c r="A768" s="194"/>
    </row>
    <row r="769">
      <c r="A769" s="194"/>
    </row>
    <row r="770">
      <c r="A770" s="194"/>
    </row>
    <row r="771">
      <c r="A771" s="194"/>
    </row>
    <row r="772">
      <c r="A772" s="194"/>
    </row>
    <row r="773">
      <c r="A773" s="194"/>
    </row>
    <row r="774">
      <c r="A774" s="194"/>
    </row>
    <row r="775">
      <c r="A775" s="194"/>
    </row>
    <row r="776">
      <c r="A776" s="194"/>
    </row>
    <row r="777">
      <c r="A777" s="194"/>
    </row>
    <row r="778">
      <c r="A778" s="194"/>
    </row>
    <row r="779">
      <c r="A779" s="194"/>
    </row>
    <row r="780">
      <c r="A780" s="194"/>
    </row>
    <row r="781">
      <c r="A781" s="194"/>
    </row>
    <row r="782">
      <c r="A782" s="194"/>
    </row>
    <row r="783">
      <c r="A783" s="194"/>
    </row>
    <row r="784">
      <c r="A784" s="194"/>
    </row>
    <row r="785">
      <c r="A785" s="194"/>
    </row>
    <row r="786">
      <c r="A786" s="194"/>
    </row>
    <row r="787">
      <c r="A787" s="194"/>
    </row>
    <row r="788">
      <c r="A788" s="194"/>
    </row>
    <row r="789">
      <c r="A789" s="194"/>
    </row>
    <row r="790">
      <c r="A790" s="194"/>
    </row>
    <row r="791">
      <c r="A791" s="194"/>
    </row>
    <row r="792">
      <c r="A792" s="194"/>
    </row>
    <row r="793">
      <c r="A793" s="194"/>
    </row>
    <row r="794">
      <c r="A794" s="194"/>
    </row>
    <row r="795">
      <c r="A795" s="194"/>
    </row>
    <row r="796">
      <c r="A796" s="194"/>
    </row>
    <row r="797">
      <c r="A797" s="194"/>
    </row>
    <row r="798">
      <c r="A798" s="194"/>
    </row>
    <row r="799">
      <c r="A799" s="194"/>
    </row>
    <row r="800">
      <c r="A800" s="194"/>
    </row>
    <row r="801">
      <c r="A801" s="194"/>
    </row>
    <row r="802">
      <c r="A802" s="194"/>
    </row>
    <row r="803">
      <c r="A803" s="194"/>
    </row>
    <row r="804">
      <c r="A804" s="194"/>
    </row>
    <row r="805">
      <c r="A805" s="194"/>
    </row>
    <row r="806">
      <c r="A806" s="194"/>
    </row>
    <row r="807">
      <c r="A807" s="194"/>
    </row>
    <row r="808">
      <c r="A808" s="194"/>
    </row>
    <row r="809">
      <c r="A809" s="194"/>
    </row>
    <row r="810">
      <c r="A810" s="194"/>
    </row>
    <row r="811">
      <c r="A811" s="194"/>
    </row>
    <row r="812">
      <c r="A812" s="194"/>
    </row>
    <row r="813">
      <c r="A813" s="194"/>
    </row>
    <row r="814">
      <c r="A814" s="194"/>
    </row>
    <row r="815">
      <c r="A815" s="194"/>
    </row>
    <row r="816">
      <c r="A816" s="194"/>
    </row>
    <row r="817">
      <c r="A817" s="194"/>
    </row>
    <row r="818">
      <c r="A818" s="194"/>
    </row>
    <row r="819">
      <c r="A819" s="194"/>
    </row>
    <row r="820">
      <c r="A820" s="194"/>
    </row>
    <row r="821">
      <c r="A821" s="194"/>
    </row>
    <row r="822">
      <c r="A822" s="194"/>
    </row>
    <row r="823">
      <c r="A823" s="194"/>
    </row>
    <row r="824">
      <c r="A824" s="194"/>
    </row>
    <row r="825">
      <c r="A825" s="194"/>
    </row>
    <row r="826">
      <c r="A826" s="194"/>
    </row>
    <row r="827">
      <c r="A827" s="194"/>
    </row>
    <row r="828">
      <c r="A828" s="194"/>
    </row>
    <row r="829">
      <c r="A829" s="194"/>
    </row>
    <row r="830">
      <c r="A830" s="194"/>
    </row>
    <row r="831">
      <c r="A831" s="194"/>
    </row>
    <row r="832">
      <c r="A832" s="194"/>
    </row>
    <row r="833">
      <c r="A833" s="194"/>
    </row>
    <row r="834">
      <c r="A834" s="194"/>
    </row>
    <row r="835">
      <c r="A835" s="194"/>
    </row>
    <row r="836">
      <c r="A836" s="194"/>
    </row>
    <row r="837">
      <c r="A837" s="194"/>
    </row>
    <row r="838">
      <c r="A838" s="194"/>
    </row>
    <row r="839">
      <c r="A839" s="194"/>
    </row>
    <row r="840">
      <c r="A840" s="194"/>
    </row>
    <row r="841">
      <c r="A841" s="194"/>
    </row>
    <row r="842">
      <c r="A842" s="194"/>
    </row>
    <row r="843">
      <c r="A843" s="194"/>
    </row>
    <row r="844">
      <c r="A844" s="194"/>
    </row>
    <row r="845">
      <c r="A845" s="194"/>
    </row>
    <row r="846">
      <c r="A846" s="194"/>
    </row>
    <row r="847">
      <c r="A847" s="194"/>
    </row>
    <row r="848">
      <c r="A848" s="194"/>
    </row>
    <row r="849">
      <c r="A849" s="194"/>
    </row>
    <row r="850">
      <c r="A850" s="194"/>
    </row>
    <row r="851">
      <c r="A851" s="194"/>
    </row>
    <row r="852">
      <c r="A852" s="194"/>
    </row>
    <row r="853">
      <c r="A853" s="194"/>
    </row>
    <row r="854">
      <c r="A854" s="194"/>
    </row>
    <row r="855">
      <c r="A855" s="194"/>
    </row>
    <row r="856">
      <c r="A856" s="194"/>
    </row>
    <row r="857">
      <c r="A857" s="194"/>
    </row>
    <row r="858">
      <c r="A858" s="194"/>
    </row>
    <row r="859">
      <c r="A859" s="194"/>
    </row>
    <row r="860">
      <c r="A860" s="194"/>
    </row>
    <row r="861">
      <c r="A861" s="194"/>
    </row>
    <row r="862">
      <c r="A862" s="194"/>
    </row>
    <row r="863">
      <c r="A863" s="194"/>
    </row>
    <row r="864">
      <c r="A864" s="194"/>
    </row>
    <row r="865">
      <c r="A865" s="194"/>
    </row>
    <row r="866">
      <c r="A866" s="194"/>
    </row>
    <row r="867">
      <c r="A867" s="194"/>
    </row>
    <row r="868">
      <c r="A868" s="194"/>
    </row>
    <row r="869">
      <c r="A869" s="194"/>
    </row>
    <row r="870">
      <c r="A870" s="194"/>
    </row>
    <row r="871">
      <c r="A871" s="194"/>
    </row>
    <row r="872">
      <c r="A872" s="194"/>
    </row>
    <row r="873">
      <c r="A873" s="194"/>
    </row>
    <row r="874">
      <c r="A874" s="194"/>
    </row>
    <row r="875">
      <c r="A875" s="194"/>
    </row>
    <row r="876">
      <c r="A876" s="194"/>
    </row>
    <row r="877">
      <c r="A877" s="194"/>
    </row>
    <row r="878">
      <c r="A878" s="194"/>
    </row>
    <row r="879">
      <c r="A879" s="194"/>
    </row>
    <row r="880">
      <c r="A880" s="194"/>
    </row>
    <row r="881">
      <c r="A881" s="194"/>
    </row>
    <row r="882">
      <c r="A882" s="194"/>
    </row>
    <row r="883">
      <c r="A883" s="194"/>
    </row>
    <row r="884">
      <c r="A884" s="194"/>
    </row>
    <row r="885">
      <c r="A885" s="194"/>
    </row>
    <row r="886">
      <c r="A886" s="194"/>
    </row>
    <row r="887">
      <c r="A887" s="194"/>
    </row>
    <row r="888">
      <c r="A888" s="194"/>
    </row>
    <row r="889">
      <c r="A889" s="194"/>
    </row>
    <row r="890">
      <c r="A890" s="194"/>
    </row>
    <row r="891">
      <c r="A891" s="194"/>
    </row>
    <row r="892">
      <c r="A892" s="194"/>
    </row>
    <row r="893">
      <c r="A893" s="194"/>
    </row>
    <row r="894">
      <c r="A894" s="194"/>
    </row>
    <row r="895">
      <c r="A895" s="194"/>
    </row>
    <row r="896">
      <c r="A896" s="194"/>
    </row>
    <row r="897">
      <c r="A897" s="194"/>
    </row>
    <row r="898">
      <c r="A898" s="194"/>
    </row>
    <row r="899">
      <c r="A899" s="194"/>
    </row>
    <row r="900">
      <c r="A900" s="194"/>
    </row>
    <row r="901">
      <c r="A901" s="194"/>
    </row>
    <row r="902">
      <c r="A902" s="194"/>
    </row>
    <row r="903">
      <c r="A903" s="194"/>
    </row>
    <row r="904">
      <c r="A904" s="194"/>
    </row>
    <row r="905">
      <c r="A905" s="194"/>
    </row>
    <row r="906">
      <c r="A906" s="194"/>
    </row>
    <row r="907">
      <c r="A907" s="194"/>
    </row>
    <row r="908">
      <c r="A908" s="194"/>
    </row>
    <row r="909">
      <c r="A909" s="194"/>
    </row>
    <row r="910">
      <c r="A910" s="194"/>
    </row>
    <row r="911">
      <c r="A911" s="194"/>
    </row>
    <row r="912">
      <c r="A912" s="194"/>
    </row>
    <row r="913">
      <c r="A913" s="194"/>
    </row>
    <row r="914">
      <c r="A914" s="194"/>
    </row>
    <row r="915">
      <c r="A915" s="194"/>
    </row>
    <row r="916">
      <c r="A916" s="194"/>
    </row>
    <row r="917">
      <c r="A917" s="194"/>
    </row>
    <row r="918">
      <c r="A918" s="194"/>
    </row>
    <row r="919">
      <c r="A919" s="194"/>
    </row>
    <row r="920">
      <c r="A920" s="194"/>
    </row>
    <row r="921">
      <c r="A921" s="194"/>
    </row>
    <row r="922">
      <c r="A922" s="194"/>
    </row>
    <row r="923">
      <c r="A923" s="194"/>
    </row>
    <row r="924">
      <c r="A924" s="194"/>
    </row>
    <row r="925">
      <c r="A925" s="194"/>
    </row>
    <row r="926">
      <c r="A926" s="194"/>
    </row>
    <row r="927">
      <c r="A927" s="194"/>
    </row>
    <row r="928">
      <c r="A928" s="194"/>
    </row>
    <row r="929">
      <c r="A929" s="194"/>
    </row>
    <row r="930">
      <c r="A930" s="194"/>
    </row>
    <row r="931">
      <c r="A931" s="194"/>
    </row>
    <row r="932">
      <c r="A932" s="194"/>
    </row>
    <row r="933">
      <c r="A933" s="194"/>
    </row>
    <row r="934">
      <c r="A934" s="194"/>
    </row>
    <row r="935">
      <c r="A935" s="194"/>
    </row>
    <row r="936">
      <c r="A936" s="194"/>
    </row>
    <row r="937">
      <c r="A937" s="194"/>
    </row>
    <row r="938">
      <c r="A938" s="194"/>
    </row>
    <row r="939">
      <c r="A939" s="194"/>
    </row>
    <row r="940">
      <c r="A940" s="194"/>
    </row>
    <row r="941">
      <c r="A941" s="194"/>
    </row>
    <row r="942">
      <c r="A942" s="194"/>
    </row>
    <row r="943">
      <c r="A943" s="194"/>
    </row>
    <row r="944">
      <c r="A944" s="194"/>
    </row>
    <row r="945">
      <c r="A945" s="194"/>
    </row>
    <row r="946">
      <c r="A946" s="194"/>
    </row>
    <row r="947">
      <c r="A947" s="194"/>
    </row>
    <row r="948">
      <c r="A948" s="194"/>
    </row>
    <row r="949">
      <c r="A949" s="194"/>
    </row>
    <row r="950">
      <c r="A950" s="194"/>
    </row>
    <row r="951">
      <c r="A951" s="194"/>
    </row>
    <row r="952">
      <c r="A952" s="194"/>
    </row>
    <row r="953">
      <c r="A953" s="194"/>
    </row>
    <row r="954">
      <c r="A954" s="194"/>
    </row>
    <row r="955">
      <c r="A955" s="194"/>
    </row>
    <row r="956">
      <c r="A956" s="194"/>
    </row>
    <row r="957">
      <c r="A957" s="194"/>
    </row>
    <row r="958">
      <c r="A958" s="194"/>
    </row>
    <row r="959">
      <c r="A959" s="194"/>
    </row>
    <row r="960">
      <c r="A960" s="194"/>
    </row>
    <row r="961">
      <c r="A961" s="194"/>
    </row>
    <row r="962">
      <c r="A962" s="194"/>
    </row>
    <row r="963">
      <c r="A963" s="194"/>
    </row>
    <row r="964">
      <c r="A964" s="194"/>
    </row>
    <row r="965">
      <c r="A965" s="194"/>
    </row>
    <row r="966">
      <c r="A966" s="194"/>
    </row>
    <row r="967">
      <c r="A967" s="194"/>
    </row>
    <row r="968">
      <c r="A968" s="194"/>
    </row>
    <row r="969">
      <c r="A969" s="194"/>
    </row>
    <row r="970">
      <c r="A970" s="194"/>
    </row>
    <row r="971">
      <c r="A971" s="194"/>
    </row>
    <row r="972">
      <c r="A972" s="194"/>
    </row>
    <row r="973">
      <c r="A973" s="194"/>
    </row>
    <row r="974">
      <c r="A974" s="194"/>
    </row>
    <row r="975">
      <c r="A975" s="194"/>
    </row>
    <row r="976">
      <c r="A976" s="194"/>
    </row>
    <row r="977">
      <c r="A977" s="194"/>
    </row>
    <row r="978">
      <c r="A978" s="194"/>
    </row>
    <row r="979">
      <c r="A979" s="194"/>
    </row>
    <row r="980">
      <c r="A980" s="194"/>
    </row>
    <row r="981">
      <c r="A981" s="194"/>
    </row>
    <row r="982">
      <c r="A982" s="194"/>
    </row>
    <row r="983">
      <c r="A983" s="194"/>
    </row>
    <row r="984">
      <c r="A984" s="194"/>
    </row>
    <row r="985">
      <c r="A985" s="194"/>
    </row>
    <row r="986">
      <c r="A986" s="194"/>
    </row>
    <row r="987">
      <c r="A987" s="194"/>
    </row>
    <row r="988">
      <c r="A988" s="194"/>
    </row>
    <row r="989">
      <c r="A989" s="194"/>
    </row>
    <row r="990">
      <c r="A990" s="194"/>
    </row>
    <row r="991">
      <c r="A991" s="194"/>
    </row>
    <row r="992">
      <c r="A992" s="194"/>
    </row>
    <row r="993">
      <c r="A993" s="194"/>
    </row>
    <row r="994">
      <c r="A994" s="194"/>
    </row>
    <row r="995">
      <c r="A995" s="194"/>
    </row>
    <row r="996">
      <c r="A996" s="194"/>
    </row>
    <row r="997">
      <c r="A997" s="194"/>
    </row>
    <row r="998">
      <c r="A998" s="194"/>
    </row>
    <row r="999">
      <c r="A999" s="194"/>
    </row>
    <row r="1000">
      <c r="A1000" s="194"/>
    </row>
    <row r="1001">
      <c r="A1001" s="19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8.0"/>
    <col customWidth="1" min="4" max="4" width="34.0"/>
  </cols>
  <sheetData>
    <row r="2">
      <c r="A2" s="200" t="s">
        <v>2064</v>
      </c>
      <c r="B2" s="200" t="s">
        <v>110</v>
      </c>
      <c r="C2" s="200" t="s">
        <v>2065</v>
      </c>
      <c r="D2" s="201"/>
    </row>
    <row r="3">
      <c r="A3" s="200" t="s">
        <v>1460</v>
      </c>
      <c r="B3" s="200" t="s">
        <v>110</v>
      </c>
      <c r="C3" s="200" t="s">
        <v>1461</v>
      </c>
      <c r="D3" s="201"/>
    </row>
    <row r="4">
      <c r="A4" s="200" t="s">
        <v>1416</v>
      </c>
      <c r="B4" s="200" t="s">
        <v>110</v>
      </c>
      <c r="C4" s="200" t="s">
        <v>3125</v>
      </c>
      <c r="D4" s="201"/>
    </row>
    <row r="5">
      <c r="A5" s="200" t="s">
        <v>553</v>
      </c>
      <c r="B5" s="200" t="s">
        <v>110</v>
      </c>
      <c r="C5" s="200" t="s">
        <v>554</v>
      </c>
      <c r="D5" s="201"/>
    </row>
    <row r="6">
      <c r="A6" s="200" t="s">
        <v>1094</v>
      </c>
      <c r="B6" s="200" t="s">
        <v>110</v>
      </c>
      <c r="C6" s="200" t="s">
        <v>1095</v>
      </c>
      <c r="D6" s="201"/>
    </row>
    <row r="7">
      <c r="A7" s="200" t="s">
        <v>205</v>
      </c>
      <c r="B7" s="200" t="s">
        <v>126</v>
      </c>
      <c r="C7" s="200" t="s">
        <v>206</v>
      </c>
      <c r="D7" s="201"/>
    </row>
    <row r="8">
      <c r="A8" s="200" t="s">
        <v>583</v>
      </c>
      <c r="B8" s="200" t="s">
        <v>126</v>
      </c>
      <c r="C8" s="200" t="s">
        <v>3126</v>
      </c>
      <c r="D8" s="201"/>
    </row>
    <row r="9">
      <c r="A9" s="200" t="s">
        <v>1192</v>
      </c>
      <c r="B9" s="200" t="s">
        <v>126</v>
      </c>
      <c r="C9" s="200" t="s">
        <v>1193</v>
      </c>
      <c r="D9" s="201"/>
    </row>
    <row r="10">
      <c r="A10" s="200" t="s">
        <v>642</v>
      </c>
      <c r="B10" s="200" t="s">
        <v>126</v>
      </c>
      <c r="C10" s="200" t="s">
        <v>643</v>
      </c>
      <c r="D10" s="201"/>
    </row>
    <row r="11">
      <c r="A11" s="200" t="s">
        <v>1221</v>
      </c>
      <c r="B11" s="200" t="s">
        <v>126</v>
      </c>
      <c r="C11" s="200" t="s">
        <v>1222</v>
      </c>
      <c r="D11" s="201"/>
    </row>
    <row r="12">
      <c r="A12" s="200" t="s">
        <v>1108</v>
      </c>
      <c r="B12" s="200" t="s">
        <v>126</v>
      </c>
      <c r="C12" s="200" t="s">
        <v>3127</v>
      </c>
      <c r="D12" s="201"/>
    </row>
    <row r="13">
      <c r="A13" s="200" t="s">
        <v>612</v>
      </c>
      <c r="B13" s="200" t="s">
        <v>126</v>
      </c>
      <c r="C13" s="200" t="s">
        <v>613</v>
      </c>
      <c r="D13" s="201"/>
    </row>
    <row r="14">
      <c r="A14" s="200" t="s">
        <v>125</v>
      </c>
      <c r="B14" s="200" t="s">
        <v>126</v>
      </c>
      <c r="C14" s="200" t="s">
        <v>3128</v>
      </c>
      <c r="D14" s="201"/>
    </row>
    <row r="15">
      <c r="A15" s="200" t="s">
        <v>1753</v>
      </c>
      <c r="B15" s="200" t="s">
        <v>250</v>
      </c>
      <c r="C15" s="200" t="s">
        <v>1754</v>
      </c>
      <c r="D15" s="202">
        <v>46203.0</v>
      </c>
    </row>
    <row r="16">
      <c r="A16" s="200" t="s">
        <v>331</v>
      </c>
      <c r="B16" s="200" t="s">
        <v>250</v>
      </c>
      <c r="C16" s="200" t="s">
        <v>332</v>
      </c>
      <c r="D16" s="202">
        <v>46097.0</v>
      </c>
    </row>
    <row r="17">
      <c r="A17" s="200" t="s">
        <v>2251</v>
      </c>
      <c r="B17" s="200" t="s">
        <v>250</v>
      </c>
      <c r="C17" s="200" t="s">
        <v>3129</v>
      </c>
      <c r="D17" s="202">
        <v>46203.0</v>
      </c>
    </row>
    <row r="18">
      <c r="A18" s="200" t="s">
        <v>1423</v>
      </c>
      <c r="B18" s="200" t="s">
        <v>250</v>
      </c>
      <c r="C18" s="200" t="s">
        <v>1424</v>
      </c>
      <c r="D18" s="202">
        <v>46203.0</v>
      </c>
    </row>
    <row r="19">
      <c r="A19" s="200" t="s">
        <v>1832</v>
      </c>
      <c r="B19" s="200" t="s">
        <v>250</v>
      </c>
      <c r="C19" s="200" t="s">
        <v>1833</v>
      </c>
      <c r="D19" s="202">
        <v>46203.0</v>
      </c>
    </row>
    <row r="20">
      <c r="A20" s="200" t="s">
        <v>1826</v>
      </c>
      <c r="B20" s="200" t="s">
        <v>250</v>
      </c>
      <c r="C20" s="200" t="s">
        <v>3130</v>
      </c>
      <c r="D20" s="202">
        <v>46203.0</v>
      </c>
    </row>
    <row r="21">
      <c r="A21" s="200" t="s">
        <v>321</v>
      </c>
      <c r="B21" s="200" t="s">
        <v>250</v>
      </c>
      <c r="C21" s="200" t="s">
        <v>322</v>
      </c>
      <c r="D21" s="202">
        <v>46203.0</v>
      </c>
    </row>
    <row r="22">
      <c r="A22" s="200" t="s">
        <v>2868</v>
      </c>
      <c r="B22" s="200" t="s">
        <v>250</v>
      </c>
      <c r="C22" s="200" t="s">
        <v>3131</v>
      </c>
      <c r="D22" s="202">
        <v>46203.0</v>
      </c>
    </row>
    <row r="23">
      <c r="A23" s="200" t="s">
        <v>256</v>
      </c>
      <c r="B23" s="200" t="s">
        <v>257</v>
      </c>
      <c r="C23" s="200" t="s">
        <v>258</v>
      </c>
      <c r="D23" s="203">
        <v>46386.0</v>
      </c>
    </row>
    <row r="24">
      <c r="A24" s="200" t="s">
        <v>512</v>
      </c>
      <c r="B24" s="200" t="s">
        <v>257</v>
      </c>
      <c r="C24" s="200" t="s">
        <v>3132</v>
      </c>
      <c r="D24" s="203">
        <v>46386.0</v>
      </c>
    </row>
    <row r="25">
      <c r="A25" s="200" t="s">
        <v>349</v>
      </c>
      <c r="B25" s="200" t="s">
        <v>257</v>
      </c>
      <c r="C25" s="200" t="s">
        <v>350</v>
      </c>
      <c r="D25" s="204" t="s">
        <v>3133</v>
      </c>
    </row>
    <row r="26">
      <c r="A26" s="200" t="s">
        <v>1310</v>
      </c>
      <c r="B26" s="200" t="s">
        <v>392</v>
      </c>
      <c r="C26" s="200" t="s">
        <v>1311</v>
      </c>
      <c r="D26" s="201"/>
    </row>
    <row r="27">
      <c r="A27" s="200" t="s">
        <v>572</v>
      </c>
      <c r="B27" s="200" t="s">
        <v>573</v>
      </c>
      <c r="C27" s="200" t="s">
        <v>3134</v>
      </c>
      <c r="D27" s="201"/>
    </row>
    <row r="28">
      <c r="A28" s="200" t="s">
        <v>1483</v>
      </c>
      <c r="B28" s="200" t="s">
        <v>268</v>
      </c>
      <c r="C28" s="200" t="s">
        <v>1484</v>
      </c>
      <c r="D28" s="202">
        <v>46174.0</v>
      </c>
    </row>
    <row r="29">
      <c r="A29" s="200" t="s">
        <v>2716</v>
      </c>
      <c r="B29" s="200" t="s">
        <v>268</v>
      </c>
      <c r="C29" s="200" t="s">
        <v>3135</v>
      </c>
      <c r="D29" s="202">
        <v>46204.0</v>
      </c>
    </row>
    <row r="30">
      <c r="A30" s="200" t="s">
        <v>440</v>
      </c>
      <c r="B30" s="200" t="s">
        <v>268</v>
      </c>
      <c r="C30" s="200" t="s">
        <v>3136</v>
      </c>
      <c r="D30" s="204" t="s">
        <v>3137</v>
      </c>
    </row>
    <row r="31">
      <c r="A31" s="200" t="s">
        <v>2607</v>
      </c>
      <c r="B31" s="200" t="s">
        <v>268</v>
      </c>
      <c r="C31" s="200" t="s">
        <v>3138</v>
      </c>
      <c r="D31" s="202">
        <v>46204.0</v>
      </c>
    </row>
    <row r="32">
      <c r="A32" s="200" t="s">
        <v>517</v>
      </c>
      <c r="B32" s="200" t="s">
        <v>268</v>
      </c>
      <c r="C32" s="200" t="s">
        <v>518</v>
      </c>
      <c r="D32" s="204" t="s">
        <v>3137</v>
      </c>
    </row>
    <row r="33">
      <c r="A33" s="200" t="s">
        <v>2881</v>
      </c>
      <c r="B33" s="200" t="s">
        <v>268</v>
      </c>
      <c r="C33" s="200" t="s">
        <v>2882</v>
      </c>
      <c r="D33" s="202">
        <v>46235.0</v>
      </c>
    </row>
    <row r="34">
      <c r="A34" s="200" t="s">
        <v>2056</v>
      </c>
      <c r="B34" s="200" t="s">
        <v>268</v>
      </c>
      <c r="C34" s="200" t="s">
        <v>3139</v>
      </c>
      <c r="D34" s="202">
        <v>46204.0</v>
      </c>
    </row>
    <row r="35">
      <c r="A35" s="200" t="s">
        <v>486</v>
      </c>
      <c r="B35" s="200" t="s">
        <v>268</v>
      </c>
      <c r="C35" s="200" t="s">
        <v>487</v>
      </c>
      <c r="D35" s="204" t="s">
        <v>3137</v>
      </c>
    </row>
    <row r="36">
      <c r="A36" s="200" t="s">
        <v>2855</v>
      </c>
      <c r="B36" s="200" t="s">
        <v>268</v>
      </c>
      <c r="C36" s="200" t="s">
        <v>2856</v>
      </c>
      <c r="D36" s="202">
        <v>46204.0</v>
      </c>
    </row>
    <row r="37">
      <c r="A37" s="200" t="s">
        <v>1566</v>
      </c>
      <c r="B37" s="200" t="s">
        <v>268</v>
      </c>
      <c r="C37" s="200" t="s">
        <v>1567</v>
      </c>
      <c r="D37" s="202">
        <v>46235.0</v>
      </c>
    </row>
    <row r="38">
      <c r="A38" s="200" t="s">
        <v>1363</v>
      </c>
      <c r="B38" s="200" t="s">
        <v>268</v>
      </c>
      <c r="C38" s="200" t="s">
        <v>1364</v>
      </c>
      <c r="D38" s="202">
        <v>46235.0</v>
      </c>
    </row>
    <row r="39">
      <c r="A39" s="200" t="s">
        <v>3014</v>
      </c>
      <c r="B39" s="200" t="s">
        <v>268</v>
      </c>
      <c r="C39" s="200" t="s">
        <v>3140</v>
      </c>
      <c r="D39" s="202">
        <v>46235.0</v>
      </c>
    </row>
    <row r="40">
      <c r="A40" s="200" t="s">
        <v>2896</v>
      </c>
      <c r="B40" s="200" t="s">
        <v>268</v>
      </c>
      <c r="C40" s="200" t="s">
        <v>2897</v>
      </c>
      <c r="D40" s="202">
        <v>46235.0</v>
      </c>
    </row>
    <row r="41">
      <c r="A41" s="200" t="s">
        <v>1994</v>
      </c>
      <c r="B41" s="200" t="s">
        <v>268</v>
      </c>
      <c r="C41" s="200" t="s">
        <v>1995</v>
      </c>
      <c r="D41" s="201"/>
    </row>
    <row r="42">
      <c r="A42" s="200" t="s">
        <v>2567</v>
      </c>
      <c r="B42" s="200" t="s">
        <v>268</v>
      </c>
      <c r="C42" s="200" t="s">
        <v>2568</v>
      </c>
      <c r="D42" s="201"/>
    </row>
    <row r="43">
      <c r="A43" s="200" t="s">
        <v>1265</v>
      </c>
      <c r="B43" s="200" t="s">
        <v>268</v>
      </c>
      <c r="C43" s="200" t="s">
        <v>1266</v>
      </c>
      <c r="D43" s="201"/>
    </row>
    <row r="44">
      <c r="A44" s="200" t="s">
        <v>2913</v>
      </c>
      <c r="B44" s="200" t="s">
        <v>268</v>
      </c>
      <c r="C44" s="200" t="s">
        <v>2914</v>
      </c>
      <c r="D44" s="202">
        <v>46235.0</v>
      </c>
    </row>
    <row r="45">
      <c r="A45" s="200" t="s">
        <v>1579</v>
      </c>
      <c r="B45" s="200" t="s">
        <v>268</v>
      </c>
      <c r="C45" s="200" t="s">
        <v>3141</v>
      </c>
      <c r="D45" s="201"/>
    </row>
    <row r="46">
      <c r="A46" s="200" t="s">
        <v>2188</v>
      </c>
      <c r="B46" s="200" t="s">
        <v>268</v>
      </c>
      <c r="C46" s="200" t="s">
        <v>3142</v>
      </c>
      <c r="D46" s="202">
        <v>46204.0</v>
      </c>
    </row>
    <row r="47">
      <c r="A47" s="200" t="s">
        <v>2473</v>
      </c>
      <c r="B47" s="200" t="s">
        <v>268</v>
      </c>
      <c r="C47" s="200" t="s">
        <v>3143</v>
      </c>
      <c r="D47" s="202">
        <v>46204.0</v>
      </c>
    </row>
    <row r="48">
      <c r="A48" s="200" t="s">
        <v>2034</v>
      </c>
      <c r="B48" s="200" t="s">
        <v>268</v>
      </c>
      <c r="C48" s="200" t="s">
        <v>3144</v>
      </c>
      <c r="D48" s="202">
        <v>46204.0</v>
      </c>
    </row>
    <row r="49">
      <c r="A49" s="200" t="s">
        <v>2654</v>
      </c>
      <c r="B49" s="200" t="s">
        <v>268</v>
      </c>
      <c r="C49" s="200" t="s">
        <v>3145</v>
      </c>
      <c r="D49" s="201"/>
    </row>
    <row r="50">
      <c r="A50" s="200" t="s">
        <v>2892</v>
      </c>
      <c r="B50" s="200" t="s">
        <v>268</v>
      </c>
      <c r="C50" s="200" t="s">
        <v>3146</v>
      </c>
      <c r="D50" s="202">
        <v>46204.0</v>
      </c>
    </row>
    <row r="51">
      <c r="A51" s="200" t="s">
        <v>533</v>
      </c>
      <c r="B51" s="200" t="s">
        <v>268</v>
      </c>
      <c r="C51" s="200" t="s">
        <v>3147</v>
      </c>
      <c r="D51" s="201"/>
    </row>
    <row r="52">
      <c r="A52" s="200" t="s">
        <v>2876</v>
      </c>
      <c r="B52" s="200" t="s">
        <v>268</v>
      </c>
      <c r="C52" s="200" t="s">
        <v>3148</v>
      </c>
      <c r="D52" s="202">
        <v>46204.0</v>
      </c>
    </row>
    <row r="53">
      <c r="A53" s="200" t="s">
        <v>1765</v>
      </c>
      <c r="B53" s="200" t="s">
        <v>268</v>
      </c>
      <c r="C53" s="200" t="s">
        <v>3149</v>
      </c>
      <c r="D53" s="202">
        <v>46174.0</v>
      </c>
    </row>
    <row r="54">
      <c r="A54" s="200" t="s">
        <v>538</v>
      </c>
      <c r="B54" s="200" t="s">
        <v>268</v>
      </c>
      <c r="C54" s="200" t="s">
        <v>3150</v>
      </c>
      <c r="D54" s="204" t="s">
        <v>3137</v>
      </c>
    </row>
    <row r="55">
      <c r="A55" s="200" t="s">
        <v>2218</v>
      </c>
      <c r="B55" s="200" t="s">
        <v>268</v>
      </c>
      <c r="C55" s="200" t="s">
        <v>2219</v>
      </c>
      <c r="D55" s="202">
        <v>46235.0</v>
      </c>
    </row>
    <row r="56">
      <c r="A56" s="200" t="s">
        <v>481</v>
      </c>
      <c r="B56" s="200" t="s">
        <v>268</v>
      </c>
      <c r="C56" s="200" t="s">
        <v>3151</v>
      </c>
      <c r="D56" s="204" t="s">
        <v>3137</v>
      </c>
    </row>
    <row r="57">
      <c r="A57" s="200" t="s">
        <v>2824</v>
      </c>
      <c r="B57" s="200" t="s">
        <v>268</v>
      </c>
      <c r="C57" s="200" t="s">
        <v>3152</v>
      </c>
      <c r="D57" s="202">
        <v>46235.0</v>
      </c>
    </row>
    <row r="58">
      <c r="A58" s="200" t="s">
        <v>846</v>
      </c>
      <c r="B58" s="200" t="s">
        <v>268</v>
      </c>
      <c r="C58" s="200" t="s">
        <v>847</v>
      </c>
      <c r="D58" s="201"/>
    </row>
    <row r="59">
      <c r="A59" s="200" t="s">
        <v>340</v>
      </c>
      <c r="B59" s="200" t="s">
        <v>268</v>
      </c>
      <c r="C59" s="200" t="s">
        <v>3153</v>
      </c>
      <c r="D59" s="201"/>
    </row>
    <row r="60">
      <c r="A60" s="200" t="s">
        <v>267</v>
      </c>
      <c r="B60" s="200" t="s">
        <v>268</v>
      </c>
      <c r="C60" s="200" t="s">
        <v>3154</v>
      </c>
      <c r="D60" s="201"/>
    </row>
    <row r="61">
      <c r="A61" s="200" t="s">
        <v>1473</v>
      </c>
      <c r="B61" s="200" t="s">
        <v>268</v>
      </c>
      <c r="C61" s="200" t="s">
        <v>1474</v>
      </c>
      <c r="D61" s="201"/>
    </row>
    <row r="62">
      <c r="A62" s="200" t="s">
        <v>805</v>
      </c>
      <c r="B62" s="200" t="s">
        <v>177</v>
      </c>
      <c r="C62" s="200" t="s">
        <v>806</v>
      </c>
      <c r="D62" s="202">
        <v>46107.0</v>
      </c>
    </row>
    <row r="63">
      <c r="A63" s="200" t="s">
        <v>1437</v>
      </c>
      <c r="B63" s="200" t="s">
        <v>177</v>
      </c>
      <c r="C63" s="200" t="s">
        <v>1438</v>
      </c>
      <c r="D63" s="202">
        <v>46142.0</v>
      </c>
    </row>
    <row r="64">
      <c r="A64" s="200" t="s">
        <v>1676</v>
      </c>
      <c r="B64" s="200" t="s">
        <v>177</v>
      </c>
      <c r="C64" s="200" t="s">
        <v>3155</v>
      </c>
      <c r="D64" s="203">
        <v>45952.0</v>
      </c>
    </row>
    <row r="65">
      <c r="A65" s="200" t="s">
        <v>1696</v>
      </c>
      <c r="B65" s="200" t="s">
        <v>177</v>
      </c>
      <c r="C65" s="200" t="s">
        <v>3156</v>
      </c>
      <c r="D65" s="203">
        <v>45653.0</v>
      </c>
    </row>
    <row r="66">
      <c r="A66" s="200" t="s">
        <v>176</v>
      </c>
      <c r="B66" s="200" t="s">
        <v>177</v>
      </c>
      <c r="C66" s="200" t="s">
        <v>3157</v>
      </c>
      <c r="D66" s="203">
        <v>45653.0</v>
      </c>
    </row>
    <row r="67">
      <c r="A67" s="200" t="s">
        <v>810</v>
      </c>
      <c r="B67" s="200" t="s">
        <v>635</v>
      </c>
      <c r="C67" s="200" t="s">
        <v>811</v>
      </c>
      <c r="D67" s="204" t="s">
        <v>3158</v>
      </c>
    </row>
    <row r="68">
      <c r="A68" s="200" t="s">
        <v>1239</v>
      </c>
      <c r="B68" s="200" t="s">
        <v>635</v>
      </c>
      <c r="C68" s="200" t="s">
        <v>1240</v>
      </c>
      <c r="D68" s="204" t="s">
        <v>3159</v>
      </c>
    </row>
    <row r="69">
      <c r="A69" s="200" t="s">
        <v>816</v>
      </c>
      <c r="B69" s="200" t="s">
        <v>635</v>
      </c>
      <c r="C69" s="200" t="s">
        <v>817</v>
      </c>
      <c r="D69" s="204" t="s">
        <v>3160</v>
      </c>
    </row>
    <row r="70">
      <c r="A70" s="200" t="s">
        <v>1687</v>
      </c>
      <c r="B70" s="200" t="s">
        <v>635</v>
      </c>
      <c r="C70" s="200" t="s">
        <v>1688</v>
      </c>
      <c r="D70" s="204" t="s">
        <v>3159</v>
      </c>
    </row>
    <row r="71">
      <c r="A71" s="200" t="s">
        <v>2583</v>
      </c>
      <c r="B71" s="200" t="s">
        <v>635</v>
      </c>
      <c r="C71" s="200" t="s">
        <v>2584</v>
      </c>
      <c r="D71" s="204" t="s">
        <v>3159</v>
      </c>
    </row>
    <row r="72">
      <c r="A72" s="200" t="s">
        <v>3161</v>
      </c>
      <c r="B72" s="200" t="s">
        <v>635</v>
      </c>
      <c r="C72" s="200" t="s">
        <v>1713</v>
      </c>
      <c r="D72" s="201"/>
    </row>
    <row r="73">
      <c r="A73" s="200" t="s">
        <v>634</v>
      </c>
      <c r="B73" s="200" t="s">
        <v>635</v>
      </c>
      <c r="C73" s="200" t="s">
        <v>636</v>
      </c>
      <c r="D73" s="201"/>
    </row>
    <row r="74">
      <c r="A74" s="200" t="s">
        <v>2859</v>
      </c>
      <c r="B74" s="200" t="s">
        <v>635</v>
      </c>
      <c r="C74" s="200" t="s">
        <v>2860</v>
      </c>
      <c r="D74" s="201"/>
    </row>
    <row r="75">
      <c r="A75" s="200" t="s">
        <v>2597</v>
      </c>
      <c r="B75" s="200" t="s">
        <v>503</v>
      </c>
      <c r="C75" s="200" t="s">
        <v>2598</v>
      </c>
      <c r="D75" s="202">
        <v>46174.0</v>
      </c>
    </row>
    <row r="76">
      <c r="A76" s="200" t="s">
        <v>502</v>
      </c>
      <c r="B76" s="200" t="s">
        <v>503</v>
      </c>
      <c r="C76" s="200" t="s">
        <v>3162</v>
      </c>
      <c r="D76" s="203">
        <v>46387.0</v>
      </c>
    </row>
    <row r="77">
      <c r="A77" s="200" t="s">
        <v>1374</v>
      </c>
      <c r="B77" s="200" t="s">
        <v>503</v>
      </c>
      <c r="C77" s="200" t="s">
        <v>1375</v>
      </c>
      <c r="D77" s="203">
        <v>46387.0</v>
      </c>
    </row>
    <row r="78">
      <c r="A78" s="200" t="s">
        <v>2067</v>
      </c>
      <c r="B78" s="200" t="s">
        <v>503</v>
      </c>
      <c r="C78" s="200" t="s">
        <v>3163</v>
      </c>
      <c r="D78" s="203">
        <v>46387.0</v>
      </c>
    </row>
    <row r="79">
      <c r="A79" s="200" t="s">
        <v>2016</v>
      </c>
      <c r="B79" s="200" t="s">
        <v>503</v>
      </c>
      <c r="C79" s="200" t="s">
        <v>2017</v>
      </c>
      <c r="D79" s="203">
        <v>46387.0</v>
      </c>
    </row>
    <row r="80">
      <c r="A80" s="200" t="s">
        <v>1088</v>
      </c>
      <c r="B80" s="200" t="s">
        <v>967</v>
      </c>
      <c r="C80" s="200" t="s">
        <v>3164</v>
      </c>
      <c r="D80" s="201"/>
    </row>
    <row r="81">
      <c r="A81" s="200" t="s">
        <v>1286</v>
      </c>
      <c r="B81" s="200" t="s">
        <v>1287</v>
      </c>
      <c r="C81" s="200" t="s">
        <v>1288</v>
      </c>
      <c r="D81" s="201"/>
    </row>
    <row r="82">
      <c r="A82" s="200" t="s">
        <v>2512</v>
      </c>
      <c r="B82" s="200" t="s">
        <v>992</v>
      </c>
      <c r="C82" s="200" t="s">
        <v>2513</v>
      </c>
      <c r="D82" s="201"/>
    </row>
    <row r="83">
      <c r="A83" s="200" t="s">
        <v>1553</v>
      </c>
      <c r="B83" s="200" t="s">
        <v>605</v>
      </c>
      <c r="C83" s="200" t="s">
        <v>1554</v>
      </c>
      <c r="D83" s="201"/>
    </row>
    <row r="84">
      <c r="A84" s="200" t="s">
        <v>1208</v>
      </c>
      <c r="B84" s="200" t="s">
        <v>605</v>
      </c>
      <c r="C84" s="200" t="s">
        <v>1209</v>
      </c>
      <c r="D84" s="201"/>
    </row>
    <row r="85">
      <c r="A85" s="200" t="s">
        <v>1016</v>
      </c>
      <c r="B85" s="200" t="s">
        <v>605</v>
      </c>
      <c r="C85" s="200" t="s">
        <v>1017</v>
      </c>
      <c r="D85" s="201"/>
    </row>
    <row r="86">
      <c r="A86" s="200" t="s">
        <v>2533</v>
      </c>
      <c r="B86" s="200" t="s">
        <v>605</v>
      </c>
      <c r="C86" s="200" t="s">
        <v>2534</v>
      </c>
      <c r="D86" s="201"/>
    </row>
    <row r="87">
      <c r="A87" s="200" t="s">
        <v>2711</v>
      </c>
      <c r="B87" s="200" t="s">
        <v>605</v>
      </c>
      <c r="C87" s="200" t="s">
        <v>2712</v>
      </c>
      <c r="D87" s="201"/>
    </row>
    <row r="88">
      <c r="A88" s="200" t="s">
        <v>3070</v>
      </c>
      <c r="B88" s="200" t="s">
        <v>605</v>
      </c>
      <c r="C88" s="200" t="s">
        <v>3165</v>
      </c>
      <c r="D88" s="201"/>
    </row>
    <row r="89">
      <c r="A89" s="200" t="s">
        <v>2143</v>
      </c>
      <c r="B89" s="200" t="s">
        <v>605</v>
      </c>
      <c r="C89" s="200" t="s">
        <v>2144</v>
      </c>
      <c r="D89" s="201"/>
    </row>
    <row r="90">
      <c r="A90" s="200" t="s">
        <v>604</v>
      </c>
      <c r="B90" s="200" t="s">
        <v>605</v>
      </c>
      <c r="C90" s="200" t="s">
        <v>606</v>
      </c>
      <c r="D90" s="201"/>
    </row>
    <row r="91">
      <c r="A91" s="200" t="s">
        <v>2738</v>
      </c>
      <c r="B91" s="200" t="s">
        <v>605</v>
      </c>
      <c r="C91" s="200" t="s">
        <v>2739</v>
      </c>
      <c r="D91" s="201"/>
    </row>
    <row r="92">
      <c r="A92" s="200" t="s">
        <v>2028</v>
      </c>
      <c r="B92" s="200" t="s">
        <v>605</v>
      </c>
      <c r="C92" s="200" t="s">
        <v>2029</v>
      </c>
      <c r="D92" s="201"/>
    </row>
    <row r="93">
      <c r="A93" s="200" t="s">
        <v>1665</v>
      </c>
      <c r="B93" s="200" t="s">
        <v>605</v>
      </c>
      <c r="C93" s="200" t="s">
        <v>1666</v>
      </c>
      <c r="D93" s="201"/>
    </row>
    <row r="94">
      <c r="A94" s="200" t="s">
        <v>1123</v>
      </c>
      <c r="B94" s="200" t="s">
        <v>605</v>
      </c>
      <c r="C94" s="200" t="s">
        <v>1124</v>
      </c>
      <c r="D94" s="201"/>
    </row>
    <row r="95">
      <c r="A95" s="200" t="s">
        <v>749</v>
      </c>
      <c r="B95" s="200" t="s">
        <v>605</v>
      </c>
      <c r="C95" s="200" t="s">
        <v>750</v>
      </c>
      <c r="D95" s="201"/>
    </row>
    <row r="96">
      <c r="A96" s="200" t="s">
        <v>1493</v>
      </c>
      <c r="B96" s="200" t="s">
        <v>605</v>
      </c>
      <c r="C96" s="200" t="s">
        <v>1494</v>
      </c>
      <c r="D96" s="201"/>
    </row>
    <row r="97">
      <c r="A97" s="200" t="s">
        <v>2355</v>
      </c>
      <c r="B97" s="200" t="s">
        <v>605</v>
      </c>
      <c r="C97" s="200" t="s">
        <v>3166</v>
      </c>
      <c r="D97" s="201"/>
    </row>
    <row r="98">
      <c r="A98" s="200" t="s">
        <v>1030</v>
      </c>
      <c r="B98" s="200" t="s">
        <v>133</v>
      </c>
      <c r="C98" s="200" t="s">
        <v>3167</v>
      </c>
      <c r="D98" s="201"/>
    </row>
    <row r="99">
      <c r="A99" s="200" t="s">
        <v>1429</v>
      </c>
      <c r="B99" s="200" t="s">
        <v>133</v>
      </c>
      <c r="C99" s="200" t="s">
        <v>1430</v>
      </c>
      <c r="D99" s="201"/>
    </row>
    <row r="100">
      <c r="A100" s="200" t="s">
        <v>3043</v>
      </c>
      <c r="B100" s="200" t="s">
        <v>133</v>
      </c>
      <c r="C100" s="200" t="s">
        <v>3168</v>
      </c>
      <c r="D100" s="201"/>
    </row>
    <row r="101">
      <c r="A101" s="200" t="s">
        <v>1202</v>
      </c>
      <c r="B101" s="200" t="s">
        <v>133</v>
      </c>
      <c r="C101" s="200" t="s">
        <v>1203</v>
      </c>
      <c r="D101" s="201"/>
    </row>
    <row r="102">
      <c r="A102" s="200" t="s">
        <v>793</v>
      </c>
      <c r="B102" s="200" t="s">
        <v>757</v>
      </c>
      <c r="C102" s="200" t="s">
        <v>794</v>
      </c>
      <c r="D102" s="204" t="s">
        <v>3169</v>
      </c>
    </row>
    <row r="103">
      <c r="A103" s="200" t="s">
        <v>1988</v>
      </c>
      <c r="B103" s="200" t="s">
        <v>757</v>
      </c>
      <c r="C103" s="200" t="s">
        <v>1989</v>
      </c>
      <c r="D103" s="204" t="s">
        <v>3170</v>
      </c>
    </row>
    <row r="104">
      <c r="A104" s="200" t="s">
        <v>756</v>
      </c>
      <c r="B104" s="200" t="s">
        <v>757</v>
      </c>
      <c r="C104" s="200" t="s">
        <v>758</v>
      </c>
      <c r="D104" s="204" t="s">
        <v>3171</v>
      </c>
    </row>
    <row r="105">
      <c r="A105" s="200" t="s">
        <v>1571</v>
      </c>
      <c r="B105" s="200" t="s">
        <v>1039</v>
      </c>
      <c r="C105" s="200" t="s">
        <v>3172</v>
      </c>
      <c r="D105" s="202">
        <v>46295.0</v>
      </c>
    </row>
    <row r="106">
      <c r="A106" s="200" t="s">
        <v>2010</v>
      </c>
      <c r="B106" s="200" t="s">
        <v>1039</v>
      </c>
      <c r="C106" s="200" t="s">
        <v>2011</v>
      </c>
      <c r="D106" s="202">
        <v>46295.0</v>
      </c>
    </row>
    <row r="107">
      <c r="A107" s="200" t="s">
        <v>1038</v>
      </c>
      <c r="B107" s="200" t="s">
        <v>1039</v>
      </c>
      <c r="C107" s="200" t="s">
        <v>1040</v>
      </c>
      <c r="D107" s="202">
        <v>46295.0</v>
      </c>
    </row>
    <row r="108">
      <c r="A108" s="200" t="s">
        <v>1231</v>
      </c>
      <c r="B108" s="200" t="s">
        <v>1039</v>
      </c>
      <c r="C108" s="200" t="s">
        <v>3173</v>
      </c>
      <c r="D108" s="204" t="s">
        <v>3174</v>
      </c>
    </row>
    <row r="109">
      <c r="A109" s="200" t="s">
        <v>1630</v>
      </c>
      <c r="B109" s="200" t="s">
        <v>1274</v>
      </c>
      <c r="C109" s="200" t="s">
        <v>1631</v>
      </c>
      <c r="D109" s="201"/>
    </row>
    <row r="110">
      <c r="A110" s="200" t="s">
        <v>1450</v>
      </c>
      <c r="B110" s="200" t="s">
        <v>1274</v>
      </c>
      <c r="C110" s="200" t="s">
        <v>1451</v>
      </c>
      <c r="D110" s="201"/>
    </row>
    <row r="111">
      <c r="A111" s="200" t="s">
        <v>1343</v>
      </c>
      <c r="B111" s="200" t="s">
        <v>1274</v>
      </c>
      <c r="C111" s="200" t="s">
        <v>1344</v>
      </c>
      <c r="D111" s="201"/>
    </row>
    <row r="112">
      <c r="A112" s="200" t="s">
        <v>1340</v>
      </c>
      <c r="B112" s="200" t="s">
        <v>1274</v>
      </c>
      <c r="C112" s="200" t="s">
        <v>1341</v>
      </c>
      <c r="D112" s="201"/>
    </row>
    <row r="113">
      <c r="A113" s="200" t="s">
        <v>1535</v>
      </c>
      <c r="B113" s="200" t="s">
        <v>1274</v>
      </c>
      <c r="C113" s="200" t="s">
        <v>1536</v>
      </c>
      <c r="D113" s="201"/>
    </row>
    <row r="114">
      <c r="A114" s="200" t="s">
        <v>2223</v>
      </c>
      <c r="B114" s="200" t="s">
        <v>1274</v>
      </c>
      <c r="C114" s="200" t="s">
        <v>2224</v>
      </c>
      <c r="D114" s="201"/>
    </row>
    <row r="115">
      <c r="A115" s="200" t="s">
        <v>1820</v>
      </c>
      <c r="B115" s="200" t="s">
        <v>1274</v>
      </c>
      <c r="C115" s="200" t="s">
        <v>1821</v>
      </c>
      <c r="D115" s="201"/>
    </row>
    <row r="116">
      <c r="A116" s="200" t="s">
        <v>1560</v>
      </c>
      <c r="B116" s="200" t="s">
        <v>1274</v>
      </c>
      <c r="C116" s="200" t="s">
        <v>1561</v>
      </c>
      <c r="D116" s="201"/>
    </row>
    <row r="117">
      <c r="A117" s="200" t="s">
        <v>1345</v>
      </c>
      <c r="B117" s="200" t="s">
        <v>1274</v>
      </c>
      <c r="C117" s="200" t="s">
        <v>1346</v>
      </c>
      <c r="D117" s="201"/>
    </row>
    <row r="118">
      <c r="A118" s="200" t="s">
        <v>2197</v>
      </c>
      <c r="B118" s="200" t="s">
        <v>1274</v>
      </c>
      <c r="C118" s="200" t="s">
        <v>2198</v>
      </c>
      <c r="D118" s="201"/>
    </row>
    <row r="119">
      <c r="A119" s="200" t="s">
        <v>2400</v>
      </c>
      <c r="B119" s="200" t="s">
        <v>1274</v>
      </c>
      <c r="C119" s="200" t="s">
        <v>2401</v>
      </c>
      <c r="D119" s="201"/>
    </row>
    <row r="120">
      <c r="A120" s="200" t="s">
        <v>2373</v>
      </c>
      <c r="B120" s="200" t="s">
        <v>1274</v>
      </c>
      <c r="C120" s="200" t="s">
        <v>2374</v>
      </c>
      <c r="D120" s="201"/>
    </row>
    <row r="121">
      <c r="A121" s="200" t="s">
        <v>2556</v>
      </c>
      <c r="B121" s="200" t="s">
        <v>1274</v>
      </c>
      <c r="C121" s="200" t="s">
        <v>2557</v>
      </c>
      <c r="D121" s="201"/>
    </row>
    <row r="122">
      <c r="A122" s="200" t="s">
        <v>1279</v>
      </c>
      <c r="B122" s="200" t="s">
        <v>1274</v>
      </c>
      <c r="C122" s="200" t="s">
        <v>1280</v>
      </c>
      <c r="D122" s="201"/>
    </row>
    <row r="123">
      <c r="A123" s="200" t="s">
        <v>710</v>
      </c>
      <c r="B123" s="200" t="s">
        <v>711</v>
      </c>
      <c r="C123" s="200" t="s">
        <v>712</v>
      </c>
      <c r="D123" s="202">
        <v>46357.0</v>
      </c>
    </row>
    <row r="124">
      <c r="A124" s="200" t="s">
        <v>2721</v>
      </c>
      <c r="B124" s="200" t="s">
        <v>826</v>
      </c>
      <c r="C124" s="200" t="s">
        <v>3175</v>
      </c>
      <c r="D124" s="201"/>
    </row>
    <row r="125">
      <c r="A125" s="200" t="s">
        <v>2299</v>
      </c>
      <c r="B125" s="200" t="s">
        <v>826</v>
      </c>
      <c r="C125" s="200" t="s">
        <v>3176</v>
      </c>
      <c r="D125" s="201"/>
    </row>
    <row r="126">
      <c r="A126" s="200" t="s">
        <v>1116</v>
      </c>
      <c r="B126" s="200" t="s">
        <v>826</v>
      </c>
      <c r="C126" s="200" t="s">
        <v>1117</v>
      </c>
      <c r="D126" s="201"/>
    </row>
    <row r="127">
      <c r="A127" s="200" t="s">
        <v>1157</v>
      </c>
      <c r="B127" s="200" t="s">
        <v>826</v>
      </c>
      <c r="C127" s="200" t="s">
        <v>3177</v>
      </c>
      <c r="D127" s="201"/>
    </row>
    <row r="128">
      <c r="A128" s="200" t="s">
        <v>2705</v>
      </c>
      <c r="B128" s="200" t="s">
        <v>826</v>
      </c>
      <c r="C128" s="200" t="s">
        <v>3178</v>
      </c>
      <c r="D128" s="201"/>
    </row>
    <row r="129">
      <c r="A129" s="200" t="s">
        <v>2041</v>
      </c>
      <c r="B129" s="200" t="s">
        <v>826</v>
      </c>
      <c r="C129" s="200" t="s">
        <v>3179</v>
      </c>
      <c r="D129" s="201"/>
    </row>
    <row r="130">
      <c r="A130" s="200" t="s">
        <v>1605</v>
      </c>
      <c r="B130" s="200" t="s">
        <v>826</v>
      </c>
      <c r="C130" s="200" t="s">
        <v>3180</v>
      </c>
      <c r="D130" s="201"/>
    </row>
    <row r="131">
      <c r="A131" s="200" t="s">
        <v>2455</v>
      </c>
      <c r="B131" s="200" t="s">
        <v>826</v>
      </c>
      <c r="C131" s="200" t="s">
        <v>2456</v>
      </c>
      <c r="D131" s="201"/>
    </row>
    <row r="132">
      <c r="A132" s="200" t="s">
        <v>1599</v>
      </c>
      <c r="B132" s="200" t="s">
        <v>826</v>
      </c>
      <c r="C132" s="200" t="s">
        <v>1600</v>
      </c>
      <c r="D132" s="201"/>
    </row>
    <row r="133">
      <c r="A133" s="200" t="s">
        <v>843</v>
      </c>
      <c r="B133" s="200" t="s">
        <v>826</v>
      </c>
      <c r="C133" s="200" t="s">
        <v>3181</v>
      </c>
      <c r="D133" s="201"/>
    </row>
    <row r="134">
      <c r="A134" s="200" t="s">
        <v>825</v>
      </c>
      <c r="B134" s="200" t="s">
        <v>826</v>
      </c>
      <c r="C134" s="200" t="s">
        <v>3182</v>
      </c>
      <c r="D134" s="201"/>
    </row>
    <row r="135">
      <c r="A135" s="200" t="s">
        <v>877</v>
      </c>
      <c r="B135" s="200" t="s">
        <v>826</v>
      </c>
      <c r="C135" s="200" t="s">
        <v>3183</v>
      </c>
      <c r="D135" s="201"/>
    </row>
    <row r="136">
      <c r="A136" s="200" t="s">
        <v>916</v>
      </c>
      <c r="B136" s="200" t="s">
        <v>826</v>
      </c>
      <c r="C136" s="200" t="s">
        <v>917</v>
      </c>
      <c r="D136" s="201"/>
    </row>
    <row r="137">
      <c r="A137" s="200" t="s">
        <v>2393</v>
      </c>
      <c r="B137" s="200" t="s">
        <v>1586</v>
      </c>
      <c r="C137" s="200" t="s">
        <v>3184</v>
      </c>
      <c r="D137" s="202">
        <v>46174.0</v>
      </c>
    </row>
    <row r="138">
      <c r="A138" s="200" t="s">
        <v>2614</v>
      </c>
      <c r="B138" s="200" t="s">
        <v>1586</v>
      </c>
      <c r="C138" s="200" t="s">
        <v>2615</v>
      </c>
      <c r="D138" s="202">
        <v>46174.0</v>
      </c>
    </row>
    <row r="139">
      <c r="A139" s="200" t="s">
        <v>2325</v>
      </c>
      <c r="B139" s="200" t="s">
        <v>1586</v>
      </c>
      <c r="C139" s="200" t="s">
        <v>3185</v>
      </c>
      <c r="D139" s="202">
        <v>46174.0</v>
      </c>
    </row>
    <row r="140">
      <c r="A140" s="200" t="s">
        <v>2693</v>
      </c>
      <c r="B140" s="200" t="s">
        <v>1586</v>
      </c>
      <c r="C140" s="200" t="s">
        <v>2694</v>
      </c>
      <c r="D140" s="202">
        <v>46174.0</v>
      </c>
    </row>
    <row r="141">
      <c r="A141" s="200" t="s">
        <v>2123</v>
      </c>
      <c r="B141" s="200" t="s">
        <v>1586</v>
      </c>
      <c r="C141" s="200" t="s">
        <v>3186</v>
      </c>
      <c r="D141" s="202">
        <v>46174.0</v>
      </c>
    </row>
    <row r="142">
      <c r="A142" s="200" t="s">
        <v>1585</v>
      </c>
      <c r="B142" s="200" t="s">
        <v>1586</v>
      </c>
      <c r="C142" s="200" t="s">
        <v>3187</v>
      </c>
      <c r="D142" s="202">
        <v>46296.0</v>
      </c>
    </row>
    <row r="143">
      <c r="A143" s="200" t="s">
        <v>3050</v>
      </c>
      <c r="B143" s="200" t="s">
        <v>1586</v>
      </c>
      <c r="C143" s="200" t="s">
        <v>3051</v>
      </c>
      <c r="D143" s="202">
        <v>46296.0</v>
      </c>
    </row>
    <row r="144">
      <c r="A144" s="200" t="s">
        <v>2795</v>
      </c>
      <c r="B144" s="200" t="s">
        <v>1586</v>
      </c>
      <c r="C144" s="200" t="s">
        <v>3188</v>
      </c>
      <c r="D144" s="202">
        <v>46296.0</v>
      </c>
    </row>
    <row r="145">
      <c r="A145" s="200" t="s">
        <v>2725</v>
      </c>
      <c r="B145" s="200" t="s">
        <v>1586</v>
      </c>
      <c r="C145" s="200" t="s">
        <v>2726</v>
      </c>
      <c r="D145" s="202">
        <v>46296.0</v>
      </c>
    </row>
    <row r="146">
      <c r="A146" s="200" t="s">
        <v>2564</v>
      </c>
      <c r="B146" s="200" t="s">
        <v>400</v>
      </c>
      <c r="C146" s="200" t="s">
        <v>2565</v>
      </c>
      <c r="D146" s="203">
        <v>46021.0</v>
      </c>
    </row>
    <row r="147">
      <c r="A147" s="200" t="s">
        <v>2347</v>
      </c>
      <c r="B147" s="200" t="s">
        <v>400</v>
      </c>
      <c r="C147" s="200" t="s">
        <v>2348</v>
      </c>
      <c r="D147" s="202">
        <v>46120.0</v>
      </c>
    </row>
    <row r="148">
      <c r="A148" s="200" t="s">
        <v>1945</v>
      </c>
      <c r="B148" s="200" t="s">
        <v>400</v>
      </c>
      <c r="C148" s="200" t="s">
        <v>1946</v>
      </c>
      <c r="D148" s="201"/>
    </row>
    <row r="149">
      <c r="A149" s="200" t="s">
        <v>399</v>
      </c>
      <c r="B149" s="200" t="s">
        <v>400</v>
      </c>
      <c r="C149" s="200" t="s">
        <v>401</v>
      </c>
      <c r="D149" s="201"/>
    </row>
    <row r="150">
      <c r="A150" s="200" t="s">
        <v>1742</v>
      </c>
      <c r="B150" s="200" t="s">
        <v>400</v>
      </c>
      <c r="C150" s="200" t="s">
        <v>1743</v>
      </c>
      <c r="D150" s="202">
        <v>46079.0</v>
      </c>
    </row>
    <row r="151">
      <c r="A151" s="200" t="s">
        <v>2382</v>
      </c>
      <c r="B151" s="200" t="s">
        <v>400</v>
      </c>
      <c r="C151" s="200" t="s">
        <v>2383</v>
      </c>
      <c r="D151" s="202">
        <v>45916.0</v>
      </c>
    </row>
    <row r="152">
      <c r="A152" s="200" t="s">
        <v>2485</v>
      </c>
      <c r="B152" s="200" t="s">
        <v>400</v>
      </c>
      <c r="C152" s="200" t="s">
        <v>3189</v>
      </c>
      <c r="D152" s="201"/>
    </row>
    <row r="153">
      <c r="A153" s="200" t="s">
        <v>2840</v>
      </c>
      <c r="B153" s="200" t="s">
        <v>400</v>
      </c>
      <c r="C153" s="200" t="s">
        <v>2841</v>
      </c>
      <c r="D153" s="201"/>
    </row>
    <row r="154">
      <c r="A154" s="200" t="s">
        <v>2641</v>
      </c>
      <c r="B154" s="200" t="s">
        <v>400</v>
      </c>
      <c r="C154" s="200" t="s">
        <v>2642</v>
      </c>
      <c r="D154" s="203">
        <v>46021.0</v>
      </c>
    </row>
    <row r="155">
      <c r="A155" s="200" t="s">
        <v>2961</v>
      </c>
      <c r="B155" s="200" t="s">
        <v>400</v>
      </c>
      <c r="C155" s="200" t="s">
        <v>2962</v>
      </c>
      <c r="D155" s="203">
        <v>46021.0</v>
      </c>
    </row>
    <row r="156">
      <c r="A156" s="200" t="s">
        <v>1671</v>
      </c>
      <c r="B156" s="200" t="s">
        <v>400</v>
      </c>
      <c r="C156" s="200" t="s">
        <v>1672</v>
      </c>
      <c r="D156" s="201"/>
    </row>
    <row r="157">
      <c r="A157" s="200" t="s">
        <v>2803</v>
      </c>
      <c r="B157" s="200" t="s">
        <v>400</v>
      </c>
      <c r="C157" s="200" t="s">
        <v>2804</v>
      </c>
      <c r="D157" s="201"/>
    </row>
    <row r="158">
      <c r="A158" s="200" t="s">
        <v>1046</v>
      </c>
      <c r="B158" s="200" t="s">
        <v>400</v>
      </c>
      <c r="C158" s="200" t="s">
        <v>1047</v>
      </c>
      <c r="D158" s="202">
        <v>45922.0</v>
      </c>
    </row>
    <row r="159">
      <c r="A159" s="200" t="s">
        <v>3058</v>
      </c>
      <c r="B159" s="200" t="s">
        <v>400</v>
      </c>
      <c r="C159" s="200" t="s">
        <v>3059</v>
      </c>
      <c r="D159" s="203">
        <v>46021.0</v>
      </c>
    </row>
    <row r="160">
      <c r="A160" s="200" t="s">
        <v>2317</v>
      </c>
      <c r="B160" s="200" t="s">
        <v>400</v>
      </c>
      <c r="C160" s="200" t="s">
        <v>2318</v>
      </c>
      <c r="D160" s="203">
        <v>46021.0</v>
      </c>
    </row>
    <row r="161">
      <c r="A161" s="200" t="s">
        <v>2787</v>
      </c>
      <c r="B161" s="200" t="s">
        <v>400</v>
      </c>
      <c r="C161" s="200" t="s">
        <v>2788</v>
      </c>
      <c r="D161" s="203">
        <v>46021.0</v>
      </c>
    </row>
    <row r="162">
      <c r="A162" s="200" t="s">
        <v>3106</v>
      </c>
      <c r="B162" s="200" t="s">
        <v>36</v>
      </c>
      <c r="C162" s="200" t="s">
        <v>3107</v>
      </c>
      <c r="D162" s="201"/>
    </row>
    <row r="163">
      <c r="A163" s="200" t="s">
        <v>597</v>
      </c>
      <c r="B163" s="200" t="s">
        <v>36</v>
      </c>
      <c r="C163" s="200" t="s">
        <v>598</v>
      </c>
      <c r="D163" s="201"/>
    </row>
    <row r="164">
      <c r="A164" s="200" t="s">
        <v>35</v>
      </c>
      <c r="B164" s="200" t="s">
        <v>36</v>
      </c>
      <c r="C164" s="200" t="s">
        <v>37</v>
      </c>
      <c r="D164" s="201"/>
    </row>
    <row r="165">
      <c r="A165" s="200" t="s">
        <v>379</v>
      </c>
      <c r="B165" s="200" t="s">
        <v>36</v>
      </c>
      <c r="C165" s="200" t="s">
        <v>3190</v>
      </c>
      <c r="D165" s="201"/>
    </row>
    <row r="166">
      <c r="A166" s="200" t="s">
        <v>2667</v>
      </c>
      <c r="B166" s="200" t="s">
        <v>725</v>
      </c>
      <c r="C166" s="200" t="s">
        <v>2668</v>
      </c>
      <c r="D166" s="201"/>
    </row>
    <row r="167">
      <c r="A167" s="200" t="s">
        <v>141</v>
      </c>
      <c r="B167" s="200" t="s">
        <v>142</v>
      </c>
      <c r="C167" s="200" t="s">
        <v>143</v>
      </c>
      <c r="D167" s="202">
        <v>45720.0</v>
      </c>
    </row>
    <row r="168">
      <c r="A168" s="200" t="s">
        <v>466</v>
      </c>
      <c r="B168" s="200" t="s">
        <v>142</v>
      </c>
      <c r="C168" s="200" t="s">
        <v>3191</v>
      </c>
      <c r="D168" s="202">
        <v>46127.0</v>
      </c>
    </row>
    <row r="169">
      <c r="A169" s="200" t="s">
        <v>923</v>
      </c>
      <c r="B169" s="200" t="s">
        <v>142</v>
      </c>
      <c r="C169" s="200" t="s">
        <v>924</v>
      </c>
      <c r="D169" s="202">
        <v>45719.0</v>
      </c>
    </row>
    <row r="170">
      <c r="A170" s="200" t="s">
        <v>474</v>
      </c>
      <c r="B170" s="200" t="s">
        <v>142</v>
      </c>
      <c r="C170" s="200" t="s">
        <v>3192</v>
      </c>
      <c r="D170" s="202">
        <v>45720.0</v>
      </c>
    </row>
    <row r="171">
      <c r="A171" s="200" t="s">
        <v>686</v>
      </c>
      <c r="B171" s="200" t="s">
        <v>142</v>
      </c>
      <c r="C171" s="200" t="s">
        <v>687</v>
      </c>
      <c r="D171" s="202">
        <v>45720.0</v>
      </c>
    </row>
    <row r="172">
      <c r="A172" s="200" t="s">
        <v>2625</v>
      </c>
      <c r="B172" s="200" t="s">
        <v>142</v>
      </c>
      <c r="C172" s="200" t="s">
        <v>3193</v>
      </c>
      <c r="D172" s="202">
        <v>46141.0</v>
      </c>
    </row>
    <row r="173">
      <c r="A173" s="200" t="s">
        <v>1872</v>
      </c>
      <c r="B173" s="200" t="s">
        <v>142</v>
      </c>
      <c r="C173" s="200" t="s">
        <v>1873</v>
      </c>
      <c r="D173" s="202">
        <v>45713.0</v>
      </c>
    </row>
    <row r="174">
      <c r="A174" s="200" t="s">
        <v>1889</v>
      </c>
      <c r="B174" s="200" t="s">
        <v>142</v>
      </c>
      <c r="C174" s="200" t="s">
        <v>1890</v>
      </c>
      <c r="D174" s="202">
        <v>45708.0</v>
      </c>
    </row>
    <row r="175">
      <c r="A175" s="200" t="s">
        <v>1858</v>
      </c>
      <c r="B175" s="200" t="s">
        <v>142</v>
      </c>
      <c r="C175" s="200" t="s">
        <v>3194</v>
      </c>
      <c r="D175" s="202">
        <v>46084.0</v>
      </c>
    </row>
    <row r="176">
      <c r="A176" s="200" t="s">
        <v>1610</v>
      </c>
      <c r="B176" s="200" t="s">
        <v>142</v>
      </c>
      <c r="C176" s="200" t="s">
        <v>1611</v>
      </c>
      <c r="D176" s="202">
        <v>45702.0</v>
      </c>
    </row>
    <row r="177">
      <c r="A177" s="200" t="s">
        <v>425</v>
      </c>
      <c r="B177" s="200" t="s">
        <v>142</v>
      </c>
      <c r="C177" s="200" t="s">
        <v>3195</v>
      </c>
      <c r="D177" s="202">
        <v>46051.0</v>
      </c>
    </row>
    <row r="178">
      <c r="A178" s="200" t="s">
        <v>1800</v>
      </c>
      <c r="B178" s="200" t="s">
        <v>142</v>
      </c>
      <c r="C178" s="200" t="s">
        <v>1801</v>
      </c>
      <c r="D178" s="202">
        <v>46115.0</v>
      </c>
    </row>
    <row r="179">
      <c r="A179" s="200" t="s">
        <v>55</v>
      </c>
      <c r="B179" s="200" t="s">
        <v>56</v>
      </c>
      <c r="C179" s="200" t="s">
        <v>3196</v>
      </c>
      <c r="D179" s="201"/>
    </row>
    <row r="180">
      <c r="A180" s="200" t="s">
        <v>955</v>
      </c>
      <c r="B180" s="200" t="s">
        <v>56</v>
      </c>
      <c r="C180" s="200" t="s">
        <v>956</v>
      </c>
      <c r="D180" s="201"/>
    </row>
    <row r="181">
      <c r="A181" s="200" t="s">
        <v>490</v>
      </c>
      <c r="B181" s="200" t="s">
        <v>56</v>
      </c>
      <c r="C181" s="200" t="s">
        <v>491</v>
      </c>
      <c r="D181" s="201"/>
    </row>
    <row r="182">
      <c r="A182" s="200" t="s">
        <v>662</v>
      </c>
      <c r="B182" s="200" t="s">
        <v>56</v>
      </c>
      <c r="C182" s="200" t="s">
        <v>663</v>
      </c>
      <c r="D182" s="201"/>
    </row>
    <row r="183">
      <c r="A183" s="200" t="s">
        <v>1022</v>
      </c>
      <c r="B183" s="200" t="s">
        <v>56</v>
      </c>
      <c r="C183" s="200" t="s">
        <v>1023</v>
      </c>
      <c r="D183" s="201"/>
    </row>
    <row r="184">
      <c r="A184" s="200" t="s">
        <v>1164</v>
      </c>
      <c r="B184" s="200" t="s">
        <v>56</v>
      </c>
      <c r="C184" s="200" t="s">
        <v>1165</v>
      </c>
      <c r="D184" s="201"/>
    </row>
    <row r="185">
      <c r="A185" s="200" t="s">
        <v>2290</v>
      </c>
      <c r="B185" s="200" t="s">
        <v>56</v>
      </c>
      <c r="C185" s="200" t="s">
        <v>2291</v>
      </c>
      <c r="D185" s="201"/>
    </row>
    <row r="186">
      <c r="A186" s="200" t="s">
        <v>2415</v>
      </c>
      <c r="B186" s="200" t="s">
        <v>56</v>
      </c>
      <c r="C186" s="200" t="s">
        <v>3197</v>
      </c>
      <c r="D186" s="201"/>
    </row>
    <row r="187">
      <c r="A187" s="200" t="s">
        <v>309</v>
      </c>
      <c r="B187" s="200" t="s">
        <v>56</v>
      </c>
      <c r="C187" s="200" t="s">
        <v>310</v>
      </c>
      <c r="D187" s="201"/>
    </row>
    <row r="188">
      <c r="A188" s="200" t="s">
        <v>905</v>
      </c>
      <c r="B188" s="200" t="s">
        <v>56</v>
      </c>
      <c r="C188" s="200" t="s">
        <v>906</v>
      </c>
      <c r="D188" s="201"/>
    </row>
    <row r="189">
      <c r="A189" s="200" t="s">
        <v>2000</v>
      </c>
      <c r="B189" s="200" t="s">
        <v>56</v>
      </c>
      <c r="C189" s="200" t="s">
        <v>3198</v>
      </c>
      <c r="D189" s="201"/>
    </row>
    <row r="190">
      <c r="A190" s="200" t="s">
        <v>2503</v>
      </c>
      <c r="B190" s="200" t="s">
        <v>56</v>
      </c>
      <c r="C190" s="200" t="s">
        <v>2504</v>
      </c>
      <c r="D190" s="201"/>
    </row>
    <row r="191">
      <c r="A191" s="200" t="s">
        <v>860</v>
      </c>
      <c r="B191" s="200" t="s">
        <v>56</v>
      </c>
      <c r="C191" s="200" t="s">
        <v>861</v>
      </c>
      <c r="D191" s="201"/>
    </row>
    <row r="192">
      <c r="A192" s="200" t="s">
        <v>1073</v>
      </c>
      <c r="B192" s="200" t="s">
        <v>56</v>
      </c>
      <c r="C192" s="200" t="s">
        <v>1074</v>
      </c>
      <c r="D192" s="201"/>
    </row>
    <row r="193">
      <c r="A193" s="200" t="s">
        <v>2212</v>
      </c>
      <c r="B193" s="200" t="s">
        <v>703</v>
      </c>
      <c r="C193" s="200" t="s">
        <v>2213</v>
      </c>
      <c r="D193" s="202">
        <v>46171.0</v>
      </c>
    </row>
    <row r="194">
      <c r="A194" s="200" t="s">
        <v>3114</v>
      </c>
      <c r="B194" s="200" t="s">
        <v>703</v>
      </c>
      <c r="C194" s="200" t="s">
        <v>3199</v>
      </c>
      <c r="D194" s="204" t="s">
        <v>437</v>
      </c>
    </row>
    <row r="195">
      <c r="A195" s="200" t="s">
        <v>2239</v>
      </c>
      <c r="B195" s="200" t="s">
        <v>703</v>
      </c>
      <c r="C195" s="200" t="s">
        <v>2240</v>
      </c>
      <c r="D195" s="204" t="s">
        <v>437</v>
      </c>
    </row>
    <row r="196">
      <c r="A196" s="200" t="s">
        <v>2287</v>
      </c>
      <c r="B196" s="200" t="s">
        <v>703</v>
      </c>
      <c r="C196" s="200" t="s">
        <v>2288</v>
      </c>
      <c r="D196" s="202">
        <v>46157.0</v>
      </c>
    </row>
    <row r="197">
      <c r="A197" s="200" t="s">
        <v>2275</v>
      </c>
      <c r="B197" s="200" t="s">
        <v>703</v>
      </c>
      <c r="C197" s="200" t="s">
        <v>2276</v>
      </c>
      <c r="D197" s="204" t="s">
        <v>437</v>
      </c>
    </row>
    <row r="198">
      <c r="A198" s="200" t="s">
        <v>2281</v>
      </c>
      <c r="B198" s="200" t="s">
        <v>703</v>
      </c>
      <c r="C198" s="200" t="s">
        <v>2282</v>
      </c>
      <c r="D198" s="202">
        <v>46171.0</v>
      </c>
    </row>
    <row r="199">
      <c r="A199" s="200" t="s">
        <v>2278</v>
      </c>
      <c r="B199" s="200" t="s">
        <v>703</v>
      </c>
      <c r="C199" s="200" t="s">
        <v>2279</v>
      </c>
      <c r="D199" s="204" t="s">
        <v>437</v>
      </c>
    </row>
    <row r="200">
      <c r="A200" s="200" t="s">
        <v>2272</v>
      </c>
      <c r="B200" s="200" t="s">
        <v>703</v>
      </c>
      <c r="C200" s="200" t="s">
        <v>2273</v>
      </c>
      <c r="D200" s="204" t="s">
        <v>437</v>
      </c>
    </row>
    <row r="201">
      <c r="A201" s="200" t="s">
        <v>702</v>
      </c>
      <c r="B201" s="200" t="s">
        <v>703</v>
      </c>
      <c r="C201" s="200" t="s">
        <v>704</v>
      </c>
      <c r="D201" s="202">
        <v>46171.0</v>
      </c>
    </row>
    <row r="202">
      <c r="A202" s="200" t="s">
        <v>2245</v>
      </c>
      <c r="B202" s="200" t="s">
        <v>703</v>
      </c>
      <c r="C202" s="200" t="s">
        <v>2246</v>
      </c>
      <c r="D202" s="202">
        <v>46157.0</v>
      </c>
    </row>
    <row r="203">
      <c r="A203" s="200" t="s">
        <v>2194</v>
      </c>
      <c r="B203" s="200" t="s">
        <v>703</v>
      </c>
      <c r="C203" s="200" t="s">
        <v>2195</v>
      </c>
      <c r="D203" s="202">
        <v>46157.0</v>
      </c>
    </row>
    <row r="204">
      <c r="A204" s="200" t="s">
        <v>3117</v>
      </c>
      <c r="B204" s="200" t="s">
        <v>703</v>
      </c>
      <c r="C204" s="200" t="s">
        <v>3200</v>
      </c>
      <c r="D204" s="204" t="s">
        <v>437</v>
      </c>
    </row>
    <row r="205">
      <c r="A205" s="200" t="s">
        <v>2053</v>
      </c>
      <c r="B205" s="200" t="s">
        <v>703</v>
      </c>
      <c r="C205" s="200" t="s">
        <v>2054</v>
      </c>
      <c r="D205" s="202">
        <v>46171.0</v>
      </c>
    </row>
    <row r="206">
      <c r="A206" s="200" t="s">
        <v>2209</v>
      </c>
      <c r="B206" s="200" t="s">
        <v>703</v>
      </c>
      <c r="C206" s="200" t="s">
        <v>3201</v>
      </c>
      <c r="D206" s="202">
        <v>46171.0</v>
      </c>
    </row>
    <row r="207">
      <c r="A207" s="200" t="s">
        <v>3103</v>
      </c>
      <c r="B207" s="200" t="s">
        <v>703</v>
      </c>
      <c r="C207" s="200" t="s">
        <v>3104</v>
      </c>
      <c r="D207" s="204" t="s">
        <v>437</v>
      </c>
    </row>
    <row r="208">
      <c r="A208" s="200" t="s">
        <v>2231</v>
      </c>
      <c r="B208" s="200" t="s">
        <v>703</v>
      </c>
      <c r="C208" s="200" t="s">
        <v>2232</v>
      </c>
      <c r="D208" s="204" t="s">
        <v>437</v>
      </c>
    </row>
    <row r="209">
      <c r="A209" s="200" t="s">
        <v>2910</v>
      </c>
      <c r="B209" s="200" t="s">
        <v>703</v>
      </c>
      <c r="C209" s="200" t="s">
        <v>2911</v>
      </c>
      <c r="D209" s="202">
        <v>46171.0</v>
      </c>
    </row>
    <row r="210">
      <c r="A210" s="200" t="s">
        <v>2185</v>
      </c>
      <c r="B210" s="200" t="s">
        <v>703</v>
      </c>
      <c r="C210" s="200" t="s">
        <v>3202</v>
      </c>
      <c r="D210" s="202">
        <v>46171.0</v>
      </c>
    </row>
    <row r="211">
      <c r="A211" s="200" t="s">
        <v>2161</v>
      </c>
      <c r="B211" s="200" t="s">
        <v>703</v>
      </c>
      <c r="C211" s="200" t="s">
        <v>2162</v>
      </c>
      <c r="D211" s="204" t="s">
        <v>437</v>
      </c>
    </row>
    <row r="212">
      <c r="A212" s="200" t="s">
        <v>2948</v>
      </c>
      <c r="B212" s="200" t="s">
        <v>703</v>
      </c>
      <c r="C212" s="200" t="s">
        <v>2949</v>
      </c>
      <c r="D212" s="204" t="s">
        <v>437</v>
      </c>
    </row>
    <row r="213">
      <c r="A213" s="200" t="s">
        <v>3122</v>
      </c>
      <c r="B213" s="200" t="s">
        <v>703</v>
      </c>
      <c r="C213" s="200" t="s">
        <v>3203</v>
      </c>
      <c r="D213" s="204" t="s">
        <v>437</v>
      </c>
    </row>
    <row r="214">
      <c r="A214" s="200" t="s">
        <v>2164</v>
      </c>
      <c r="B214" s="200" t="s">
        <v>703</v>
      </c>
      <c r="C214" s="200" t="s">
        <v>3204</v>
      </c>
      <c r="D214" s="202">
        <v>46171.0</v>
      </c>
    </row>
    <row r="215">
      <c r="A215" s="200" t="s">
        <v>2167</v>
      </c>
      <c r="B215" s="200" t="s">
        <v>703</v>
      </c>
      <c r="C215" s="200" t="s">
        <v>3205</v>
      </c>
      <c r="D215" s="202">
        <v>46171.0</v>
      </c>
    </row>
    <row r="216">
      <c r="A216" s="200" t="s">
        <v>2215</v>
      </c>
      <c r="B216" s="200" t="s">
        <v>703</v>
      </c>
      <c r="C216" s="200" t="s">
        <v>3206</v>
      </c>
      <c r="D216" s="203">
        <v>46019.0</v>
      </c>
    </row>
    <row r="217">
      <c r="A217" s="200" t="s">
        <v>693</v>
      </c>
      <c r="B217" s="200" t="s">
        <v>653</v>
      </c>
      <c r="C217" s="200" t="s">
        <v>3207</v>
      </c>
      <c r="D217" s="203">
        <v>46386.0</v>
      </c>
    </row>
    <row r="218">
      <c r="A218" s="200" t="s">
        <v>2108</v>
      </c>
      <c r="B218" s="200" t="s">
        <v>653</v>
      </c>
      <c r="C218" s="200" t="s">
        <v>3208</v>
      </c>
      <c r="D218" s="202">
        <v>46172.0</v>
      </c>
    </row>
    <row r="219">
      <c r="A219" s="200" t="s">
        <v>1465</v>
      </c>
      <c r="B219" s="200" t="s">
        <v>653</v>
      </c>
      <c r="C219" s="200" t="s">
        <v>1466</v>
      </c>
      <c r="D219" s="202">
        <v>46264.0</v>
      </c>
    </row>
    <row r="220">
      <c r="A220" s="200" t="s">
        <v>1356</v>
      </c>
      <c r="B220" s="200" t="s">
        <v>653</v>
      </c>
      <c r="C220" s="200" t="s">
        <v>1357</v>
      </c>
      <c r="D220" s="202">
        <v>46254.0</v>
      </c>
    </row>
    <row r="221">
      <c r="A221" s="200" t="s">
        <v>1056</v>
      </c>
      <c r="B221" s="200" t="s">
        <v>653</v>
      </c>
      <c r="C221" s="200" t="s">
        <v>1057</v>
      </c>
      <c r="D221" s="202">
        <v>46172.0</v>
      </c>
    </row>
    <row r="222">
      <c r="A222" s="200" t="s">
        <v>652</v>
      </c>
      <c r="B222" s="200" t="s">
        <v>653</v>
      </c>
      <c r="C222" s="200" t="s">
        <v>654</v>
      </c>
      <c r="D222" s="202">
        <v>46264.0</v>
      </c>
    </row>
    <row r="223">
      <c r="A223" s="200" t="s">
        <v>1386</v>
      </c>
      <c r="B223" s="200" t="s">
        <v>653</v>
      </c>
      <c r="C223" s="200" t="s">
        <v>1387</v>
      </c>
      <c r="D223" s="202">
        <v>46172.0</v>
      </c>
    </row>
    <row r="224">
      <c r="A224" s="200" t="s">
        <v>1500</v>
      </c>
      <c r="B224" s="200" t="s">
        <v>653</v>
      </c>
      <c r="C224" s="200" t="s">
        <v>1501</v>
      </c>
      <c r="D224" s="202">
        <v>46172.0</v>
      </c>
    </row>
    <row r="225">
      <c r="A225" s="200" t="s">
        <v>869</v>
      </c>
      <c r="B225" s="200" t="s">
        <v>653</v>
      </c>
      <c r="C225" s="200" t="s">
        <v>870</v>
      </c>
      <c r="D225" s="202">
        <v>46172.0</v>
      </c>
    </row>
    <row r="226">
      <c r="A226" s="200" t="s">
        <v>1882</v>
      </c>
      <c r="B226" s="200" t="s">
        <v>653</v>
      </c>
      <c r="C226" s="200" t="s">
        <v>1883</v>
      </c>
      <c r="D226" s="202">
        <v>46264.0</v>
      </c>
    </row>
    <row r="227">
      <c r="A227" s="200" t="s">
        <v>2303</v>
      </c>
      <c r="B227" s="200" t="s">
        <v>653</v>
      </c>
      <c r="C227" s="200" t="s">
        <v>3209</v>
      </c>
      <c r="D227" s="204" t="s">
        <v>3174</v>
      </c>
    </row>
    <row r="228">
      <c r="A228" s="200" t="s">
        <v>2081</v>
      </c>
      <c r="B228" s="200" t="s">
        <v>653</v>
      </c>
      <c r="C228" s="200" t="s">
        <v>2082</v>
      </c>
      <c r="D228" s="202">
        <v>46172.0</v>
      </c>
    </row>
    <row r="229">
      <c r="A229" s="200" t="s">
        <v>2362</v>
      </c>
      <c r="B229" s="200" t="s">
        <v>653</v>
      </c>
      <c r="C229" s="200" t="s">
        <v>2363</v>
      </c>
      <c r="D229" s="202">
        <v>46233.0</v>
      </c>
    </row>
    <row r="230">
      <c r="A230" s="200" t="s">
        <v>1649</v>
      </c>
      <c r="B230" s="200" t="s">
        <v>653</v>
      </c>
      <c r="C230" s="200" t="s">
        <v>1650</v>
      </c>
      <c r="D230" s="202">
        <v>46264.0</v>
      </c>
    </row>
    <row r="231">
      <c r="A231" s="200" t="s">
        <v>2370</v>
      </c>
      <c r="B231" s="200" t="s">
        <v>653</v>
      </c>
      <c r="C231" s="200" t="s">
        <v>2371</v>
      </c>
      <c r="D231" s="204" t="s">
        <v>3174</v>
      </c>
    </row>
    <row r="232">
      <c r="A232" s="200" t="s">
        <v>972</v>
      </c>
      <c r="B232" s="200" t="s">
        <v>653</v>
      </c>
      <c r="C232" s="200" t="s">
        <v>3210</v>
      </c>
      <c r="D232" s="202">
        <v>46264.0</v>
      </c>
    </row>
    <row r="233">
      <c r="A233" s="200" t="s">
        <v>1444</v>
      </c>
      <c r="B233" s="200" t="s">
        <v>653</v>
      </c>
      <c r="C233" s="200" t="s">
        <v>3211</v>
      </c>
      <c r="D233" s="202">
        <v>46264.0</v>
      </c>
    </row>
    <row r="234">
      <c r="A234" s="200" t="s">
        <v>2430</v>
      </c>
      <c r="B234" s="200" t="s">
        <v>2431</v>
      </c>
      <c r="C234" s="200" t="s">
        <v>2432</v>
      </c>
      <c r="D234" s="201"/>
    </row>
    <row r="235">
      <c r="A235" s="200" t="s">
        <v>2089</v>
      </c>
      <c r="B235" s="200" t="s">
        <v>2090</v>
      </c>
      <c r="C235" s="200" t="s">
        <v>2091</v>
      </c>
      <c r="D235" s="202">
        <v>46295.0</v>
      </c>
    </row>
    <row r="236">
      <c r="A236" s="200" t="s">
        <v>542</v>
      </c>
      <c r="B236" s="200" t="s">
        <v>543</v>
      </c>
      <c r="C236" s="200" t="s">
        <v>544</v>
      </c>
      <c r="D236" s="201"/>
    </row>
    <row r="237">
      <c r="A237" s="200" t="s">
        <v>1812</v>
      </c>
      <c r="B237" s="200" t="s">
        <v>894</v>
      </c>
      <c r="C237" s="200" t="s">
        <v>1813</v>
      </c>
      <c r="D237" s="201"/>
    </row>
    <row r="238">
      <c r="A238" s="200" t="s">
        <v>1621</v>
      </c>
      <c r="B238" s="200" t="s">
        <v>894</v>
      </c>
      <c r="C238" s="200" t="s">
        <v>3212</v>
      </c>
      <c r="D238" s="201"/>
    </row>
    <row r="239">
      <c r="A239" s="200" t="s">
        <v>2521</v>
      </c>
      <c r="B239" s="200" t="s">
        <v>894</v>
      </c>
      <c r="C239" s="200" t="s">
        <v>2522</v>
      </c>
      <c r="D239" s="201"/>
    </row>
    <row r="240">
      <c r="A240" s="200" t="s">
        <v>2482</v>
      </c>
      <c r="B240" s="200" t="s">
        <v>894</v>
      </c>
      <c r="C240" s="200" t="s">
        <v>2483</v>
      </c>
      <c r="D240" s="201"/>
    </row>
    <row r="241">
      <c r="A241" s="200" t="s">
        <v>1101</v>
      </c>
      <c r="B241" s="200" t="s">
        <v>894</v>
      </c>
      <c r="C241" s="200" t="s">
        <v>3213</v>
      </c>
      <c r="D241" s="201"/>
    </row>
    <row r="242">
      <c r="A242" s="200" t="s">
        <v>893</v>
      </c>
      <c r="B242" s="200" t="s">
        <v>894</v>
      </c>
      <c r="C242" s="200" t="s">
        <v>3214</v>
      </c>
      <c r="D242" s="201"/>
    </row>
    <row r="243">
      <c r="A243" s="200" t="s">
        <v>671</v>
      </c>
      <c r="B243" s="200" t="s">
        <v>70</v>
      </c>
      <c r="C243" s="200" t="s">
        <v>3215</v>
      </c>
      <c r="D243" s="202">
        <v>46171.0</v>
      </c>
    </row>
    <row r="244">
      <c r="A244" s="200" t="s">
        <v>2539</v>
      </c>
      <c r="B244" s="200" t="s">
        <v>70</v>
      </c>
      <c r="C244" s="200" t="s">
        <v>3216</v>
      </c>
      <c r="D244" s="201"/>
    </row>
    <row r="245">
      <c r="A245" s="200" t="s">
        <v>2310</v>
      </c>
      <c r="B245" s="200" t="s">
        <v>70</v>
      </c>
      <c r="C245" s="200" t="s">
        <v>3217</v>
      </c>
      <c r="D245" s="201"/>
    </row>
    <row r="246">
      <c r="A246" s="200" t="s">
        <v>777</v>
      </c>
      <c r="B246" s="200" t="s">
        <v>70</v>
      </c>
      <c r="C246" s="200" t="s">
        <v>778</v>
      </c>
      <c r="D246" s="201"/>
    </row>
    <row r="247">
      <c r="A247" s="200" t="s">
        <v>235</v>
      </c>
      <c r="B247" s="200" t="s">
        <v>70</v>
      </c>
      <c r="C247" s="200" t="s">
        <v>236</v>
      </c>
      <c r="D247" s="203">
        <v>46356.0</v>
      </c>
    </row>
    <row r="248">
      <c r="A248" s="200" t="s">
        <v>69</v>
      </c>
      <c r="B248" s="200" t="s">
        <v>70</v>
      </c>
      <c r="C248" s="200" t="s">
        <v>3218</v>
      </c>
      <c r="D248" s="201"/>
    </row>
    <row r="249">
      <c r="A249" s="200" t="s">
        <v>1066</v>
      </c>
      <c r="B249" s="200" t="s">
        <v>70</v>
      </c>
      <c r="C249" s="200" t="s">
        <v>1067</v>
      </c>
      <c r="D249" s="201"/>
    </row>
    <row r="250">
      <c r="A250" s="200" t="s">
        <v>1656</v>
      </c>
      <c r="B250" s="200" t="s">
        <v>82</v>
      </c>
      <c r="C250" s="200" t="s">
        <v>1657</v>
      </c>
      <c r="D250" s="202">
        <v>46171.0</v>
      </c>
    </row>
    <row r="251">
      <c r="A251" s="200" t="s">
        <v>1731</v>
      </c>
      <c r="B251" s="200" t="s">
        <v>82</v>
      </c>
      <c r="C251" s="200" t="s">
        <v>1732</v>
      </c>
      <c r="D251" s="202">
        <v>46171.0</v>
      </c>
    </row>
    <row r="252">
      <c r="A252" s="200" t="s">
        <v>81</v>
      </c>
      <c r="B252" s="200" t="s">
        <v>82</v>
      </c>
      <c r="C252" s="200" t="s">
        <v>83</v>
      </c>
      <c r="D252" s="201"/>
    </row>
    <row r="253">
      <c r="A253" s="200" t="s">
        <v>2579</v>
      </c>
      <c r="B253" s="200" t="s">
        <v>82</v>
      </c>
      <c r="C253" s="200" t="s">
        <v>3219</v>
      </c>
      <c r="D253" s="202">
        <v>45692.0</v>
      </c>
    </row>
    <row r="254">
      <c r="A254" s="200" t="s">
        <v>1842</v>
      </c>
      <c r="B254" s="200" t="s">
        <v>82</v>
      </c>
      <c r="C254" s="200" t="s">
        <v>1843</v>
      </c>
      <c r="D254" s="202">
        <v>46171.0</v>
      </c>
    </row>
    <row r="255">
      <c r="A255" s="200" t="s">
        <v>1790</v>
      </c>
      <c r="B255" s="200" t="s">
        <v>82</v>
      </c>
      <c r="C255" s="200" t="s">
        <v>3220</v>
      </c>
      <c r="D255" s="202">
        <v>46171.0</v>
      </c>
    </row>
    <row r="256">
      <c r="A256" s="200" t="s">
        <v>385</v>
      </c>
      <c r="B256" s="200" t="s">
        <v>82</v>
      </c>
      <c r="C256" s="200" t="s">
        <v>386</v>
      </c>
      <c r="D256" s="201"/>
    </row>
    <row r="257">
      <c r="A257" s="200" t="s">
        <v>2660</v>
      </c>
      <c r="B257" s="200" t="s">
        <v>82</v>
      </c>
      <c r="C257" s="200" t="s">
        <v>2661</v>
      </c>
      <c r="D257" s="201"/>
    </row>
    <row r="258">
      <c r="A258" s="200" t="s">
        <v>1080</v>
      </c>
      <c r="B258" s="200" t="s">
        <v>82</v>
      </c>
      <c r="C258" s="200" t="s">
        <v>1081</v>
      </c>
      <c r="D258" s="201"/>
    </row>
    <row r="259">
      <c r="A259" s="200" t="s">
        <v>785</v>
      </c>
      <c r="B259" s="200" t="s">
        <v>82</v>
      </c>
      <c r="C259" s="200" t="s">
        <v>786</v>
      </c>
      <c r="D259" s="202">
        <v>46265.0</v>
      </c>
    </row>
    <row r="260">
      <c r="A260" s="200" t="s">
        <v>942</v>
      </c>
      <c r="B260" s="200" t="s">
        <v>82</v>
      </c>
      <c r="C260" s="200" t="s">
        <v>943</v>
      </c>
      <c r="D260" s="203">
        <v>46352.0</v>
      </c>
    </row>
    <row r="261">
      <c r="A261" s="200" t="s">
        <v>624</v>
      </c>
      <c r="B261" s="200" t="s">
        <v>625</v>
      </c>
      <c r="C261" s="200" t="s">
        <v>3221</v>
      </c>
      <c r="D261" s="204" t="s">
        <v>3222</v>
      </c>
    </row>
    <row r="262">
      <c r="A262" s="200" t="s">
        <v>2333</v>
      </c>
      <c r="B262" s="200" t="s">
        <v>625</v>
      </c>
      <c r="C262" s="200" t="s">
        <v>2334</v>
      </c>
      <c r="D262" s="204" t="s">
        <v>3223</v>
      </c>
    </row>
    <row r="263">
      <c r="A263" s="200" t="s">
        <v>2904</v>
      </c>
      <c r="B263" s="200" t="s">
        <v>625</v>
      </c>
      <c r="C263" s="200" t="s">
        <v>2905</v>
      </c>
      <c r="D263" s="204" t="s">
        <v>3224</v>
      </c>
    </row>
    <row r="264">
      <c r="A264" s="200" t="s">
        <v>2849</v>
      </c>
      <c r="B264" s="200" t="s">
        <v>625</v>
      </c>
      <c r="C264" s="200" t="s">
        <v>2850</v>
      </c>
      <c r="D264" s="204" t="s">
        <v>3224</v>
      </c>
    </row>
    <row r="265">
      <c r="A265" s="200" t="s">
        <v>2234</v>
      </c>
      <c r="B265" s="200" t="s">
        <v>625</v>
      </c>
      <c r="C265" s="200" t="s">
        <v>2235</v>
      </c>
      <c r="D265" s="204" t="s">
        <v>3225</v>
      </c>
    </row>
    <row r="266">
      <c r="A266" s="200" t="s">
        <v>2426</v>
      </c>
      <c r="B266" s="200" t="s">
        <v>625</v>
      </c>
      <c r="C266" s="200" t="s">
        <v>2427</v>
      </c>
      <c r="D266" s="204" t="s">
        <v>3226</v>
      </c>
    </row>
    <row r="267">
      <c r="A267" s="200" t="s">
        <v>2046</v>
      </c>
      <c r="B267" s="200" t="s">
        <v>625</v>
      </c>
      <c r="C267" s="200" t="s">
        <v>2047</v>
      </c>
      <c r="D267" s="204" t="s">
        <v>3225</v>
      </c>
    </row>
    <row r="268">
      <c r="A268" s="200" t="s">
        <v>3076</v>
      </c>
      <c r="B268" s="200" t="s">
        <v>625</v>
      </c>
      <c r="C268" s="200" t="s">
        <v>3077</v>
      </c>
      <c r="D268" s="204" t="s">
        <v>3225</v>
      </c>
    </row>
    <row r="269">
      <c r="A269" s="200" t="s">
        <v>2698</v>
      </c>
      <c r="B269" s="200" t="s">
        <v>625</v>
      </c>
      <c r="C269" s="200" t="s">
        <v>2699</v>
      </c>
      <c r="D269" s="204" t="s">
        <v>3225</v>
      </c>
    </row>
    <row r="270">
      <c r="A270" s="200" t="s">
        <v>2116</v>
      </c>
      <c r="B270" s="200" t="s">
        <v>1299</v>
      </c>
      <c r="C270" s="200" t="s">
        <v>3227</v>
      </c>
      <c r="D270" s="201"/>
    </row>
    <row r="271">
      <c r="A271" s="200" t="s">
        <v>1544</v>
      </c>
      <c r="B271" s="200" t="s">
        <v>1299</v>
      </c>
      <c r="C271" s="200" t="s">
        <v>1545</v>
      </c>
      <c r="D271" s="202">
        <v>46143.0</v>
      </c>
    </row>
    <row r="272">
      <c r="A272" s="200" t="s">
        <v>2385</v>
      </c>
      <c r="B272" s="200" t="s">
        <v>1299</v>
      </c>
      <c r="C272" s="200" t="s">
        <v>2386</v>
      </c>
      <c r="D272" s="204" t="s">
        <v>3228</v>
      </c>
    </row>
    <row r="273">
      <c r="A273" s="200" t="s">
        <v>2792</v>
      </c>
      <c r="B273" s="200" t="s">
        <v>1299</v>
      </c>
      <c r="C273" s="200" t="s">
        <v>2793</v>
      </c>
      <c r="D273" s="204" t="s">
        <v>3228</v>
      </c>
    </row>
    <row r="274">
      <c r="A274" s="200" t="s">
        <v>2810</v>
      </c>
      <c r="B274" s="200" t="s">
        <v>1299</v>
      </c>
      <c r="C274" s="200" t="s">
        <v>2811</v>
      </c>
      <c r="D274" s="204" t="s">
        <v>3228</v>
      </c>
    </row>
    <row r="275">
      <c r="A275" s="200" t="s">
        <v>2098</v>
      </c>
      <c r="B275" s="200" t="s">
        <v>1299</v>
      </c>
      <c r="C275" s="200" t="s">
        <v>2099</v>
      </c>
      <c r="D275" s="202">
        <v>46174.0</v>
      </c>
    </row>
    <row r="276">
      <c r="A276" s="200" t="s">
        <v>1298</v>
      </c>
      <c r="B276" s="200" t="s">
        <v>1299</v>
      </c>
      <c r="C276" s="200" t="s">
        <v>1300</v>
      </c>
      <c r="D276" s="202">
        <v>46174.0</v>
      </c>
    </row>
    <row r="277">
      <c r="A277" s="200" t="s">
        <v>1147</v>
      </c>
      <c r="B277" s="200" t="s">
        <v>99</v>
      </c>
      <c r="C277" s="200" t="s">
        <v>1148</v>
      </c>
      <c r="D277" s="201"/>
    </row>
    <row r="278">
      <c r="A278" s="200" t="s">
        <v>153</v>
      </c>
      <c r="B278" s="200" t="s">
        <v>99</v>
      </c>
      <c r="C278" s="200" t="s">
        <v>3229</v>
      </c>
      <c r="D278" s="201"/>
    </row>
    <row r="279">
      <c r="A279" s="200" t="s">
        <v>2468</v>
      </c>
      <c r="B279" s="200" t="s">
        <v>99</v>
      </c>
      <c r="C279" s="200" t="s">
        <v>2469</v>
      </c>
      <c r="D279" s="201"/>
    </row>
    <row r="280">
      <c r="A280" s="200" t="s">
        <v>2574</v>
      </c>
      <c r="B280" s="200" t="s">
        <v>99</v>
      </c>
      <c r="C280" s="200" t="s">
        <v>2575</v>
      </c>
      <c r="D280" s="201"/>
    </row>
    <row r="281">
      <c r="A281" s="200" t="s">
        <v>2845</v>
      </c>
      <c r="B281" s="200" t="s">
        <v>99</v>
      </c>
      <c r="C281" s="200" t="s">
        <v>2846</v>
      </c>
      <c r="D281" s="201"/>
    </row>
    <row r="282">
      <c r="A282" s="200" t="s">
        <v>2024</v>
      </c>
      <c r="B282" s="200" t="s">
        <v>99</v>
      </c>
      <c r="C282" s="200" t="s">
        <v>2025</v>
      </c>
      <c r="D282" s="201"/>
    </row>
    <row r="283">
      <c r="A283" s="200" t="s">
        <v>1759</v>
      </c>
      <c r="B283" s="200" t="s">
        <v>99</v>
      </c>
      <c r="C283" s="200" t="s">
        <v>1760</v>
      </c>
      <c r="D283" s="201"/>
    </row>
    <row r="284">
      <c r="A284" s="200" t="s">
        <v>98</v>
      </c>
      <c r="B284" s="200" t="s">
        <v>99</v>
      </c>
      <c r="C284" s="200" t="s">
        <v>3230</v>
      </c>
      <c r="D284" s="201"/>
    </row>
    <row r="285">
      <c r="A285" s="200" t="s">
        <v>289</v>
      </c>
      <c r="B285" s="200" t="s">
        <v>99</v>
      </c>
      <c r="C285" s="200" t="s">
        <v>3231</v>
      </c>
      <c r="D285" s="201"/>
    </row>
    <row r="286">
      <c r="A286" s="200" t="s">
        <v>1807</v>
      </c>
      <c r="B286" s="200" t="s">
        <v>99</v>
      </c>
      <c r="C286" s="200" t="s">
        <v>1808</v>
      </c>
      <c r="D286" s="201"/>
    </row>
    <row r="287">
      <c r="A287" s="200" t="s">
        <v>2255</v>
      </c>
      <c r="B287" s="200" t="s">
        <v>225</v>
      </c>
      <c r="C287" s="200" t="s">
        <v>2256</v>
      </c>
      <c r="D287" s="202">
        <v>46280.0</v>
      </c>
    </row>
    <row r="288">
      <c r="A288" s="200" t="s">
        <v>2173</v>
      </c>
      <c r="B288" s="200" t="s">
        <v>225</v>
      </c>
      <c r="C288" s="200" t="s">
        <v>2174</v>
      </c>
      <c r="D288" s="202">
        <v>46280.0</v>
      </c>
    </row>
    <row r="289">
      <c r="A289" s="200" t="s">
        <v>2931</v>
      </c>
      <c r="B289" s="200" t="s">
        <v>225</v>
      </c>
      <c r="C289" s="200" t="s">
        <v>2932</v>
      </c>
      <c r="D289" s="202">
        <v>46295.0</v>
      </c>
    </row>
    <row r="290">
      <c r="A290" s="200" t="s">
        <v>2935</v>
      </c>
      <c r="B290" s="200" t="s">
        <v>225</v>
      </c>
      <c r="C290" s="200" t="s">
        <v>2936</v>
      </c>
      <c r="D290" s="202">
        <v>46295.0</v>
      </c>
    </row>
    <row r="291">
      <c r="A291" s="200" t="s">
        <v>2919</v>
      </c>
      <c r="B291" s="200" t="s">
        <v>225</v>
      </c>
      <c r="C291" s="200" t="s">
        <v>2920</v>
      </c>
      <c r="D291" s="202">
        <v>46295.0</v>
      </c>
    </row>
    <row r="292">
      <c r="A292" s="200" t="s">
        <v>2927</v>
      </c>
      <c r="B292" s="200" t="s">
        <v>225</v>
      </c>
      <c r="C292" s="200" t="s">
        <v>2928</v>
      </c>
      <c r="D292" s="202">
        <v>46295.0</v>
      </c>
    </row>
    <row r="293">
      <c r="A293" s="200" t="s">
        <v>2957</v>
      </c>
      <c r="B293" s="200" t="s">
        <v>225</v>
      </c>
      <c r="C293" s="200" t="s">
        <v>2958</v>
      </c>
      <c r="D293" s="203">
        <v>46022.0</v>
      </c>
    </row>
    <row r="294">
      <c r="A294" s="200" t="s">
        <v>2264</v>
      </c>
      <c r="B294" s="200" t="s">
        <v>225</v>
      </c>
      <c r="C294" s="200" t="s">
        <v>3232</v>
      </c>
      <c r="D294" s="204" t="s">
        <v>3233</v>
      </c>
    </row>
    <row r="295">
      <c r="A295" s="200" t="s">
        <v>2968</v>
      </c>
      <c r="B295" s="200" t="s">
        <v>225</v>
      </c>
      <c r="C295" s="200" t="s">
        <v>3234</v>
      </c>
      <c r="D295" s="203">
        <v>46022.0</v>
      </c>
    </row>
    <row r="296">
      <c r="A296" s="200" t="s">
        <v>278</v>
      </c>
      <c r="B296" s="200" t="s">
        <v>225</v>
      </c>
      <c r="C296" s="200" t="s">
        <v>3235</v>
      </c>
      <c r="D296" s="203">
        <v>46387.0</v>
      </c>
    </row>
    <row r="297">
      <c r="A297" s="200" t="s">
        <v>521</v>
      </c>
      <c r="B297" s="200" t="s">
        <v>225</v>
      </c>
      <c r="C297" s="200" t="s">
        <v>3236</v>
      </c>
      <c r="D297" s="202">
        <v>46218.0</v>
      </c>
    </row>
    <row r="298">
      <c r="A298" s="200" t="s">
        <v>224</v>
      </c>
      <c r="B298" s="200" t="s">
        <v>225</v>
      </c>
      <c r="C298" s="200" t="s">
        <v>226</v>
      </c>
      <c r="D298" s="204" t="s">
        <v>437</v>
      </c>
    </row>
    <row r="299">
      <c r="A299" s="200" t="s">
        <v>2941</v>
      </c>
      <c r="B299" s="200" t="s">
        <v>225</v>
      </c>
      <c r="C299" s="200" t="s">
        <v>2942</v>
      </c>
      <c r="D299" s="204" t="s">
        <v>437</v>
      </c>
    </row>
    <row r="300">
      <c r="A300" s="200" t="s">
        <v>3027</v>
      </c>
      <c r="B300" s="200" t="s">
        <v>736</v>
      </c>
      <c r="C300" s="200" t="s">
        <v>3237</v>
      </c>
      <c r="D300" s="202">
        <v>46188.0</v>
      </c>
    </row>
    <row r="301">
      <c r="A301" s="200" t="s">
        <v>1255</v>
      </c>
      <c r="B301" s="200" t="s">
        <v>736</v>
      </c>
      <c r="C301" s="200" t="s">
        <v>3238</v>
      </c>
      <c r="D301" s="202">
        <v>46188.0</v>
      </c>
    </row>
    <row r="302">
      <c r="A302" s="200" t="s">
        <v>982</v>
      </c>
      <c r="B302" s="200" t="s">
        <v>736</v>
      </c>
      <c r="C302" s="200" t="s">
        <v>3239</v>
      </c>
      <c r="D302" s="202">
        <v>46188.0</v>
      </c>
    </row>
    <row r="303">
      <c r="A303" s="200" t="s">
        <v>769</v>
      </c>
      <c r="B303" s="200" t="s">
        <v>736</v>
      </c>
      <c r="C303" s="200" t="s">
        <v>3240</v>
      </c>
      <c r="D303" s="202">
        <v>46188.0</v>
      </c>
    </row>
    <row r="304">
      <c r="A304" s="200" t="s">
        <v>3063</v>
      </c>
      <c r="B304" s="200" t="s">
        <v>736</v>
      </c>
      <c r="C304" s="200" t="s">
        <v>3241</v>
      </c>
      <c r="D304" s="201"/>
    </row>
    <row r="305">
      <c r="A305" s="200" t="s">
        <v>1773</v>
      </c>
      <c r="B305" s="200" t="s">
        <v>736</v>
      </c>
      <c r="C305" s="200" t="s">
        <v>1774</v>
      </c>
      <c r="D305" s="202">
        <v>46162.0</v>
      </c>
    </row>
    <row r="306">
      <c r="A306" s="200" t="s">
        <v>3024</v>
      </c>
      <c r="B306" s="200" t="s">
        <v>736</v>
      </c>
      <c r="C306" s="200" t="s">
        <v>3025</v>
      </c>
      <c r="D306" s="201"/>
    </row>
    <row r="307">
      <c r="A307" s="200" t="s">
        <v>3011</v>
      </c>
      <c r="B307" s="200" t="s">
        <v>736</v>
      </c>
      <c r="C307" s="200" t="s">
        <v>3012</v>
      </c>
      <c r="D307" s="201"/>
    </row>
    <row r="308">
      <c r="A308" s="200" t="s">
        <v>735</v>
      </c>
      <c r="B308" s="200" t="s">
        <v>736</v>
      </c>
      <c r="C308" s="200" t="s">
        <v>737</v>
      </c>
      <c r="D308" s="202">
        <v>46266.0</v>
      </c>
    </row>
    <row r="309">
      <c r="A309" s="200" t="s">
        <v>3066</v>
      </c>
      <c r="B309" s="200" t="s">
        <v>736</v>
      </c>
      <c r="C309" s="200" t="s">
        <v>3242</v>
      </c>
      <c r="D309" s="201"/>
    </row>
    <row r="310">
      <c r="A310" s="200" t="s">
        <v>1721</v>
      </c>
      <c r="B310" s="200" t="s">
        <v>736</v>
      </c>
      <c r="C310" s="200" t="s">
        <v>1722</v>
      </c>
      <c r="D310" s="202">
        <v>46188.0</v>
      </c>
    </row>
    <row r="311">
      <c r="A311" s="200" t="s">
        <v>2813</v>
      </c>
      <c r="B311" s="200" t="s">
        <v>1329</v>
      </c>
      <c r="C311" s="200" t="s">
        <v>3243</v>
      </c>
      <c r="D311" s="204" t="s">
        <v>3244</v>
      </c>
    </row>
    <row r="312">
      <c r="A312" s="200" t="s">
        <v>1328</v>
      </c>
      <c r="B312" s="200" t="s">
        <v>1329</v>
      </c>
      <c r="C312" s="200" t="s">
        <v>3245</v>
      </c>
      <c r="D312" s="204" t="s">
        <v>3244</v>
      </c>
    </row>
    <row r="313">
      <c r="A313" s="200" t="s">
        <v>1526</v>
      </c>
      <c r="B313" s="200" t="s">
        <v>1329</v>
      </c>
      <c r="C313" s="200" t="s">
        <v>3246</v>
      </c>
      <c r="D313" s="204" t="s">
        <v>3244</v>
      </c>
    </row>
    <row r="314">
      <c r="A314" s="200" t="s">
        <v>1638</v>
      </c>
      <c r="B314" s="200" t="s">
        <v>1329</v>
      </c>
      <c r="C314" s="200" t="s">
        <v>1639</v>
      </c>
      <c r="D314" s="202">
        <v>46164.0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6.75"/>
    <col customWidth="1" min="3" max="3" width="26.63"/>
  </cols>
  <sheetData>
    <row r="1">
      <c r="A1" s="205" t="s">
        <v>0</v>
      </c>
      <c r="B1" s="205" t="s">
        <v>3247</v>
      </c>
      <c r="C1" s="205" t="s">
        <v>3248</v>
      </c>
    </row>
    <row r="2">
      <c r="A2" s="206" t="s">
        <v>1460</v>
      </c>
      <c r="B2" s="207" t="s">
        <v>1461</v>
      </c>
      <c r="C2" s="207" t="s">
        <v>112</v>
      </c>
    </row>
    <row r="3">
      <c r="A3" s="207" t="s">
        <v>553</v>
      </c>
      <c r="B3" s="207" t="s">
        <v>554</v>
      </c>
      <c r="C3" s="207" t="s">
        <v>112</v>
      </c>
    </row>
    <row r="4">
      <c r="A4" s="207" t="s">
        <v>2064</v>
      </c>
      <c r="B4" s="207" t="s">
        <v>2065</v>
      </c>
      <c r="C4" s="207" t="s">
        <v>112</v>
      </c>
    </row>
    <row r="5">
      <c r="A5" s="207" t="s">
        <v>1094</v>
      </c>
      <c r="B5" s="207" t="s">
        <v>1095</v>
      </c>
      <c r="C5" s="207" t="s">
        <v>112</v>
      </c>
    </row>
    <row r="6">
      <c r="A6" s="207" t="s">
        <v>1416</v>
      </c>
      <c r="B6" s="207" t="s">
        <v>3249</v>
      </c>
      <c r="C6" s="207" t="s">
        <v>112</v>
      </c>
    </row>
    <row r="7">
      <c r="A7" s="207" t="s">
        <v>109</v>
      </c>
      <c r="B7" s="207" t="s">
        <v>111</v>
      </c>
      <c r="C7" s="207" t="s">
        <v>112</v>
      </c>
    </row>
    <row r="8">
      <c r="A8" s="207" t="s">
        <v>118</v>
      </c>
      <c r="B8" s="207" t="s">
        <v>119</v>
      </c>
      <c r="C8" s="207" t="s">
        <v>112</v>
      </c>
    </row>
    <row r="9">
      <c r="A9" s="207" t="s">
        <v>121</v>
      </c>
      <c r="B9" s="208" t="s">
        <v>122</v>
      </c>
      <c r="C9" s="207" t="s">
        <v>112</v>
      </c>
    </row>
    <row r="10">
      <c r="A10" s="207" t="s">
        <v>123</v>
      </c>
      <c r="B10" s="207" t="s">
        <v>124</v>
      </c>
      <c r="C10" s="207" t="s">
        <v>112</v>
      </c>
    </row>
    <row r="11">
      <c r="A11" s="207" t="s">
        <v>125</v>
      </c>
      <c r="B11" s="207" t="s">
        <v>127</v>
      </c>
      <c r="C11" s="207" t="s">
        <v>128</v>
      </c>
    </row>
    <row r="12">
      <c r="A12" s="207" t="s">
        <v>1108</v>
      </c>
      <c r="B12" s="207" t="s">
        <v>1109</v>
      </c>
      <c r="C12" s="207" t="s">
        <v>614</v>
      </c>
    </row>
    <row r="13">
      <c r="A13" s="207" t="s">
        <v>612</v>
      </c>
      <c r="B13" s="207" t="s">
        <v>613</v>
      </c>
      <c r="C13" s="207" t="s">
        <v>614</v>
      </c>
    </row>
    <row r="14">
      <c r="A14" s="207" t="s">
        <v>1221</v>
      </c>
      <c r="B14" s="207" t="s">
        <v>1222</v>
      </c>
      <c r="C14" s="207" t="s">
        <v>585</v>
      </c>
    </row>
    <row r="15">
      <c r="A15" s="207" t="s">
        <v>164</v>
      </c>
      <c r="B15" s="207" t="s">
        <v>165</v>
      </c>
      <c r="C15" s="207" t="s">
        <v>166</v>
      </c>
    </row>
    <row r="16">
      <c r="A16" s="207" t="s">
        <v>169</v>
      </c>
      <c r="B16" s="207" t="s">
        <v>3250</v>
      </c>
      <c r="C16" s="207" t="s">
        <v>171</v>
      </c>
    </row>
    <row r="17">
      <c r="A17" s="207" t="s">
        <v>642</v>
      </c>
      <c r="B17" s="207" t="s">
        <v>643</v>
      </c>
      <c r="C17" s="207" t="s">
        <v>171</v>
      </c>
    </row>
    <row r="18">
      <c r="A18" s="206" t="s">
        <v>191</v>
      </c>
      <c r="B18" s="207" t="s">
        <v>192</v>
      </c>
      <c r="C18" s="207" t="s">
        <v>193</v>
      </c>
    </row>
    <row r="19">
      <c r="A19" s="207" t="s">
        <v>196</v>
      </c>
      <c r="B19" s="207" t="s">
        <v>197</v>
      </c>
      <c r="C19" s="207" t="s">
        <v>198</v>
      </c>
    </row>
    <row r="20">
      <c r="A20" s="207" t="s">
        <v>201</v>
      </c>
      <c r="B20" s="207" t="s">
        <v>202</v>
      </c>
      <c r="C20" s="207" t="s">
        <v>193</v>
      </c>
    </row>
    <row r="21">
      <c r="A21" s="207" t="s">
        <v>205</v>
      </c>
      <c r="B21" s="207" t="s">
        <v>206</v>
      </c>
      <c r="C21" s="207" t="s">
        <v>207</v>
      </c>
    </row>
    <row r="22">
      <c r="A22" s="207" t="s">
        <v>213</v>
      </c>
      <c r="B22" s="207" t="s">
        <v>214</v>
      </c>
      <c r="C22" s="207" t="s">
        <v>193</v>
      </c>
    </row>
    <row r="23">
      <c r="A23" s="207" t="s">
        <v>215</v>
      </c>
      <c r="B23" s="207" t="s">
        <v>216</v>
      </c>
      <c r="C23" s="207" t="s">
        <v>171</v>
      </c>
    </row>
    <row r="24">
      <c r="A24" s="207" t="s">
        <v>219</v>
      </c>
      <c r="B24" s="207" t="s">
        <v>220</v>
      </c>
      <c r="C24" s="207" t="s">
        <v>221</v>
      </c>
    </row>
    <row r="25">
      <c r="A25" s="207" t="s">
        <v>583</v>
      </c>
      <c r="B25" s="207" t="s">
        <v>584</v>
      </c>
      <c r="C25" s="207" t="s">
        <v>585</v>
      </c>
    </row>
    <row r="26">
      <c r="A26" s="207" t="s">
        <v>1192</v>
      </c>
      <c r="B26" s="207" t="s">
        <v>1193</v>
      </c>
      <c r="C26" s="207" t="s">
        <v>166</v>
      </c>
    </row>
    <row r="27">
      <c r="A27" s="207" t="s">
        <v>243</v>
      </c>
      <c r="B27" s="207" t="s">
        <v>245</v>
      </c>
      <c r="C27" s="207" t="s">
        <v>246</v>
      </c>
    </row>
    <row r="28">
      <c r="A28" s="207" t="s">
        <v>249</v>
      </c>
      <c r="B28" s="207" t="s">
        <v>251</v>
      </c>
      <c r="C28" s="207" t="s">
        <v>252</v>
      </c>
    </row>
    <row r="29">
      <c r="A29" s="207" t="s">
        <v>1826</v>
      </c>
      <c r="B29" s="207" t="s">
        <v>1827</v>
      </c>
      <c r="C29" s="207" t="s">
        <v>1755</v>
      </c>
    </row>
    <row r="30">
      <c r="A30" s="207" t="s">
        <v>2251</v>
      </c>
      <c r="B30" s="207" t="s">
        <v>2252</v>
      </c>
      <c r="C30" s="207" t="s">
        <v>1755</v>
      </c>
    </row>
    <row r="31">
      <c r="A31" s="207" t="s">
        <v>1753</v>
      </c>
      <c r="B31" s="207" t="s">
        <v>1754</v>
      </c>
      <c r="C31" s="207" t="s">
        <v>1755</v>
      </c>
    </row>
    <row r="32">
      <c r="A32" s="207" t="s">
        <v>1832</v>
      </c>
      <c r="B32" s="207" t="s">
        <v>1833</v>
      </c>
      <c r="C32" s="207" t="s">
        <v>323</v>
      </c>
    </row>
    <row r="33">
      <c r="A33" s="207" t="s">
        <v>1138</v>
      </c>
      <c r="B33" s="207" t="s">
        <v>1139</v>
      </c>
      <c r="C33" s="207" t="s">
        <v>333</v>
      </c>
    </row>
    <row r="34">
      <c r="A34" s="207" t="s">
        <v>321</v>
      </c>
      <c r="B34" s="207" t="s">
        <v>322</v>
      </c>
      <c r="C34" s="207" t="s">
        <v>323</v>
      </c>
    </row>
    <row r="35">
      <c r="A35" s="207" t="s">
        <v>1423</v>
      </c>
      <c r="B35" s="207" t="s">
        <v>1424</v>
      </c>
      <c r="C35" s="207" t="s">
        <v>1425</v>
      </c>
    </row>
    <row r="36">
      <c r="A36" s="207" t="s">
        <v>331</v>
      </c>
      <c r="B36" s="207" t="s">
        <v>332</v>
      </c>
      <c r="C36" s="207" t="s">
        <v>333</v>
      </c>
    </row>
    <row r="37">
      <c r="A37" s="207" t="s">
        <v>2868</v>
      </c>
      <c r="B37" s="207" t="s">
        <v>2869</v>
      </c>
      <c r="C37" s="207" t="s">
        <v>333</v>
      </c>
    </row>
    <row r="38">
      <c r="A38" s="207" t="s">
        <v>349</v>
      </c>
      <c r="B38" s="207" t="s">
        <v>350</v>
      </c>
      <c r="C38" s="207" t="s">
        <v>351</v>
      </c>
    </row>
    <row r="39">
      <c r="A39" s="207" t="s">
        <v>357</v>
      </c>
      <c r="B39" s="207" t="s">
        <v>358</v>
      </c>
      <c r="C39" s="207" t="s">
        <v>259</v>
      </c>
    </row>
    <row r="40">
      <c r="A40" s="207" t="s">
        <v>363</v>
      </c>
      <c r="B40" s="207" t="s">
        <v>364</v>
      </c>
      <c r="C40" s="207" t="s">
        <v>365</v>
      </c>
    </row>
    <row r="41">
      <c r="A41" s="207" t="s">
        <v>369</v>
      </c>
      <c r="B41" s="207" t="s">
        <v>370</v>
      </c>
      <c r="C41" s="207" t="s">
        <v>365</v>
      </c>
    </row>
    <row r="42">
      <c r="A42" s="207" t="s">
        <v>374</v>
      </c>
      <c r="B42" s="207" t="s">
        <v>375</v>
      </c>
      <c r="C42" s="207" t="s">
        <v>365</v>
      </c>
    </row>
    <row r="43">
      <c r="A43" s="207" t="s">
        <v>512</v>
      </c>
      <c r="B43" s="209" t="s">
        <v>513</v>
      </c>
      <c r="C43" s="207" t="s">
        <v>259</v>
      </c>
    </row>
    <row r="44">
      <c r="A44" s="207" t="s">
        <v>256</v>
      </c>
      <c r="B44" s="209" t="s">
        <v>258</v>
      </c>
      <c r="C44" s="207" t="s">
        <v>259</v>
      </c>
    </row>
    <row r="45">
      <c r="A45" s="207" t="s">
        <v>391</v>
      </c>
      <c r="B45" s="210" t="s">
        <v>393</v>
      </c>
      <c r="C45" s="211" t="s">
        <v>227</v>
      </c>
    </row>
    <row r="46">
      <c r="A46" s="207" t="s">
        <v>396</v>
      </c>
      <c r="B46" s="210" t="s">
        <v>397</v>
      </c>
      <c r="C46" s="212" t="s">
        <v>227</v>
      </c>
    </row>
    <row r="47">
      <c r="A47" s="207" t="s">
        <v>1310</v>
      </c>
      <c r="B47" s="209" t="s">
        <v>1311</v>
      </c>
      <c r="C47" s="212" t="s">
        <v>727</v>
      </c>
    </row>
    <row r="48">
      <c r="A48" s="213" t="s">
        <v>406</v>
      </c>
      <c r="B48" s="209" t="s">
        <v>407</v>
      </c>
      <c r="C48" s="212" t="s">
        <v>408</v>
      </c>
    </row>
    <row r="49">
      <c r="A49" s="207" t="s">
        <v>414</v>
      </c>
      <c r="B49" s="207" t="s">
        <v>415</v>
      </c>
      <c r="C49" s="214" t="s">
        <v>416</v>
      </c>
    </row>
    <row r="50">
      <c r="A50" s="207" t="s">
        <v>417</v>
      </c>
      <c r="B50" s="209" t="s">
        <v>418</v>
      </c>
      <c r="C50" s="212" t="s">
        <v>227</v>
      </c>
    </row>
    <row r="51">
      <c r="A51" s="207" t="s">
        <v>421</v>
      </c>
      <c r="B51" s="209" t="s">
        <v>422</v>
      </c>
      <c r="C51" s="214" t="s">
        <v>423</v>
      </c>
    </row>
    <row r="52">
      <c r="A52" s="207" t="s">
        <v>572</v>
      </c>
      <c r="B52" s="209" t="s">
        <v>574</v>
      </c>
      <c r="C52" s="207" t="s">
        <v>575</v>
      </c>
    </row>
    <row r="53">
      <c r="A53" s="207" t="s">
        <v>433</v>
      </c>
      <c r="B53" s="207" t="s">
        <v>434</v>
      </c>
      <c r="C53" s="207" t="s">
        <v>435</v>
      </c>
    </row>
    <row r="54">
      <c r="A54" s="207" t="s">
        <v>440</v>
      </c>
      <c r="B54" s="207" t="s">
        <v>441</v>
      </c>
      <c r="C54" s="207" t="s">
        <v>442</v>
      </c>
    </row>
    <row r="55">
      <c r="A55" s="207" t="s">
        <v>445</v>
      </c>
      <c r="B55" s="207" t="s">
        <v>446</v>
      </c>
      <c r="C55" s="207" t="s">
        <v>442</v>
      </c>
    </row>
    <row r="56">
      <c r="A56" s="207" t="s">
        <v>449</v>
      </c>
      <c r="B56" s="207" t="s">
        <v>450</v>
      </c>
      <c r="C56" s="207" t="s">
        <v>442</v>
      </c>
    </row>
    <row r="57">
      <c r="A57" s="207" t="s">
        <v>453</v>
      </c>
      <c r="B57" s="207" t="s">
        <v>454</v>
      </c>
      <c r="C57" s="207" t="s">
        <v>442</v>
      </c>
    </row>
    <row r="58">
      <c r="A58" s="207" t="s">
        <v>457</v>
      </c>
      <c r="B58" s="207" t="s">
        <v>458</v>
      </c>
      <c r="C58" s="207" t="s">
        <v>442</v>
      </c>
    </row>
    <row r="59">
      <c r="A59" s="207" t="s">
        <v>461</v>
      </c>
      <c r="B59" s="207" t="s">
        <v>462</v>
      </c>
      <c r="C59" s="207" t="s">
        <v>463</v>
      </c>
    </row>
    <row r="60">
      <c r="A60" s="207" t="s">
        <v>267</v>
      </c>
      <c r="B60" s="207" t="s">
        <v>269</v>
      </c>
      <c r="C60" s="206" t="s">
        <v>270</v>
      </c>
    </row>
    <row r="61">
      <c r="A61" s="207" t="s">
        <v>1483</v>
      </c>
      <c r="B61" s="207" t="s">
        <v>3251</v>
      </c>
      <c r="C61" s="207" t="s">
        <v>505</v>
      </c>
    </row>
    <row r="62">
      <c r="A62" s="207" t="s">
        <v>481</v>
      </c>
      <c r="B62" s="207" t="s">
        <v>482</v>
      </c>
      <c r="C62" s="207" t="s">
        <v>463</v>
      </c>
    </row>
    <row r="63">
      <c r="A63" s="207" t="s">
        <v>486</v>
      </c>
      <c r="B63" s="207" t="s">
        <v>487</v>
      </c>
      <c r="C63" s="207" t="s">
        <v>463</v>
      </c>
    </row>
    <row r="64">
      <c r="A64" s="207" t="s">
        <v>1473</v>
      </c>
      <c r="B64" s="207" t="s">
        <v>1474</v>
      </c>
      <c r="C64" s="207" t="s">
        <v>1475</v>
      </c>
    </row>
    <row r="65">
      <c r="A65" s="207" t="s">
        <v>846</v>
      </c>
      <c r="B65" s="207" t="s">
        <v>847</v>
      </c>
      <c r="C65" s="207" t="s">
        <v>848</v>
      </c>
    </row>
    <row r="66">
      <c r="A66" s="207" t="s">
        <v>2607</v>
      </c>
      <c r="B66" s="207" t="s">
        <v>2608</v>
      </c>
      <c r="C66" s="207" t="s">
        <v>1041</v>
      </c>
    </row>
    <row r="67">
      <c r="A67" s="207" t="s">
        <v>517</v>
      </c>
      <c r="B67" s="207" t="s">
        <v>518</v>
      </c>
      <c r="C67" s="207" t="s">
        <v>442</v>
      </c>
    </row>
    <row r="68">
      <c r="A68" s="207" t="s">
        <v>1765</v>
      </c>
      <c r="B68" s="207" t="s">
        <v>1766</v>
      </c>
      <c r="C68" s="207" t="s">
        <v>535</v>
      </c>
    </row>
    <row r="69">
      <c r="A69" s="207" t="s">
        <v>533</v>
      </c>
      <c r="B69" s="207" t="s">
        <v>534</v>
      </c>
      <c r="C69" s="207" t="s">
        <v>535</v>
      </c>
    </row>
    <row r="70">
      <c r="A70" s="207" t="s">
        <v>538</v>
      </c>
      <c r="B70" s="207" t="s">
        <v>539</v>
      </c>
      <c r="C70" s="207" t="s">
        <v>535</v>
      </c>
    </row>
    <row r="71">
      <c r="A71" s="207" t="s">
        <v>2876</v>
      </c>
      <c r="B71" s="207" t="s">
        <v>2877</v>
      </c>
      <c r="C71" s="207" t="s">
        <v>1041</v>
      </c>
    </row>
    <row r="72">
      <c r="A72" s="207" t="s">
        <v>2855</v>
      </c>
      <c r="B72" s="207" t="s">
        <v>2856</v>
      </c>
      <c r="C72" s="207" t="s">
        <v>1041</v>
      </c>
    </row>
    <row r="73">
      <c r="A73" s="207" t="s">
        <v>2654</v>
      </c>
      <c r="B73" s="207" t="s">
        <v>2655</v>
      </c>
      <c r="C73" s="207" t="s">
        <v>1041</v>
      </c>
    </row>
    <row r="74">
      <c r="A74" s="207" t="s">
        <v>2892</v>
      </c>
      <c r="B74" s="207" t="s">
        <v>2893</v>
      </c>
      <c r="C74" s="207" t="s">
        <v>1041</v>
      </c>
    </row>
    <row r="75">
      <c r="A75" s="207" t="s">
        <v>1579</v>
      </c>
      <c r="B75" s="207" t="s">
        <v>1580</v>
      </c>
      <c r="C75" s="207" t="s">
        <v>1041</v>
      </c>
    </row>
    <row r="76">
      <c r="A76" s="207" t="s">
        <v>1566</v>
      </c>
      <c r="B76" s="207" t="s">
        <v>1567</v>
      </c>
      <c r="C76" s="207" t="s">
        <v>1041</v>
      </c>
    </row>
    <row r="77">
      <c r="A77" s="207" t="s">
        <v>3014</v>
      </c>
      <c r="B77" s="207" t="s">
        <v>3015</v>
      </c>
      <c r="C77" s="207" t="s">
        <v>848</v>
      </c>
    </row>
    <row r="78">
      <c r="A78" s="207" t="s">
        <v>1363</v>
      </c>
      <c r="B78" s="207" t="s">
        <v>1364</v>
      </c>
      <c r="C78" s="207" t="s">
        <v>1041</v>
      </c>
    </row>
    <row r="79">
      <c r="A79" s="207" t="s">
        <v>2567</v>
      </c>
      <c r="B79" s="207" t="s">
        <v>2568</v>
      </c>
      <c r="C79" s="207" t="s">
        <v>1041</v>
      </c>
    </row>
    <row r="80">
      <c r="A80" s="207" t="s">
        <v>2896</v>
      </c>
      <c r="B80" s="207" t="s">
        <v>2897</v>
      </c>
      <c r="C80" s="207" t="s">
        <v>848</v>
      </c>
    </row>
    <row r="81">
      <c r="A81" s="207" t="s">
        <v>2824</v>
      </c>
      <c r="B81" s="207" t="s">
        <v>2825</v>
      </c>
      <c r="C81" s="207" t="s">
        <v>1041</v>
      </c>
    </row>
    <row r="82">
      <c r="A82" s="207" t="s">
        <v>2716</v>
      </c>
      <c r="B82" s="207" t="s">
        <v>2717</v>
      </c>
      <c r="C82" s="207" t="s">
        <v>1041</v>
      </c>
    </row>
    <row r="83">
      <c r="A83" s="207" t="s">
        <v>2218</v>
      </c>
      <c r="B83" s="207" t="s">
        <v>2219</v>
      </c>
      <c r="C83" s="207" t="s">
        <v>1041</v>
      </c>
    </row>
    <row r="84">
      <c r="A84" s="207" t="s">
        <v>2881</v>
      </c>
      <c r="B84" s="207" t="s">
        <v>2882</v>
      </c>
      <c r="C84" s="207" t="s">
        <v>1041</v>
      </c>
    </row>
    <row r="85">
      <c r="A85" s="207" t="s">
        <v>678</v>
      </c>
      <c r="B85" s="207" t="s">
        <v>679</v>
      </c>
      <c r="C85" s="207" t="s">
        <v>505</v>
      </c>
    </row>
    <row r="86">
      <c r="A86" s="207" t="s">
        <v>682</v>
      </c>
      <c r="B86" s="207" t="s">
        <v>683</v>
      </c>
      <c r="C86" s="207" t="s">
        <v>505</v>
      </c>
    </row>
    <row r="87">
      <c r="A87" s="207" t="s">
        <v>340</v>
      </c>
      <c r="B87" s="207" t="s">
        <v>341</v>
      </c>
      <c r="C87" s="207" t="s">
        <v>342</v>
      </c>
    </row>
    <row r="88">
      <c r="A88" s="207" t="s">
        <v>2913</v>
      </c>
      <c r="B88" s="207" t="s">
        <v>2914</v>
      </c>
      <c r="C88" s="207" t="s">
        <v>1041</v>
      </c>
    </row>
    <row r="89">
      <c r="A89" s="207" t="s">
        <v>1265</v>
      </c>
      <c r="B89" s="207" t="s">
        <v>1266</v>
      </c>
      <c r="C89" s="207" t="s">
        <v>1041</v>
      </c>
    </row>
    <row r="90">
      <c r="A90" s="207" t="s">
        <v>1994</v>
      </c>
      <c r="B90" s="207" t="s">
        <v>1995</v>
      </c>
      <c r="C90" s="207" t="s">
        <v>1041</v>
      </c>
    </row>
    <row r="91">
      <c r="A91" s="207" t="s">
        <v>720</v>
      </c>
      <c r="B91" s="207" t="s">
        <v>721</v>
      </c>
      <c r="C91" s="207" t="s">
        <v>505</v>
      </c>
    </row>
    <row r="92">
      <c r="A92" s="207" t="s">
        <v>2473</v>
      </c>
      <c r="B92" s="207" t="s">
        <v>2474</v>
      </c>
      <c r="C92" s="207" t="s">
        <v>323</v>
      </c>
    </row>
    <row r="93">
      <c r="A93" s="207" t="s">
        <v>2034</v>
      </c>
      <c r="B93" s="207" t="s">
        <v>2035</v>
      </c>
      <c r="C93" s="207" t="s">
        <v>323</v>
      </c>
    </row>
    <row r="94">
      <c r="A94" s="207" t="s">
        <v>2188</v>
      </c>
      <c r="B94" s="207" t="s">
        <v>2189</v>
      </c>
      <c r="C94" s="207" t="s">
        <v>323</v>
      </c>
    </row>
    <row r="95">
      <c r="A95" s="207" t="s">
        <v>2056</v>
      </c>
      <c r="B95" s="207" t="s">
        <v>2057</v>
      </c>
      <c r="C95" s="207" t="s">
        <v>323</v>
      </c>
    </row>
    <row r="96">
      <c r="A96" s="207" t="s">
        <v>763</v>
      </c>
      <c r="B96" s="207" t="s">
        <v>765</v>
      </c>
      <c r="C96" s="207" t="s">
        <v>766</v>
      </c>
    </row>
    <row r="97">
      <c r="A97" s="207" t="s">
        <v>176</v>
      </c>
      <c r="B97" s="207" t="s">
        <v>178</v>
      </c>
      <c r="C97" s="207" t="s">
        <v>179</v>
      </c>
    </row>
    <row r="98">
      <c r="A98" s="207" t="s">
        <v>1676</v>
      </c>
      <c r="B98" s="207" t="s">
        <v>1677</v>
      </c>
      <c r="C98" s="207" t="s">
        <v>179</v>
      </c>
    </row>
    <row r="99">
      <c r="A99" s="207" t="s">
        <v>1696</v>
      </c>
      <c r="B99" s="207" t="s">
        <v>1697</v>
      </c>
      <c r="C99" s="207" t="s">
        <v>179</v>
      </c>
    </row>
    <row r="100">
      <c r="A100" s="207" t="s">
        <v>1437</v>
      </c>
      <c r="B100" s="207" t="s">
        <v>1438</v>
      </c>
      <c r="C100" s="207" t="s">
        <v>179</v>
      </c>
    </row>
    <row r="101">
      <c r="A101" s="207" t="s">
        <v>800</v>
      </c>
      <c r="B101" s="207" t="s">
        <v>801</v>
      </c>
      <c r="C101" s="207" t="s">
        <v>179</v>
      </c>
    </row>
    <row r="102">
      <c r="A102" s="207" t="s">
        <v>805</v>
      </c>
      <c r="B102" s="207" t="s">
        <v>806</v>
      </c>
      <c r="C102" s="207" t="s">
        <v>179</v>
      </c>
    </row>
    <row r="103">
      <c r="A103" s="207" t="s">
        <v>810</v>
      </c>
      <c r="B103" s="207" t="s">
        <v>811</v>
      </c>
      <c r="C103" s="207" t="s">
        <v>812</v>
      </c>
    </row>
    <row r="104">
      <c r="A104" s="207" t="s">
        <v>816</v>
      </c>
      <c r="B104" s="207" t="s">
        <v>817</v>
      </c>
      <c r="C104" s="207" t="s">
        <v>818</v>
      </c>
    </row>
    <row r="105">
      <c r="A105" s="207" t="s">
        <v>3161</v>
      </c>
      <c r="B105" s="207" t="s">
        <v>1713</v>
      </c>
      <c r="C105" s="207" t="s">
        <v>812</v>
      </c>
    </row>
    <row r="106">
      <c r="A106" s="207" t="s">
        <v>835</v>
      </c>
      <c r="B106" s="207" t="s">
        <v>836</v>
      </c>
      <c r="C106" s="207" t="s">
        <v>812</v>
      </c>
    </row>
    <row r="107">
      <c r="A107" s="207" t="s">
        <v>839</v>
      </c>
      <c r="B107" s="207" t="s">
        <v>840</v>
      </c>
      <c r="C107" s="207" t="s">
        <v>505</v>
      </c>
    </row>
    <row r="108">
      <c r="A108" s="207" t="s">
        <v>2859</v>
      </c>
      <c r="B108" s="207" t="s">
        <v>2860</v>
      </c>
      <c r="C108" s="207" t="s">
        <v>2861</v>
      </c>
    </row>
    <row r="109">
      <c r="A109" s="207" t="s">
        <v>2583</v>
      </c>
      <c r="B109" s="207" t="s">
        <v>2584</v>
      </c>
      <c r="C109" s="207" t="s">
        <v>1210</v>
      </c>
    </row>
    <row r="110">
      <c r="A110" s="207" t="s">
        <v>856</v>
      </c>
      <c r="B110" s="207" t="s">
        <v>857</v>
      </c>
      <c r="C110" s="207" t="s">
        <v>858</v>
      </c>
    </row>
    <row r="111">
      <c r="A111" s="207" t="s">
        <v>1239</v>
      </c>
      <c r="B111" s="207" t="s">
        <v>1240</v>
      </c>
      <c r="C111" s="207" t="s">
        <v>1210</v>
      </c>
    </row>
    <row r="112">
      <c r="A112" s="207" t="s">
        <v>1687</v>
      </c>
      <c r="B112" s="207" t="s">
        <v>1688</v>
      </c>
      <c r="C112" s="207" t="s">
        <v>1210</v>
      </c>
    </row>
    <row r="113">
      <c r="A113" s="207" t="s">
        <v>634</v>
      </c>
      <c r="B113" s="207" t="s">
        <v>636</v>
      </c>
      <c r="C113" s="207" t="s">
        <v>505</v>
      </c>
    </row>
    <row r="114">
      <c r="A114" s="207" t="s">
        <v>883</v>
      </c>
      <c r="B114" s="207" t="s">
        <v>884</v>
      </c>
      <c r="C114" s="207" t="s">
        <v>885</v>
      </c>
    </row>
    <row r="115">
      <c r="A115" s="207" t="s">
        <v>888</v>
      </c>
      <c r="B115" s="207" t="s">
        <v>889</v>
      </c>
      <c r="C115" s="207" t="s">
        <v>890</v>
      </c>
    </row>
    <row r="116">
      <c r="A116" s="207" t="s">
        <v>1374</v>
      </c>
      <c r="B116" s="207" t="s">
        <v>1375</v>
      </c>
      <c r="C116" s="207" t="s">
        <v>323</v>
      </c>
    </row>
    <row r="117">
      <c r="A117" s="207" t="s">
        <v>2016</v>
      </c>
      <c r="B117" s="207" t="s">
        <v>2017</v>
      </c>
      <c r="C117" s="207" t="s">
        <v>2018</v>
      </c>
    </row>
    <row r="118">
      <c r="A118" s="207" t="s">
        <v>2067</v>
      </c>
      <c r="B118" s="207" t="s">
        <v>2068</v>
      </c>
      <c r="C118" s="207" t="s">
        <v>2069</v>
      </c>
    </row>
    <row r="119">
      <c r="A119" s="207" t="s">
        <v>2597</v>
      </c>
      <c r="B119" s="207" t="s">
        <v>3252</v>
      </c>
      <c r="C119" s="207" t="s">
        <v>2069</v>
      </c>
    </row>
    <row r="120">
      <c r="A120" s="207" t="s">
        <v>928</v>
      </c>
      <c r="B120" s="207" t="s">
        <v>929</v>
      </c>
      <c r="C120" s="207" t="s">
        <v>930</v>
      </c>
    </row>
    <row r="121">
      <c r="A121" s="207" t="s">
        <v>934</v>
      </c>
      <c r="B121" s="207" t="s">
        <v>935</v>
      </c>
      <c r="C121" s="207" t="s">
        <v>936</v>
      </c>
    </row>
    <row r="122">
      <c r="A122" s="207" t="s">
        <v>939</v>
      </c>
      <c r="B122" s="207" t="s">
        <v>940</v>
      </c>
      <c r="C122" s="207" t="s">
        <v>890</v>
      </c>
    </row>
    <row r="123">
      <c r="A123" s="207" t="s">
        <v>502</v>
      </c>
      <c r="B123" s="207" t="s">
        <v>504</v>
      </c>
      <c r="C123" s="207" t="s">
        <v>505</v>
      </c>
    </row>
    <row r="124">
      <c r="A124" s="207" t="s">
        <v>951</v>
      </c>
      <c r="B124" s="207" t="s">
        <v>952</v>
      </c>
      <c r="C124" s="207" t="s">
        <v>953</v>
      </c>
    </row>
    <row r="125">
      <c r="A125" s="207" t="s">
        <v>1088</v>
      </c>
      <c r="B125" s="207" t="s">
        <v>1089</v>
      </c>
      <c r="C125" s="207" t="s">
        <v>969</v>
      </c>
    </row>
    <row r="126">
      <c r="A126" s="207" t="s">
        <v>966</v>
      </c>
      <c r="B126" s="207" t="s">
        <v>968</v>
      </c>
      <c r="C126" s="207" t="s">
        <v>969</v>
      </c>
    </row>
    <row r="127">
      <c r="A127" s="207" t="s">
        <v>1286</v>
      </c>
      <c r="B127" s="207" t="s">
        <v>1288</v>
      </c>
      <c r="C127" s="207" t="s">
        <v>1210</v>
      </c>
    </row>
    <row r="128">
      <c r="A128" s="207" t="s">
        <v>2512</v>
      </c>
      <c r="B128" s="207" t="s">
        <v>2513</v>
      </c>
      <c r="C128" s="207" t="s">
        <v>848</v>
      </c>
    </row>
    <row r="129">
      <c r="A129" s="207" t="s">
        <v>991</v>
      </c>
      <c r="B129" s="207" t="s">
        <v>993</v>
      </c>
      <c r="C129" s="207" t="s">
        <v>365</v>
      </c>
    </row>
    <row r="130">
      <c r="A130" s="207" t="s">
        <v>997</v>
      </c>
      <c r="B130" s="207" t="s">
        <v>999</v>
      </c>
      <c r="C130" s="207" t="s">
        <v>1000</v>
      </c>
    </row>
    <row r="131">
      <c r="A131" s="207" t="s">
        <v>1002</v>
      </c>
      <c r="B131" s="207" t="s">
        <v>1003</v>
      </c>
      <c r="C131" s="207" t="s">
        <v>1000</v>
      </c>
    </row>
    <row r="132">
      <c r="A132" s="207" t="s">
        <v>1005</v>
      </c>
      <c r="B132" s="207" t="s">
        <v>1006</v>
      </c>
      <c r="C132" s="207" t="s">
        <v>1000</v>
      </c>
    </row>
    <row r="133">
      <c r="A133" s="207" t="s">
        <v>1008</v>
      </c>
      <c r="B133" s="207" t="s">
        <v>1009</v>
      </c>
      <c r="C133" s="207" t="s">
        <v>1000</v>
      </c>
    </row>
    <row r="134">
      <c r="A134" s="207" t="s">
        <v>1012</v>
      </c>
      <c r="B134" s="207" t="s">
        <v>1013</v>
      </c>
      <c r="C134" s="207" t="s">
        <v>1014</v>
      </c>
    </row>
    <row r="135">
      <c r="A135" s="207" t="s">
        <v>1016</v>
      </c>
      <c r="B135" s="207" t="s">
        <v>1017</v>
      </c>
      <c r="C135" s="207" t="s">
        <v>38</v>
      </c>
    </row>
    <row r="136">
      <c r="A136" s="207" t="s">
        <v>2355</v>
      </c>
      <c r="B136" s="207" t="s">
        <v>2356</v>
      </c>
      <c r="C136" s="207" t="s">
        <v>2639</v>
      </c>
    </row>
    <row r="137">
      <c r="A137" s="207" t="s">
        <v>2675</v>
      </c>
      <c r="B137" s="207" t="s">
        <v>2676</v>
      </c>
      <c r="C137" s="207" t="s">
        <v>1210</v>
      </c>
    </row>
    <row r="138">
      <c r="A138" s="207" t="s">
        <v>1493</v>
      </c>
      <c r="B138" s="207" t="s">
        <v>1494</v>
      </c>
      <c r="C138" s="207" t="s">
        <v>1210</v>
      </c>
    </row>
    <row r="139">
      <c r="A139" s="207" t="s">
        <v>1665</v>
      </c>
      <c r="B139" s="207" t="s">
        <v>1666</v>
      </c>
      <c r="C139" s="207" t="s">
        <v>179</v>
      </c>
    </row>
    <row r="140">
      <c r="A140" s="207" t="s">
        <v>2738</v>
      </c>
      <c r="B140" s="207" t="s">
        <v>2739</v>
      </c>
      <c r="C140" s="207" t="s">
        <v>1210</v>
      </c>
    </row>
    <row r="141">
      <c r="A141" s="207" t="s">
        <v>604</v>
      </c>
      <c r="B141" s="207" t="s">
        <v>606</v>
      </c>
      <c r="C141" s="207" t="s">
        <v>179</v>
      </c>
    </row>
    <row r="142">
      <c r="A142" s="207" t="s">
        <v>2711</v>
      </c>
      <c r="B142" s="207" t="s">
        <v>2712</v>
      </c>
      <c r="C142" s="207" t="s">
        <v>1210</v>
      </c>
    </row>
    <row r="143">
      <c r="A143" s="207" t="s">
        <v>3070</v>
      </c>
      <c r="B143" s="207" t="s">
        <v>3071</v>
      </c>
      <c r="C143" s="207" t="s">
        <v>1210</v>
      </c>
    </row>
    <row r="144">
      <c r="A144" s="207" t="s">
        <v>2028</v>
      </c>
      <c r="B144" s="207" t="s">
        <v>2029</v>
      </c>
      <c r="C144" s="207" t="s">
        <v>1210</v>
      </c>
    </row>
    <row r="145">
      <c r="A145" s="207" t="s">
        <v>2143</v>
      </c>
      <c r="B145" s="207" t="s">
        <v>2144</v>
      </c>
      <c r="C145" s="207" t="s">
        <v>1210</v>
      </c>
    </row>
    <row r="146">
      <c r="A146" s="207" t="s">
        <v>2533</v>
      </c>
      <c r="B146" s="207" t="s">
        <v>2534</v>
      </c>
      <c r="C146" s="207" t="s">
        <v>1210</v>
      </c>
    </row>
    <row r="147">
      <c r="A147" s="207" t="s">
        <v>1208</v>
      </c>
      <c r="B147" s="207" t="s">
        <v>1209</v>
      </c>
      <c r="C147" s="207" t="s">
        <v>1210</v>
      </c>
    </row>
    <row r="148">
      <c r="A148" s="207" t="s">
        <v>1553</v>
      </c>
      <c r="B148" s="207" t="s">
        <v>1554</v>
      </c>
      <c r="C148" s="207" t="s">
        <v>1210</v>
      </c>
    </row>
    <row r="149">
      <c r="A149" s="207" t="s">
        <v>1123</v>
      </c>
      <c r="B149" s="207" t="s">
        <v>1124</v>
      </c>
      <c r="C149" s="207" t="s">
        <v>1125</v>
      </c>
    </row>
    <row r="150">
      <c r="A150" s="207" t="s">
        <v>749</v>
      </c>
      <c r="B150" s="207" t="s">
        <v>750</v>
      </c>
      <c r="C150" s="207" t="s">
        <v>751</v>
      </c>
    </row>
    <row r="151">
      <c r="A151" s="207" t="s">
        <v>1030</v>
      </c>
      <c r="B151" s="207" t="s">
        <v>1031</v>
      </c>
      <c r="C151" s="207" t="s">
        <v>246</v>
      </c>
    </row>
    <row r="152">
      <c r="A152" s="207" t="s">
        <v>1202</v>
      </c>
      <c r="B152" s="207" t="s">
        <v>1203</v>
      </c>
      <c r="C152" s="215" t="s">
        <v>1204</v>
      </c>
    </row>
    <row r="153">
      <c r="A153" s="207" t="s">
        <v>1429</v>
      </c>
      <c r="B153" s="207" t="s">
        <v>1430</v>
      </c>
      <c r="C153" s="207" t="s">
        <v>727</v>
      </c>
    </row>
    <row r="154">
      <c r="A154" s="207" t="s">
        <v>132</v>
      </c>
      <c r="B154" s="207" t="s">
        <v>134</v>
      </c>
      <c r="C154" s="207" t="s">
        <v>135</v>
      </c>
    </row>
    <row r="155">
      <c r="A155" s="207" t="s">
        <v>1174</v>
      </c>
      <c r="B155" s="207" t="s">
        <v>1175</v>
      </c>
      <c r="C155" s="207" t="s">
        <v>953</v>
      </c>
    </row>
    <row r="156">
      <c r="A156" s="207" t="s">
        <v>1178</v>
      </c>
      <c r="B156" s="207" t="s">
        <v>1179</v>
      </c>
      <c r="C156" s="207" t="s">
        <v>1180</v>
      </c>
    </row>
    <row r="157">
      <c r="A157" s="207" t="s">
        <v>1182</v>
      </c>
      <c r="B157" s="207" t="s">
        <v>1183</v>
      </c>
      <c r="C157" s="207" t="s">
        <v>1184</v>
      </c>
    </row>
    <row r="158">
      <c r="A158" s="207" t="s">
        <v>1186</v>
      </c>
      <c r="B158" s="207" t="s">
        <v>1188</v>
      </c>
      <c r="C158" s="207" t="s">
        <v>1189</v>
      </c>
    </row>
    <row r="159">
      <c r="A159" s="207" t="s">
        <v>3043</v>
      </c>
      <c r="B159" s="207" t="s">
        <v>3044</v>
      </c>
      <c r="C159" s="207" t="s">
        <v>3045</v>
      </c>
    </row>
    <row r="160">
      <c r="A160" s="207" t="s">
        <v>793</v>
      </c>
      <c r="B160" s="207" t="s">
        <v>794</v>
      </c>
      <c r="C160" s="216" t="s">
        <v>759</v>
      </c>
    </row>
    <row r="161">
      <c r="A161" s="207" t="s">
        <v>1988</v>
      </c>
      <c r="B161" s="207" t="s">
        <v>1989</v>
      </c>
      <c r="C161" s="207" t="s">
        <v>759</v>
      </c>
    </row>
    <row r="162">
      <c r="A162" s="207" t="s">
        <v>1217</v>
      </c>
      <c r="B162" s="207" t="s">
        <v>1218</v>
      </c>
      <c r="C162" s="207" t="s">
        <v>812</v>
      </c>
    </row>
    <row r="163">
      <c r="A163" s="207" t="s">
        <v>756</v>
      </c>
      <c r="B163" s="207" t="s">
        <v>758</v>
      </c>
      <c r="C163" s="207" t="s">
        <v>759</v>
      </c>
    </row>
    <row r="164">
      <c r="A164" s="207" t="s">
        <v>1231</v>
      </c>
      <c r="B164" s="209" t="s">
        <v>1232</v>
      </c>
      <c r="C164" s="207" t="s">
        <v>1233</v>
      </c>
    </row>
    <row r="165">
      <c r="A165" s="207" t="s">
        <v>1236</v>
      </c>
      <c r="B165" s="207" t="s">
        <v>1237</v>
      </c>
      <c r="C165" s="207" t="s">
        <v>1041</v>
      </c>
    </row>
    <row r="166">
      <c r="A166" s="207" t="s">
        <v>1038</v>
      </c>
      <c r="B166" s="209" t="s">
        <v>1040</v>
      </c>
      <c r="C166" s="207" t="s">
        <v>1041</v>
      </c>
    </row>
    <row r="167">
      <c r="A167" s="207" t="s">
        <v>1251</v>
      </c>
      <c r="B167" s="207" t="s">
        <v>1252</v>
      </c>
      <c r="C167" s="207" t="s">
        <v>1253</v>
      </c>
    </row>
    <row r="168">
      <c r="A168" s="207" t="s">
        <v>1571</v>
      </c>
      <c r="B168" s="209" t="s">
        <v>1572</v>
      </c>
      <c r="C168" s="207" t="s">
        <v>1041</v>
      </c>
    </row>
    <row r="169">
      <c r="A169" s="207" t="s">
        <v>2010</v>
      </c>
      <c r="B169" s="209" t="s">
        <v>2011</v>
      </c>
      <c r="C169" s="207" t="s">
        <v>1041</v>
      </c>
    </row>
    <row r="170">
      <c r="A170" s="207" t="s">
        <v>1273</v>
      </c>
      <c r="B170" s="207" t="s">
        <v>1275</v>
      </c>
      <c r="C170" s="207" t="s">
        <v>1276</v>
      </c>
    </row>
    <row r="171">
      <c r="A171" s="207" t="s">
        <v>1279</v>
      </c>
      <c r="B171" s="207" t="s">
        <v>1280</v>
      </c>
      <c r="C171" s="207" t="s">
        <v>1276</v>
      </c>
    </row>
    <row r="172">
      <c r="A172" s="207" t="s">
        <v>1630</v>
      </c>
      <c r="B172" s="207" t="s">
        <v>1631</v>
      </c>
      <c r="C172" s="207" t="s">
        <v>1276</v>
      </c>
    </row>
    <row r="173">
      <c r="A173" s="207" t="s">
        <v>1535</v>
      </c>
      <c r="B173" s="207" t="s">
        <v>1536</v>
      </c>
      <c r="C173" s="207" t="s">
        <v>1276</v>
      </c>
    </row>
    <row r="174">
      <c r="A174" s="207" t="s">
        <v>2373</v>
      </c>
      <c r="B174" s="207" t="s">
        <v>2374</v>
      </c>
      <c r="C174" s="207" t="s">
        <v>1276</v>
      </c>
    </row>
    <row r="175">
      <c r="A175" s="207" t="s">
        <v>2556</v>
      </c>
      <c r="B175" s="207" t="s">
        <v>2557</v>
      </c>
      <c r="C175" s="207" t="s">
        <v>1276</v>
      </c>
    </row>
    <row r="176">
      <c r="A176" s="207" t="s">
        <v>2400</v>
      </c>
      <c r="B176" s="207" t="s">
        <v>2401</v>
      </c>
      <c r="C176" s="207" t="s">
        <v>1276</v>
      </c>
    </row>
    <row r="177">
      <c r="A177" s="207" t="s">
        <v>1340</v>
      </c>
      <c r="B177" s="207" t="s">
        <v>1341</v>
      </c>
      <c r="C177" s="207" t="s">
        <v>112</v>
      </c>
    </row>
    <row r="178">
      <c r="A178" s="207" t="s">
        <v>1343</v>
      </c>
      <c r="B178" s="207" t="s">
        <v>1344</v>
      </c>
      <c r="C178" s="207" t="s">
        <v>112</v>
      </c>
    </row>
    <row r="179">
      <c r="A179" s="207" t="s">
        <v>1345</v>
      </c>
      <c r="B179" s="207" t="s">
        <v>1346</v>
      </c>
      <c r="C179" s="207" t="s">
        <v>112</v>
      </c>
    </row>
    <row r="180">
      <c r="A180" s="207" t="s">
        <v>2197</v>
      </c>
      <c r="B180" s="207" t="s">
        <v>2198</v>
      </c>
      <c r="C180" s="207" t="s">
        <v>112</v>
      </c>
    </row>
    <row r="181">
      <c r="A181" s="207" t="s">
        <v>2223</v>
      </c>
      <c r="B181" s="207" t="s">
        <v>2224</v>
      </c>
      <c r="C181" s="207" t="s">
        <v>112</v>
      </c>
    </row>
    <row r="182">
      <c r="A182" s="207" t="s">
        <v>1820</v>
      </c>
      <c r="B182" s="207" t="s">
        <v>1821</v>
      </c>
      <c r="C182" s="207" t="s">
        <v>112</v>
      </c>
    </row>
    <row r="183">
      <c r="A183" s="207" t="s">
        <v>1450</v>
      </c>
      <c r="B183" s="207" t="s">
        <v>1451</v>
      </c>
      <c r="C183" s="207" t="s">
        <v>112</v>
      </c>
    </row>
    <row r="184">
      <c r="A184" s="207" t="s">
        <v>1560</v>
      </c>
      <c r="B184" s="207" t="s">
        <v>1561</v>
      </c>
      <c r="C184" s="207" t="s">
        <v>1276</v>
      </c>
    </row>
    <row r="185">
      <c r="A185" s="207" t="s">
        <v>1382</v>
      </c>
      <c r="B185" s="207" t="s">
        <v>1383</v>
      </c>
      <c r="C185" s="207" t="s">
        <v>166</v>
      </c>
    </row>
    <row r="186">
      <c r="A186" s="207" t="s">
        <v>710</v>
      </c>
      <c r="B186" s="207" t="s">
        <v>712</v>
      </c>
      <c r="C186" s="207" t="s">
        <v>227</v>
      </c>
    </row>
    <row r="187">
      <c r="A187" s="207" t="s">
        <v>1396</v>
      </c>
      <c r="B187" s="207" t="s">
        <v>1397</v>
      </c>
      <c r="C187" s="207" t="s">
        <v>166</v>
      </c>
    </row>
    <row r="188">
      <c r="A188" s="207" t="s">
        <v>1399</v>
      </c>
      <c r="B188" s="207" t="s">
        <v>1400</v>
      </c>
      <c r="C188" s="207" t="s">
        <v>1058</v>
      </c>
    </row>
    <row r="189">
      <c r="A189" s="207" t="s">
        <v>1403</v>
      </c>
      <c r="B189" s="207" t="s">
        <v>1404</v>
      </c>
      <c r="C189" s="207" t="s">
        <v>1058</v>
      </c>
    </row>
    <row r="190">
      <c r="A190" s="207" t="s">
        <v>1406</v>
      </c>
      <c r="B190" s="207" t="s">
        <v>1407</v>
      </c>
      <c r="C190" s="207" t="s">
        <v>1408</v>
      </c>
    </row>
    <row r="191">
      <c r="A191" s="207" t="s">
        <v>1410</v>
      </c>
      <c r="B191" s="207" t="s">
        <v>1411</v>
      </c>
      <c r="C191" s="207" t="s">
        <v>1408</v>
      </c>
    </row>
    <row r="192">
      <c r="A192" s="207" t="s">
        <v>1413</v>
      </c>
      <c r="B192" s="207" t="s">
        <v>1414</v>
      </c>
      <c r="C192" s="207" t="s">
        <v>1058</v>
      </c>
    </row>
    <row r="193">
      <c r="A193" s="207" t="s">
        <v>916</v>
      </c>
      <c r="B193" s="209" t="s">
        <v>917</v>
      </c>
      <c r="C193" s="207" t="s">
        <v>727</v>
      </c>
    </row>
    <row r="194">
      <c r="A194" s="207" t="s">
        <v>843</v>
      </c>
      <c r="B194" s="207" t="s">
        <v>844</v>
      </c>
      <c r="C194" s="207" t="s">
        <v>727</v>
      </c>
    </row>
    <row r="195">
      <c r="A195" s="207" t="s">
        <v>825</v>
      </c>
      <c r="B195" s="209" t="s">
        <v>827</v>
      </c>
      <c r="C195" s="207" t="s">
        <v>727</v>
      </c>
    </row>
    <row r="196">
      <c r="A196" s="207" t="s">
        <v>1116</v>
      </c>
      <c r="B196" s="209" t="s">
        <v>1117</v>
      </c>
      <c r="C196" s="207" t="s">
        <v>727</v>
      </c>
    </row>
    <row r="197">
      <c r="A197" s="207" t="s">
        <v>2455</v>
      </c>
      <c r="B197" s="209" t="s">
        <v>2456</v>
      </c>
      <c r="C197" s="207" t="s">
        <v>727</v>
      </c>
    </row>
    <row r="198">
      <c r="A198" s="207" t="s">
        <v>1157</v>
      </c>
      <c r="B198" s="209" t="s">
        <v>1158</v>
      </c>
      <c r="C198" s="207" t="s">
        <v>727</v>
      </c>
    </row>
    <row r="199">
      <c r="A199" s="207" t="s">
        <v>2721</v>
      </c>
      <c r="B199" s="207" t="s">
        <v>2722</v>
      </c>
      <c r="C199" s="207" t="s">
        <v>323</v>
      </c>
    </row>
    <row r="200">
      <c r="A200" s="207" t="s">
        <v>2041</v>
      </c>
      <c r="B200" s="207" t="s">
        <v>2042</v>
      </c>
      <c r="C200" s="207" t="s">
        <v>323</v>
      </c>
    </row>
    <row r="201">
      <c r="A201" s="207" t="s">
        <v>1599</v>
      </c>
      <c r="B201" s="207" t="s">
        <v>1600</v>
      </c>
      <c r="C201" s="207" t="s">
        <v>323</v>
      </c>
    </row>
    <row r="202">
      <c r="A202" s="207" t="s">
        <v>2299</v>
      </c>
      <c r="B202" s="207" t="s">
        <v>2300</v>
      </c>
      <c r="C202" s="207" t="s">
        <v>323</v>
      </c>
    </row>
    <row r="203">
      <c r="A203" s="207" t="s">
        <v>2705</v>
      </c>
      <c r="B203" s="207" t="s">
        <v>2706</v>
      </c>
      <c r="C203" s="207" t="s">
        <v>323</v>
      </c>
    </row>
    <row r="204">
      <c r="A204" s="207" t="s">
        <v>1605</v>
      </c>
      <c r="B204" s="209" t="s">
        <v>1606</v>
      </c>
      <c r="C204" s="207" t="s">
        <v>727</v>
      </c>
    </row>
    <row r="205">
      <c r="A205" s="207" t="s">
        <v>877</v>
      </c>
      <c r="B205" s="207" t="s">
        <v>878</v>
      </c>
      <c r="C205" s="207" t="s">
        <v>727</v>
      </c>
    </row>
    <row r="206">
      <c r="A206" s="207" t="s">
        <v>1517</v>
      </c>
      <c r="B206" s="207" t="s">
        <v>1518</v>
      </c>
      <c r="C206" s="207" t="s">
        <v>1519</v>
      </c>
    </row>
    <row r="207">
      <c r="A207" s="207" t="s">
        <v>1585</v>
      </c>
      <c r="B207" s="207" t="s">
        <v>1587</v>
      </c>
      <c r="C207" s="207" t="s">
        <v>1276</v>
      </c>
    </row>
    <row r="208">
      <c r="A208" s="207" t="s">
        <v>2614</v>
      </c>
      <c r="B208" s="207" t="s">
        <v>2615</v>
      </c>
      <c r="C208" s="207" t="s">
        <v>1276</v>
      </c>
    </row>
    <row r="209">
      <c r="A209" s="207" t="s">
        <v>2123</v>
      </c>
      <c r="B209" s="207" t="s">
        <v>2124</v>
      </c>
      <c r="C209" s="207" t="s">
        <v>1276</v>
      </c>
    </row>
    <row r="210">
      <c r="A210" s="207" t="s">
        <v>2325</v>
      </c>
      <c r="B210" s="207" t="s">
        <v>2326</v>
      </c>
      <c r="C210" s="207" t="s">
        <v>1276</v>
      </c>
    </row>
    <row r="211">
      <c r="A211" s="207" t="s">
        <v>2693</v>
      </c>
      <c r="B211" s="207" t="s">
        <v>2694</v>
      </c>
      <c r="C211" s="207" t="s">
        <v>1276</v>
      </c>
    </row>
    <row r="212">
      <c r="A212" s="207" t="s">
        <v>2393</v>
      </c>
      <c r="B212" s="207" t="s">
        <v>2394</v>
      </c>
      <c r="C212" s="207" t="s">
        <v>1276</v>
      </c>
    </row>
    <row r="213">
      <c r="A213" s="207" t="s">
        <v>2725</v>
      </c>
      <c r="B213" s="207" t="s">
        <v>2726</v>
      </c>
      <c r="C213" s="207" t="s">
        <v>1276</v>
      </c>
    </row>
    <row r="214">
      <c r="A214" s="207" t="s">
        <v>3050</v>
      </c>
      <c r="B214" s="207" t="s">
        <v>3051</v>
      </c>
      <c r="C214" s="207" t="s">
        <v>1276</v>
      </c>
    </row>
    <row r="215">
      <c r="A215" s="207" t="s">
        <v>2795</v>
      </c>
      <c r="B215" s="207" t="s">
        <v>2796</v>
      </c>
      <c r="C215" s="207" t="s">
        <v>1276</v>
      </c>
    </row>
    <row r="216">
      <c r="A216" s="207" t="s">
        <v>2382</v>
      </c>
      <c r="B216" s="207" t="s">
        <v>2383</v>
      </c>
      <c r="C216" s="207" t="s">
        <v>1744</v>
      </c>
    </row>
    <row r="217">
      <c r="A217" s="207" t="s">
        <v>1742</v>
      </c>
      <c r="B217" s="207" t="s">
        <v>1743</v>
      </c>
      <c r="C217" s="207" t="s">
        <v>1744</v>
      </c>
    </row>
    <row r="218">
      <c r="A218" s="207" t="s">
        <v>1945</v>
      </c>
      <c r="B218" s="207" t="s">
        <v>1946</v>
      </c>
      <c r="C218" s="207" t="s">
        <v>1947</v>
      </c>
    </row>
    <row r="219">
      <c r="A219" s="207" t="s">
        <v>1046</v>
      </c>
      <c r="B219" s="207" t="s">
        <v>1047</v>
      </c>
      <c r="C219" s="207" t="s">
        <v>1048</v>
      </c>
    </row>
    <row r="220">
      <c r="A220" s="207" t="s">
        <v>2317</v>
      </c>
      <c r="B220" s="207" t="s">
        <v>2318</v>
      </c>
      <c r="C220" s="207" t="s">
        <v>1048</v>
      </c>
    </row>
    <row r="221">
      <c r="A221" s="207" t="s">
        <v>2787</v>
      </c>
      <c r="B221" s="207" t="s">
        <v>2788</v>
      </c>
      <c r="C221" s="207" t="s">
        <v>1048</v>
      </c>
    </row>
    <row r="222">
      <c r="A222" s="207" t="s">
        <v>3058</v>
      </c>
      <c r="B222" s="207" t="s">
        <v>3059</v>
      </c>
      <c r="C222" s="207" t="s">
        <v>1048</v>
      </c>
    </row>
    <row r="223">
      <c r="A223" s="207" t="s">
        <v>2485</v>
      </c>
      <c r="B223" s="207" t="s">
        <v>2486</v>
      </c>
      <c r="C223" s="207" t="s">
        <v>1546</v>
      </c>
    </row>
    <row r="224">
      <c r="A224" s="207" t="s">
        <v>2840</v>
      </c>
      <c r="B224" s="207" t="s">
        <v>2841</v>
      </c>
      <c r="C224" s="207" t="s">
        <v>1546</v>
      </c>
    </row>
    <row r="225">
      <c r="A225" s="207" t="s">
        <v>2961</v>
      </c>
      <c r="B225" s="207" t="s">
        <v>2962</v>
      </c>
      <c r="C225" s="207" t="s">
        <v>1546</v>
      </c>
    </row>
    <row r="226">
      <c r="A226" s="207" t="s">
        <v>1671</v>
      </c>
      <c r="B226" s="207" t="s">
        <v>1672</v>
      </c>
      <c r="C226" s="207" t="s">
        <v>1546</v>
      </c>
    </row>
    <row r="227">
      <c r="A227" s="207" t="s">
        <v>2803</v>
      </c>
      <c r="B227" s="207" t="s">
        <v>2804</v>
      </c>
      <c r="C227" s="207" t="s">
        <v>1546</v>
      </c>
    </row>
    <row r="228">
      <c r="A228" s="207" t="s">
        <v>2347</v>
      </c>
      <c r="B228" s="207" t="s">
        <v>2348</v>
      </c>
      <c r="C228" s="207" t="s">
        <v>1041</v>
      </c>
    </row>
    <row r="229">
      <c r="A229" s="207" t="s">
        <v>2564</v>
      </c>
      <c r="B229" s="207" t="s">
        <v>2565</v>
      </c>
      <c r="C229" s="207" t="s">
        <v>1041</v>
      </c>
    </row>
    <row r="230">
      <c r="A230" s="207" t="s">
        <v>399</v>
      </c>
      <c r="B230" s="207" t="s">
        <v>401</v>
      </c>
      <c r="C230" s="207" t="s">
        <v>402</v>
      </c>
    </row>
    <row r="231">
      <c r="A231" s="207" t="s">
        <v>2734</v>
      </c>
      <c r="B231" s="207" t="s">
        <v>2735</v>
      </c>
      <c r="C231" s="207" t="s">
        <v>1041</v>
      </c>
    </row>
    <row r="232">
      <c r="A232" s="207" t="s">
        <v>2641</v>
      </c>
      <c r="B232" s="207" t="s">
        <v>2642</v>
      </c>
      <c r="C232" s="207" t="s">
        <v>1041</v>
      </c>
    </row>
    <row r="233">
      <c r="A233" s="207" t="s">
        <v>1728</v>
      </c>
      <c r="B233" s="207" t="s">
        <v>1729</v>
      </c>
      <c r="C233" s="207" t="s">
        <v>311</v>
      </c>
    </row>
    <row r="234">
      <c r="A234" s="207" t="s">
        <v>35</v>
      </c>
      <c r="B234" s="207" t="s">
        <v>37</v>
      </c>
      <c r="C234" s="207" t="s">
        <v>38</v>
      </c>
    </row>
    <row r="235">
      <c r="A235" s="207" t="s">
        <v>379</v>
      </c>
      <c r="B235" s="207" t="s">
        <v>380</v>
      </c>
      <c r="C235" s="207" t="s">
        <v>38</v>
      </c>
    </row>
    <row r="236">
      <c r="A236" s="207" t="s">
        <v>597</v>
      </c>
      <c r="B236" s="207" t="s">
        <v>598</v>
      </c>
      <c r="C236" s="207" t="s">
        <v>599</v>
      </c>
    </row>
    <row r="237">
      <c r="A237" s="207" t="s">
        <v>3106</v>
      </c>
      <c r="B237" s="207" t="s">
        <v>3107</v>
      </c>
      <c r="C237" s="207" t="s">
        <v>101</v>
      </c>
    </row>
    <row r="238">
      <c r="A238" s="207" t="s">
        <v>2667</v>
      </c>
      <c r="B238" s="209" t="s">
        <v>2668</v>
      </c>
      <c r="C238" s="207" t="s">
        <v>727</v>
      </c>
    </row>
    <row r="239">
      <c r="A239" s="207" t="s">
        <v>2460</v>
      </c>
      <c r="B239" s="209" t="s">
        <v>2461</v>
      </c>
      <c r="C239" s="207" t="s">
        <v>727</v>
      </c>
    </row>
    <row r="240">
      <c r="A240" s="207" t="s">
        <v>724</v>
      </c>
      <c r="B240" s="209" t="s">
        <v>726</v>
      </c>
      <c r="C240" s="207" t="s">
        <v>727</v>
      </c>
    </row>
    <row r="241">
      <c r="A241" s="207" t="s">
        <v>1781</v>
      </c>
      <c r="B241" s="207" t="s">
        <v>1782</v>
      </c>
      <c r="C241" s="207" t="s">
        <v>144</v>
      </c>
    </row>
    <row r="242">
      <c r="A242" s="207" t="s">
        <v>1786</v>
      </c>
      <c r="B242" s="207" t="s">
        <v>1787</v>
      </c>
      <c r="C242" s="207" t="s">
        <v>144</v>
      </c>
    </row>
    <row r="243">
      <c r="A243" s="207" t="s">
        <v>425</v>
      </c>
      <c r="B243" s="209" t="s">
        <v>426</v>
      </c>
      <c r="C243" s="207" t="s">
        <v>427</v>
      </c>
    </row>
    <row r="244">
      <c r="A244" s="207" t="s">
        <v>1795</v>
      </c>
      <c r="B244" s="209" t="s">
        <v>1796</v>
      </c>
      <c r="C244" s="207" t="s">
        <v>144</v>
      </c>
    </row>
    <row r="245">
      <c r="A245" s="207" t="s">
        <v>1800</v>
      </c>
      <c r="B245" s="209" t="s">
        <v>1801</v>
      </c>
      <c r="C245" s="207" t="s">
        <v>144</v>
      </c>
    </row>
    <row r="246">
      <c r="A246" s="207" t="s">
        <v>474</v>
      </c>
      <c r="B246" s="207" t="s">
        <v>475</v>
      </c>
      <c r="C246" s="207" t="s">
        <v>476</v>
      </c>
    </row>
    <row r="247">
      <c r="A247" s="207" t="s">
        <v>923</v>
      </c>
      <c r="B247" s="207" t="s">
        <v>924</v>
      </c>
      <c r="C247" s="207" t="s">
        <v>476</v>
      </c>
    </row>
    <row r="248">
      <c r="A248" s="207" t="s">
        <v>686</v>
      </c>
      <c r="B248" s="207" t="s">
        <v>687</v>
      </c>
      <c r="C248" s="207" t="s">
        <v>476</v>
      </c>
    </row>
    <row r="249">
      <c r="A249" s="207" t="s">
        <v>141</v>
      </c>
      <c r="B249" s="207" t="s">
        <v>143</v>
      </c>
      <c r="C249" s="207" t="s">
        <v>144</v>
      </c>
    </row>
    <row r="250">
      <c r="A250" s="207" t="s">
        <v>466</v>
      </c>
      <c r="B250" s="207" t="s">
        <v>467</v>
      </c>
      <c r="C250" s="207" t="s">
        <v>468</v>
      </c>
    </row>
    <row r="251">
      <c r="A251" s="207" t="s">
        <v>1837</v>
      </c>
      <c r="B251" s="207" t="s">
        <v>1838</v>
      </c>
      <c r="C251" s="207" t="s">
        <v>144</v>
      </c>
    </row>
    <row r="252">
      <c r="A252" s="207" t="s">
        <v>2625</v>
      </c>
      <c r="B252" s="207" t="s">
        <v>2626</v>
      </c>
      <c r="C252" s="207" t="s">
        <v>427</v>
      </c>
    </row>
    <row r="253">
      <c r="A253" s="207" t="s">
        <v>1847</v>
      </c>
      <c r="B253" s="207" t="s">
        <v>1848</v>
      </c>
      <c r="C253" s="207" t="s">
        <v>1849</v>
      </c>
    </row>
    <row r="254">
      <c r="A254" s="207" t="s">
        <v>1853</v>
      </c>
      <c r="B254" s="207" t="s">
        <v>1854</v>
      </c>
      <c r="C254" s="207" t="s">
        <v>144</v>
      </c>
    </row>
    <row r="255">
      <c r="A255" s="207" t="s">
        <v>1858</v>
      </c>
      <c r="B255" s="207" t="s">
        <v>1859</v>
      </c>
      <c r="C255" s="207" t="s">
        <v>144</v>
      </c>
    </row>
    <row r="256">
      <c r="A256" s="207" t="s">
        <v>1863</v>
      </c>
      <c r="B256" s="207" t="s">
        <v>1864</v>
      </c>
      <c r="C256" s="207" t="s">
        <v>1041</v>
      </c>
    </row>
    <row r="257">
      <c r="A257" s="207" t="s">
        <v>1868</v>
      </c>
      <c r="B257" s="207" t="s">
        <v>1869</v>
      </c>
      <c r="C257" s="207" t="s">
        <v>144</v>
      </c>
    </row>
    <row r="258">
      <c r="A258" s="207" t="s">
        <v>1872</v>
      </c>
      <c r="B258" s="207" t="s">
        <v>1873</v>
      </c>
      <c r="C258" s="207" t="s">
        <v>144</v>
      </c>
    </row>
    <row r="259">
      <c r="A259" s="207" t="s">
        <v>1878</v>
      </c>
      <c r="B259" s="207" t="s">
        <v>1879</v>
      </c>
      <c r="C259" s="207" t="s">
        <v>144</v>
      </c>
    </row>
    <row r="260">
      <c r="A260" s="207" t="s">
        <v>1610</v>
      </c>
      <c r="B260" s="207" t="s">
        <v>1611</v>
      </c>
      <c r="C260" s="207" t="s">
        <v>1041</v>
      </c>
    </row>
    <row r="261">
      <c r="A261" s="207" t="s">
        <v>1889</v>
      </c>
      <c r="B261" s="207" t="s">
        <v>1890</v>
      </c>
      <c r="C261" s="207" t="s">
        <v>144</v>
      </c>
    </row>
    <row r="262">
      <c r="A262" s="207" t="s">
        <v>1895</v>
      </c>
      <c r="B262" s="207" t="s">
        <v>1896</v>
      </c>
      <c r="C262" s="207" t="s">
        <v>144</v>
      </c>
    </row>
    <row r="263">
      <c r="A263" s="207" t="s">
        <v>1901</v>
      </c>
      <c r="B263" s="207" t="s">
        <v>1902</v>
      </c>
      <c r="C263" s="207" t="s">
        <v>1903</v>
      </c>
    </row>
    <row r="264">
      <c r="A264" s="207" t="s">
        <v>1907</v>
      </c>
      <c r="B264" s="207" t="s">
        <v>1908</v>
      </c>
      <c r="C264" s="207" t="s">
        <v>1903</v>
      </c>
    </row>
    <row r="265">
      <c r="A265" s="207" t="s">
        <v>1913</v>
      </c>
      <c r="B265" s="207" t="s">
        <v>1914</v>
      </c>
      <c r="C265" s="207" t="s">
        <v>1903</v>
      </c>
    </row>
    <row r="266">
      <c r="A266" s="207" t="s">
        <v>1918</v>
      </c>
      <c r="B266" s="207" t="s">
        <v>1919</v>
      </c>
      <c r="C266" s="207" t="s">
        <v>1903</v>
      </c>
    </row>
    <row r="267">
      <c r="A267" s="207" t="s">
        <v>1922</v>
      </c>
      <c r="B267" s="207" t="s">
        <v>1923</v>
      </c>
      <c r="C267" s="207" t="s">
        <v>1924</v>
      </c>
    </row>
    <row r="268">
      <c r="A268" s="207" t="s">
        <v>1928</v>
      </c>
      <c r="B268" s="207" t="s">
        <v>1929</v>
      </c>
      <c r="C268" s="207" t="s">
        <v>1930</v>
      </c>
    </row>
    <row r="269">
      <c r="A269" s="207" t="s">
        <v>1933</v>
      </c>
      <c r="B269" s="207" t="s">
        <v>1934</v>
      </c>
      <c r="C269" s="207" t="s">
        <v>957</v>
      </c>
    </row>
    <row r="270">
      <c r="A270" s="207" t="s">
        <v>1937</v>
      </c>
      <c r="B270" s="207" t="s">
        <v>1938</v>
      </c>
      <c r="C270" s="207" t="s">
        <v>957</v>
      </c>
    </row>
    <row r="271">
      <c r="A271" s="207" t="s">
        <v>2503</v>
      </c>
      <c r="B271" s="207" t="s">
        <v>2504</v>
      </c>
      <c r="C271" s="207" t="s">
        <v>957</v>
      </c>
    </row>
    <row r="272">
      <c r="A272" s="207" t="s">
        <v>955</v>
      </c>
      <c r="B272" s="207" t="s">
        <v>956</v>
      </c>
      <c r="C272" s="207" t="s">
        <v>957</v>
      </c>
    </row>
    <row r="273">
      <c r="A273" s="207" t="s">
        <v>1955</v>
      </c>
      <c r="B273" s="207" t="s">
        <v>1956</v>
      </c>
      <c r="C273" s="207" t="s">
        <v>311</v>
      </c>
    </row>
    <row r="274">
      <c r="A274" s="207" t="s">
        <v>1959</v>
      </c>
      <c r="B274" s="217" t="s">
        <v>1960</v>
      </c>
      <c r="C274" s="207" t="s">
        <v>957</v>
      </c>
    </row>
    <row r="275">
      <c r="A275" s="207" t="s">
        <v>1963</v>
      </c>
      <c r="B275" s="207" t="s">
        <v>1964</v>
      </c>
      <c r="C275" s="207" t="s">
        <v>311</v>
      </c>
    </row>
    <row r="276">
      <c r="A276" s="207" t="s">
        <v>1967</v>
      </c>
      <c r="B276" s="207" t="s">
        <v>1968</v>
      </c>
      <c r="C276" s="207" t="s">
        <v>311</v>
      </c>
    </row>
    <row r="277">
      <c r="A277" s="207" t="s">
        <v>1971</v>
      </c>
      <c r="B277" s="207" t="s">
        <v>1972</v>
      </c>
      <c r="C277" s="207" t="s">
        <v>957</v>
      </c>
    </row>
    <row r="278">
      <c r="A278" s="207" t="s">
        <v>1975</v>
      </c>
      <c r="B278" s="207" t="s">
        <v>1976</v>
      </c>
      <c r="C278" s="207" t="s">
        <v>1977</v>
      </c>
    </row>
    <row r="279">
      <c r="A279" s="207" t="s">
        <v>1980</v>
      </c>
      <c r="B279" s="207" t="s">
        <v>1981</v>
      </c>
      <c r="C279" s="207" t="s">
        <v>1977</v>
      </c>
    </row>
    <row r="280">
      <c r="A280" s="207" t="s">
        <v>1984</v>
      </c>
      <c r="B280" s="207" t="s">
        <v>1985</v>
      </c>
      <c r="C280" s="207" t="s">
        <v>1977</v>
      </c>
    </row>
    <row r="281">
      <c r="A281" s="207" t="s">
        <v>1073</v>
      </c>
      <c r="B281" s="207" t="s">
        <v>1074</v>
      </c>
      <c r="C281" s="207" t="s">
        <v>957</v>
      </c>
    </row>
    <row r="282">
      <c r="A282" s="207" t="s">
        <v>2415</v>
      </c>
      <c r="B282" s="207" t="s">
        <v>2416</v>
      </c>
      <c r="C282" s="207" t="s">
        <v>1041</v>
      </c>
    </row>
    <row r="283">
      <c r="A283" s="207" t="s">
        <v>905</v>
      </c>
      <c r="B283" s="207" t="s">
        <v>906</v>
      </c>
      <c r="C283" s="207" t="s">
        <v>311</v>
      </c>
    </row>
    <row r="284">
      <c r="A284" s="207" t="s">
        <v>1705</v>
      </c>
      <c r="B284" s="207" t="s">
        <v>1706</v>
      </c>
      <c r="C284" s="207" t="s">
        <v>311</v>
      </c>
    </row>
    <row r="285">
      <c r="A285" s="207" t="s">
        <v>309</v>
      </c>
      <c r="B285" s="207" t="s">
        <v>310</v>
      </c>
      <c r="C285" s="207" t="s">
        <v>311</v>
      </c>
    </row>
    <row r="286">
      <c r="A286" s="207" t="s">
        <v>1164</v>
      </c>
      <c r="B286" s="217" t="s">
        <v>1165</v>
      </c>
      <c r="C286" s="207" t="s">
        <v>311</v>
      </c>
    </row>
    <row r="287">
      <c r="A287" s="207" t="s">
        <v>55</v>
      </c>
      <c r="B287" s="207" t="s">
        <v>57</v>
      </c>
      <c r="C287" s="207" t="s">
        <v>58</v>
      </c>
    </row>
    <row r="288">
      <c r="A288" s="207" t="s">
        <v>2290</v>
      </c>
      <c r="B288" s="207" t="s">
        <v>2291</v>
      </c>
      <c r="C288" s="207" t="s">
        <v>311</v>
      </c>
    </row>
    <row r="289">
      <c r="A289" s="207" t="s">
        <v>1022</v>
      </c>
      <c r="B289" s="207" t="s">
        <v>1023</v>
      </c>
      <c r="C289" s="207" t="s">
        <v>492</v>
      </c>
    </row>
    <row r="290">
      <c r="A290" s="207" t="s">
        <v>1318</v>
      </c>
      <c r="B290" s="207" t="s">
        <v>1319</v>
      </c>
      <c r="C290" s="206" t="s">
        <v>1320</v>
      </c>
    </row>
    <row r="291">
      <c r="A291" s="207" t="s">
        <v>662</v>
      </c>
      <c r="B291" s="207" t="s">
        <v>663</v>
      </c>
      <c r="C291" s="207" t="s">
        <v>664</v>
      </c>
    </row>
    <row r="292">
      <c r="A292" s="207" t="s">
        <v>490</v>
      </c>
      <c r="B292" s="207" t="s">
        <v>491</v>
      </c>
      <c r="C292" s="207" t="s">
        <v>492</v>
      </c>
    </row>
    <row r="293">
      <c r="A293" s="207" t="s">
        <v>860</v>
      </c>
      <c r="B293" s="207" t="s">
        <v>861</v>
      </c>
      <c r="C293" s="207" t="s">
        <v>862</v>
      </c>
    </row>
    <row r="294">
      <c r="A294" s="207" t="s">
        <v>2000</v>
      </c>
      <c r="B294" s="207" t="s">
        <v>2001</v>
      </c>
      <c r="C294" s="207" t="s">
        <v>2002</v>
      </c>
    </row>
    <row r="295">
      <c r="A295" s="207" t="s">
        <v>2076</v>
      </c>
      <c r="B295" s="207" t="s">
        <v>2077</v>
      </c>
      <c r="C295" s="218" t="s">
        <v>1408</v>
      </c>
    </row>
    <row r="296">
      <c r="A296" s="207" t="s">
        <v>295</v>
      </c>
      <c r="B296" s="207" t="s">
        <v>297</v>
      </c>
      <c r="C296" s="218" t="s">
        <v>298</v>
      </c>
    </row>
    <row r="297">
      <c r="A297" s="207" t="s">
        <v>1130</v>
      </c>
      <c r="B297" s="207" t="s">
        <v>1131</v>
      </c>
      <c r="C297" s="219" t="s">
        <v>1132</v>
      </c>
    </row>
    <row r="298">
      <c r="A298" s="207" t="s">
        <v>1350</v>
      </c>
      <c r="B298" s="207" t="s">
        <v>1351</v>
      </c>
      <c r="C298" s="220" t="s">
        <v>1132</v>
      </c>
    </row>
    <row r="299">
      <c r="A299" s="207" t="s">
        <v>1370</v>
      </c>
      <c r="B299" s="207" t="s">
        <v>1371</v>
      </c>
      <c r="C299" s="207" t="s">
        <v>1132</v>
      </c>
    </row>
    <row r="300">
      <c r="A300" s="207" t="s">
        <v>1509</v>
      </c>
      <c r="B300" s="207" t="s">
        <v>1510</v>
      </c>
      <c r="C300" s="207" t="s">
        <v>246</v>
      </c>
    </row>
    <row r="301">
      <c r="A301" s="207" t="s">
        <v>1736</v>
      </c>
      <c r="B301" s="207" t="s">
        <v>1737</v>
      </c>
      <c r="C301" s="207" t="s">
        <v>246</v>
      </c>
    </row>
    <row r="302">
      <c r="A302" s="207" t="s">
        <v>2132</v>
      </c>
      <c r="B302" s="207" t="s">
        <v>2133</v>
      </c>
      <c r="C302" s="221" t="s">
        <v>1408</v>
      </c>
    </row>
    <row r="303">
      <c r="A303" s="207" t="s">
        <v>2137</v>
      </c>
      <c r="B303" s="207" t="s">
        <v>2138</v>
      </c>
      <c r="C303" s="222"/>
    </row>
    <row r="304">
      <c r="A304" s="207" t="s">
        <v>2342</v>
      </c>
      <c r="B304" s="207" t="s">
        <v>2343</v>
      </c>
      <c r="C304" s="211" t="s">
        <v>246</v>
      </c>
    </row>
    <row r="305">
      <c r="A305" s="207" t="s">
        <v>2149</v>
      </c>
      <c r="B305" s="207" t="s">
        <v>2150</v>
      </c>
      <c r="C305" s="207" t="s">
        <v>101</v>
      </c>
    </row>
    <row r="306">
      <c r="A306" s="207" t="s">
        <v>2152</v>
      </c>
      <c r="B306" s="207" t="s">
        <v>2153</v>
      </c>
      <c r="C306" s="211" t="s">
        <v>1408</v>
      </c>
    </row>
    <row r="307">
      <c r="A307" s="207" t="s">
        <v>2157</v>
      </c>
      <c r="B307" s="207" t="s">
        <v>2158</v>
      </c>
      <c r="C307" s="211" t="s">
        <v>1408</v>
      </c>
    </row>
    <row r="308">
      <c r="A308" s="207" t="s">
        <v>2161</v>
      </c>
      <c r="B308" s="207" t="s">
        <v>2162</v>
      </c>
      <c r="C308" s="207" t="s">
        <v>1523</v>
      </c>
    </row>
    <row r="309">
      <c r="A309" s="207" t="s">
        <v>2164</v>
      </c>
      <c r="B309" s="207" t="s">
        <v>2165</v>
      </c>
      <c r="C309" s="207" t="s">
        <v>101</v>
      </c>
    </row>
    <row r="310">
      <c r="A310" s="207" t="s">
        <v>2167</v>
      </c>
      <c r="B310" s="207" t="s">
        <v>2168</v>
      </c>
      <c r="C310" s="207" t="s">
        <v>101</v>
      </c>
    </row>
    <row r="311">
      <c r="A311" s="207" t="s">
        <v>2170</v>
      </c>
      <c r="B311" s="207" t="s">
        <v>2171</v>
      </c>
      <c r="C311" s="207" t="s">
        <v>1523</v>
      </c>
    </row>
    <row r="312">
      <c r="A312" s="207" t="s">
        <v>702</v>
      </c>
      <c r="B312" s="207" t="s">
        <v>704</v>
      </c>
      <c r="C312" s="207" t="s">
        <v>705</v>
      </c>
    </row>
    <row r="313">
      <c r="A313" s="207" t="s">
        <v>2185</v>
      </c>
      <c r="B313" s="207" t="s">
        <v>2186</v>
      </c>
      <c r="C313" s="207" t="s">
        <v>1523</v>
      </c>
    </row>
    <row r="314">
      <c r="A314" s="207" t="s">
        <v>3103</v>
      </c>
      <c r="B314" s="207" t="s">
        <v>3104</v>
      </c>
      <c r="C314" s="207" t="s">
        <v>1523</v>
      </c>
    </row>
    <row r="315">
      <c r="A315" s="207" t="s">
        <v>2194</v>
      </c>
      <c r="B315" s="207" t="s">
        <v>2195</v>
      </c>
      <c r="C315" s="207" t="s">
        <v>1523</v>
      </c>
    </row>
    <row r="316">
      <c r="A316" s="207" t="s">
        <v>3117</v>
      </c>
      <c r="B316" s="207" t="s">
        <v>3200</v>
      </c>
      <c r="C316" s="207" t="s">
        <v>1523</v>
      </c>
    </row>
    <row r="317">
      <c r="A317" s="207" t="s">
        <v>2206</v>
      </c>
      <c r="B317" s="207" t="s">
        <v>2207</v>
      </c>
      <c r="C317" s="207" t="s">
        <v>1523</v>
      </c>
    </row>
    <row r="318">
      <c r="A318" s="207" t="s">
        <v>2209</v>
      </c>
      <c r="B318" s="207" t="s">
        <v>2210</v>
      </c>
      <c r="C318" s="207" t="s">
        <v>1523</v>
      </c>
    </row>
    <row r="319">
      <c r="A319" s="207" t="s">
        <v>2212</v>
      </c>
      <c r="B319" s="207" t="s">
        <v>2213</v>
      </c>
      <c r="C319" s="207" t="s">
        <v>1523</v>
      </c>
    </row>
    <row r="320">
      <c r="A320" s="207" t="s">
        <v>2215</v>
      </c>
      <c r="B320" s="207" t="s">
        <v>2216</v>
      </c>
      <c r="C320" s="207" t="s">
        <v>1523</v>
      </c>
    </row>
    <row r="321">
      <c r="A321" s="207" t="s">
        <v>1521</v>
      </c>
      <c r="B321" s="207" t="s">
        <v>1522</v>
      </c>
      <c r="C321" s="207" t="s">
        <v>1523</v>
      </c>
    </row>
    <row r="322">
      <c r="A322" s="207" t="s">
        <v>3122</v>
      </c>
      <c r="B322" s="207" t="s">
        <v>3123</v>
      </c>
      <c r="C322" s="207" t="s">
        <v>1523</v>
      </c>
    </row>
    <row r="323">
      <c r="A323" s="207" t="s">
        <v>2231</v>
      </c>
      <c r="B323" s="207" t="s">
        <v>2232</v>
      </c>
      <c r="C323" s="207" t="s">
        <v>1523</v>
      </c>
    </row>
    <row r="324">
      <c r="A324" s="207" t="s">
        <v>2910</v>
      </c>
      <c r="B324" s="223" t="s">
        <v>2911</v>
      </c>
      <c r="C324" s="207" t="s">
        <v>1523</v>
      </c>
    </row>
    <row r="325">
      <c r="A325" s="207" t="s">
        <v>2239</v>
      </c>
      <c r="B325" s="207" t="s">
        <v>2240</v>
      </c>
      <c r="C325" s="207" t="s">
        <v>1523</v>
      </c>
    </row>
    <row r="326">
      <c r="A326" s="207" t="s">
        <v>2242</v>
      </c>
      <c r="B326" s="207" t="s">
        <v>2243</v>
      </c>
      <c r="C326" s="207" t="s">
        <v>1523</v>
      </c>
    </row>
    <row r="327">
      <c r="A327" s="207" t="s">
        <v>2245</v>
      </c>
      <c r="B327" s="207" t="s">
        <v>2246</v>
      </c>
      <c r="C327" s="207" t="s">
        <v>1523</v>
      </c>
    </row>
    <row r="328">
      <c r="A328" s="207" t="s">
        <v>2248</v>
      </c>
      <c r="B328" s="207" t="s">
        <v>2249</v>
      </c>
      <c r="C328" s="207" t="s">
        <v>1523</v>
      </c>
    </row>
    <row r="329">
      <c r="A329" s="207" t="s">
        <v>2053</v>
      </c>
      <c r="B329" s="207" t="s">
        <v>2054</v>
      </c>
      <c r="C329" s="207" t="s">
        <v>1523</v>
      </c>
    </row>
    <row r="330">
      <c r="A330" s="207" t="s">
        <v>3114</v>
      </c>
      <c r="B330" s="207" t="s">
        <v>3115</v>
      </c>
      <c r="C330" s="207" t="s">
        <v>1523</v>
      </c>
    </row>
    <row r="331">
      <c r="A331" s="207" t="s">
        <v>1942</v>
      </c>
      <c r="B331" s="207" t="s">
        <v>1943</v>
      </c>
      <c r="C331" s="207" t="s">
        <v>1523</v>
      </c>
    </row>
    <row r="332">
      <c r="A332" s="207" t="s">
        <v>2272</v>
      </c>
      <c r="B332" s="207" t="s">
        <v>2273</v>
      </c>
      <c r="C332" s="207" t="s">
        <v>1523</v>
      </c>
    </row>
    <row r="333">
      <c r="A333" s="207" t="s">
        <v>2275</v>
      </c>
      <c r="B333" s="207" t="s">
        <v>2276</v>
      </c>
      <c r="C333" s="207" t="s">
        <v>1523</v>
      </c>
    </row>
    <row r="334">
      <c r="A334" s="207" t="s">
        <v>2278</v>
      </c>
      <c r="B334" s="207" t="s">
        <v>2279</v>
      </c>
      <c r="C334" s="207" t="s">
        <v>1523</v>
      </c>
    </row>
    <row r="335">
      <c r="A335" s="207" t="s">
        <v>2281</v>
      </c>
      <c r="B335" s="207" t="s">
        <v>2282</v>
      </c>
      <c r="C335" s="207" t="s">
        <v>1523</v>
      </c>
    </row>
    <row r="336">
      <c r="A336" s="207" t="s">
        <v>2284</v>
      </c>
      <c r="B336" s="207" t="s">
        <v>2285</v>
      </c>
      <c r="C336" s="207" t="s">
        <v>1523</v>
      </c>
    </row>
    <row r="337">
      <c r="A337" s="207" t="s">
        <v>2287</v>
      </c>
      <c r="B337" s="207" t="s">
        <v>2288</v>
      </c>
      <c r="C337" s="207" t="s">
        <v>1523</v>
      </c>
    </row>
    <row r="338">
      <c r="A338" s="207" t="s">
        <v>2865</v>
      </c>
      <c r="B338" s="207" t="s">
        <v>2866</v>
      </c>
      <c r="C338" s="207" t="s">
        <v>1523</v>
      </c>
    </row>
    <row r="339">
      <c r="A339" s="207" t="s">
        <v>2948</v>
      </c>
      <c r="B339" s="207" t="s">
        <v>2949</v>
      </c>
      <c r="C339" s="207" t="s">
        <v>1523</v>
      </c>
    </row>
    <row r="340">
      <c r="A340" s="207" t="s">
        <v>2303</v>
      </c>
      <c r="B340" s="207" t="s">
        <v>2304</v>
      </c>
      <c r="C340" s="207" t="s">
        <v>1546</v>
      </c>
    </row>
    <row r="341">
      <c r="A341" s="207" t="s">
        <v>2108</v>
      </c>
      <c r="B341" s="207" t="s">
        <v>2109</v>
      </c>
      <c r="C341" s="207" t="s">
        <v>1058</v>
      </c>
    </row>
    <row r="342">
      <c r="A342" s="207" t="s">
        <v>652</v>
      </c>
      <c r="B342" s="207" t="s">
        <v>654</v>
      </c>
      <c r="C342" s="207" t="s">
        <v>655</v>
      </c>
    </row>
    <row r="343">
      <c r="A343" s="207" t="s">
        <v>2322</v>
      </c>
      <c r="B343" s="207" t="s">
        <v>2323</v>
      </c>
      <c r="C343" s="207" t="s">
        <v>2083</v>
      </c>
    </row>
    <row r="344">
      <c r="A344" s="207" t="s">
        <v>2081</v>
      </c>
      <c r="B344" s="207" t="s">
        <v>2082</v>
      </c>
      <c r="C344" s="207" t="s">
        <v>2083</v>
      </c>
    </row>
    <row r="345">
      <c r="A345" s="207" t="s">
        <v>1465</v>
      </c>
      <c r="B345" s="207" t="s">
        <v>1466</v>
      </c>
      <c r="C345" s="207" t="s">
        <v>1467</v>
      </c>
    </row>
    <row r="346">
      <c r="A346" s="207" t="s">
        <v>693</v>
      </c>
      <c r="B346" s="207" t="s">
        <v>3253</v>
      </c>
      <c r="C346" s="207" t="s">
        <v>695</v>
      </c>
    </row>
    <row r="347">
      <c r="A347" s="207" t="s">
        <v>2362</v>
      </c>
      <c r="B347" s="207" t="s">
        <v>2363</v>
      </c>
      <c r="C347" s="207" t="s">
        <v>2364</v>
      </c>
    </row>
    <row r="348">
      <c r="A348" s="207" t="s">
        <v>1386</v>
      </c>
      <c r="B348" s="207" t="s">
        <v>1387</v>
      </c>
      <c r="C348" s="207" t="s">
        <v>848</v>
      </c>
    </row>
    <row r="349">
      <c r="A349" s="207" t="s">
        <v>1649</v>
      </c>
      <c r="B349" s="207" t="s">
        <v>1650</v>
      </c>
      <c r="C349" s="207" t="s">
        <v>848</v>
      </c>
    </row>
    <row r="350">
      <c r="A350" s="207" t="s">
        <v>2370</v>
      </c>
      <c r="B350" s="207" t="s">
        <v>2371</v>
      </c>
      <c r="C350" s="207" t="s">
        <v>1358</v>
      </c>
    </row>
    <row r="351">
      <c r="A351" s="207" t="s">
        <v>1500</v>
      </c>
      <c r="B351" s="207" t="s">
        <v>1501</v>
      </c>
      <c r="C351" s="207" t="s">
        <v>1210</v>
      </c>
    </row>
    <row r="352">
      <c r="A352" s="207" t="s">
        <v>1356</v>
      </c>
      <c r="B352" s="224" t="s">
        <v>1357</v>
      </c>
      <c r="C352" s="207" t="s">
        <v>1358</v>
      </c>
    </row>
    <row r="353">
      <c r="A353" s="207" t="s">
        <v>1056</v>
      </c>
      <c r="B353" s="207" t="s">
        <v>1057</v>
      </c>
      <c r="C353" s="207" t="s">
        <v>1058</v>
      </c>
    </row>
    <row r="354">
      <c r="A354" s="207" t="s">
        <v>972</v>
      </c>
      <c r="B354" s="207" t="s">
        <v>973</v>
      </c>
      <c r="C354" s="207" t="s">
        <v>848</v>
      </c>
    </row>
    <row r="355">
      <c r="A355" s="207" t="s">
        <v>1444</v>
      </c>
      <c r="B355" s="225" t="s">
        <v>1445</v>
      </c>
      <c r="C355" s="207" t="s">
        <v>848</v>
      </c>
    </row>
    <row r="356">
      <c r="A356" s="207" t="s">
        <v>2408</v>
      </c>
      <c r="B356" s="207" t="s">
        <v>2409</v>
      </c>
      <c r="C356" s="207" t="s">
        <v>1149</v>
      </c>
    </row>
    <row r="357">
      <c r="A357" s="207" t="s">
        <v>2412</v>
      </c>
      <c r="B357" s="207" t="s">
        <v>2413</v>
      </c>
      <c r="C357" s="207" t="s">
        <v>871</v>
      </c>
    </row>
    <row r="358">
      <c r="A358" s="207" t="s">
        <v>1882</v>
      </c>
      <c r="B358" s="207" t="s">
        <v>1883</v>
      </c>
      <c r="C358" s="207" t="s">
        <v>848</v>
      </c>
    </row>
    <row r="359">
      <c r="A359" s="207" t="s">
        <v>869</v>
      </c>
      <c r="B359" s="207" t="s">
        <v>870</v>
      </c>
      <c r="C359" s="207" t="s">
        <v>871</v>
      </c>
    </row>
    <row r="360">
      <c r="A360" s="207" t="s">
        <v>2430</v>
      </c>
      <c r="B360" s="207" t="s">
        <v>2432</v>
      </c>
      <c r="C360" s="207" t="s">
        <v>1276</v>
      </c>
    </row>
    <row r="361">
      <c r="A361" s="207" t="s">
        <v>2437</v>
      </c>
      <c r="B361" s="207" t="s">
        <v>2438</v>
      </c>
      <c r="C361" s="207" t="s">
        <v>1276</v>
      </c>
    </row>
    <row r="362">
      <c r="A362" s="207" t="s">
        <v>2442</v>
      </c>
      <c r="B362" s="207" t="s">
        <v>2443</v>
      </c>
      <c r="C362" s="207" t="s">
        <v>1276</v>
      </c>
    </row>
    <row r="363">
      <c r="A363" s="207" t="s">
        <v>2447</v>
      </c>
      <c r="B363" s="209" t="s">
        <v>2448</v>
      </c>
      <c r="C363" s="207" t="s">
        <v>727</v>
      </c>
    </row>
    <row r="364">
      <c r="A364" s="207" t="s">
        <v>2451</v>
      </c>
      <c r="B364" s="209" t="s">
        <v>2452</v>
      </c>
      <c r="C364" s="207" t="s">
        <v>727</v>
      </c>
    </row>
    <row r="365">
      <c r="A365" s="207" t="s">
        <v>2089</v>
      </c>
      <c r="B365" s="209" t="s">
        <v>2091</v>
      </c>
      <c r="C365" s="207" t="s">
        <v>227</v>
      </c>
    </row>
    <row r="366">
      <c r="A366" s="207" t="s">
        <v>542</v>
      </c>
      <c r="B366" s="207" t="s">
        <v>544</v>
      </c>
      <c r="C366" s="207" t="s">
        <v>545</v>
      </c>
    </row>
    <row r="367">
      <c r="A367" s="207" t="s">
        <v>1101</v>
      </c>
      <c r="B367" s="207" t="s">
        <v>1102</v>
      </c>
      <c r="C367" s="207" t="s">
        <v>885</v>
      </c>
    </row>
    <row r="368">
      <c r="A368" s="207" t="s">
        <v>893</v>
      </c>
      <c r="B368" s="207" t="s">
        <v>895</v>
      </c>
      <c r="C368" s="207" t="s">
        <v>885</v>
      </c>
    </row>
    <row r="369">
      <c r="A369" s="207" t="s">
        <v>2479</v>
      </c>
      <c r="B369" s="207" t="s">
        <v>2480</v>
      </c>
      <c r="C369" s="207" t="s">
        <v>1331</v>
      </c>
    </row>
    <row r="370">
      <c r="A370" s="207" t="s">
        <v>2482</v>
      </c>
      <c r="B370" s="207" t="s">
        <v>2483</v>
      </c>
      <c r="C370" s="207" t="s">
        <v>1331</v>
      </c>
    </row>
    <row r="371">
      <c r="A371" s="207" t="s">
        <v>1812</v>
      </c>
      <c r="B371" s="207" t="s">
        <v>1813</v>
      </c>
      <c r="C371" s="207" t="s">
        <v>1331</v>
      </c>
    </row>
    <row r="372">
      <c r="A372" s="207" t="s">
        <v>2493</v>
      </c>
      <c r="B372" s="207" t="s">
        <v>2494</v>
      </c>
      <c r="C372" s="207" t="s">
        <v>2495</v>
      </c>
    </row>
    <row r="373">
      <c r="A373" s="207" t="s">
        <v>2497</v>
      </c>
      <c r="B373" s="207" t="s">
        <v>2498</v>
      </c>
      <c r="C373" s="207" t="s">
        <v>885</v>
      </c>
    </row>
    <row r="374">
      <c r="A374" s="207" t="s">
        <v>2500</v>
      </c>
      <c r="B374" s="207" t="s">
        <v>2501</v>
      </c>
      <c r="C374" s="207" t="s">
        <v>885</v>
      </c>
    </row>
    <row r="375">
      <c r="A375" s="207" t="s">
        <v>1621</v>
      </c>
      <c r="B375" s="207" t="s">
        <v>1622</v>
      </c>
      <c r="C375" s="207" t="s">
        <v>885</v>
      </c>
    </row>
    <row r="376">
      <c r="A376" s="207" t="s">
        <v>2310</v>
      </c>
      <c r="B376" s="207" t="s">
        <v>3254</v>
      </c>
      <c r="C376" s="207" t="s">
        <v>38</v>
      </c>
    </row>
    <row r="377">
      <c r="A377" s="207" t="s">
        <v>2521</v>
      </c>
      <c r="B377" s="207" t="s">
        <v>2522</v>
      </c>
      <c r="C377" s="207" t="s">
        <v>1331</v>
      </c>
    </row>
    <row r="378">
      <c r="A378" s="207" t="s">
        <v>2528</v>
      </c>
      <c r="B378" s="207" t="s">
        <v>2530</v>
      </c>
      <c r="C378" s="207" t="s">
        <v>1947</v>
      </c>
    </row>
    <row r="379">
      <c r="A379" s="207" t="s">
        <v>671</v>
      </c>
      <c r="B379" s="207" t="s">
        <v>672</v>
      </c>
      <c r="C379" s="207" t="s">
        <v>237</v>
      </c>
    </row>
    <row r="380">
      <c r="A380" s="207" t="s">
        <v>2539</v>
      </c>
      <c r="B380" s="207" t="s">
        <v>2540</v>
      </c>
      <c r="C380" s="207" t="s">
        <v>2541</v>
      </c>
    </row>
    <row r="381">
      <c r="A381" s="207" t="s">
        <v>2546</v>
      </c>
      <c r="B381" s="207" t="s">
        <v>2547</v>
      </c>
      <c r="C381" s="207" t="s">
        <v>38</v>
      </c>
    </row>
    <row r="382">
      <c r="A382" s="207" t="s">
        <v>2553</v>
      </c>
      <c r="B382" s="207" t="s">
        <v>2554</v>
      </c>
      <c r="C382" s="207" t="s">
        <v>227</v>
      </c>
    </row>
    <row r="383">
      <c r="A383" s="207" t="s">
        <v>777</v>
      </c>
      <c r="B383" s="207" t="s">
        <v>778</v>
      </c>
      <c r="C383" s="207" t="s">
        <v>38</v>
      </c>
    </row>
    <row r="384">
      <c r="A384" s="207" t="s">
        <v>235</v>
      </c>
      <c r="B384" s="207" t="s">
        <v>236</v>
      </c>
      <c r="C384" s="207" t="s">
        <v>237</v>
      </c>
    </row>
    <row r="385">
      <c r="A385" s="207" t="s">
        <v>69</v>
      </c>
      <c r="B385" s="207" t="s">
        <v>71</v>
      </c>
      <c r="C385" s="207" t="s">
        <v>38</v>
      </c>
    </row>
    <row r="386">
      <c r="A386" s="207" t="s">
        <v>1066</v>
      </c>
      <c r="B386" s="207" t="s">
        <v>1067</v>
      </c>
      <c r="C386" s="207" t="s">
        <v>227</v>
      </c>
    </row>
    <row r="387">
      <c r="A387" s="207" t="s">
        <v>2579</v>
      </c>
      <c r="B387" s="207" t="s">
        <v>2580</v>
      </c>
      <c r="C387" s="207" t="s">
        <v>2581</v>
      </c>
    </row>
    <row r="388">
      <c r="A388" s="207" t="s">
        <v>2660</v>
      </c>
      <c r="B388" s="207" t="s">
        <v>2661</v>
      </c>
      <c r="C388" s="207" t="s">
        <v>2591</v>
      </c>
    </row>
    <row r="389">
      <c r="A389" s="207" t="s">
        <v>2589</v>
      </c>
      <c r="B389" s="207" t="s">
        <v>2590</v>
      </c>
      <c r="C389" s="207" t="s">
        <v>2591</v>
      </c>
    </row>
    <row r="390">
      <c r="A390" s="207" t="s">
        <v>2594</v>
      </c>
      <c r="B390" s="207" t="s">
        <v>2595</v>
      </c>
      <c r="C390" s="207" t="s">
        <v>2581</v>
      </c>
    </row>
    <row r="391">
      <c r="A391" s="207" t="s">
        <v>1080</v>
      </c>
      <c r="B391" s="207" t="s">
        <v>1081</v>
      </c>
      <c r="C391" s="207" t="s">
        <v>227</v>
      </c>
    </row>
    <row r="392">
      <c r="A392" s="207" t="s">
        <v>2604</v>
      </c>
      <c r="B392" s="207" t="s">
        <v>2605</v>
      </c>
      <c r="C392" s="207" t="s">
        <v>227</v>
      </c>
    </row>
    <row r="393">
      <c r="A393" s="207" t="s">
        <v>785</v>
      </c>
      <c r="B393" s="207" t="s">
        <v>786</v>
      </c>
      <c r="C393" s="207" t="s">
        <v>227</v>
      </c>
    </row>
    <row r="394">
      <c r="A394" s="207" t="s">
        <v>942</v>
      </c>
      <c r="B394" s="207" t="s">
        <v>943</v>
      </c>
      <c r="C394" s="207" t="s">
        <v>227</v>
      </c>
    </row>
    <row r="395">
      <c r="A395" s="207" t="s">
        <v>2621</v>
      </c>
      <c r="B395" s="207" t="s">
        <v>2622</v>
      </c>
      <c r="C395" s="207" t="s">
        <v>2623</v>
      </c>
    </row>
    <row r="396">
      <c r="A396" s="207" t="s">
        <v>81</v>
      </c>
      <c r="B396" s="207" t="s">
        <v>83</v>
      </c>
      <c r="C396" s="207" t="s">
        <v>84</v>
      </c>
    </row>
    <row r="397">
      <c r="A397" s="207" t="s">
        <v>2633</v>
      </c>
      <c r="B397" s="207" t="s">
        <v>2634</v>
      </c>
      <c r="C397" s="207" t="s">
        <v>2623</v>
      </c>
    </row>
    <row r="398">
      <c r="A398" s="207" t="s">
        <v>2637</v>
      </c>
      <c r="B398" s="207" t="s">
        <v>2638</v>
      </c>
      <c r="C398" s="207" t="s">
        <v>2639</v>
      </c>
    </row>
    <row r="399">
      <c r="A399" s="207" t="s">
        <v>385</v>
      </c>
      <c r="B399" s="207" t="s">
        <v>386</v>
      </c>
      <c r="C399" s="207" t="s">
        <v>227</v>
      </c>
    </row>
    <row r="400">
      <c r="A400" s="207" t="s">
        <v>2648</v>
      </c>
      <c r="B400" s="225" t="s">
        <v>2649</v>
      </c>
      <c r="C400" s="207" t="s">
        <v>2623</v>
      </c>
    </row>
    <row r="401">
      <c r="A401" s="207" t="s">
        <v>2651</v>
      </c>
      <c r="B401" s="207" t="s">
        <v>2652</v>
      </c>
      <c r="C401" s="207" t="s">
        <v>505</v>
      </c>
    </row>
    <row r="402">
      <c r="A402" s="207" t="s">
        <v>1656</v>
      </c>
      <c r="B402" s="207" t="s">
        <v>1657</v>
      </c>
      <c r="C402" s="207" t="s">
        <v>323</v>
      </c>
    </row>
    <row r="403">
      <c r="A403" s="207" t="s">
        <v>1731</v>
      </c>
      <c r="B403" s="207" t="s">
        <v>1732</v>
      </c>
      <c r="C403" s="207" t="s">
        <v>323</v>
      </c>
    </row>
    <row r="404">
      <c r="A404" s="207" t="s">
        <v>1790</v>
      </c>
      <c r="B404" s="223" t="s">
        <v>1791</v>
      </c>
      <c r="C404" s="207" t="s">
        <v>323</v>
      </c>
    </row>
    <row r="405">
      <c r="A405" s="207" t="s">
        <v>1842</v>
      </c>
      <c r="B405" s="223" t="s">
        <v>1843</v>
      </c>
      <c r="C405" s="207" t="s">
        <v>323</v>
      </c>
    </row>
    <row r="406">
      <c r="A406" s="207" t="s">
        <v>2681</v>
      </c>
      <c r="B406" s="223" t="s">
        <v>2682</v>
      </c>
      <c r="C406" s="207" t="s">
        <v>1523</v>
      </c>
    </row>
    <row r="407">
      <c r="A407" s="207" t="s">
        <v>2686</v>
      </c>
      <c r="B407" s="223" t="s">
        <v>2687</v>
      </c>
      <c r="C407" s="207" t="s">
        <v>2048</v>
      </c>
    </row>
    <row r="408">
      <c r="A408" s="207" t="s">
        <v>624</v>
      </c>
      <c r="B408" s="207" t="s">
        <v>626</v>
      </c>
      <c r="C408" s="207" t="s">
        <v>101</v>
      </c>
    </row>
    <row r="409">
      <c r="A409" s="207" t="s">
        <v>2698</v>
      </c>
      <c r="B409" s="223" t="s">
        <v>2699</v>
      </c>
      <c r="C409" s="207" t="s">
        <v>2048</v>
      </c>
    </row>
    <row r="410">
      <c r="A410" s="207" t="s">
        <v>2904</v>
      </c>
      <c r="B410" s="223" t="s">
        <v>2905</v>
      </c>
      <c r="C410" s="207" t="s">
        <v>705</v>
      </c>
    </row>
    <row r="411">
      <c r="A411" s="207" t="s">
        <v>2333</v>
      </c>
      <c r="B411" s="223" t="s">
        <v>2334</v>
      </c>
      <c r="C411" s="207" t="s">
        <v>705</v>
      </c>
    </row>
    <row r="412">
      <c r="A412" s="207" t="s">
        <v>2426</v>
      </c>
      <c r="B412" s="223" t="s">
        <v>2427</v>
      </c>
      <c r="C412" s="207" t="s">
        <v>2048</v>
      </c>
    </row>
    <row r="413">
      <c r="A413" s="207" t="s">
        <v>2234</v>
      </c>
      <c r="B413" s="223" t="s">
        <v>2235</v>
      </c>
      <c r="C413" s="207" t="s">
        <v>2048</v>
      </c>
    </row>
    <row r="414">
      <c r="A414" s="207" t="s">
        <v>2849</v>
      </c>
      <c r="B414" s="223" t="s">
        <v>2850</v>
      </c>
      <c r="C414" s="207" t="s">
        <v>705</v>
      </c>
    </row>
    <row r="415">
      <c r="A415" s="207" t="s">
        <v>2046</v>
      </c>
      <c r="B415" s="207" t="s">
        <v>2047</v>
      </c>
      <c r="C415" s="207" t="s">
        <v>2048</v>
      </c>
    </row>
    <row r="416">
      <c r="A416" s="207" t="s">
        <v>3076</v>
      </c>
      <c r="B416" s="207" t="s">
        <v>3077</v>
      </c>
      <c r="C416" s="207" t="s">
        <v>2048</v>
      </c>
    </row>
    <row r="417">
      <c r="A417" s="207" t="s">
        <v>2744</v>
      </c>
      <c r="B417" s="207" t="s">
        <v>2746</v>
      </c>
      <c r="C417" s="207" t="s">
        <v>2747</v>
      </c>
    </row>
    <row r="418">
      <c r="A418" s="207" t="s">
        <v>2749</v>
      </c>
      <c r="B418" s="207" t="s">
        <v>2750</v>
      </c>
      <c r="C418" s="207" t="s">
        <v>2747</v>
      </c>
    </row>
    <row r="419">
      <c r="A419" s="207" t="s">
        <v>2752</v>
      </c>
      <c r="B419" s="207" t="s">
        <v>2753</v>
      </c>
      <c r="C419" s="207" t="s">
        <v>2747</v>
      </c>
    </row>
    <row r="420">
      <c r="A420" s="207" t="s">
        <v>2755</v>
      </c>
      <c r="B420" s="207" t="s">
        <v>2756</v>
      </c>
      <c r="C420" s="207" t="s">
        <v>2747</v>
      </c>
    </row>
    <row r="421">
      <c r="A421" s="207" t="s">
        <v>2758</v>
      </c>
      <c r="B421" s="207" t="s">
        <v>2759</v>
      </c>
      <c r="C421" s="207" t="s">
        <v>2747</v>
      </c>
    </row>
    <row r="422">
      <c r="A422" s="207" t="s">
        <v>2761</v>
      </c>
      <c r="B422" s="207" t="s">
        <v>2762</v>
      </c>
      <c r="C422" s="207" t="s">
        <v>2747</v>
      </c>
    </row>
    <row r="423">
      <c r="A423" s="207" t="s">
        <v>2764</v>
      </c>
      <c r="B423" s="207" t="s">
        <v>2765</v>
      </c>
      <c r="C423" s="207" t="s">
        <v>2747</v>
      </c>
    </row>
    <row r="424">
      <c r="A424" s="207" t="s">
        <v>2767</v>
      </c>
      <c r="B424" s="207" t="s">
        <v>2768</v>
      </c>
      <c r="C424" s="206" t="s">
        <v>1058</v>
      </c>
    </row>
    <row r="425">
      <c r="A425" s="207" t="s">
        <v>2770</v>
      </c>
      <c r="B425" s="207" t="s">
        <v>2771</v>
      </c>
      <c r="C425" s="207" t="s">
        <v>2772</v>
      </c>
    </row>
    <row r="426">
      <c r="A426" s="207" t="s">
        <v>2774</v>
      </c>
      <c r="B426" s="207" t="s">
        <v>2775</v>
      </c>
      <c r="C426" s="207" t="s">
        <v>1546</v>
      </c>
    </row>
    <row r="427">
      <c r="A427" s="207" t="s">
        <v>2778</v>
      </c>
      <c r="B427" s="207" t="s">
        <v>2779</v>
      </c>
      <c r="C427" s="207" t="s">
        <v>1546</v>
      </c>
    </row>
    <row r="428">
      <c r="A428" s="207" t="s">
        <v>2782</v>
      </c>
      <c r="B428" s="207" t="s">
        <v>2783</v>
      </c>
      <c r="C428" s="207" t="s">
        <v>2784</v>
      </c>
    </row>
    <row r="429">
      <c r="A429" s="207" t="s">
        <v>1544</v>
      </c>
      <c r="B429" s="211" t="s">
        <v>1545</v>
      </c>
      <c r="C429" s="207" t="s">
        <v>1546</v>
      </c>
    </row>
    <row r="430">
      <c r="A430" s="207" t="s">
        <v>2792</v>
      </c>
      <c r="B430" s="207" t="s">
        <v>2793</v>
      </c>
      <c r="C430" s="207" t="s">
        <v>2048</v>
      </c>
    </row>
    <row r="431">
      <c r="A431" s="207" t="s">
        <v>2385</v>
      </c>
      <c r="B431" s="207" t="s">
        <v>2386</v>
      </c>
      <c r="C431" s="207" t="s">
        <v>2048</v>
      </c>
    </row>
    <row r="432">
      <c r="A432" s="207" t="s">
        <v>1298</v>
      </c>
      <c r="B432" s="207" t="s">
        <v>1300</v>
      </c>
      <c r="C432" s="207" t="s">
        <v>585</v>
      </c>
    </row>
    <row r="433">
      <c r="A433" s="207" t="s">
        <v>2810</v>
      </c>
      <c r="B433" s="207" t="s">
        <v>2811</v>
      </c>
      <c r="C433" s="207" t="s">
        <v>2048</v>
      </c>
    </row>
    <row r="434">
      <c r="A434" s="207" t="s">
        <v>2116</v>
      </c>
      <c r="B434" s="211" t="s">
        <v>2117</v>
      </c>
      <c r="C434" s="207" t="s">
        <v>1546</v>
      </c>
    </row>
    <row r="435">
      <c r="A435" s="207" t="s">
        <v>2819</v>
      </c>
      <c r="B435" s="207" t="s">
        <v>2820</v>
      </c>
      <c r="C435" s="207" t="s">
        <v>2821</v>
      </c>
    </row>
    <row r="436">
      <c r="A436" s="207" t="s">
        <v>2098</v>
      </c>
      <c r="B436" s="207" t="s">
        <v>2099</v>
      </c>
      <c r="C436" s="207" t="s">
        <v>585</v>
      </c>
    </row>
    <row r="437">
      <c r="A437" s="207" t="s">
        <v>2829</v>
      </c>
      <c r="B437" s="223" t="s">
        <v>2830</v>
      </c>
      <c r="C437" s="207" t="s">
        <v>1058</v>
      </c>
    </row>
    <row r="438">
      <c r="A438" s="207" t="s">
        <v>2833</v>
      </c>
      <c r="B438" s="207" t="s">
        <v>2834</v>
      </c>
      <c r="C438" s="207" t="s">
        <v>227</v>
      </c>
    </row>
    <row r="439">
      <c r="A439" s="207" t="s">
        <v>2837</v>
      </c>
      <c r="B439" s="207" t="s">
        <v>2838</v>
      </c>
      <c r="C439" s="207" t="s">
        <v>727</v>
      </c>
    </row>
    <row r="440">
      <c r="A440" s="207" t="s">
        <v>289</v>
      </c>
      <c r="B440" s="207" t="s">
        <v>3255</v>
      </c>
      <c r="C440" s="207" t="s">
        <v>101</v>
      </c>
    </row>
    <row r="441">
      <c r="A441" s="207" t="s">
        <v>2468</v>
      </c>
      <c r="B441" s="207" t="s">
        <v>2469</v>
      </c>
      <c r="C441" s="207" t="s">
        <v>2470</v>
      </c>
    </row>
    <row r="442">
      <c r="A442" s="207" t="s">
        <v>2024</v>
      </c>
      <c r="B442" s="207" t="s">
        <v>2025</v>
      </c>
      <c r="C442" s="207" t="s">
        <v>1523</v>
      </c>
    </row>
    <row r="443">
      <c r="A443" s="207" t="s">
        <v>2574</v>
      </c>
      <c r="B443" s="207" t="s">
        <v>2575</v>
      </c>
      <c r="C443" s="207" t="s">
        <v>2470</v>
      </c>
    </row>
    <row r="444">
      <c r="A444" s="207" t="s">
        <v>1759</v>
      </c>
      <c r="B444" s="207" t="s">
        <v>1760</v>
      </c>
      <c r="C444" s="207" t="s">
        <v>705</v>
      </c>
    </row>
    <row r="445">
      <c r="A445" s="207" t="s">
        <v>98</v>
      </c>
      <c r="B445" s="226" t="s">
        <v>100</v>
      </c>
      <c r="C445" s="207" t="s">
        <v>101</v>
      </c>
    </row>
    <row r="446">
      <c r="A446" s="207" t="s">
        <v>1147</v>
      </c>
      <c r="B446" s="207" t="s">
        <v>1148</v>
      </c>
      <c r="C446" s="207" t="s">
        <v>1149</v>
      </c>
    </row>
    <row r="447">
      <c r="A447" s="207" t="s">
        <v>1807</v>
      </c>
      <c r="B447" s="207" t="s">
        <v>1808</v>
      </c>
      <c r="C447" s="207" t="s">
        <v>1523</v>
      </c>
    </row>
    <row r="448">
      <c r="A448" s="207" t="s">
        <v>2845</v>
      </c>
      <c r="B448" s="207" t="s">
        <v>2846</v>
      </c>
      <c r="C448" s="207" t="s">
        <v>2470</v>
      </c>
    </row>
    <row r="449">
      <c r="A449" s="207" t="s">
        <v>2887</v>
      </c>
      <c r="B449" s="207" t="s">
        <v>2888</v>
      </c>
      <c r="C449" s="227" t="s">
        <v>227</v>
      </c>
    </row>
    <row r="450">
      <c r="A450" s="207" t="s">
        <v>521</v>
      </c>
      <c r="B450" s="207" t="s">
        <v>522</v>
      </c>
      <c r="C450" s="206" t="s">
        <v>523</v>
      </c>
    </row>
    <row r="451">
      <c r="A451" s="207" t="s">
        <v>278</v>
      </c>
      <c r="B451" s="207" t="s">
        <v>279</v>
      </c>
      <c r="C451" s="228" t="s">
        <v>3256</v>
      </c>
    </row>
    <row r="452">
      <c r="A452" s="207" t="s">
        <v>224</v>
      </c>
      <c r="B452" s="207" t="s">
        <v>226</v>
      </c>
      <c r="C452" s="227" t="s">
        <v>227</v>
      </c>
    </row>
    <row r="453">
      <c r="A453" s="207" t="s">
        <v>2173</v>
      </c>
      <c r="B453" s="207" t="s">
        <v>2174</v>
      </c>
      <c r="C453" s="207" t="s">
        <v>2175</v>
      </c>
    </row>
    <row r="454">
      <c r="A454" s="207" t="s">
        <v>2255</v>
      </c>
      <c r="B454" s="207" t="s">
        <v>2256</v>
      </c>
      <c r="C454" s="207" t="s">
        <v>2175</v>
      </c>
    </row>
    <row r="455">
      <c r="A455" s="207" t="s">
        <v>2919</v>
      </c>
      <c r="B455" s="207" t="s">
        <v>2920</v>
      </c>
      <c r="C455" s="228" t="s">
        <v>3257</v>
      </c>
    </row>
    <row r="456">
      <c r="A456" s="207" t="s">
        <v>2927</v>
      </c>
      <c r="B456" s="207" t="s">
        <v>2928</v>
      </c>
      <c r="C456" s="228" t="s">
        <v>3257</v>
      </c>
    </row>
    <row r="457">
      <c r="A457" s="207" t="s">
        <v>2931</v>
      </c>
      <c r="B457" s="207" t="s">
        <v>2932</v>
      </c>
      <c r="C457" s="228" t="s">
        <v>3257</v>
      </c>
    </row>
    <row r="458">
      <c r="A458" s="207" t="s">
        <v>2935</v>
      </c>
      <c r="B458" s="207" t="s">
        <v>2936</v>
      </c>
      <c r="C458" s="207" t="s">
        <v>2175</v>
      </c>
    </row>
    <row r="459">
      <c r="A459" s="207" t="s">
        <v>2941</v>
      </c>
      <c r="B459" s="207" t="s">
        <v>2942</v>
      </c>
      <c r="C459" s="229"/>
    </row>
    <row r="460">
      <c r="A460" s="207" t="s">
        <v>563</v>
      </c>
      <c r="B460" s="207" t="s">
        <v>564</v>
      </c>
      <c r="C460" s="207" t="s">
        <v>166</v>
      </c>
    </row>
    <row r="461">
      <c r="A461" s="207" t="s">
        <v>2952</v>
      </c>
      <c r="B461" s="207" t="s">
        <v>2953</v>
      </c>
      <c r="C461" s="207" t="s">
        <v>2954</v>
      </c>
    </row>
    <row r="462">
      <c r="A462" s="207" t="s">
        <v>2957</v>
      </c>
      <c r="B462" s="207" t="s">
        <v>2958</v>
      </c>
      <c r="C462" s="207" t="s">
        <v>2954</v>
      </c>
    </row>
    <row r="463">
      <c r="A463" s="207" t="s">
        <v>2264</v>
      </c>
      <c r="B463" s="207" t="s">
        <v>2265</v>
      </c>
      <c r="C463" s="207" t="s">
        <v>2266</v>
      </c>
    </row>
    <row r="464">
      <c r="A464" s="207" t="s">
        <v>2968</v>
      </c>
      <c r="B464" s="207" t="s">
        <v>2969</v>
      </c>
      <c r="C464" s="207" t="s">
        <v>2970</v>
      </c>
    </row>
    <row r="465">
      <c r="A465" s="207" t="s">
        <v>2973</v>
      </c>
      <c r="B465" s="211" t="s">
        <v>2974</v>
      </c>
      <c r="C465" s="207" t="s">
        <v>298</v>
      </c>
    </row>
    <row r="466">
      <c r="A466" s="207" t="s">
        <v>2977</v>
      </c>
      <c r="B466" s="211" t="s">
        <v>2978</v>
      </c>
      <c r="C466" s="207" t="s">
        <v>298</v>
      </c>
    </row>
    <row r="467">
      <c r="A467" s="207" t="s">
        <v>2981</v>
      </c>
      <c r="B467" s="207" t="s">
        <v>2982</v>
      </c>
      <c r="C467" s="207" t="s">
        <v>298</v>
      </c>
    </row>
    <row r="468">
      <c r="A468" s="207" t="s">
        <v>2985</v>
      </c>
      <c r="B468" s="207" t="s">
        <v>2986</v>
      </c>
      <c r="C468" s="207" t="s">
        <v>298</v>
      </c>
    </row>
    <row r="469">
      <c r="A469" s="207" t="s">
        <v>2989</v>
      </c>
      <c r="B469" s="209" t="s">
        <v>2991</v>
      </c>
      <c r="C469" s="207" t="s">
        <v>2992</v>
      </c>
    </row>
    <row r="470">
      <c r="A470" s="207" t="s">
        <v>2995</v>
      </c>
      <c r="B470" s="223" t="s">
        <v>2996</v>
      </c>
      <c r="C470" s="207" t="s">
        <v>2997</v>
      </c>
    </row>
    <row r="471">
      <c r="A471" s="207" t="s">
        <v>2999</v>
      </c>
      <c r="B471" s="209" t="s">
        <v>3000</v>
      </c>
      <c r="C471" s="207" t="s">
        <v>3001</v>
      </c>
    </row>
    <row r="472">
      <c r="A472" s="207" t="s">
        <v>3003</v>
      </c>
      <c r="B472" s="209" t="s">
        <v>3258</v>
      </c>
      <c r="C472" s="207" t="s">
        <v>2997</v>
      </c>
    </row>
    <row r="473">
      <c r="A473" s="207" t="s">
        <v>3006</v>
      </c>
      <c r="B473" s="207" t="s">
        <v>3007</v>
      </c>
      <c r="C473" s="207" t="s">
        <v>2992</v>
      </c>
    </row>
    <row r="474">
      <c r="A474" s="207" t="s">
        <v>3008</v>
      </c>
      <c r="B474" s="207" t="s">
        <v>3009</v>
      </c>
      <c r="C474" s="207" t="s">
        <v>3001</v>
      </c>
    </row>
    <row r="475">
      <c r="A475" s="207" t="s">
        <v>3011</v>
      </c>
      <c r="B475" s="207" t="s">
        <v>3012</v>
      </c>
      <c r="C475" s="207" t="s">
        <v>227</v>
      </c>
    </row>
    <row r="476">
      <c r="A476" s="207" t="s">
        <v>1773</v>
      </c>
      <c r="B476" s="207" t="s">
        <v>1774</v>
      </c>
      <c r="C476" s="207" t="s">
        <v>1523</v>
      </c>
    </row>
    <row r="477">
      <c r="A477" s="207" t="s">
        <v>3021</v>
      </c>
      <c r="B477" s="207" t="s">
        <v>3022</v>
      </c>
      <c r="C477" s="207" t="s">
        <v>1523</v>
      </c>
    </row>
    <row r="478">
      <c r="A478" s="207" t="s">
        <v>3024</v>
      </c>
      <c r="B478" s="207" t="s">
        <v>3025</v>
      </c>
      <c r="C478" s="207" t="s">
        <v>227</v>
      </c>
    </row>
    <row r="479">
      <c r="A479" s="207" t="s">
        <v>3027</v>
      </c>
      <c r="B479" s="207" t="s">
        <v>3028</v>
      </c>
      <c r="C479" s="207" t="s">
        <v>227</v>
      </c>
    </row>
    <row r="480">
      <c r="A480" s="207" t="s">
        <v>3031</v>
      </c>
      <c r="B480" s="207" t="s">
        <v>3032</v>
      </c>
      <c r="C480" s="207" t="s">
        <v>1523</v>
      </c>
    </row>
    <row r="481">
      <c r="A481" s="207" t="s">
        <v>3034</v>
      </c>
      <c r="B481" s="207" t="s">
        <v>3035</v>
      </c>
      <c r="C481" s="207" t="s">
        <v>1523</v>
      </c>
    </row>
    <row r="482">
      <c r="A482" s="207" t="s">
        <v>3037</v>
      </c>
      <c r="B482" s="207" t="s">
        <v>3038</v>
      </c>
      <c r="C482" s="207" t="s">
        <v>1523</v>
      </c>
    </row>
    <row r="483">
      <c r="A483" s="207" t="s">
        <v>3040</v>
      </c>
      <c r="B483" s="207" t="s">
        <v>3041</v>
      </c>
      <c r="C483" s="207" t="s">
        <v>227</v>
      </c>
    </row>
    <row r="484">
      <c r="A484" s="207" t="s">
        <v>1255</v>
      </c>
      <c r="B484" s="207" t="s">
        <v>1256</v>
      </c>
      <c r="C484" s="207" t="s">
        <v>101</v>
      </c>
    </row>
    <row r="485">
      <c r="A485" s="207" t="s">
        <v>982</v>
      </c>
      <c r="B485" s="207" t="s">
        <v>983</v>
      </c>
      <c r="C485" s="207" t="s">
        <v>101</v>
      </c>
    </row>
    <row r="486">
      <c r="A486" s="207" t="s">
        <v>769</v>
      </c>
      <c r="B486" s="207" t="s">
        <v>770</v>
      </c>
      <c r="C486" s="207" t="s">
        <v>101</v>
      </c>
    </row>
    <row r="487">
      <c r="A487" s="207" t="s">
        <v>3063</v>
      </c>
      <c r="B487" s="207" t="s">
        <v>3259</v>
      </c>
      <c r="C487" s="207" t="s">
        <v>112</v>
      </c>
    </row>
    <row r="488">
      <c r="A488" s="207" t="s">
        <v>3066</v>
      </c>
      <c r="B488" s="207" t="s">
        <v>3067</v>
      </c>
      <c r="C488" s="207" t="s">
        <v>3068</v>
      </c>
    </row>
    <row r="489">
      <c r="A489" s="207" t="s">
        <v>735</v>
      </c>
      <c r="B489" s="207" t="s">
        <v>737</v>
      </c>
      <c r="C489" s="207" t="s">
        <v>101</v>
      </c>
    </row>
    <row r="490">
      <c r="A490" s="207" t="s">
        <v>1721</v>
      </c>
      <c r="B490" s="207" t="s">
        <v>1722</v>
      </c>
      <c r="C490" s="207" t="s">
        <v>101</v>
      </c>
    </row>
    <row r="491">
      <c r="A491" s="207" t="s">
        <v>3081</v>
      </c>
      <c r="B491" s="207" t="s">
        <v>3082</v>
      </c>
      <c r="C491" s="207" t="s">
        <v>3083</v>
      </c>
    </row>
    <row r="492">
      <c r="A492" s="207" t="s">
        <v>3088</v>
      </c>
      <c r="B492" s="207" t="s">
        <v>3089</v>
      </c>
      <c r="C492" s="207" t="s">
        <v>3090</v>
      </c>
    </row>
    <row r="493">
      <c r="A493" s="207" t="s">
        <v>3092</v>
      </c>
      <c r="B493" s="207" t="s">
        <v>3093</v>
      </c>
      <c r="C493" s="207" t="s">
        <v>3083</v>
      </c>
    </row>
    <row r="494">
      <c r="A494" s="207" t="s">
        <v>3096</v>
      </c>
      <c r="B494" s="207" t="s">
        <v>3097</v>
      </c>
      <c r="C494" s="207" t="s">
        <v>3090</v>
      </c>
    </row>
    <row r="495">
      <c r="A495" s="207" t="s">
        <v>3099</v>
      </c>
      <c r="B495" s="207" t="s">
        <v>3100</v>
      </c>
      <c r="C495" s="207" t="s">
        <v>3090</v>
      </c>
    </row>
    <row r="496">
      <c r="A496" s="207" t="s">
        <v>1328</v>
      </c>
      <c r="B496" s="207" t="s">
        <v>1330</v>
      </c>
      <c r="C496" s="207" t="s">
        <v>1331</v>
      </c>
    </row>
    <row r="497">
      <c r="A497" s="207" t="s">
        <v>2813</v>
      </c>
      <c r="B497" s="207" t="s">
        <v>2814</v>
      </c>
      <c r="C497" s="207" t="s">
        <v>1331</v>
      </c>
    </row>
    <row r="498">
      <c r="A498" s="207" t="s">
        <v>1526</v>
      </c>
      <c r="B498" s="207" t="s">
        <v>1527</v>
      </c>
      <c r="C498" s="207" t="s">
        <v>1331</v>
      </c>
    </row>
    <row r="499">
      <c r="A499" s="207" t="s">
        <v>1638</v>
      </c>
      <c r="B499" s="207" t="s">
        <v>3260</v>
      </c>
      <c r="C499" s="207" t="s">
        <v>1640</v>
      </c>
    </row>
    <row r="500">
      <c r="A500" s="207" t="s">
        <v>3119</v>
      </c>
      <c r="B500" s="223" t="s">
        <v>3120</v>
      </c>
      <c r="C500" s="207" t="s">
        <v>2470</v>
      </c>
    </row>
    <row r="501">
      <c r="A501" s="207" t="s">
        <v>153</v>
      </c>
      <c r="B501" s="223" t="s">
        <v>154</v>
      </c>
      <c r="C501" s="207" t="s">
        <v>101</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0"/>
  </cols>
  <sheetData>
    <row r="1">
      <c r="A1" s="230"/>
      <c r="B1" s="231" t="s">
        <v>1</v>
      </c>
      <c r="C1" s="232" t="s">
        <v>3261</v>
      </c>
      <c r="D1" s="232" t="s">
        <v>3262</v>
      </c>
      <c r="E1" s="233" t="s">
        <v>3263</v>
      </c>
      <c r="F1" s="233" t="s">
        <v>3264</v>
      </c>
      <c r="G1" s="233" t="s">
        <v>3265</v>
      </c>
      <c r="H1" s="234" t="s">
        <v>3266</v>
      </c>
    </row>
    <row r="2">
      <c r="A2" s="235">
        <v>1.0</v>
      </c>
      <c r="B2" s="236" t="s">
        <v>250</v>
      </c>
      <c r="C2" s="237" t="s">
        <v>3267</v>
      </c>
      <c r="D2" s="238" t="s">
        <v>85</v>
      </c>
      <c r="E2" s="239" t="s">
        <v>60</v>
      </c>
      <c r="F2" s="239" t="s">
        <v>60</v>
      </c>
      <c r="G2" s="240" t="s">
        <v>45</v>
      </c>
      <c r="H2" s="240" t="s">
        <v>45</v>
      </c>
    </row>
    <row r="3">
      <c r="A3" s="241">
        <v>2.0</v>
      </c>
      <c r="B3" s="242" t="s">
        <v>250</v>
      </c>
      <c r="C3" s="243" t="s">
        <v>1833</v>
      </c>
      <c r="D3" s="244" t="s">
        <v>324</v>
      </c>
      <c r="E3" s="239" t="s">
        <v>60</v>
      </c>
      <c r="F3" s="239" t="s">
        <v>60</v>
      </c>
      <c r="G3" s="239" t="s">
        <v>60</v>
      </c>
      <c r="H3" s="240" t="s">
        <v>45</v>
      </c>
    </row>
    <row r="4">
      <c r="A4" s="245">
        <v>3.0</v>
      </c>
      <c r="B4" s="236" t="s">
        <v>250</v>
      </c>
      <c r="C4" s="246" t="s">
        <v>3268</v>
      </c>
      <c r="D4" s="238" t="s">
        <v>85</v>
      </c>
      <c r="E4" s="239" t="s">
        <v>60</v>
      </c>
      <c r="F4" s="239" t="s">
        <v>60</v>
      </c>
      <c r="G4" s="239" t="s">
        <v>60</v>
      </c>
      <c r="H4" s="240" t="s">
        <v>45</v>
      </c>
    </row>
    <row r="5">
      <c r="A5" s="241">
        <v>4.0</v>
      </c>
      <c r="B5" s="242" t="s">
        <v>392</v>
      </c>
      <c r="C5" s="243" t="s">
        <v>3269</v>
      </c>
      <c r="D5" s="244" t="s">
        <v>39</v>
      </c>
      <c r="E5" s="239" t="s">
        <v>60</v>
      </c>
      <c r="F5" s="239" t="s">
        <v>60</v>
      </c>
      <c r="G5" s="239" t="s">
        <v>60</v>
      </c>
      <c r="H5" s="240" t="s">
        <v>45</v>
      </c>
    </row>
    <row r="6">
      <c r="A6" s="245">
        <v>5.0</v>
      </c>
      <c r="B6" s="236" t="s">
        <v>268</v>
      </c>
      <c r="C6" s="246" t="s">
        <v>3270</v>
      </c>
      <c r="D6" s="238" t="s">
        <v>59</v>
      </c>
      <c r="E6" s="239" t="s">
        <v>60</v>
      </c>
      <c r="F6" s="239" t="s">
        <v>60</v>
      </c>
      <c r="G6" s="239" t="s">
        <v>60</v>
      </c>
      <c r="H6" s="247" t="s">
        <v>40</v>
      </c>
    </row>
    <row r="7">
      <c r="A7" s="241">
        <v>6.0</v>
      </c>
      <c r="B7" s="242" t="s">
        <v>268</v>
      </c>
      <c r="C7" s="243" t="s">
        <v>3271</v>
      </c>
      <c r="D7" s="244" t="s">
        <v>85</v>
      </c>
      <c r="E7" s="239" t="s">
        <v>60</v>
      </c>
      <c r="F7" s="239" t="s">
        <v>60</v>
      </c>
      <c r="G7" s="239" t="s">
        <v>60</v>
      </c>
      <c r="H7" s="247" t="s">
        <v>40</v>
      </c>
    </row>
    <row r="8">
      <c r="A8" s="245">
        <v>7.0</v>
      </c>
      <c r="B8" s="236" t="s">
        <v>177</v>
      </c>
      <c r="C8" s="246" t="s">
        <v>1697</v>
      </c>
      <c r="D8" s="238" t="s">
        <v>85</v>
      </c>
      <c r="E8" s="239" t="s">
        <v>60</v>
      </c>
      <c r="F8" s="239" t="s">
        <v>60</v>
      </c>
      <c r="G8" s="239" t="s">
        <v>60</v>
      </c>
      <c r="H8" s="247" t="s">
        <v>40</v>
      </c>
    </row>
    <row r="9">
      <c r="A9" s="241">
        <v>8.0</v>
      </c>
      <c r="B9" s="242" t="s">
        <v>757</v>
      </c>
      <c r="C9" s="243" t="s">
        <v>3272</v>
      </c>
      <c r="D9" s="244" t="s">
        <v>85</v>
      </c>
      <c r="E9" s="239" t="s">
        <v>60</v>
      </c>
      <c r="F9" s="239" t="s">
        <v>60</v>
      </c>
      <c r="G9" s="239" t="s">
        <v>60</v>
      </c>
      <c r="H9" s="247" t="s">
        <v>40</v>
      </c>
    </row>
    <row r="10">
      <c r="A10" s="245">
        <v>9.0</v>
      </c>
      <c r="B10" s="236" t="s">
        <v>757</v>
      </c>
      <c r="C10" s="246" t="s">
        <v>3273</v>
      </c>
      <c r="D10" s="238" t="s">
        <v>85</v>
      </c>
      <c r="E10" s="239" t="s">
        <v>60</v>
      </c>
      <c r="F10" s="239" t="s">
        <v>60</v>
      </c>
      <c r="G10" s="239" t="s">
        <v>60</v>
      </c>
      <c r="H10" s="247" t="s">
        <v>40</v>
      </c>
    </row>
    <row r="11">
      <c r="A11" s="241">
        <v>10.0</v>
      </c>
      <c r="B11" s="242" t="s">
        <v>400</v>
      </c>
      <c r="C11" s="243" t="s">
        <v>2962</v>
      </c>
      <c r="D11" s="244" t="s">
        <v>85</v>
      </c>
      <c r="E11" s="239" t="s">
        <v>60</v>
      </c>
      <c r="F11" s="239" t="s">
        <v>60</v>
      </c>
      <c r="G11" s="239" t="s">
        <v>60</v>
      </c>
      <c r="H11" s="240" t="s">
        <v>45</v>
      </c>
    </row>
    <row r="12">
      <c r="A12" s="245">
        <v>11.0</v>
      </c>
      <c r="B12" s="236" t="s">
        <v>400</v>
      </c>
      <c r="C12" s="246" t="s">
        <v>1672</v>
      </c>
      <c r="D12" s="238" t="s">
        <v>85</v>
      </c>
      <c r="E12" s="239" t="s">
        <v>60</v>
      </c>
      <c r="F12" s="239" t="s">
        <v>60</v>
      </c>
      <c r="G12" s="239" t="s">
        <v>60</v>
      </c>
      <c r="H12" s="240" t="s">
        <v>45</v>
      </c>
    </row>
    <row r="13">
      <c r="A13" s="241">
        <v>12.0</v>
      </c>
      <c r="B13" s="242" t="s">
        <v>400</v>
      </c>
      <c r="C13" s="243" t="s">
        <v>2804</v>
      </c>
      <c r="D13" s="244" t="s">
        <v>85</v>
      </c>
      <c r="E13" s="239" t="s">
        <v>60</v>
      </c>
      <c r="F13" s="239" t="s">
        <v>60</v>
      </c>
      <c r="G13" s="239" t="s">
        <v>60</v>
      </c>
      <c r="H13" s="240" t="s">
        <v>45</v>
      </c>
    </row>
    <row r="14">
      <c r="A14" s="245">
        <v>13.0</v>
      </c>
      <c r="B14" s="236" t="s">
        <v>56</v>
      </c>
      <c r="C14" s="246" t="s">
        <v>3274</v>
      </c>
      <c r="D14" s="238" t="s">
        <v>39</v>
      </c>
      <c r="E14" s="239" t="s">
        <v>60</v>
      </c>
      <c r="F14" s="239" t="s">
        <v>60</v>
      </c>
      <c r="G14" s="239" t="s">
        <v>60</v>
      </c>
      <c r="H14" s="240" t="s">
        <v>45</v>
      </c>
    </row>
    <row r="15">
      <c r="A15" s="241">
        <v>14.0</v>
      </c>
      <c r="B15" s="242" t="s">
        <v>2431</v>
      </c>
      <c r="C15" s="243" t="s">
        <v>2432</v>
      </c>
      <c r="D15" s="244" t="s">
        <v>85</v>
      </c>
      <c r="E15" s="239" t="s">
        <v>60</v>
      </c>
      <c r="F15" s="239" t="s">
        <v>60</v>
      </c>
      <c r="G15" s="239" t="s">
        <v>60</v>
      </c>
      <c r="H15" s="240" t="s">
        <v>45</v>
      </c>
    </row>
    <row r="16">
      <c r="A16" s="245">
        <v>15.0</v>
      </c>
      <c r="B16" s="236" t="s">
        <v>70</v>
      </c>
      <c r="C16" s="246" t="s">
        <v>3275</v>
      </c>
      <c r="D16" s="238" t="s">
        <v>59</v>
      </c>
      <c r="E16" s="239" t="s">
        <v>60</v>
      </c>
      <c r="F16" s="239" t="s">
        <v>60</v>
      </c>
      <c r="G16" s="239" t="s">
        <v>60</v>
      </c>
      <c r="H16" s="247" t="s">
        <v>40</v>
      </c>
    </row>
    <row r="17">
      <c r="A17" s="241">
        <v>16.0</v>
      </c>
      <c r="B17" s="242" t="s">
        <v>99</v>
      </c>
      <c r="C17" s="243" t="s">
        <v>3276</v>
      </c>
      <c r="D17" s="244" t="s">
        <v>85</v>
      </c>
      <c r="E17" s="239" t="s">
        <v>60</v>
      </c>
      <c r="F17" s="239" t="s">
        <v>60</v>
      </c>
      <c r="G17" s="239" t="s">
        <v>60</v>
      </c>
      <c r="H17" s="247" t="s">
        <v>40</v>
      </c>
    </row>
    <row r="18">
      <c r="A18" s="245">
        <v>17.0</v>
      </c>
      <c r="B18" s="236" t="s">
        <v>99</v>
      </c>
      <c r="C18" s="246" t="s">
        <v>3277</v>
      </c>
      <c r="D18" s="238" t="s">
        <v>85</v>
      </c>
      <c r="E18" s="239" t="s">
        <v>60</v>
      </c>
      <c r="F18" s="239" t="s">
        <v>60</v>
      </c>
      <c r="G18" s="239" t="s">
        <v>60</v>
      </c>
      <c r="H18" s="247" t="s">
        <v>40</v>
      </c>
    </row>
    <row r="19">
      <c r="A19" s="241">
        <v>18.0</v>
      </c>
      <c r="B19" s="242" t="s">
        <v>99</v>
      </c>
      <c r="C19" s="243" t="s">
        <v>3278</v>
      </c>
      <c r="D19" s="244" t="s">
        <v>85</v>
      </c>
      <c r="E19" s="239" t="s">
        <v>60</v>
      </c>
      <c r="F19" s="239" t="s">
        <v>60</v>
      </c>
      <c r="G19" s="239" t="s">
        <v>60</v>
      </c>
      <c r="H19" s="240" t="s">
        <v>45</v>
      </c>
    </row>
    <row r="20">
      <c r="A20" s="245">
        <v>19.0</v>
      </c>
      <c r="B20" s="236" t="s">
        <v>99</v>
      </c>
      <c r="C20" s="246" t="s">
        <v>3279</v>
      </c>
      <c r="D20" s="238" t="s">
        <v>85</v>
      </c>
      <c r="E20" s="239" t="s">
        <v>60</v>
      </c>
      <c r="F20" s="239" t="s">
        <v>60</v>
      </c>
      <c r="G20" s="239" t="s">
        <v>60</v>
      </c>
      <c r="H20" s="247" t="s">
        <v>40</v>
      </c>
    </row>
    <row r="21">
      <c r="A21" s="241">
        <v>20.0</v>
      </c>
      <c r="B21" s="242" t="s">
        <v>99</v>
      </c>
      <c r="C21" s="243" t="s">
        <v>3280</v>
      </c>
      <c r="D21" s="244" t="s">
        <v>59</v>
      </c>
      <c r="E21" s="239" t="s">
        <v>60</v>
      </c>
      <c r="F21" s="239" t="s">
        <v>60</v>
      </c>
      <c r="G21" s="239" t="s">
        <v>60</v>
      </c>
      <c r="H21" s="247" t="s">
        <v>40</v>
      </c>
    </row>
    <row r="22">
      <c r="A22" s="245">
        <v>21.0</v>
      </c>
      <c r="B22" s="236" t="s">
        <v>99</v>
      </c>
      <c r="C22" s="246" t="s">
        <v>3281</v>
      </c>
      <c r="D22" s="238" t="s">
        <v>85</v>
      </c>
      <c r="E22" s="239" t="s">
        <v>60</v>
      </c>
      <c r="F22" s="239" t="s">
        <v>60</v>
      </c>
      <c r="G22" s="239" t="s">
        <v>60</v>
      </c>
      <c r="H22" s="247" t="s">
        <v>40</v>
      </c>
    </row>
    <row r="23">
      <c r="A23" s="241">
        <v>22.0</v>
      </c>
      <c r="B23" s="242" t="s">
        <v>99</v>
      </c>
      <c r="C23" s="243" t="s">
        <v>3282</v>
      </c>
      <c r="D23" s="244" t="s">
        <v>85</v>
      </c>
      <c r="E23" s="239" t="s">
        <v>60</v>
      </c>
      <c r="F23" s="239" t="s">
        <v>60</v>
      </c>
      <c r="G23" s="239" t="s">
        <v>60</v>
      </c>
      <c r="H23" s="247" t="s">
        <v>40</v>
      </c>
    </row>
    <row r="24">
      <c r="A24" s="245">
        <v>23.0</v>
      </c>
      <c r="B24" s="236" t="s">
        <v>736</v>
      </c>
      <c r="C24" s="246" t="s">
        <v>3283</v>
      </c>
      <c r="D24" s="238" t="s">
        <v>85</v>
      </c>
      <c r="E24" s="239" t="s">
        <v>60</v>
      </c>
      <c r="F24" s="239" t="s">
        <v>60</v>
      </c>
      <c r="G24" s="239" t="s">
        <v>60</v>
      </c>
      <c r="H24" s="240" t="s">
        <v>45</v>
      </c>
    </row>
    <row r="25">
      <c r="A25" s="248">
        <v>24.0</v>
      </c>
      <c r="B25" s="249" t="s">
        <v>1329</v>
      </c>
      <c r="C25" s="250" t="s">
        <v>3284</v>
      </c>
      <c r="D25" s="251" t="s">
        <v>39</v>
      </c>
      <c r="E25" s="239" t="s">
        <v>60</v>
      </c>
      <c r="F25" s="239" t="s">
        <v>60</v>
      </c>
      <c r="G25" s="239" t="s">
        <v>60</v>
      </c>
      <c r="H25" s="240" t="s">
        <v>45</v>
      </c>
    </row>
    <row r="26">
      <c r="C26" s="194"/>
    </row>
    <row r="27">
      <c r="C27" s="194"/>
    </row>
    <row r="28">
      <c r="C28" s="194"/>
    </row>
    <row r="29">
      <c r="C29" s="194"/>
    </row>
    <row r="30">
      <c r="C30" s="194"/>
    </row>
    <row r="31">
      <c r="C31" s="194"/>
    </row>
    <row r="32">
      <c r="C32" s="194"/>
    </row>
    <row r="33">
      <c r="C33" s="194"/>
    </row>
    <row r="34">
      <c r="C34" s="194"/>
    </row>
    <row r="35">
      <c r="C35" s="194"/>
    </row>
    <row r="36">
      <c r="C36" s="194"/>
    </row>
    <row r="37">
      <c r="C37" s="194"/>
    </row>
    <row r="38">
      <c r="C38" s="194"/>
    </row>
    <row r="39">
      <c r="C39" s="194"/>
    </row>
    <row r="40">
      <c r="C40" s="194"/>
    </row>
    <row r="41">
      <c r="C41" s="194"/>
    </row>
    <row r="42">
      <c r="C42" s="194"/>
    </row>
    <row r="43">
      <c r="C43" s="194"/>
    </row>
    <row r="44">
      <c r="C44" s="194"/>
    </row>
    <row r="45">
      <c r="C45" s="194"/>
    </row>
    <row r="46">
      <c r="C46" s="194"/>
    </row>
    <row r="47">
      <c r="C47" s="194"/>
    </row>
    <row r="48">
      <c r="C48" s="194"/>
    </row>
    <row r="49">
      <c r="C49" s="194"/>
    </row>
    <row r="50">
      <c r="C50" s="194"/>
    </row>
    <row r="51">
      <c r="C51" s="194"/>
    </row>
    <row r="52">
      <c r="C52" s="194"/>
    </row>
    <row r="53">
      <c r="C53" s="194"/>
    </row>
    <row r="54">
      <c r="C54" s="194"/>
    </row>
    <row r="55">
      <c r="C55" s="194"/>
    </row>
    <row r="56">
      <c r="C56" s="194"/>
    </row>
    <row r="57">
      <c r="C57" s="194"/>
    </row>
    <row r="58">
      <c r="C58" s="194"/>
    </row>
    <row r="59">
      <c r="C59" s="194"/>
    </row>
    <row r="60">
      <c r="C60" s="194"/>
    </row>
    <row r="61">
      <c r="C61" s="194"/>
    </row>
    <row r="62">
      <c r="C62" s="194"/>
    </row>
    <row r="63">
      <c r="C63" s="194"/>
    </row>
    <row r="64">
      <c r="C64" s="194"/>
    </row>
    <row r="65">
      <c r="C65" s="194"/>
    </row>
    <row r="66">
      <c r="C66" s="194"/>
    </row>
    <row r="67">
      <c r="C67" s="194"/>
    </row>
    <row r="68">
      <c r="C68" s="194"/>
    </row>
    <row r="69">
      <c r="C69" s="194"/>
    </row>
    <row r="70">
      <c r="C70" s="194"/>
    </row>
    <row r="71">
      <c r="C71" s="194"/>
    </row>
    <row r="72">
      <c r="C72" s="194"/>
    </row>
    <row r="73">
      <c r="C73" s="194"/>
    </row>
    <row r="74">
      <c r="C74" s="194"/>
    </row>
    <row r="75">
      <c r="C75" s="194"/>
    </row>
    <row r="76">
      <c r="C76" s="194"/>
    </row>
    <row r="77">
      <c r="C77" s="194"/>
    </row>
    <row r="78">
      <c r="C78" s="194"/>
    </row>
    <row r="79">
      <c r="C79" s="194"/>
    </row>
    <row r="80">
      <c r="C80" s="194"/>
    </row>
    <row r="81">
      <c r="C81" s="194"/>
    </row>
    <row r="82">
      <c r="C82" s="194"/>
    </row>
    <row r="83">
      <c r="C83" s="194"/>
    </row>
    <row r="84">
      <c r="C84" s="194"/>
    </row>
    <row r="85">
      <c r="C85" s="194"/>
    </row>
    <row r="86">
      <c r="C86" s="194"/>
    </row>
    <row r="87">
      <c r="C87" s="194"/>
    </row>
    <row r="88">
      <c r="C88" s="194"/>
    </row>
    <row r="89">
      <c r="C89" s="194"/>
    </row>
    <row r="90">
      <c r="C90" s="194"/>
    </row>
    <row r="91">
      <c r="C91" s="194"/>
    </row>
    <row r="92">
      <c r="C92" s="194"/>
    </row>
    <row r="93">
      <c r="C93" s="194"/>
    </row>
    <row r="94">
      <c r="C94" s="194"/>
    </row>
    <row r="95">
      <c r="C95" s="194"/>
    </row>
    <row r="96">
      <c r="C96" s="194"/>
    </row>
    <row r="97">
      <c r="C97" s="194"/>
    </row>
    <row r="98">
      <c r="C98" s="194"/>
    </row>
    <row r="99">
      <c r="C99" s="194"/>
    </row>
    <row r="100">
      <c r="C100" s="194"/>
    </row>
    <row r="101">
      <c r="C101" s="194"/>
    </row>
    <row r="102">
      <c r="C102" s="194"/>
    </row>
    <row r="103">
      <c r="C103" s="194"/>
    </row>
    <row r="104">
      <c r="C104" s="194"/>
    </row>
    <row r="105">
      <c r="C105" s="194"/>
    </row>
    <row r="106">
      <c r="C106" s="194"/>
    </row>
    <row r="107">
      <c r="C107" s="194"/>
    </row>
    <row r="108">
      <c r="C108" s="194"/>
    </row>
    <row r="109">
      <c r="C109" s="194"/>
    </row>
    <row r="110">
      <c r="C110" s="194"/>
    </row>
    <row r="111">
      <c r="C111" s="194"/>
    </row>
    <row r="112">
      <c r="C112" s="194"/>
    </row>
    <row r="113">
      <c r="C113" s="194"/>
    </row>
    <row r="114">
      <c r="C114" s="194"/>
    </row>
    <row r="115">
      <c r="C115" s="194"/>
    </row>
    <row r="116">
      <c r="C116" s="194"/>
    </row>
    <row r="117">
      <c r="C117" s="194"/>
    </row>
    <row r="118">
      <c r="C118" s="194"/>
    </row>
    <row r="119">
      <c r="C119" s="194"/>
    </row>
    <row r="120">
      <c r="C120" s="194"/>
    </row>
    <row r="121">
      <c r="C121" s="194"/>
    </row>
    <row r="122">
      <c r="C122" s="194"/>
    </row>
    <row r="123">
      <c r="C123" s="194"/>
    </row>
    <row r="124">
      <c r="C124" s="194"/>
    </row>
    <row r="125">
      <c r="C125" s="194"/>
    </row>
    <row r="126">
      <c r="C126" s="194"/>
    </row>
    <row r="127">
      <c r="C127" s="194"/>
    </row>
    <row r="128">
      <c r="C128" s="194"/>
    </row>
    <row r="129">
      <c r="C129" s="194"/>
    </row>
    <row r="130">
      <c r="C130" s="194"/>
    </row>
    <row r="131">
      <c r="C131" s="194"/>
    </row>
    <row r="132">
      <c r="C132" s="194"/>
    </row>
    <row r="133">
      <c r="C133" s="194"/>
    </row>
    <row r="134">
      <c r="C134" s="194"/>
    </row>
    <row r="135">
      <c r="C135" s="194"/>
    </row>
    <row r="136">
      <c r="C136" s="194"/>
    </row>
    <row r="137">
      <c r="C137" s="194"/>
    </row>
    <row r="138">
      <c r="C138" s="194"/>
    </row>
    <row r="139">
      <c r="C139" s="194"/>
    </row>
    <row r="140">
      <c r="C140" s="194"/>
    </row>
    <row r="141">
      <c r="C141" s="194"/>
    </row>
    <row r="142">
      <c r="C142" s="194"/>
    </row>
    <row r="143">
      <c r="C143" s="194"/>
    </row>
    <row r="144">
      <c r="C144" s="194"/>
    </row>
    <row r="145">
      <c r="C145" s="194"/>
    </row>
    <row r="146">
      <c r="C146" s="194"/>
    </row>
    <row r="147">
      <c r="C147" s="194"/>
    </row>
    <row r="148">
      <c r="C148" s="194"/>
    </row>
    <row r="149">
      <c r="C149" s="194"/>
    </row>
    <row r="150">
      <c r="C150" s="194"/>
    </row>
    <row r="151">
      <c r="C151" s="194"/>
    </row>
    <row r="152">
      <c r="C152" s="194"/>
    </row>
    <row r="153">
      <c r="C153" s="194"/>
    </row>
    <row r="154">
      <c r="C154" s="194"/>
    </row>
    <row r="155">
      <c r="C155" s="194"/>
    </row>
    <row r="156">
      <c r="C156" s="194"/>
    </row>
    <row r="157">
      <c r="C157" s="194"/>
    </row>
    <row r="158">
      <c r="C158" s="194"/>
    </row>
    <row r="159">
      <c r="C159" s="194"/>
    </row>
    <row r="160">
      <c r="C160" s="194"/>
    </row>
    <row r="161">
      <c r="C161" s="194"/>
    </row>
    <row r="162">
      <c r="C162" s="194"/>
    </row>
    <row r="163">
      <c r="C163" s="194"/>
    </row>
    <row r="164">
      <c r="C164" s="194"/>
    </row>
    <row r="165">
      <c r="C165" s="194"/>
    </row>
    <row r="166">
      <c r="C166" s="194"/>
    </row>
    <row r="167">
      <c r="C167" s="194"/>
    </row>
    <row r="168">
      <c r="C168" s="194"/>
    </row>
    <row r="169">
      <c r="C169" s="194"/>
    </row>
    <row r="170">
      <c r="C170" s="194"/>
    </row>
    <row r="171">
      <c r="C171" s="194"/>
    </row>
    <row r="172">
      <c r="C172" s="194"/>
    </row>
    <row r="173">
      <c r="C173" s="194"/>
    </row>
    <row r="174">
      <c r="C174" s="194"/>
    </row>
    <row r="175">
      <c r="C175" s="194"/>
    </row>
    <row r="176">
      <c r="C176" s="194"/>
    </row>
    <row r="177">
      <c r="C177" s="194"/>
    </row>
    <row r="178">
      <c r="C178" s="194"/>
    </row>
    <row r="179">
      <c r="C179" s="194"/>
    </row>
    <row r="180">
      <c r="C180" s="194"/>
    </row>
    <row r="181">
      <c r="C181" s="194"/>
    </row>
    <row r="182">
      <c r="C182" s="194"/>
    </row>
    <row r="183">
      <c r="C183" s="194"/>
    </row>
    <row r="184">
      <c r="C184" s="194"/>
    </row>
    <row r="185">
      <c r="C185" s="194"/>
    </row>
    <row r="186">
      <c r="C186" s="194"/>
    </row>
    <row r="187">
      <c r="C187" s="194"/>
    </row>
    <row r="188">
      <c r="C188" s="194"/>
    </row>
    <row r="189">
      <c r="C189" s="194"/>
    </row>
    <row r="190">
      <c r="C190" s="194"/>
    </row>
    <row r="191">
      <c r="C191" s="194"/>
    </row>
    <row r="192">
      <c r="C192" s="194"/>
    </row>
    <row r="193">
      <c r="C193" s="194"/>
    </row>
    <row r="194">
      <c r="C194" s="194"/>
    </row>
    <row r="195">
      <c r="C195" s="194"/>
    </row>
    <row r="196">
      <c r="C196" s="194"/>
    </row>
    <row r="197">
      <c r="C197" s="194"/>
    </row>
    <row r="198">
      <c r="C198" s="194"/>
    </row>
    <row r="199">
      <c r="C199" s="194"/>
    </row>
    <row r="200">
      <c r="C200" s="194"/>
    </row>
    <row r="201">
      <c r="C201" s="194"/>
    </row>
    <row r="202">
      <c r="C202" s="194"/>
    </row>
    <row r="203">
      <c r="C203" s="194"/>
    </row>
    <row r="204">
      <c r="C204" s="194"/>
    </row>
    <row r="205">
      <c r="C205" s="194"/>
    </row>
    <row r="206">
      <c r="C206" s="194"/>
    </row>
    <row r="207">
      <c r="C207" s="194"/>
    </row>
    <row r="208">
      <c r="C208" s="194"/>
    </row>
    <row r="209">
      <c r="C209" s="194"/>
    </row>
    <row r="210">
      <c r="C210" s="194"/>
    </row>
    <row r="211">
      <c r="C211" s="194"/>
    </row>
    <row r="212">
      <c r="C212" s="194"/>
    </row>
    <row r="213">
      <c r="C213" s="194"/>
    </row>
    <row r="214">
      <c r="C214" s="194"/>
    </row>
    <row r="215">
      <c r="C215" s="194"/>
    </row>
    <row r="216">
      <c r="C216" s="194"/>
    </row>
    <row r="217">
      <c r="C217" s="194"/>
    </row>
    <row r="218">
      <c r="C218" s="194"/>
    </row>
    <row r="219">
      <c r="C219" s="194"/>
    </row>
    <row r="220">
      <c r="C220" s="194"/>
    </row>
    <row r="221">
      <c r="C221" s="194"/>
    </row>
    <row r="222">
      <c r="C222" s="194"/>
    </row>
    <row r="223">
      <c r="C223" s="194"/>
    </row>
    <row r="224">
      <c r="C224" s="194"/>
    </row>
    <row r="225">
      <c r="C225" s="194"/>
    </row>
    <row r="226">
      <c r="C226" s="194"/>
    </row>
    <row r="227">
      <c r="C227" s="194"/>
    </row>
    <row r="228">
      <c r="C228" s="194"/>
    </row>
    <row r="229">
      <c r="C229" s="194"/>
    </row>
    <row r="230">
      <c r="C230" s="194"/>
    </row>
    <row r="231">
      <c r="C231" s="194"/>
    </row>
    <row r="232">
      <c r="C232" s="194"/>
    </row>
    <row r="233">
      <c r="C233" s="194"/>
    </row>
    <row r="234">
      <c r="C234" s="194"/>
    </row>
    <row r="235">
      <c r="C235" s="194"/>
    </row>
    <row r="236">
      <c r="C236" s="194"/>
    </row>
    <row r="237">
      <c r="C237" s="194"/>
    </row>
    <row r="238">
      <c r="C238" s="194"/>
    </row>
    <row r="239">
      <c r="C239" s="194"/>
    </row>
    <row r="240">
      <c r="C240" s="194"/>
    </row>
    <row r="241">
      <c r="C241" s="194"/>
    </row>
    <row r="242">
      <c r="C242" s="194"/>
    </row>
    <row r="243">
      <c r="C243" s="194"/>
    </row>
    <row r="244">
      <c r="C244" s="194"/>
    </row>
    <row r="245">
      <c r="C245" s="194"/>
    </row>
    <row r="246">
      <c r="C246" s="194"/>
    </row>
    <row r="247">
      <c r="C247" s="194"/>
    </row>
    <row r="248">
      <c r="C248" s="194"/>
    </row>
    <row r="249">
      <c r="C249" s="194"/>
    </row>
    <row r="250">
      <c r="C250" s="194"/>
    </row>
    <row r="251">
      <c r="C251" s="194"/>
    </row>
    <row r="252">
      <c r="C252" s="194"/>
    </row>
    <row r="253">
      <c r="C253" s="194"/>
    </row>
    <row r="254">
      <c r="C254" s="194"/>
    </row>
    <row r="255">
      <c r="C255" s="194"/>
    </row>
    <row r="256">
      <c r="C256" s="194"/>
    </row>
    <row r="257">
      <c r="C257" s="194"/>
    </row>
    <row r="258">
      <c r="C258" s="194"/>
    </row>
    <row r="259">
      <c r="C259" s="194"/>
    </row>
    <row r="260">
      <c r="C260" s="194"/>
    </row>
    <row r="261">
      <c r="C261" s="194"/>
    </row>
    <row r="262">
      <c r="C262" s="194"/>
    </row>
    <row r="263">
      <c r="C263" s="194"/>
    </row>
    <row r="264">
      <c r="C264" s="194"/>
    </row>
    <row r="265">
      <c r="C265" s="194"/>
    </row>
    <row r="266">
      <c r="C266" s="194"/>
    </row>
    <row r="267">
      <c r="C267" s="194"/>
    </row>
    <row r="268">
      <c r="C268" s="194"/>
    </row>
    <row r="269">
      <c r="C269" s="194"/>
    </row>
    <row r="270">
      <c r="C270" s="194"/>
    </row>
    <row r="271">
      <c r="C271" s="194"/>
    </row>
    <row r="272">
      <c r="C272" s="194"/>
    </row>
    <row r="273">
      <c r="C273" s="194"/>
    </row>
    <row r="274">
      <c r="C274" s="194"/>
    </row>
    <row r="275">
      <c r="C275" s="194"/>
    </row>
    <row r="276">
      <c r="C276" s="194"/>
    </row>
    <row r="277">
      <c r="C277" s="194"/>
    </row>
    <row r="278">
      <c r="C278" s="194"/>
    </row>
    <row r="279">
      <c r="C279" s="194"/>
    </row>
    <row r="280">
      <c r="C280" s="194"/>
    </row>
    <row r="281">
      <c r="C281" s="194"/>
    </row>
    <row r="282">
      <c r="C282" s="194"/>
    </row>
    <row r="283">
      <c r="C283" s="194"/>
    </row>
    <row r="284">
      <c r="C284" s="194"/>
    </row>
    <row r="285">
      <c r="C285" s="194"/>
    </row>
    <row r="286">
      <c r="C286" s="194"/>
    </row>
    <row r="287">
      <c r="C287" s="194"/>
    </row>
    <row r="288">
      <c r="C288" s="194"/>
    </row>
    <row r="289">
      <c r="C289" s="194"/>
    </row>
    <row r="290">
      <c r="C290" s="194"/>
    </row>
    <row r="291">
      <c r="C291" s="194"/>
    </row>
    <row r="292">
      <c r="C292" s="194"/>
    </row>
    <row r="293">
      <c r="C293" s="194"/>
    </row>
    <row r="294">
      <c r="C294" s="194"/>
    </row>
    <row r="295">
      <c r="C295" s="194"/>
    </row>
    <row r="296">
      <c r="C296" s="194"/>
    </row>
    <row r="297">
      <c r="C297" s="194"/>
    </row>
    <row r="298">
      <c r="C298" s="194"/>
    </row>
    <row r="299">
      <c r="C299" s="194"/>
    </row>
    <row r="300">
      <c r="C300" s="194"/>
    </row>
    <row r="301">
      <c r="C301" s="194"/>
    </row>
    <row r="302">
      <c r="C302" s="194"/>
    </row>
    <row r="303">
      <c r="C303" s="194"/>
    </row>
    <row r="304">
      <c r="C304" s="194"/>
    </row>
    <row r="305">
      <c r="C305" s="194"/>
    </row>
    <row r="306">
      <c r="C306" s="194"/>
    </row>
    <row r="307">
      <c r="C307" s="194"/>
    </row>
    <row r="308">
      <c r="C308" s="194"/>
    </row>
    <row r="309">
      <c r="C309" s="194"/>
    </row>
    <row r="310">
      <c r="C310" s="194"/>
    </row>
    <row r="311">
      <c r="C311" s="194"/>
    </row>
    <row r="312">
      <c r="C312" s="194"/>
    </row>
    <row r="313">
      <c r="C313" s="194"/>
    </row>
    <row r="314">
      <c r="C314" s="194"/>
    </row>
    <row r="315">
      <c r="C315" s="194"/>
    </row>
    <row r="316">
      <c r="C316" s="194"/>
    </row>
    <row r="317">
      <c r="C317" s="194"/>
    </row>
    <row r="318">
      <c r="C318" s="194"/>
    </row>
    <row r="319">
      <c r="C319" s="194"/>
    </row>
    <row r="320">
      <c r="C320" s="194"/>
    </row>
    <row r="321">
      <c r="C321" s="194"/>
    </row>
    <row r="322">
      <c r="C322" s="194"/>
    </row>
    <row r="323">
      <c r="C323" s="194"/>
    </row>
    <row r="324">
      <c r="C324" s="194"/>
    </row>
    <row r="325">
      <c r="C325" s="194"/>
    </row>
    <row r="326">
      <c r="C326" s="194"/>
    </row>
    <row r="327">
      <c r="C327" s="194"/>
    </row>
    <row r="328">
      <c r="C328" s="194"/>
    </row>
    <row r="329">
      <c r="C329" s="194"/>
    </row>
    <row r="330">
      <c r="C330" s="194"/>
    </row>
    <row r="331">
      <c r="C331" s="194"/>
    </row>
    <row r="332">
      <c r="C332" s="194"/>
    </row>
    <row r="333">
      <c r="C333" s="194"/>
    </row>
    <row r="334">
      <c r="C334" s="194"/>
    </row>
    <row r="335">
      <c r="C335" s="194"/>
    </row>
    <row r="336">
      <c r="C336" s="194"/>
    </row>
    <row r="337">
      <c r="C337" s="194"/>
    </row>
    <row r="338">
      <c r="C338" s="194"/>
    </row>
    <row r="339">
      <c r="C339" s="194"/>
    </row>
    <row r="340">
      <c r="C340" s="194"/>
    </row>
    <row r="341">
      <c r="C341" s="194"/>
    </row>
    <row r="342">
      <c r="C342" s="194"/>
    </row>
    <row r="343">
      <c r="C343" s="194"/>
    </row>
    <row r="344">
      <c r="C344" s="194"/>
    </row>
    <row r="345">
      <c r="C345" s="194"/>
    </row>
    <row r="346">
      <c r="C346" s="194"/>
    </row>
    <row r="347">
      <c r="C347" s="194"/>
    </row>
    <row r="348">
      <c r="C348" s="194"/>
    </row>
    <row r="349">
      <c r="C349" s="194"/>
    </row>
    <row r="350">
      <c r="C350" s="194"/>
    </row>
    <row r="351">
      <c r="C351" s="194"/>
    </row>
    <row r="352">
      <c r="C352" s="194"/>
    </row>
    <row r="353">
      <c r="C353" s="194"/>
    </row>
    <row r="354">
      <c r="C354" s="194"/>
    </row>
    <row r="355">
      <c r="C355" s="194"/>
    </row>
    <row r="356">
      <c r="C356" s="194"/>
    </row>
    <row r="357">
      <c r="C357" s="194"/>
    </row>
    <row r="358">
      <c r="C358" s="194"/>
    </row>
    <row r="359">
      <c r="C359" s="194"/>
    </row>
    <row r="360">
      <c r="C360" s="194"/>
    </row>
    <row r="361">
      <c r="C361" s="194"/>
    </row>
    <row r="362">
      <c r="C362" s="194"/>
    </row>
    <row r="363">
      <c r="C363" s="194"/>
    </row>
    <row r="364">
      <c r="C364" s="194"/>
    </row>
    <row r="365">
      <c r="C365" s="194"/>
    </row>
    <row r="366">
      <c r="C366" s="194"/>
    </row>
    <row r="367">
      <c r="C367" s="194"/>
    </row>
    <row r="368">
      <c r="C368" s="194"/>
    </row>
    <row r="369">
      <c r="C369" s="194"/>
    </row>
    <row r="370">
      <c r="C370" s="194"/>
    </row>
    <row r="371">
      <c r="C371" s="194"/>
    </row>
    <row r="372">
      <c r="C372" s="194"/>
    </row>
    <row r="373">
      <c r="C373" s="194"/>
    </row>
    <row r="374">
      <c r="C374" s="194"/>
    </row>
    <row r="375">
      <c r="C375" s="194"/>
    </row>
    <row r="376">
      <c r="C376" s="194"/>
    </row>
    <row r="377">
      <c r="C377" s="194"/>
    </row>
    <row r="378">
      <c r="C378" s="194"/>
    </row>
    <row r="379">
      <c r="C379" s="194"/>
    </row>
    <row r="380">
      <c r="C380" s="194"/>
    </row>
    <row r="381">
      <c r="C381" s="194"/>
    </row>
    <row r="382">
      <c r="C382" s="194"/>
    </row>
    <row r="383">
      <c r="C383" s="194"/>
    </row>
    <row r="384">
      <c r="C384" s="194"/>
    </row>
    <row r="385">
      <c r="C385" s="194"/>
    </row>
    <row r="386">
      <c r="C386" s="194"/>
    </row>
    <row r="387">
      <c r="C387" s="194"/>
    </row>
    <row r="388">
      <c r="C388" s="194"/>
    </row>
    <row r="389">
      <c r="C389" s="194"/>
    </row>
    <row r="390">
      <c r="C390" s="194"/>
    </row>
    <row r="391">
      <c r="C391" s="194"/>
    </row>
    <row r="392">
      <c r="C392" s="194"/>
    </row>
    <row r="393">
      <c r="C393" s="194"/>
    </row>
    <row r="394">
      <c r="C394" s="194"/>
    </row>
    <row r="395">
      <c r="C395" s="194"/>
    </row>
    <row r="396">
      <c r="C396" s="194"/>
    </row>
    <row r="397">
      <c r="C397" s="194"/>
    </row>
    <row r="398">
      <c r="C398" s="194"/>
    </row>
    <row r="399">
      <c r="C399" s="194"/>
    </row>
    <row r="400">
      <c r="C400" s="194"/>
    </row>
    <row r="401">
      <c r="C401" s="194"/>
    </row>
    <row r="402">
      <c r="C402" s="194"/>
    </row>
    <row r="403">
      <c r="C403" s="194"/>
    </row>
    <row r="404">
      <c r="C404" s="194"/>
    </row>
    <row r="405">
      <c r="C405" s="194"/>
    </row>
    <row r="406">
      <c r="C406" s="194"/>
    </row>
    <row r="407">
      <c r="C407" s="194"/>
    </row>
    <row r="408">
      <c r="C408" s="194"/>
    </row>
    <row r="409">
      <c r="C409" s="194"/>
    </row>
    <row r="410">
      <c r="C410" s="194"/>
    </row>
    <row r="411">
      <c r="C411" s="194"/>
    </row>
    <row r="412">
      <c r="C412" s="194"/>
    </row>
    <row r="413">
      <c r="C413" s="194"/>
    </row>
    <row r="414">
      <c r="C414" s="194"/>
    </row>
    <row r="415">
      <c r="C415" s="194"/>
    </row>
    <row r="416">
      <c r="C416" s="194"/>
    </row>
    <row r="417">
      <c r="C417" s="194"/>
    </row>
    <row r="418">
      <c r="C418" s="194"/>
    </row>
    <row r="419">
      <c r="C419" s="194"/>
    </row>
    <row r="420">
      <c r="C420" s="194"/>
    </row>
    <row r="421">
      <c r="C421" s="194"/>
    </row>
    <row r="422">
      <c r="C422" s="194"/>
    </row>
    <row r="423">
      <c r="C423" s="194"/>
    </row>
    <row r="424">
      <c r="C424" s="194"/>
    </row>
    <row r="425">
      <c r="C425" s="194"/>
    </row>
    <row r="426">
      <c r="C426" s="194"/>
    </row>
    <row r="427">
      <c r="C427" s="194"/>
    </row>
    <row r="428">
      <c r="C428" s="194"/>
    </row>
    <row r="429">
      <c r="C429" s="194"/>
    </row>
    <row r="430">
      <c r="C430" s="194"/>
    </row>
    <row r="431">
      <c r="C431" s="194"/>
    </row>
    <row r="432">
      <c r="C432" s="194"/>
    </row>
    <row r="433">
      <c r="C433" s="194"/>
    </row>
    <row r="434">
      <c r="C434" s="194"/>
    </row>
    <row r="435">
      <c r="C435" s="194"/>
    </row>
    <row r="436">
      <c r="C436" s="194"/>
    </row>
    <row r="437">
      <c r="C437" s="194"/>
    </row>
    <row r="438">
      <c r="C438" s="194"/>
    </row>
    <row r="439">
      <c r="C439" s="194"/>
    </row>
    <row r="440">
      <c r="C440" s="194"/>
    </row>
    <row r="441">
      <c r="C441" s="194"/>
    </row>
    <row r="442">
      <c r="C442" s="194"/>
    </row>
    <row r="443">
      <c r="C443" s="194"/>
    </row>
    <row r="444">
      <c r="C444" s="194"/>
    </row>
    <row r="445">
      <c r="C445" s="194"/>
    </row>
    <row r="446">
      <c r="C446" s="194"/>
    </row>
    <row r="447">
      <c r="C447" s="194"/>
    </row>
    <row r="448">
      <c r="C448" s="194"/>
    </row>
    <row r="449">
      <c r="C449" s="194"/>
    </row>
    <row r="450">
      <c r="C450" s="194"/>
    </row>
    <row r="451">
      <c r="C451" s="194"/>
    </row>
    <row r="452">
      <c r="C452" s="194"/>
    </row>
    <row r="453">
      <c r="C453" s="194"/>
    </row>
    <row r="454">
      <c r="C454" s="194"/>
    </row>
    <row r="455">
      <c r="C455" s="194"/>
    </row>
    <row r="456">
      <c r="C456" s="194"/>
    </row>
    <row r="457">
      <c r="C457" s="194"/>
    </row>
    <row r="458">
      <c r="C458" s="194"/>
    </row>
    <row r="459">
      <c r="C459" s="194"/>
    </row>
    <row r="460">
      <c r="C460" s="194"/>
    </row>
    <row r="461">
      <c r="C461" s="194"/>
    </row>
    <row r="462">
      <c r="C462" s="194"/>
    </row>
    <row r="463">
      <c r="C463" s="194"/>
    </row>
    <row r="464">
      <c r="C464" s="194"/>
    </row>
    <row r="465">
      <c r="C465" s="194"/>
    </row>
    <row r="466">
      <c r="C466" s="194"/>
    </row>
    <row r="467">
      <c r="C467" s="194"/>
    </row>
    <row r="468">
      <c r="C468" s="194"/>
    </row>
    <row r="469">
      <c r="C469" s="194"/>
    </row>
    <row r="470">
      <c r="C470" s="194"/>
    </row>
    <row r="471">
      <c r="C471" s="194"/>
    </row>
    <row r="472">
      <c r="C472" s="194"/>
    </row>
    <row r="473">
      <c r="C473" s="194"/>
    </row>
    <row r="474">
      <c r="C474" s="194"/>
    </row>
    <row r="475">
      <c r="C475" s="194"/>
    </row>
    <row r="476">
      <c r="C476" s="194"/>
    </row>
    <row r="477">
      <c r="C477" s="194"/>
    </row>
    <row r="478">
      <c r="C478" s="194"/>
    </row>
    <row r="479">
      <c r="C479" s="194"/>
    </row>
    <row r="480">
      <c r="C480" s="194"/>
    </row>
    <row r="481">
      <c r="C481" s="194"/>
    </row>
    <row r="482">
      <c r="C482" s="194"/>
    </row>
    <row r="483">
      <c r="C483" s="194"/>
    </row>
    <row r="484">
      <c r="C484" s="194"/>
    </row>
    <row r="485">
      <c r="C485" s="194"/>
    </row>
    <row r="486">
      <c r="C486" s="194"/>
    </row>
    <row r="487">
      <c r="C487" s="194"/>
    </row>
    <row r="488">
      <c r="C488" s="194"/>
    </row>
    <row r="489">
      <c r="C489" s="194"/>
    </row>
    <row r="490">
      <c r="C490" s="194"/>
    </row>
    <row r="491">
      <c r="C491" s="194"/>
    </row>
    <row r="492">
      <c r="C492" s="194"/>
    </row>
    <row r="493">
      <c r="C493" s="194"/>
    </row>
    <row r="494">
      <c r="C494" s="194"/>
    </row>
    <row r="495">
      <c r="C495" s="194"/>
    </row>
    <row r="496">
      <c r="C496" s="194"/>
    </row>
    <row r="497">
      <c r="C497" s="194"/>
    </row>
    <row r="498">
      <c r="C498" s="194"/>
    </row>
    <row r="499">
      <c r="C499" s="194"/>
    </row>
    <row r="500">
      <c r="C500" s="194"/>
    </row>
    <row r="501">
      <c r="C501" s="194"/>
    </row>
    <row r="502">
      <c r="C502" s="194"/>
    </row>
    <row r="503">
      <c r="C503" s="194"/>
    </row>
    <row r="504">
      <c r="C504" s="194"/>
    </row>
    <row r="505">
      <c r="C505" s="194"/>
    </row>
    <row r="506">
      <c r="C506" s="194"/>
    </row>
    <row r="507">
      <c r="C507" s="194"/>
    </row>
    <row r="508">
      <c r="C508" s="194"/>
    </row>
    <row r="509">
      <c r="C509" s="194"/>
    </row>
    <row r="510">
      <c r="C510" s="194"/>
    </row>
    <row r="511">
      <c r="C511" s="194"/>
    </row>
    <row r="512">
      <c r="C512" s="194"/>
    </row>
    <row r="513">
      <c r="C513" s="194"/>
    </row>
    <row r="514">
      <c r="C514" s="194"/>
    </row>
    <row r="515">
      <c r="C515" s="194"/>
    </row>
    <row r="516">
      <c r="C516" s="194"/>
    </row>
    <row r="517">
      <c r="C517" s="194"/>
    </row>
    <row r="518">
      <c r="C518" s="194"/>
    </row>
    <row r="519">
      <c r="C519" s="194"/>
    </row>
    <row r="520">
      <c r="C520" s="194"/>
    </row>
    <row r="521">
      <c r="C521" s="194"/>
    </row>
    <row r="522">
      <c r="C522" s="194"/>
    </row>
    <row r="523">
      <c r="C523" s="194"/>
    </row>
    <row r="524">
      <c r="C524" s="194"/>
    </row>
    <row r="525">
      <c r="C525" s="194"/>
    </row>
    <row r="526">
      <c r="C526" s="194"/>
    </row>
    <row r="527">
      <c r="C527" s="194"/>
    </row>
    <row r="528">
      <c r="C528" s="194"/>
    </row>
    <row r="529">
      <c r="C529" s="194"/>
    </row>
    <row r="530">
      <c r="C530" s="194"/>
    </row>
    <row r="531">
      <c r="C531" s="194"/>
    </row>
    <row r="532">
      <c r="C532" s="194"/>
    </row>
    <row r="533">
      <c r="C533" s="194"/>
    </row>
    <row r="534">
      <c r="C534" s="194"/>
    </row>
    <row r="535">
      <c r="C535" s="194"/>
    </row>
    <row r="536">
      <c r="C536" s="194"/>
    </row>
    <row r="537">
      <c r="C537" s="194"/>
    </row>
    <row r="538">
      <c r="C538" s="194"/>
    </row>
    <row r="539">
      <c r="C539" s="194"/>
    </row>
    <row r="540">
      <c r="C540" s="194"/>
    </row>
    <row r="541">
      <c r="C541" s="194"/>
    </row>
    <row r="542">
      <c r="C542" s="194"/>
    </row>
    <row r="543">
      <c r="C543" s="194"/>
    </row>
    <row r="544">
      <c r="C544" s="194"/>
    </row>
    <row r="545">
      <c r="C545" s="194"/>
    </row>
    <row r="546">
      <c r="C546" s="194"/>
    </row>
    <row r="547">
      <c r="C547" s="194"/>
    </row>
    <row r="548">
      <c r="C548" s="194"/>
    </row>
    <row r="549">
      <c r="C549" s="194"/>
    </row>
    <row r="550">
      <c r="C550" s="194"/>
    </row>
    <row r="551">
      <c r="C551" s="194"/>
    </row>
    <row r="552">
      <c r="C552" s="194"/>
    </row>
    <row r="553">
      <c r="C553" s="194"/>
    </row>
    <row r="554">
      <c r="C554" s="194"/>
    </row>
    <row r="555">
      <c r="C555" s="194"/>
    </row>
    <row r="556">
      <c r="C556" s="194"/>
    </row>
    <row r="557">
      <c r="C557" s="194"/>
    </row>
    <row r="558">
      <c r="C558" s="194"/>
    </row>
    <row r="559">
      <c r="C559" s="194"/>
    </row>
    <row r="560">
      <c r="C560" s="194"/>
    </row>
    <row r="561">
      <c r="C561" s="194"/>
    </row>
    <row r="562">
      <c r="C562" s="194"/>
    </row>
    <row r="563">
      <c r="C563" s="194"/>
    </row>
    <row r="564">
      <c r="C564" s="194"/>
    </row>
    <row r="565">
      <c r="C565" s="194"/>
    </row>
    <row r="566">
      <c r="C566" s="194"/>
    </row>
    <row r="567">
      <c r="C567" s="194"/>
    </row>
    <row r="568">
      <c r="C568" s="194"/>
    </row>
    <row r="569">
      <c r="C569" s="194"/>
    </row>
    <row r="570">
      <c r="C570" s="194"/>
    </row>
    <row r="571">
      <c r="C571" s="194"/>
    </row>
    <row r="572">
      <c r="C572" s="194"/>
    </row>
    <row r="573">
      <c r="C573" s="194"/>
    </row>
    <row r="574">
      <c r="C574" s="194"/>
    </row>
    <row r="575">
      <c r="C575" s="194"/>
    </row>
    <row r="576">
      <c r="C576" s="194"/>
    </row>
    <row r="577">
      <c r="C577" s="194"/>
    </row>
    <row r="578">
      <c r="C578" s="194"/>
    </row>
    <row r="579">
      <c r="C579" s="194"/>
    </row>
    <row r="580">
      <c r="C580" s="194"/>
    </row>
    <row r="581">
      <c r="C581" s="194"/>
    </row>
    <row r="582">
      <c r="C582" s="194"/>
    </row>
    <row r="583">
      <c r="C583" s="194"/>
    </row>
    <row r="584">
      <c r="C584" s="194"/>
    </row>
    <row r="585">
      <c r="C585" s="194"/>
    </row>
    <row r="586">
      <c r="C586" s="194"/>
    </row>
    <row r="587">
      <c r="C587" s="194"/>
    </row>
    <row r="588">
      <c r="C588" s="194"/>
    </row>
    <row r="589">
      <c r="C589" s="194"/>
    </row>
    <row r="590">
      <c r="C590" s="194"/>
    </row>
    <row r="591">
      <c r="C591" s="194"/>
    </row>
    <row r="592">
      <c r="C592" s="194"/>
    </row>
    <row r="593">
      <c r="C593" s="194"/>
    </row>
    <row r="594">
      <c r="C594" s="194"/>
    </row>
    <row r="595">
      <c r="C595" s="194"/>
    </row>
    <row r="596">
      <c r="C596" s="194"/>
    </row>
    <row r="597">
      <c r="C597" s="194"/>
    </row>
    <row r="598">
      <c r="C598" s="194"/>
    </row>
    <row r="599">
      <c r="C599" s="194"/>
    </row>
    <row r="600">
      <c r="C600" s="194"/>
    </row>
    <row r="601">
      <c r="C601" s="194"/>
    </row>
    <row r="602">
      <c r="C602" s="194"/>
    </row>
    <row r="603">
      <c r="C603" s="194"/>
    </row>
    <row r="604">
      <c r="C604" s="194"/>
    </row>
    <row r="605">
      <c r="C605" s="194"/>
    </row>
    <row r="606">
      <c r="C606" s="194"/>
    </row>
    <row r="607">
      <c r="C607" s="194"/>
    </row>
    <row r="608">
      <c r="C608" s="194"/>
    </row>
    <row r="609">
      <c r="C609" s="194"/>
    </row>
    <row r="610">
      <c r="C610" s="194"/>
    </row>
    <row r="611">
      <c r="C611" s="194"/>
    </row>
    <row r="612">
      <c r="C612" s="194"/>
    </row>
    <row r="613">
      <c r="C613" s="194"/>
    </row>
    <row r="614">
      <c r="C614" s="194"/>
    </row>
    <row r="615">
      <c r="C615" s="194"/>
    </row>
    <row r="616">
      <c r="C616" s="194"/>
    </row>
    <row r="617">
      <c r="C617" s="194"/>
    </row>
    <row r="618">
      <c r="C618" s="194"/>
    </row>
    <row r="619">
      <c r="C619" s="194"/>
    </row>
    <row r="620">
      <c r="C620" s="194"/>
    </row>
    <row r="621">
      <c r="C621" s="194"/>
    </row>
    <row r="622">
      <c r="C622" s="194"/>
    </row>
    <row r="623">
      <c r="C623" s="194"/>
    </row>
    <row r="624">
      <c r="C624" s="194"/>
    </row>
    <row r="625">
      <c r="C625" s="194"/>
    </row>
    <row r="626">
      <c r="C626" s="194"/>
    </row>
    <row r="627">
      <c r="C627" s="194"/>
    </row>
    <row r="628">
      <c r="C628" s="194"/>
    </row>
    <row r="629">
      <c r="C629" s="194"/>
    </row>
    <row r="630">
      <c r="C630" s="194"/>
    </row>
    <row r="631">
      <c r="C631" s="194"/>
    </row>
    <row r="632">
      <c r="C632" s="194"/>
    </row>
    <row r="633">
      <c r="C633" s="194"/>
    </row>
    <row r="634">
      <c r="C634" s="194"/>
    </row>
    <row r="635">
      <c r="C635" s="194"/>
    </row>
    <row r="636">
      <c r="C636" s="194"/>
    </row>
    <row r="637">
      <c r="C637" s="194"/>
    </row>
    <row r="638">
      <c r="C638" s="194"/>
    </row>
    <row r="639">
      <c r="C639" s="194"/>
    </row>
    <row r="640">
      <c r="C640" s="194"/>
    </row>
    <row r="641">
      <c r="C641" s="194"/>
    </row>
    <row r="642">
      <c r="C642" s="194"/>
    </row>
    <row r="643">
      <c r="C643" s="194"/>
    </row>
    <row r="644">
      <c r="C644" s="194"/>
    </row>
    <row r="645">
      <c r="C645" s="194"/>
    </row>
    <row r="646">
      <c r="C646" s="194"/>
    </row>
    <row r="647">
      <c r="C647" s="194"/>
    </row>
    <row r="648">
      <c r="C648" s="194"/>
    </row>
    <row r="649">
      <c r="C649" s="194"/>
    </row>
    <row r="650">
      <c r="C650" s="194"/>
    </row>
    <row r="651">
      <c r="C651" s="194"/>
    </row>
    <row r="652">
      <c r="C652" s="194"/>
    </row>
    <row r="653">
      <c r="C653" s="194"/>
    </row>
    <row r="654">
      <c r="C654" s="194"/>
    </row>
    <row r="655">
      <c r="C655" s="194"/>
    </row>
    <row r="656">
      <c r="C656" s="194"/>
    </row>
    <row r="657">
      <c r="C657" s="194"/>
    </row>
    <row r="658">
      <c r="C658" s="194"/>
    </row>
    <row r="659">
      <c r="C659" s="194"/>
    </row>
    <row r="660">
      <c r="C660" s="194"/>
    </row>
    <row r="661">
      <c r="C661" s="194"/>
    </row>
    <row r="662">
      <c r="C662" s="194"/>
    </row>
    <row r="663">
      <c r="C663" s="194"/>
    </row>
    <row r="664">
      <c r="C664" s="194"/>
    </row>
    <row r="665">
      <c r="C665" s="194"/>
    </row>
    <row r="666">
      <c r="C666" s="194"/>
    </row>
    <row r="667">
      <c r="C667" s="194"/>
    </row>
    <row r="668">
      <c r="C668" s="194"/>
    </row>
    <row r="669">
      <c r="C669" s="194"/>
    </row>
    <row r="670">
      <c r="C670" s="194"/>
    </row>
    <row r="671">
      <c r="C671" s="194"/>
    </row>
    <row r="672">
      <c r="C672" s="194"/>
    </row>
    <row r="673">
      <c r="C673" s="194"/>
    </row>
    <row r="674">
      <c r="C674" s="194"/>
    </row>
    <row r="675">
      <c r="C675" s="194"/>
    </row>
    <row r="676">
      <c r="C676" s="194"/>
    </row>
    <row r="677">
      <c r="C677" s="194"/>
    </row>
    <row r="678">
      <c r="C678" s="194"/>
    </row>
    <row r="679">
      <c r="C679" s="194"/>
    </row>
    <row r="680">
      <c r="C680" s="194"/>
    </row>
    <row r="681">
      <c r="C681" s="194"/>
    </row>
    <row r="682">
      <c r="C682" s="194"/>
    </row>
    <row r="683">
      <c r="C683" s="194"/>
    </row>
    <row r="684">
      <c r="C684" s="194"/>
    </row>
    <row r="685">
      <c r="C685" s="194"/>
    </row>
    <row r="686">
      <c r="C686" s="194"/>
    </row>
    <row r="687">
      <c r="C687" s="194"/>
    </row>
    <row r="688">
      <c r="C688" s="194"/>
    </row>
    <row r="689">
      <c r="C689" s="194"/>
    </row>
    <row r="690">
      <c r="C690" s="194"/>
    </row>
    <row r="691">
      <c r="C691" s="194"/>
    </row>
    <row r="692">
      <c r="C692" s="194"/>
    </row>
    <row r="693">
      <c r="C693" s="194"/>
    </row>
    <row r="694">
      <c r="C694" s="194"/>
    </row>
    <row r="695">
      <c r="C695" s="194"/>
    </row>
    <row r="696">
      <c r="C696" s="194"/>
    </row>
    <row r="697">
      <c r="C697" s="194"/>
    </row>
    <row r="698">
      <c r="C698" s="194"/>
    </row>
    <row r="699">
      <c r="C699" s="194"/>
    </row>
    <row r="700">
      <c r="C700" s="194"/>
    </row>
    <row r="701">
      <c r="C701" s="194"/>
    </row>
    <row r="702">
      <c r="C702" s="194"/>
    </row>
    <row r="703">
      <c r="C703" s="194"/>
    </row>
    <row r="704">
      <c r="C704" s="194"/>
    </row>
    <row r="705">
      <c r="C705" s="194"/>
    </row>
    <row r="706">
      <c r="C706" s="194"/>
    </row>
    <row r="707">
      <c r="C707" s="194"/>
    </row>
    <row r="708">
      <c r="C708" s="194"/>
    </row>
    <row r="709">
      <c r="C709" s="194"/>
    </row>
    <row r="710">
      <c r="C710" s="194"/>
    </row>
    <row r="711">
      <c r="C711" s="194"/>
    </row>
    <row r="712">
      <c r="C712" s="194"/>
    </row>
    <row r="713">
      <c r="C713" s="194"/>
    </row>
    <row r="714">
      <c r="C714" s="194"/>
    </row>
    <row r="715">
      <c r="C715" s="194"/>
    </row>
    <row r="716">
      <c r="C716" s="194"/>
    </row>
    <row r="717">
      <c r="C717" s="194"/>
    </row>
    <row r="718">
      <c r="C718" s="194"/>
    </row>
    <row r="719">
      <c r="C719" s="194"/>
    </row>
    <row r="720">
      <c r="C720" s="194"/>
    </row>
    <row r="721">
      <c r="C721" s="194"/>
    </row>
    <row r="722">
      <c r="C722" s="194"/>
    </row>
    <row r="723">
      <c r="C723" s="194"/>
    </row>
    <row r="724">
      <c r="C724" s="194"/>
    </row>
    <row r="725">
      <c r="C725" s="194"/>
    </row>
    <row r="726">
      <c r="C726" s="194"/>
    </row>
    <row r="727">
      <c r="C727" s="194"/>
    </row>
    <row r="728">
      <c r="C728" s="194"/>
    </row>
    <row r="729">
      <c r="C729" s="194"/>
    </row>
    <row r="730">
      <c r="C730" s="194"/>
    </row>
    <row r="731">
      <c r="C731" s="194"/>
    </row>
    <row r="732">
      <c r="C732" s="194"/>
    </row>
    <row r="733">
      <c r="C733" s="194"/>
    </row>
    <row r="734">
      <c r="C734" s="194"/>
    </row>
    <row r="735">
      <c r="C735" s="194"/>
    </row>
    <row r="736">
      <c r="C736" s="194"/>
    </row>
    <row r="737">
      <c r="C737" s="194"/>
    </row>
    <row r="738">
      <c r="C738" s="194"/>
    </row>
    <row r="739">
      <c r="C739" s="194"/>
    </row>
    <row r="740">
      <c r="C740" s="194"/>
    </row>
    <row r="741">
      <c r="C741" s="194"/>
    </row>
    <row r="742">
      <c r="C742" s="194"/>
    </row>
    <row r="743">
      <c r="C743" s="194"/>
    </row>
    <row r="744">
      <c r="C744" s="194"/>
    </row>
    <row r="745">
      <c r="C745" s="194"/>
    </row>
    <row r="746">
      <c r="C746" s="194"/>
    </row>
    <row r="747">
      <c r="C747" s="194"/>
    </row>
    <row r="748">
      <c r="C748" s="194"/>
    </row>
    <row r="749">
      <c r="C749" s="194"/>
    </row>
    <row r="750">
      <c r="C750" s="194"/>
    </row>
    <row r="751">
      <c r="C751" s="194"/>
    </row>
    <row r="752">
      <c r="C752" s="194"/>
    </row>
    <row r="753">
      <c r="C753" s="194"/>
    </row>
    <row r="754">
      <c r="C754" s="194"/>
    </row>
    <row r="755">
      <c r="C755" s="194"/>
    </row>
    <row r="756">
      <c r="C756" s="194"/>
    </row>
    <row r="757">
      <c r="C757" s="194"/>
    </row>
    <row r="758">
      <c r="C758" s="194"/>
    </row>
    <row r="759">
      <c r="C759" s="194"/>
    </row>
    <row r="760">
      <c r="C760" s="194"/>
    </row>
    <row r="761">
      <c r="C761" s="194"/>
    </row>
    <row r="762">
      <c r="C762" s="194"/>
    </row>
    <row r="763">
      <c r="C763" s="194"/>
    </row>
    <row r="764">
      <c r="C764" s="194"/>
    </row>
    <row r="765">
      <c r="C765" s="194"/>
    </row>
    <row r="766">
      <c r="C766" s="194"/>
    </row>
    <row r="767">
      <c r="C767" s="194"/>
    </row>
    <row r="768">
      <c r="C768" s="194"/>
    </row>
    <row r="769">
      <c r="C769" s="194"/>
    </row>
    <row r="770">
      <c r="C770" s="194"/>
    </row>
    <row r="771">
      <c r="C771" s="194"/>
    </row>
    <row r="772">
      <c r="C772" s="194"/>
    </row>
    <row r="773">
      <c r="C773" s="194"/>
    </row>
    <row r="774">
      <c r="C774" s="194"/>
    </row>
    <row r="775">
      <c r="C775" s="194"/>
    </row>
    <row r="776">
      <c r="C776" s="194"/>
    </row>
    <row r="777">
      <c r="C777" s="194"/>
    </row>
    <row r="778">
      <c r="C778" s="194"/>
    </row>
    <row r="779">
      <c r="C779" s="194"/>
    </row>
    <row r="780">
      <c r="C780" s="194"/>
    </row>
    <row r="781">
      <c r="C781" s="194"/>
    </row>
    <row r="782">
      <c r="C782" s="194"/>
    </row>
    <row r="783">
      <c r="C783" s="194"/>
    </row>
    <row r="784">
      <c r="C784" s="194"/>
    </row>
    <row r="785">
      <c r="C785" s="194"/>
    </row>
    <row r="786">
      <c r="C786" s="194"/>
    </row>
    <row r="787">
      <c r="C787" s="194"/>
    </row>
    <row r="788">
      <c r="C788" s="194"/>
    </row>
    <row r="789">
      <c r="C789" s="194"/>
    </row>
    <row r="790">
      <c r="C790" s="194"/>
    </row>
    <row r="791">
      <c r="C791" s="194"/>
    </row>
    <row r="792">
      <c r="C792" s="194"/>
    </row>
    <row r="793">
      <c r="C793" s="194"/>
    </row>
    <row r="794">
      <c r="C794" s="194"/>
    </row>
    <row r="795">
      <c r="C795" s="194"/>
    </row>
    <row r="796">
      <c r="C796" s="194"/>
    </row>
    <row r="797">
      <c r="C797" s="194"/>
    </row>
    <row r="798">
      <c r="C798" s="194"/>
    </row>
    <row r="799">
      <c r="C799" s="194"/>
    </row>
    <row r="800">
      <c r="C800" s="194"/>
    </row>
    <row r="801">
      <c r="C801" s="194"/>
    </row>
    <row r="802">
      <c r="C802" s="194"/>
    </row>
    <row r="803">
      <c r="C803" s="194"/>
    </row>
    <row r="804">
      <c r="C804" s="194"/>
    </row>
    <row r="805">
      <c r="C805" s="194"/>
    </row>
    <row r="806">
      <c r="C806" s="194"/>
    </row>
    <row r="807">
      <c r="C807" s="194"/>
    </row>
    <row r="808">
      <c r="C808" s="194"/>
    </row>
    <row r="809">
      <c r="C809" s="194"/>
    </row>
    <row r="810">
      <c r="C810" s="194"/>
    </row>
    <row r="811">
      <c r="C811" s="194"/>
    </row>
    <row r="812">
      <c r="C812" s="194"/>
    </row>
    <row r="813">
      <c r="C813" s="194"/>
    </row>
    <row r="814">
      <c r="C814" s="194"/>
    </row>
    <row r="815">
      <c r="C815" s="194"/>
    </row>
    <row r="816">
      <c r="C816" s="194"/>
    </row>
    <row r="817">
      <c r="C817" s="194"/>
    </row>
    <row r="818">
      <c r="C818" s="194"/>
    </row>
    <row r="819">
      <c r="C819" s="194"/>
    </row>
    <row r="820">
      <c r="C820" s="194"/>
    </row>
    <row r="821">
      <c r="C821" s="194"/>
    </row>
    <row r="822">
      <c r="C822" s="194"/>
    </row>
    <row r="823">
      <c r="C823" s="194"/>
    </row>
    <row r="824">
      <c r="C824" s="194"/>
    </row>
    <row r="825">
      <c r="C825" s="194"/>
    </row>
    <row r="826">
      <c r="C826" s="194"/>
    </row>
    <row r="827">
      <c r="C827" s="194"/>
    </row>
    <row r="828">
      <c r="C828" s="194"/>
    </row>
    <row r="829">
      <c r="C829" s="194"/>
    </row>
    <row r="830">
      <c r="C830" s="194"/>
    </row>
    <row r="831">
      <c r="C831" s="194"/>
    </row>
    <row r="832">
      <c r="C832" s="194"/>
    </row>
    <row r="833">
      <c r="C833" s="194"/>
    </row>
    <row r="834">
      <c r="C834" s="194"/>
    </row>
    <row r="835">
      <c r="C835" s="194"/>
    </row>
    <row r="836">
      <c r="C836" s="194"/>
    </row>
    <row r="837">
      <c r="C837" s="194"/>
    </row>
    <row r="838">
      <c r="C838" s="194"/>
    </row>
    <row r="839">
      <c r="C839" s="194"/>
    </row>
    <row r="840">
      <c r="C840" s="194"/>
    </row>
    <row r="841">
      <c r="C841" s="194"/>
    </row>
    <row r="842">
      <c r="C842" s="194"/>
    </row>
    <row r="843">
      <c r="C843" s="194"/>
    </row>
    <row r="844">
      <c r="C844" s="194"/>
    </row>
    <row r="845">
      <c r="C845" s="194"/>
    </row>
    <row r="846">
      <c r="C846" s="194"/>
    </row>
    <row r="847">
      <c r="C847" s="194"/>
    </row>
    <row r="848">
      <c r="C848" s="194"/>
    </row>
    <row r="849">
      <c r="C849" s="194"/>
    </row>
    <row r="850">
      <c r="C850" s="194"/>
    </row>
    <row r="851">
      <c r="C851" s="194"/>
    </row>
    <row r="852">
      <c r="C852" s="194"/>
    </row>
    <row r="853">
      <c r="C853" s="194"/>
    </row>
    <row r="854">
      <c r="C854" s="194"/>
    </row>
    <row r="855">
      <c r="C855" s="194"/>
    </row>
    <row r="856">
      <c r="C856" s="194"/>
    </row>
    <row r="857">
      <c r="C857" s="194"/>
    </row>
    <row r="858">
      <c r="C858" s="194"/>
    </row>
    <row r="859">
      <c r="C859" s="194"/>
    </row>
    <row r="860">
      <c r="C860" s="194"/>
    </row>
    <row r="861">
      <c r="C861" s="194"/>
    </row>
    <row r="862">
      <c r="C862" s="194"/>
    </row>
    <row r="863">
      <c r="C863" s="194"/>
    </row>
    <row r="864">
      <c r="C864" s="194"/>
    </row>
    <row r="865">
      <c r="C865" s="194"/>
    </row>
    <row r="866">
      <c r="C866" s="194"/>
    </row>
    <row r="867">
      <c r="C867" s="194"/>
    </row>
    <row r="868">
      <c r="C868" s="194"/>
    </row>
    <row r="869">
      <c r="C869" s="194"/>
    </row>
    <row r="870">
      <c r="C870" s="194"/>
    </row>
    <row r="871">
      <c r="C871" s="194"/>
    </row>
    <row r="872">
      <c r="C872" s="194"/>
    </row>
    <row r="873">
      <c r="C873" s="194"/>
    </row>
    <row r="874">
      <c r="C874" s="194"/>
    </row>
    <row r="875">
      <c r="C875" s="194"/>
    </row>
    <row r="876">
      <c r="C876" s="194"/>
    </row>
    <row r="877">
      <c r="C877" s="194"/>
    </row>
    <row r="878">
      <c r="C878" s="194"/>
    </row>
    <row r="879">
      <c r="C879" s="194"/>
    </row>
    <row r="880">
      <c r="C880" s="194"/>
    </row>
    <row r="881">
      <c r="C881" s="194"/>
    </row>
    <row r="882">
      <c r="C882" s="194"/>
    </row>
    <row r="883">
      <c r="C883" s="194"/>
    </row>
    <row r="884">
      <c r="C884" s="194"/>
    </row>
    <row r="885">
      <c r="C885" s="194"/>
    </row>
    <row r="886">
      <c r="C886" s="194"/>
    </row>
    <row r="887">
      <c r="C887" s="194"/>
    </row>
    <row r="888">
      <c r="C888" s="194"/>
    </row>
    <row r="889">
      <c r="C889" s="194"/>
    </row>
    <row r="890">
      <c r="C890" s="194"/>
    </row>
    <row r="891">
      <c r="C891" s="194"/>
    </row>
    <row r="892">
      <c r="C892" s="194"/>
    </row>
    <row r="893">
      <c r="C893" s="194"/>
    </row>
    <row r="894">
      <c r="C894" s="194"/>
    </row>
    <row r="895">
      <c r="C895" s="194"/>
    </row>
    <row r="896">
      <c r="C896" s="194"/>
    </row>
    <row r="897">
      <c r="C897" s="194"/>
    </row>
    <row r="898">
      <c r="C898" s="194"/>
    </row>
    <row r="899">
      <c r="C899" s="194"/>
    </row>
    <row r="900">
      <c r="C900" s="194"/>
    </row>
    <row r="901">
      <c r="C901" s="194"/>
    </row>
    <row r="902">
      <c r="C902" s="194"/>
    </row>
    <row r="903">
      <c r="C903" s="194"/>
    </row>
    <row r="904">
      <c r="C904" s="194"/>
    </row>
    <row r="905">
      <c r="C905" s="194"/>
    </row>
    <row r="906">
      <c r="C906" s="194"/>
    </row>
    <row r="907">
      <c r="C907" s="194"/>
    </row>
    <row r="908">
      <c r="C908" s="194"/>
    </row>
    <row r="909">
      <c r="C909" s="194"/>
    </row>
    <row r="910">
      <c r="C910" s="194"/>
    </row>
    <row r="911">
      <c r="C911" s="194"/>
    </row>
    <row r="912">
      <c r="C912" s="194"/>
    </row>
    <row r="913">
      <c r="C913" s="194"/>
    </row>
    <row r="914">
      <c r="C914" s="194"/>
    </row>
    <row r="915">
      <c r="C915" s="194"/>
    </row>
    <row r="916">
      <c r="C916" s="194"/>
    </row>
    <row r="917">
      <c r="C917" s="194"/>
    </row>
    <row r="918">
      <c r="C918" s="194"/>
    </row>
    <row r="919">
      <c r="C919" s="194"/>
    </row>
    <row r="920">
      <c r="C920" s="194"/>
    </row>
    <row r="921">
      <c r="C921" s="194"/>
    </row>
    <row r="922">
      <c r="C922" s="194"/>
    </row>
    <row r="923">
      <c r="C923" s="194"/>
    </row>
    <row r="924">
      <c r="C924" s="194"/>
    </row>
    <row r="925">
      <c r="C925" s="194"/>
    </row>
    <row r="926">
      <c r="C926" s="194"/>
    </row>
    <row r="927">
      <c r="C927" s="194"/>
    </row>
    <row r="928">
      <c r="C928" s="194"/>
    </row>
    <row r="929">
      <c r="C929" s="194"/>
    </row>
    <row r="930">
      <c r="C930" s="194"/>
    </row>
    <row r="931">
      <c r="C931" s="194"/>
    </row>
    <row r="932">
      <c r="C932" s="194"/>
    </row>
    <row r="933">
      <c r="C933" s="194"/>
    </row>
    <row r="934">
      <c r="C934" s="194"/>
    </row>
    <row r="935">
      <c r="C935" s="194"/>
    </row>
    <row r="936">
      <c r="C936" s="194"/>
    </row>
    <row r="937">
      <c r="C937" s="194"/>
    </row>
    <row r="938">
      <c r="C938" s="194"/>
    </row>
    <row r="939">
      <c r="C939" s="194"/>
    </row>
    <row r="940">
      <c r="C940" s="194"/>
    </row>
    <row r="941">
      <c r="C941" s="194"/>
    </row>
    <row r="942">
      <c r="C942" s="194"/>
    </row>
    <row r="943">
      <c r="C943" s="194"/>
    </row>
    <row r="944">
      <c r="C944" s="194"/>
    </row>
    <row r="945">
      <c r="C945" s="194"/>
    </row>
    <row r="946">
      <c r="C946" s="194"/>
    </row>
    <row r="947">
      <c r="C947" s="194"/>
    </row>
    <row r="948">
      <c r="C948" s="194"/>
    </row>
    <row r="949">
      <c r="C949" s="194"/>
    </row>
    <row r="950">
      <c r="C950" s="194"/>
    </row>
    <row r="951">
      <c r="C951" s="194"/>
    </row>
    <row r="952">
      <c r="C952" s="194"/>
    </row>
    <row r="953">
      <c r="C953" s="194"/>
    </row>
    <row r="954">
      <c r="C954" s="194"/>
    </row>
    <row r="955">
      <c r="C955" s="194"/>
    </row>
    <row r="956">
      <c r="C956" s="194"/>
    </row>
    <row r="957">
      <c r="C957" s="194"/>
    </row>
    <row r="958">
      <c r="C958" s="194"/>
    </row>
    <row r="959">
      <c r="C959" s="194"/>
    </row>
    <row r="960">
      <c r="C960" s="194"/>
    </row>
    <row r="961">
      <c r="C961" s="194"/>
    </row>
    <row r="962">
      <c r="C962" s="194"/>
    </row>
    <row r="963">
      <c r="C963" s="194"/>
    </row>
    <row r="964">
      <c r="C964" s="194"/>
    </row>
    <row r="965">
      <c r="C965" s="194"/>
    </row>
    <row r="966">
      <c r="C966" s="194"/>
    </row>
    <row r="967">
      <c r="C967" s="194"/>
    </row>
    <row r="968">
      <c r="C968" s="194"/>
    </row>
    <row r="969">
      <c r="C969" s="194"/>
    </row>
    <row r="970">
      <c r="C970" s="194"/>
    </row>
    <row r="971">
      <c r="C971" s="194"/>
    </row>
    <row r="972">
      <c r="C972" s="194"/>
    </row>
    <row r="973">
      <c r="C973" s="194"/>
    </row>
    <row r="974">
      <c r="C974" s="194"/>
    </row>
    <row r="975">
      <c r="C975" s="194"/>
    </row>
    <row r="976">
      <c r="C976" s="194"/>
    </row>
    <row r="977">
      <c r="C977" s="194"/>
    </row>
    <row r="978">
      <c r="C978" s="194"/>
    </row>
    <row r="979">
      <c r="C979" s="194"/>
    </row>
    <row r="980">
      <c r="C980" s="194"/>
    </row>
    <row r="981">
      <c r="C981" s="194"/>
    </row>
    <row r="982">
      <c r="C982" s="194"/>
    </row>
    <row r="983">
      <c r="C983" s="194"/>
    </row>
    <row r="984">
      <c r="C984" s="194"/>
    </row>
    <row r="985">
      <c r="C985" s="194"/>
    </row>
    <row r="986">
      <c r="C986" s="194"/>
    </row>
    <row r="987">
      <c r="C987" s="194"/>
    </row>
    <row r="988">
      <c r="C988" s="194"/>
    </row>
    <row r="989">
      <c r="C989" s="194"/>
    </row>
    <row r="990">
      <c r="C990" s="194"/>
    </row>
    <row r="991">
      <c r="C991" s="194"/>
    </row>
    <row r="992">
      <c r="C992" s="194"/>
    </row>
    <row r="993">
      <c r="C993" s="194"/>
    </row>
    <row r="994">
      <c r="C994" s="194"/>
    </row>
    <row r="995">
      <c r="C995" s="194"/>
    </row>
    <row r="996">
      <c r="C996" s="194"/>
    </row>
    <row r="997">
      <c r="C997" s="194"/>
    </row>
    <row r="998">
      <c r="C998" s="194"/>
    </row>
    <row r="999">
      <c r="C999" s="194"/>
    </row>
    <row r="1000">
      <c r="C1000" s="194"/>
    </row>
    <row r="1001">
      <c r="C1001" s="19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70.38"/>
    <col customWidth="1" min="3" max="3" width="35.25"/>
  </cols>
  <sheetData>
    <row r="1">
      <c r="A1" s="256" t="s">
        <v>0</v>
      </c>
      <c r="B1" s="256" t="s">
        <v>3287</v>
      </c>
    </row>
    <row r="2">
      <c r="A2" s="257" t="s">
        <v>3288</v>
      </c>
      <c r="B2" s="257" t="s">
        <v>3289</v>
      </c>
    </row>
    <row r="3">
      <c r="A3" s="258" t="s">
        <v>1016</v>
      </c>
      <c r="B3" s="259" t="s">
        <v>3290</v>
      </c>
    </row>
    <row r="4">
      <c r="A4" s="258" t="s">
        <v>2215</v>
      </c>
      <c r="B4" s="259" t="s">
        <v>3291</v>
      </c>
    </row>
    <row r="5">
      <c r="A5" s="258" t="s">
        <v>3292</v>
      </c>
      <c r="B5" s="259" t="s">
        <v>3293</v>
      </c>
    </row>
    <row r="6">
      <c r="A6" s="258" t="s">
        <v>805</v>
      </c>
      <c r="B6" s="259" t="s">
        <v>806</v>
      </c>
    </row>
    <row r="7">
      <c r="A7" s="258" t="s">
        <v>3294</v>
      </c>
      <c r="B7" s="259" t="s">
        <v>3295</v>
      </c>
    </row>
    <row r="8">
      <c r="A8" s="260"/>
      <c r="B8" s="260"/>
    </row>
    <row r="9">
      <c r="A9" s="260"/>
      <c r="B9" s="260"/>
    </row>
    <row r="10">
      <c r="A10" s="260"/>
      <c r="B10" s="260"/>
    </row>
    <row r="11">
      <c r="A11" s="260"/>
      <c r="B11" s="260"/>
    </row>
    <row r="12">
      <c r="A12" s="260"/>
      <c r="B12" s="260"/>
    </row>
    <row r="13">
      <c r="A13" s="260"/>
      <c r="B13" s="260"/>
    </row>
    <row r="14">
      <c r="A14" s="260"/>
      <c r="B14" s="260"/>
    </row>
    <row r="15">
      <c r="A15" s="260"/>
      <c r="B15" s="260"/>
    </row>
    <row r="16">
      <c r="A16" s="260"/>
      <c r="B16" s="260"/>
    </row>
    <row r="17">
      <c r="A17" s="260"/>
      <c r="B17" s="260"/>
    </row>
    <row r="18">
      <c r="A18" s="260"/>
      <c r="B18" s="260"/>
    </row>
    <row r="19">
      <c r="A19" s="260"/>
      <c r="B19" s="260"/>
    </row>
    <row r="20">
      <c r="A20" s="260"/>
      <c r="B20" s="260"/>
    </row>
    <row r="21">
      <c r="A21" s="260"/>
      <c r="B21" s="260"/>
    </row>
    <row r="22">
      <c r="A22" s="260"/>
      <c r="B22" s="260"/>
    </row>
    <row r="23">
      <c r="A23" s="260"/>
      <c r="B23" s="260"/>
    </row>
    <row r="24">
      <c r="A24" s="260"/>
      <c r="B24" s="260"/>
    </row>
    <row r="25">
      <c r="A25" s="260"/>
      <c r="B25" s="260"/>
    </row>
    <row r="26">
      <c r="A26" s="260"/>
      <c r="B26" s="260"/>
    </row>
    <row r="27">
      <c r="A27" s="260"/>
      <c r="B27" s="260"/>
    </row>
    <row r="28">
      <c r="A28" s="260"/>
      <c r="B28" s="260"/>
    </row>
    <row r="29">
      <c r="A29" s="260"/>
      <c r="B29" s="260"/>
    </row>
    <row r="30">
      <c r="A30" s="260"/>
      <c r="B30" s="260"/>
    </row>
    <row r="31">
      <c r="A31" s="260"/>
      <c r="B31" s="260"/>
    </row>
    <row r="32">
      <c r="A32" s="260"/>
      <c r="B32" s="260"/>
    </row>
    <row r="33">
      <c r="A33" s="260"/>
      <c r="B33" s="260"/>
    </row>
    <row r="34">
      <c r="A34" s="260"/>
      <c r="B34" s="26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75"/>
    <col customWidth="1" min="2" max="2" width="12.38"/>
    <col customWidth="1" min="3" max="3" width="30.75"/>
    <col customWidth="1" hidden="1" min="4" max="4" width="18.63"/>
    <col customWidth="1" hidden="1" min="5" max="5" width="12.88"/>
    <col customWidth="1" min="6" max="6" width="14.25"/>
    <col customWidth="1" min="7" max="7" width="15.13"/>
    <col customWidth="1" min="8" max="8" width="17.25"/>
    <col customWidth="1" min="9" max="9" width="11.5"/>
    <col customWidth="1" min="10" max="10" width="40.63"/>
    <col customWidth="1" min="11" max="11" width="18.63"/>
    <col customWidth="1" min="12" max="13" width="10.38"/>
    <col customWidth="1" min="14" max="14" width="20.75"/>
    <col customWidth="1" min="15" max="15" width="21.88"/>
    <col customWidth="1" min="16" max="16" width="18.5"/>
    <col customWidth="1" min="17" max="17" width="17.63"/>
    <col customWidth="1" min="18" max="18" width="13.38"/>
    <col customWidth="1" min="19" max="19" width="10.38"/>
    <col customWidth="1" min="20" max="20" width="20.75"/>
    <col customWidth="1" min="21" max="21" width="24.38"/>
    <col customWidth="1" min="22" max="22" width="19.75"/>
    <col customWidth="1" min="23" max="23" width="12.88"/>
    <col customWidth="1" hidden="1" min="24" max="24" width="41.63"/>
    <col customWidth="1" hidden="1" min="25" max="25" width="41.13"/>
    <col customWidth="1" min="26" max="26" width="22.88"/>
    <col customWidth="1" min="27" max="27" width="24.13"/>
    <col customWidth="1" hidden="1" min="28" max="29" width="21.88"/>
    <col customWidth="1" min="30" max="30" width="16.0"/>
    <col customWidth="1" min="31" max="31" width="12.13"/>
    <col customWidth="1" min="32" max="32" width="16.63"/>
    <col customWidth="1" min="33" max="33" width="37.88"/>
    <col customWidth="1" min="34" max="34" width="36.88"/>
    <col customWidth="1" hidden="1" min="35" max="35" width="27.75"/>
    <col customWidth="1" hidden="1" min="36" max="36" width="33.5"/>
    <col customWidth="1" min="37" max="41" width="40.38"/>
  </cols>
  <sheetData>
    <row r="1">
      <c r="A1" s="1" t="s">
        <v>0</v>
      </c>
      <c r="B1" s="1" t="s">
        <v>1</v>
      </c>
      <c r="C1" s="1" t="s">
        <v>2</v>
      </c>
      <c r="D1" s="1" t="s">
        <v>3</v>
      </c>
      <c r="E1" s="1" t="s">
        <v>4</v>
      </c>
      <c r="F1" s="2" t="s">
        <v>5</v>
      </c>
      <c r="G1" s="2" t="s">
        <v>6</v>
      </c>
      <c r="H1" s="2" t="s">
        <v>7</v>
      </c>
      <c r="I1" s="3" t="s">
        <v>8</v>
      </c>
      <c r="J1" s="3" t="s">
        <v>9</v>
      </c>
      <c r="K1" s="3" t="s">
        <v>7</v>
      </c>
      <c r="L1" s="3" t="s">
        <v>10</v>
      </c>
      <c r="M1" s="4" t="s">
        <v>11</v>
      </c>
      <c r="N1" s="5" t="s">
        <v>12</v>
      </c>
      <c r="O1" s="5" t="s">
        <v>13</v>
      </c>
      <c r="P1" s="5" t="s">
        <v>14</v>
      </c>
      <c r="Q1" s="4" t="s">
        <v>15</v>
      </c>
      <c r="R1" s="4" t="s">
        <v>7</v>
      </c>
      <c r="S1" s="6" t="s">
        <v>16</v>
      </c>
      <c r="T1" s="6" t="s">
        <v>17</v>
      </c>
      <c r="U1" s="6" t="s">
        <v>18</v>
      </c>
      <c r="V1" s="6" t="s">
        <v>14</v>
      </c>
      <c r="W1" s="6" t="s">
        <v>19</v>
      </c>
      <c r="X1" s="7" t="s">
        <v>20</v>
      </c>
      <c r="Y1" s="8" t="s">
        <v>21</v>
      </c>
      <c r="Z1" s="7" t="s">
        <v>22</v>
      </c>
      <c r="AA1" s="7" t="s">
        <v>23</v>
      </c>
      <c r="AB1" s="7" t="s">
        <v>24</v>
      </c>
      <c r="AC1" s="7" t="s">
        <v>25</v>
      </c>
      <c r="AD1" s="1" t="s">
        <v>12</v>
      </c>
      <c r="AE1" s="1" t="s">
        <v>13</v>
      </c>
      <c r="AF1" s="9" t="s">
        <v>14</v>
      </c>
      <c r="AG1" s="10" t="s">
        <v>26</v>
      </c>
      <c r="AH1" s="11" t="s">
        <v>25</v>
      </c>
      <c r="AI1" s="11" t="s">
        <v>27</v>
      </c>
      <c r="AJ1" s="11" t="s">
        <v>28</v>
      </c>
      <c r="AK1" s="12" t="s">
        <v>3296</v>
      </c>
      <c r="AL1" s="14" t="s">
        <v>32</v>
      </c>
      <c r="AM1" s="14" t="s">
        <v>3297</v>
      </c>
      <c r="AO1" s="14"/>
    </row>
    <row r="2">
      <c r="A2" s="15">
        <v>1.0</v>
      </c>
      <c r="B2" s="16">
        <v>2.0</v>
      </c>
      <c r="C2" s="17">
        <v>3.0</v>
      </c>
      <c r="D2" s="17">
        <v>4.0</v>
      </c>
      <c r="E2" s="17">
        <v>5.0</v>
      </c>
      <c r="F2" s="18">
        <v>6.0</v>
      </c>
      <c r="G2" s="19"/>
      <c r="H2" s="17"/>
      <c r="I2" s="17">
        <v>7.0</v>
      </c>
      <c r="J2" s="17">
        <v>8.0</v>
      </c>
      <c r="K2" s="19"/>
      <c r="L2" s="19"/>
      <c r="M2" s="18">
        <v>9.0</v>
      </c>
      <c r="N2" s="17">
        <v>10.0</v>
      </c>
      <c r="O2" s="17">
        <v>11.0</v>
      </c>
      <c r="P2" s="18">
        <v>12.0</v>
      </c>
      <c r="Q2" s="17">
        <v>13.0</v>
      </c>
      <c r="R2" s="17"/>
      <c r="S2" s="17">
        <v>14.0</v>
      </c>
      <c r="T2" s="18">
        <v>15.0</v>
      </c>
      <c r="U2" s="17">
        <v>16.0</v>
      </c>
      <c r="V2" s="17">
        <v>17.0</v>
      </c>
      <c r="W2" s="17"/>
      <c r="X2" s="17">
        <v>18.0</v>
      </c>
      <c r="Y2" s="17">
        <v>19.0</v>
      </c>
      <c r="Z2" s="18">
        <v>20.0</v>
      </c>
      <c r="AA2" s="17">
        <v>21.0</v>
      </c>
      <c r="AB2" s="20"/>
      <c r="AC2" s="21">
        <v>18.0</v>
      </c>
      <c r="AD2" s="22">
        <v>18.0</v>
      </c>
      <c r="AE2" s="22">
        <v>19.0</v>
      </c>
      <c r="AF2" s="23">
        <v>20.0</v>
      </c>
      <c r="AG2" s="24">
        <v>21.0</v>
      </c>
      <c r="AH2" s="25">
        <v>22.0</v>
      </c>
      <c r="AI2" s="25"/>
      <c r="AJ2" s="25"/>
      <c r="AK2" s="26"/>
      <c r="AL2" s="26"/>
      <c r="AM2" s="26"/>
      <c r="AN2" s="26"/>
      <c r="AO2" s="26"/>
    </row>
    <row r="3">
      <c r="A3" s="28" t="s">
        <v>34</v>
      </c>
      <c r="B3" s="29"/>
      <c r="C3" s="30"/>
      <c r="D3" s="30"/>
      <c r="E3" s="30"/>
      <c r="F3" s="31"/>
      <c r="G3" s="31"/>
      <c r="H3" s="31"/>
      <c r="I3" s="31"/>
      <c r="J3" s="31"/>
      <c r="K3" s="31"/>
      <c r="L3" s="32"/>
      <c r="M3" s="31"/>
      <c r="N3" s="33">
        <f t="shared" ref="N3:P3" si="1">SUM(N4:N503)</f>
        <v>41431264555</v>
      </c>
      <c r="O3" s="33">
        <f t="shared" si="1"/>
        <v>28229440043</v>
      </c>
      <c r="P3" s="33">
        <f t="shared" si="1"/>
        <v>11738303018</v>
      </c>
      <c r="Q3" s="34">
        <f t="shared" ref="Q3:Q503" si="3">(N3-O3)/N3</f>
        <v>0.3186440157</v>
      </c>
      <c r="R3" s="31"/>
      <c r="S3" s="31"/>
      <c r="T3" s="33">
        <f t="shared" ref="T3:V3" si="2">SUM(T4:T503)</f>
        <v>12276781803</v>
      </c>
      <c r="U3" s="33">
        <f t="shared" si="2"/>
        <v>6884273928</v>
      </c>
      <c r="V3" s="33">
        <f t="shared" si="2"/>
        <v>5945981903</v>
      </c>
      <c r="W3" s="35"/>
      <c r="X3" s="35"/>
      <c r="Y3" s="36"/>
      <c r="Z3" s="36"/>
      <c r="AA3" s="36"/>
      <c r="AB3" s="37"/>
      <c r="AC3" s="38"/>
      <c r="AD3" s="39"/>
      <c r="AE3" s="39"/>
      <c r="AF3" s="40"/>
      <c r="AG3" s="41"/>
      <c r="AH3" s="42"/>
      <c r="AI3" s="42"/>
      <c r="AJ3" s="42"/>
      <c r="AK3" s="43"/>
      <c r="AL3" s="43"/>
      <c r="AM3" s="43" t="str">
        <f>IFERROR(__xludf.DUMMYFUNCTION("QUERY(A2:P1002, ""SELECT D, SUM(L) WHERE L &gt; 0 AND D IS NOT NULL GROUP BY D ORDER BY SUM(L) DESC LIMIT 80 LABEL D 'Подрядчик', SUM(L) 'Остаток'"", 0)"),"Подрядчик")</f>
        <v>Подрядчик</v>
      </c>
      <c r="AN3" s="43" t="str">
        <f>IFERROR(__xludf.DUMMYFUNCTION("""COMPUTED_VALUE"""),"Остаток")</f>
        <v>Остаток</v>
      </c>
      <c r="AO3" s="43"/>
    </row>
    <row r="4" hidden="1">
      <c r="A4" s="45" t="s">
        <v>35</v>
      </c>
      <c r="B4" s="46" t="s">
        <v>36</v>
      </c>
      <c r="C4" s="30" t="s">
        <v>37</v>
      </c>
      <c r="D4" s="47" t="s">
        <v>38</v>
      </c>
      <c r="E4" s="48" t="s">
        <v>39</v>
      </c>
      <c r="F4" s="31" t="s">
        <v>40</v>
      </c>
      <c r="G4" s="31" t="s">
        <v>156</v>
      </c>
      <c r="H4" s="31" t="s">
        <v>42</v>
      </c>
      <c r="I4" s="31" t="s">
        <v>40</v>
      </c>
      <c r="J4" s="31" t="s">
        <v>43</v>
      </c>
      <c r="K4" s="31" t="s">
        <v>44</v>
      </c>
      <c r="L4" s="32">
        <f>IFERROR(__xludf.DUMMYFUNCTION("VLOOKUP($A4,IMPORTRANGE(""1PQtfbQLqBUP-rjYRznmgNFBLOjvAnhGzpIx7BJWq8rk"",""'Worksheet'!$B$2:$H""),7,FALSE)"),0.9)</f>
        <v>0.9</v>
      </c>
      <c r="M4" s="31" t="s">
        <v>40</v>
      </c>
      <c r="N4" s="49">
        <v>5.2111718E8</v>
      </c>
      <c r="O4" s="49">
        <v>1.551886962E8</v>
      </c>
      <c r="P4" s="49">
        <f t="shared" ref="P4:P8" si="4">N4-O4</f>
        <v>365928483.8</v>
      </c>
      <c r="Q4" s="34">
        <f t="shared" si="3"/>
        <v>0.7022</v>
      </c>
      <c r="R4" s="31"/>
      <c r="S4" s="31" t="s">
        <v>45</v>
      </c>
      <c r="T4" s="50"/>
      <c r="U4" s="51"/>
      <c r="V4" s="51"/>
      <c r="W4" s="31"/>
      <c r="X4" s="52" t="s">
        <v>46</v>
      </c>
      <c r="Y4" s="53" t="s">
        <v>47</v>
      </c>
      <c r="Z4" s="54" t="s">
        <v>48</v>
      </c>
      <c r="AA4" s="55">
        <v>46218.0</v>
      </c>
      <c r="AB4" s="56"/>
      <c r="AC4" s="38" t="s">
        <v>49</v>
      </c>
      <c r="AD4" s="39">
        <v>521117.1801</v>
      </c>
      <c r="AE4" s="39">
        <v>155188.6962</v>
      </c>
      <c r="AF4" s="40">
        <v>365928.4839</v>
      </c>
      <c r="AG4" s="57" t="s">
        <v>50</v>
      </c>
      <c r="AH4" s="42" t="s">
        <v>51</v>
      </c>
      <c r="AI4" s="42" t="str">
        <f>IFERROR(__xludf.DUMMYFUNCTION("vLOOKUP(A4,IMPORTRANGE(""https://docs.google.com/spreadsheets/d/1Rawwwdh8wntXGy8isdYNHxsNQS4n_rC8JSdPfj6vEq4"",""'500 объектов перенос на 2026'!A3:AB502""),13,0)"),"#REF!")</f>
        <v>#REF!</v>
      </c>
      <c r="AJ4" s="42" t="str">
        <f>IFERROR(__xludf.DUMMYFUNCTION("vLOOKUP(A4,IMPORTRANGE(""https://docs.google.com/spreadsheets/d/1Rawwwdh8wntXGy8isdYNHxsNQS4n_rC8JSdPfj6vEq4"",""'500 объектов перенос на 2026'!A3:AB502""),14,0)"),"#REF!")</f>
        <v>#REF!</v>
      </c>
      <c r="AK4" s="138" t="s">
        <v>3298</v>
      </c>
      <c r="AL4" s="43"/>
      <c r="AM4" s="43" t="str">
        <f>IFERROR(__xludf.DUMMYFUNCTION("""COMPUTED_VALUE"""),"ООО ПСМ")</f>
        <v>ООО ПСМ</v>
      </c>
      <c r="AN4" s="44">
        <f>IFERROR(__xludf.DUMMYFUNCTION("""COMPUTED_VALUE"""),27.969999999999988)</f>
        <v>27.97</v>
      </c>
      <c r="AO4" s="44" t="str">
        <f>IFS(D2="", "", F2="нет", "Кол.6: не сдано", I2="нет", "Кол.7: не сдано", OR(S2="нет", S2="частично"), "Кол.14: "&amp;S2, OR(M2="нет", M2="частично"), "Кол.9: "&amp;M2, TRUE, "")</f>
        <v/>
      </c>
    </row>
    <row r="5" hidden="1">
      <c r="A5" s="62" t="s">
        <v>55</v>
      </c>
      <c r="B5" s="63" t="s">
        <v>56</v>
      </c>
      <c r="C5" s="64" t="s">
        <v>57</v>
      </c>
      <c r="D5" s="47" t="s">
        <v>58</v>
      </c>
      <c r="E5" s="64" t="s">
        <v>59</v>
      </c>
      <c r="F5" s="31" t="s">
        <v>60</v>
      </c>
      <c r="G5" s="31"/>
      <c r="H5" s="31"/>
      <c r="I5" s="31" t="s">
        <v>40</v>
      </c>
      <c r="J5" s="31" t="s">
        <v>61</v>
      </c>
      <c r="K5" s="31" t="s">
        <v>62</v>
      </c>
      <c r="L5" s="32">
        <f>IFERROR(__xludf.DUMMYFUNCTION("VLOOKUP($A5,IMPORTRANGE(""1PQtfbQLqBUP-rjYRznmgNFBLOjvAnhGzpIx7BJWq8rk"",""'Worksheet'!$B$2:$H""),7,FALSE)"),0.85)</f>
        <v>0.85</v>
      </c>
      <c r="M5" s="31" t="s">
        <v>40</v>
      </c>
      <c r="N5" s="49">
        <v>3.01279365E8</v>
      </c>
      <c r="O5" s="49">
        <v>7.1084755E7</v>
      </c>
      <c r="P5" s="49">
        <f t="shared" si="4"/>
        <v>230194610</v>
      </c>
      <c r="Q5" s="34">
        <f t="shared" si="3"/>
        <v>0.7640570074</v>
      </c>
      <c r="R5" s="31"/>
      <c r="S5" s="31" t="s">
        <v>45</v>
      </c>
      <c r="T5" s="65" t="s">
        <v>3299</v>
      </c>
      <c r="U5" s="67" t="s">
        <v>3300</v>
      </c>
      <c r="V5" s="67" t="s">
        <v>3301</v>
      </c>
      <c r="W5" s="31"/>
      <c r="X5" s="52" t="s">
        <v>63</v>
      </c>
      <c r="Y5" s="54" t="s">
        <v>3302</v>
      </c>
      <c r="Z5" s="68"/>
      <c r="AA5" s="68">
        <v>46249.0</v>
      </c>
      <c r="AB5" s="56"/>
      <c r="AC5" s="38"/>
      <c r="AD5" s="39">
        <v>142169.5</v>
      </c>
      <c r="AE5" s="39">
        <v>71084.755</v>
      </c>
      <c r="AF5" s="40">
        <v>71084.745</v>
      </c>
      <c r="AG5" s="57" t="s">
        <v>65</v>
      </c>
      <c r="AH5" s="69" t="s">
        <v>66</v>
      </c>
      <c r="AI5" s="42" t="str">
        <f>IFERROR(__xludf.DUMMYFUNCTION("vLOOKUP(A5,IMPORTRANGE(""https://docs.google.com/spreadsheets/d/1Rawwwdh8wntXGy8isdYNHxsNQS4n_rC8JSdPfj6vEq4"",""'500 объектов перенос на 2026'!A3:AB502""),13,0)"),"#REF!")</f>
        <v>#REF!</v>
      </c>
      <c r="AJ5" s="42" t="str">
        <f>IFERROR(__xludf.DUMMYFUNCTION("vLOOKUP(A5,IMPORTRANGE(""https://docs.google.com/spreadsheets/d/1Rawwwdh8wntXGy8isdYNHxsNQS4n_rC8JSdPfj6vEq4"",""'500 объектов перенос на 2026'!A3:AB502""),14,0)"),"#REF!")</f>
        <v>#REF!</v>
      </c>
      <c r="AK5" s="70" t="s">
        <v>3303</v>
      </c>
      <c r="AL5" s="43"/>
      <c r="AM5" s="43" t="str">
        <f>IFERROR(__xludf.DUMMYFUNCTION("""COMPUTED_VALUE"""),"ООО ИНЖГОРСТРОЙ")</f>
        <v>ООО ИНЖГОРСТРОЙ</v>
      </c>
      <c r="AN5" s="44">
        <f>IFERROR(__xludf.DUMMYFUNCTION("""COMPUTED_VALUE"""),22.979999999999997)</f>
        <v>22.98</v>
      </c>
      <c r="AO5" s="44"/>
    </row>
    <row r="6" hidden="1">
      <c r="A6" s="62" t="s">
        <v>69</v>
      </c>
      <c r="B6" s="63" t="s">
        <v>70</v>
      </c>
      <c r="C6" s="64" t="s">
        <v>71</v>
      </c>
      <c r="D6" s="47" t="s">
        <v>38</v>
      </c>
      <c r="E6" s="64" t="s">
        <v>59</v>
      </c>
      <c r="F6" s="31" t="s">
        <v>60</v>
      </c>
      <c r="G6" s="31"/>
      <c r="H6" s="31"/>
      <c r="I6" s="31" t="s">
        <v>40</v>
      </c>
      <c r="J6" s="31" t="s">
        <v>43</v>
      </c>
      <c r="K6" s="31" t="s">
        <v>72</v>
      </c>
      <c r="L6" s="32">
        <f>IFERROR(__xludf.DUMMYFUNCTION("VLOOKUP($A6,IMPORTRANGE(""1PQtfbQLqBUP-rjYRznmgNFBLOjvAnhGzpIx7BJWq8rk"",""'Worksheet'!$B$2:$H""),7,FALSE)"),0.88)</f>
        <v>0.88</v>
      </c>
      <c r="M6" s="31" t="s">
        <v>40</v>
      </c>
      <c r="N6" s="49">
        <v>7.4154847189E8</v>
      </c>
      <c r="O6" s="49">
        <v>5.116684456E8</v>
      </c>
      <c r="P6" s="49">
        <f t="shared" si="4"/>
        <v>229880026.3</v>
      </c>
      <c r="Q6" s="34">
        <f t="shared" si="3"/>
        <v>0.31</v>
      </c>
      <c r="R6" s="31"/>
      <c r="S6" s="31" t="s">
        <v>45</v>
      </c>
      <c r="T6" s="72">
        <v>7.128934143E8</v>
      </c>
      <c r="U6" s="67">
        <v>1.6006099768E8</v>
      </c>
      <c r="V6" s="67">
        <v>5.5283241662E8</v>
      </c>
      <c r="W6" s="31"/>
      <c r="X6" s="52" t="s">
        <v>73</v>
      </c>
      <c r="Y6" s="73" t="s">
        <v>74</v>
      </c>
      <c r="Z6" s="54" t="s">
        <v>75</v>
      </c>
      <c r="AA6" s="74">
        <v>46295.0</v>
      </c>
      <c r="AB6" s="56"/>
      <c r="AC6" s="38"/>
      <c r="AD6" s="39">
        <v>741548.47</v>
      </c>
      <c r="AE6" s="39">
        <v>511668.4456</v>
      </c>
      <c r="AF6" s="40">
        <v>229880.0244</v>
      </c>
      <c r="AG6" s="57" t="s">
        <v>76</v>
      </c>
      <c r="AH6" s="42" t="s">
        <v>66</v>
      </c>
      <c r="AI6" s="42" t="str">
        <f>IFERROR(__xludf.DUMMYFUNCTION("vLOOKUP(A6,IMPORTRANGE(""https://docs.google.com/spreadsheets/d/1Rawwwdh8wntXGy8isdYNHxsNQS4n_rC8JSdPfj6vEq4"",""'500 объектов перенос на 2026'!A3:AB502""),13,0)"),"#REF!")</f>
        <v>#REF!</v>
      </c>
      <c r="AJ6" s="42" t="str">
        <f>IFERROR(__xludf.DUMMYFUNCTION("vLOOKUP(A6,IMPORTRANGE(""https://docs.google.com/spreadsheets/d/1Rawwwdh8wntXGy8isdYNHxsNQS4n_rC8JSdPfj6vEq4"",""'500 объектов перенос на 2026'!A3:AB502""),14,0)"),"#REF!")</f>
        <v>#REF!</v>
      </c>
      <c r="AK6" s="70" t="s">
        <v>3304</v>
      </c>
      <c r="AL6" s="43"/>
      <c r="AM6" s="43" t="str">
        <f>IFERROR(__xludf.DUMMYFUNCTION("""COMPUTED_VALUE"""),"АО АВТОБЫТДОР")</f>
        <v>АО АВТОБЫТДОР</v>
      </c>
      <c r="AN6" s="44">
        <f>IFERROR(__xludf.DUMMYFUNCTION("""COMPUTED_VALUE"""),15.330000000000002)</f>
        <v>15.33</v>
      </c>
      <c r="AO6" s="44"/>
    </row>
    <row r="7" hidden="1">
      <c r="A7" s="62" t="s">
        <v>81</v>
      </c>
      <c r="B7" s="63" t="s">
        <v>82</v>
      </c>
      <c r="C7" s="64" t="s">
        <v>83</v>
      </c>
      <c r="D7" s="47" t="s">
        <v>84</v>
      </c>
      <c r="E7" s="64" t="s">
        <v>85</v>
      </c>
      <c r="F7" s="31" t="s">
        <v>60</v>
      </c>
      <c r="G7" s="31"/>
      <c r="H7" s="31"/>
      <c r="I7" s="31" t="s">
        <v>60</v>
      </c>
      <c r="J7" s="31"/>
      <c r="K7" s="31"/>
      <c r="L7" s="32">
        <f>IFERROR(__xludf.DUMMYFUNCTION("VLOOKUP($A7,IMPORTRANGE(""1PQtfbQLqBUP-rjYRznmgNFBLOjvAnhGzpIx7BJWq8rk"",""'Worksheet'!$B$2:$H""),7,FALSE)"),0.99)</f>
        <v>0.99</v>
      </c>
      <c r="M7" s="31" t="s">
        <v>40</v>
      </c>
      <c r="N7" s="49">
        <v>3.0949620393E8</v>
      </c>
      <c r="O7" s="49">
        <v>8.364275E7</v>
      </c>
      <c r="P7" s="49">
        <f t="shared" si="4"/>
        <v>225853453.9</v>
      </c>
      <c r="Q7" s="34">
        <f t="shared" si="3"/>
        <v>0.7297454737</v>
      </c>
      <c r="R7" s="31"/>
      <c r="S7" s="31" t="s">
        <v>45</v>
      </c>
      <c r="T7" s="50" t="s">
        <v>86</v>
      </c>
      <c r="U7" s="51" t="s">
        <v>87</v>
      </c>
      <c r="V7" s="50" t="s">
        <v>88</v>
      </c>
      <c r="W7" s="31" t="s">
        <v>89</v>
      </c>
      <c r="X7" s="52" t="s">
        <v>90</v>
      </c>
      <c r="Y7" s="54" t="s">
        <v>91</v>
      </c>
      <c r="Z7" s="54" t="s">
        <v>92</v>
      </c>
      <c r="AA7" s="74">
        <v>46189.0</v>
      </c>
      <c r="AB7" s="56"/>
      <c r="AC7" s="38" t="s">
        <v>93</v>
      </c>
      <c r="AD7" s="39">
        <v>167285.5</v>
      </c>
      <c r="AE7" s="39">
        <v>83642.75</v>
      </c>
      <c r="AF7" s="40">
        <v>83642.75</v>
      </c>
      <c r="AG7" s="57" t="s">
        <v>94</v>
      </c>
      <c r="AH7" s="42" t="s">
        <v>95</v>
      </c>
      <c r="AI7" s="42" t="str">
        <f>IFERROR(__xludf.DUMMYFUNCTION("vLOOKUP(A7,IMPORTRANGE(""https://docs.google.com/spreadsheets/d/1Rawwwdh8wntXGy8isdYNHxsNQS4n_rC8JSdPfj6vEq4"",""'500 объектов перенос на 2026'!A3:AB502""),13,0)"),"#REF!")</f>
        <v>#REF!</v>
      </c>
      <c r="AJ7" s="42" t="str">
        <f>IFERROR(__xludf.DUMMYFUNCTION("vLOOKUP(A7,IMPORTRANGE(""https://docs.google.com/spreadsheets/d/1Rawwwdh8wntXGy8isdYNHxsNQS4n_rC8JSdPfj6vEq4"",""'500 объектов перенос на 2026'!A3:AB502""),14,0)"),"#REF!")</f>
        <v>#REF!</v>
      </c>
      <c r="AK7" s="76" t="s">
        <v>3305</v>
      </c>
      <c r="AL7" s="43"/>
      <c r="AM7" s="43" t="str">
        <f>IFERROR(__xludf.DUMMYFUNCTION("""COMPUTED_VALUE"""),"ООО КДС")</f>
        <v>ООО КДС</v>
      </c>
      <c r="AN7" s="44">
        <f>IFERROR(__xludf.DUMMYFUNCTION("""COMPUTED_VALUE"""),15.06)</f>
        <v>15.06</v>
      </c>
      <c r="AO7" s="44"/>
    </row>
    <row r="8" hidden="1">
      <c r="A8" s="62" t="s">
        <v>98</v>
      </c>
      <c r="B8" s="63" t="s">
        <v>99</v>
      </c>
      <c r="C8" s="64" t="s">
        <v>100</v>
      </c>
      <c r="D8" s="47" t="s">
        <v>101</v>
      </c>
      <c r="E8" s="64" t="s">
        <v>59</v>
      </c>
      <c r="F8" s="31" t="s">
        <v>60</v>
      </c>
      <c r="G8" s="31"/>
      <c r="H8" s="31"/>
      <c r="I8" s="31" t="s">
        <v>40</v>
      </c>
      <c r="J8" s="31" t="s">
        <v>102</v>
      </c>
      <c r="K8" s="31" t="s">
        <v>72</v>
      </c>
      <c r="L8" s="32">
        <f>IFERROR(__xludf.DUMMYFUNCTION("VLOOKUP($A8,IMPORTRANGE(""1PQtfbQLqBUP-rjYRznmgNFBLOjvAnhGzpIx7BJWq8rk"",""'Worksheet'!$B$2:$H""),7,FALSE)"),0.81)</f>
        <v>0.81</v>
      </c>
      <c r="M8" s="31" t="s">
        <v>40</v>
      </c>
      <c r="N8" s="49">
        <v>2.8046525E8</v>
      </c>
      <c r="O8" s="49">
        <v>7.011631E7</v>
      </c>
      <c r="P8" s="49">
        <f t="shared" si="4"/>
        <v>210348940</v>
      </c>
      <c r="Q8" s="34">
        <f t="shared" si="3"/>
        <v>0.7500000089</v>
      </c>
      <c r="R8" s="31"/>
      <c r="S8" s="31" t="s">
        <v>40</v>
      </c>
      <c r="T8" s="50">
        <v>2.720512925E8</v>
      </c>
      <c r="U8" s="51">
        <v>0.0</v>
      </c>
      <c r="V8" s="51">
        <v>2.720512925E8</v>
      </c>
      <c r="W8" s="31"/>
      <c r="X8" s="52" t="s">
        <v>46</v>
      </c>
      <c r="Y8" s="54" t="s">
        <v>46</v>
      </c>
      <c r="Z8" s="74"/>
      <c r="AA8" s="74">
        <v>46248.0</v>
      </c>
      <c r="AB8" s="56"/>
      <c r="AC8" s="38" t="s">
        <v>103</v>
      </c>
      <c r="AD8" s="39">
        <v>280465.25</v>
      </c>
      <c r="AE8" s="39">
        <v>140232.625</v>
      </c>
      <c r="AF8" s="40">
        <v>140232.625</v>
      </c>
      <c r="AG8" s="57" t="s">
        <v>104</v>
      </c>
      <c r="AH8" s="42" t="s">
        <v>105</v>
      </c>
      <c r="AI8" s="42" t="str">
        <f>IFERROR(__xludf.DUMMYFUNCTION("vLOOKUP(A8,IMPORTRANGE(""https://docs.google.com/spreadsheets/d/1Rawwwdh8wntXGy8isdYNHxsNQS4n_rC8JSdPfj6vEq4"",""'500 объектов перенос на 2026'!A3:AB502""),13,0)"),"#REF!")</f>
        <v>#REF!</v>
      </c>
      <c r="AJ8" s="42" t="str">
        <f>IFERROR(__xludf.DUMMYFUNCTION("vLOOKUP(A8,IMPORTRANGE(""https://docs.google.com/spreadsheets/d/1Rawwwdh8wntXGy8isdYNHxsNQS4n_rC8JSdPfj6vEq4"",""'500 объектов перенос на 2026'!A3:AB502""),14,0)"),"#REF!")</f>
        <v>#REF!</v>
      </c>
      <c r="AK8" s="76" t="s">
        <v>3306</v>
      </c>
      <c r="AL8" s="43"/>
      <c r="AM8" s="43" t="str">
        <f>IFERROR(__xludf.DUMMYFUNCTION("""COMPUTED_VALUE"""),"ООО ГЛАВСТРОЙ")</f>
        <v>ООО ГЛАВСТРОЙ</v>
      </c>
      <c r="AN8" s="44">
        <f>IFERROR(__xludf.DUMMYFUNCTION("""COMPUTED_VALUE"""),12.540000000000001)</f>
        <v>12.54</v>
      </c>
      <c r="AO8" s="44"/>
    </row>
    <row r="9" hidden="1">
      <c r="A9" s="78" t="s">
        <v>109</v>
      </c>
      <c r="B9" s="63" t="s">
        <v>110</v>
      </c>
      <c r="C9" s="64" t="s">
        <v>111</v>
      </c>
      <c r="D9" s="47" t="s">
        <v>112</v>
      </c>
      <c r="E9" s="64" t="s">
        <v>85</v>
      </c>
      <c r="F9" s="31" t="s">
        <v>60</v>
      </c>
      <c r="G9" s="31"/>
      <c r="H9" s="31"/>
      <c r="I9" s="31" t="s">
        <v>60</v>
      </c>
      <c r="J9" s="31"/>
      <c r="K9" s="31"/>
      <c r="L9" s="32" t="str">
        <f>IFERROR(__xludf.DUMMYFUNCTION("VLOOKUP($A9,IMPORTRANGE(""1PQtfbQLqBUP-rjYRznmgNFBLOjvAnhGzpIx7BJWq8rk"",""'Worksheet'!$B$2:$H""),7,FALSE)"),"#N/A")</f>
        <v>#N/A</v>
      </c>
      <c r="M9" s="31" t="s">
        <v>60</v>
      </c>
      <c r="N9" s="49">
        <v>5.283894264E7</v>
      </c>
      <c r="O9" s="49">
        <v>4.126411708E7</v>
      </c>
      <c r="P9" s="49">
        <v>0.0</v>
      </c>
      <c r="Q9" s="34">
        <f t="shared" si="3"/>
        <v>0.2190586144</v>
      </c>
      <c r="R9" s="31"/>
      <c r="S9" s="31" t="s">
        <v>60</v>
      </c>
      <c r="T9" s="50">
        <v>3.820070508E7</v>
      </c>
      <c r="U9" s="50">
        <v>3.820070508E7</v>
      </c>
      <c r="V9" s="51">
        <v>0.0</v>
      </c>
      <c r="W9" s="31"/>
      <c r="X9" s="52" t="s">
        <v>113</v>
      </c>
      <c r="Y9" s="54"/>
      <c r="Z9" s="54"/>
      <c r="AA9" s="54" t="s">
        <v>114</v>
      </c>
      <c r="AB9" s="38" t="s">
        <v>115</v>
      </c>
      <c r="AC9" s="38"/>
      <c r="AD9" s="39">
        <v>52838.94</v>
      </c>
      <c r="AE9" s="39">
        <v>41284.11708</v>
      </c>
      <c r="AF9" s="39">
        <v>11554.82292</v>
      </c>
      <c r="AG9" s="57"/>
      <c r="AH9" s="42" t="s">
        <v>116</v>
      </c>
      <c r="AI9" s="42" t="str">
        <f>IFERROR(__xludf.DUMMYFUNCTION("vLOOKUP(A9,IMPORTRANGE(""https://docs.google.com/spreadsheets/d/1Rawwwdh8wntXGy8isdYNHxsNQS4n_rC8JSdPfj6vEq4"",""'500 объектов перенос на 2026'!A3:AB502""),13,0)"),"#REF!")</f>
        <v>#REF!</v>
      </c>
      <c r="AJ9" s="42" t="str">
        <f>IFERROR(__xludf.DUMMYFUNCTION("vLOOKUP(A9,IMPORTRANGE(""https://docs.google.com/spreadsheets/d/1Rawwwdh8wntXGy8isdYNHxsNQS4n_rC8JSdPfj6vEq4"",""'500 объектов перенос на 2026'!A3:AB502""),14,0)"),"#REF!")</f>
        <v>#REF!</v>
      </c>
      <c r="AK9" s="76" t="s">
        <v>114</v>
      </c>
      <c r="AL9" s="43"/>
      <c r="AM9" s="43" t="str">
        <f>IFERROR(__xludf.DUMMYFUNCTION("""COMPUTED_VALUE"""),"АО МОСОБЛГАЗ")</f>
        <v>АО МОСОБЛГАЗ</v>
      </c>
      <c r="AN9" s="44">
        <f>IFERROR(__xludf.DUMMYFUNCTION("""COMPUTED_VALUE"""),12.5)</f>
        <v>12.5</v>
      </c>
      <c r="AO9" s="44"/>
    </row>
    <row r="10" hidden="1">
      <c r="A10" s="78" t="s">
        <v>118</v>
      </c>
      <c r="B10" s="63" t="s">
        <v>110</v>
      </c>
      <c r="C10" s="64" t="s">
        <v>119</v>
      </c>
      <c r="D10" s="47" t="s">
        <v>112</v>
      </c>
      <c r="E10" s="64" t="s">
        <v>85</v>
      </c>
      <c r="F10" s="31" t="s">
        <v>60</v>
      </c>
      <c r="G10" s="31"/>
      <c r="H10" s="31"/>
      <c r="I10" s="31" t="s">
        <v>60</v>
      </c>
      <c r="J10" s="31"/>
      <c r="K10" s="31"/>
      <c r="L10" s="32" t="str">
        <f>IFERROR(__xludf.DUMMYFUNCTION("VLOOKUP($A10,IMPORTRANGE(""1PQtfbQLqBUP-rjYRznmgNFBLOjvAnhGzpIx7BJWq8rk"",""'Worksheet'!$B$2:$H""),7,FALSE)"),"#N/A")</f>
        <v>#N/A</v>
      </c>
      <c r="M10" s="31" t="s">
        <v>60</v>
      </c>
      <c r="N10" s="49">
        <v>8520544.26</v>
      </c>
      <c r="O10" s="49">
        <v>6353861.49</v>
      </c>
      <c r="P10" s="49">
        <v>0.0</v>
      </c>
      <c r="Q10" s="34">
        <f t="shared" si="3"/>
        <v>0.2542892454</v>
      </c>
      <c r="R10" s="31"/>
      <c r="S10" s="31" t="s">
        <v>60</v>
      </c>
      <c r="T10" s="50">
        <v>2.973575791E7</v>
      </c>
      <c r="U10" s="50">
        <v>2.973575791E7</v>
      </c>
      <c r="V10" s="51">
        <v>0.0</v>
      </c>
      <c r="W10" s="31"/>
      <c r="X10" s="52" t="s">
        <v>113</v>
      </c>
      <c r="Y10" s="54"/>
      <c r="Z10" s="54"/>
      <c r="AA10" s="54" t="s">
        <v>114</v>
      </c>
      <c r="AB10" s="38" t="s">
        <v>115</v>
      </c>
      <c r="AC10" s="38"/>
      <c r="AD10" s="39">
        <v>40767.16</v>
      </c>
      <c r="AE10" s="39">
        <v>31486.58191</v>
      </c>
      <c r="AF10" s="39">
        <v>9280.57809</v>
      </c>
      <c r="AG10" s="57"/>
      <c r="AH10" s="42" t="s">
        <v>116</v>
      </c>
      <c r="AI10" s="42" t="str">
        <f>IFERROR(__xludf.DUMMYFUNCTION("vLOOKUP(A10,IMPORTRANGE(""https://docs.google.com/spreadsheets/d/1Rawwwdh8wntXGy8isdYNHxsNQS4n_rC8JSdPfj6vEq4"",""'500 объектов перенос на 2026'!A3:AB502""),13,0)"),"#REF!")</f>
        <v>#REF!</v>
      </c>
      <c r="AJ10" s="42" t="str">
        <f>IFERROR(__xludf.DUMMYFUNCTION("vLOOKUP(A10,IMPORTRANGE(""https://docs.google.com/spreadsheets/d/1Rawwwdh8wntXGy8isdYNHxsNQS4n_rC8JSdPfj6vEq4"",""'500 объектов перенос на 2026'!A3:AB502""),14,0)"),"#REF!")</f>
        <v>#REF!</v>
      </c>
      <c r="AK10" s="76" t="s">
        <v>114</v>
      </c>
      <c r="AL10" s="43"/>
      <c r="AM10" s="43" t="str">
        <f>IFERROR(__xludf.DUMMYFUNCTION("""COMPUTED_VALUE"""),"ООО РКС")</f>
        <v>ООО РКС</v>
      </c>
      <c r="AN10" s="44">
        <f>IFERROR(__xludf.DUMMYFUNCTION("""COMPUTED_VALUE"""),12.109999999999998)</f>
        <v>12.11</v>
      </c>
      <c r="AO10" s="44"/>
    </row>
    <row r="11" hidden="1">
      <c r="A11" s="78" t="s">
        <v>121</v>
      </c>
      <c r="B11" s="63" t="s">
        <v>110</v>
      </c>
      <c r="C11" s="80" t="s">
        <v>122</v>
      </c>
      <c r="D11" s="47" t="s">
        <v>112</v>
      </c>
      <c r="E11" s="64" t="s">
        <v>85</v>
      </c>
      <c r="F11" s="31" t="s">
        <v>60</v>
      </c>
      <c r="G11" s="31"/>
      <c r="H11" s="31"/>
      <c r="I11" s="31" t="s">
        <v>60</v>
      </c>
      <c r="J11" s="31"/>
      <c r="K11" s="31"/>
      <c r="L11" s="32" t="str">
        <f>IFERROR(__xludf.DUMMYFUNCTION("VLOOKUP($A11,IMPORTRANGE(""1PQtfbQLqBUP-rjYRznmgNFBLOjvAnhGzpIx7BJWq8rk"",""'Worksheet'!$B$2:$H""),7,FALSE)"),"#N/A")</f>
        <v>#N/A</v>
      </c>
      <c r="M11" s="31" t="s">
        <v>60</v>
      </c>
      <c r="N11" s="49">
        <v>4.882174354E7</v>
      </c>
      <c r="O11" s="49">
        <v>4.022355101E7</v>
      </c>
      <c r="P11" s="49">
        <v>0.0</v>
      </c>
      <c r="Q11" s="34">
        <f t="shared" si="3"/>
        <v>0.1761139998</v>
      </c>
      <c r="R11" s="31"/>
      <c r="S11" s="31" t="s">
        <v>60</v>
      </c>
      <c r="T11" s="50">
        <v>3.942990715E7</v>
      </c>
      <c r="U11" s="51">
        <v>3.942990715E7</v>
      </c>
      <c r="V11" s="51">
        <v>0.0</v>
      </c>
      <c r="W11" s="31"/>
      <c r="X11" s="52" t="s">
        <v>113</v>
      </c>
      <c r="Y11" s="54"/>
      <c r="Z11" s="54"/>
      <c r="AA11" s="54" t="s">
        <v>114</v>
      </c>
      <c r="AB11" s="38" t="s">
        <v>115</v>
      </c>
      <c r="AC11" s="38"/>
      <c r="AD11" s="39">
        <v>48821.74</v>
      </c>
      <c r="AE11" s="39">
        <v>40711.38715</v>
      </c>
      <c r="AF11" s="39">
        <v>8110.35285</v>
      </c>
      <c r="AG11" s="57"/>
      <c r="AH11" s="42" t="s">
        <v>116</v>
      </c>
      <c r="AI11" s="42" t="str">
        <f>IFERROR(__xludf.DUMMYFUNCTION("vLOOKUP(A11,IMPORTRANGE(""https://docs.google.com/spreadsheets/d/1Rawwwdh8wntXGy8isdYNHxsNQS4n_rC8JSdPfj6vEq4"",""'500 объектов перенос на 2026'!A3:AB502""),13,0)"),"#REF!")</f>
        <v>#REF!</v>
      </c>
      <c r="AJ11" s="42" t="str">
        <f>IFERROR(__xludf.DUMMYFUNCTION("vLOOKUP(A11,IMPORTRANGE(""https://docs.google.com/spreadsheets/d/1Rawwwdh8wntXGy8isdYNHxsNQS4n_rC8JSdPfj6vEq4"",""'500 объектов перенос на 2026'!A3:AB502""),14,0)"),"#REF!")</f>
        <v>#REF!</v>
      </c>
      <c r="AK11" s="76" t="s">
        <v>114</v>
      </c>
      <c r="AL11" s="43"/>
      <c r="AM11" s="43" t="str">
        <f>IFERROR(__xludf.DUMMYFUNCTION("""COMPUTED_VALUE"""),"ООО РСПК")</f>
        <v>ООО РСПК</v>
      </c>
      <c r="AN11" s="44">
        <f>IFERROR(__xludf.DUMMYFUNCTION("""COMPUTED_VALUE"""),10.6)</f>
        <v>10.6</v>
      </c>
      <c r="AO11" s="44"/>
    </row>
    <row r="12" hidden="1">
      <c r="A12" s="78" t="s">
        <v>123</v>
      </c>
      <c r="B12" s="63" t="s">
        <v>110</v>
      </c>
      <c r="C12" s="64" t="s">
        <v>124</v>
      </c>
      <c r="D12" s="47" t="s">
        <v>112</v>
      </c>
      <c r="E12" s="64" t="s">
        <v>85</v>
      </c>
      <c r="F12" s="31" t="s">
        <v>60</v>
      </c>
      <c r="G12" s="31"/>
      <c r="H12" s="31"/>
      <c r="I12" s="31" t="s">
        <v>60</v>
      </c>
      <c r="J12" s="31"/>
      <c r="K12" s="31"/>
      <c r="L12" s="32" t="str">
        <f>IFERROR(__xludf.DUMMYFUNCTION("VLOOKUP($A12,IMPORTRANGE(""1PQtfbQLqBUP-rjYRznmgNFBLOjvAnhGzpIx7BJWq8rk"",""'Worksheet'!$B$2:$H""),7,FALSE)"),"#N/A")</f>
        <v>#N/A</v>
      </c>
      <c r="M12" s="31" t="s">
        <v>60</v>
      </c>
      <c r="N12" s="49">
        <v>3.118758596E7</v>
      </c>
      <c r="O12" s="49">
        <v>2.669598369E7</v>
      </c>
      <c r="P12" s="49">
        <v>0.0</v>
      </c>
      <c r="Q12" s="34">
        <f t="shared" si="3"/>
        <v>0.1440189143</v>
      </c>
      <c r="R12" s="31"/>
      <c r="S12" s="31" t="s">
        <v>60</v>
      </c>
      <c r="T12" s="50">
        <v>2.685569273E7</v>
      </c>
      <c r="U12" s="51">
        <v>2.685569273E7</v>
      </c>
      <c r="V12" s="51">
        <v>0.0</v>
      </c>
      <c r="W12" s="31"/>
      <c r="X12" s="52" t="s">
        <v>113</v>
      </c>
      <c r="Y12" s="54"/>
      <c r="Z12" s="54"/>
      <c r="AA12" s="54" t="s">
        <v>114</v>
      </c>
      <c r="AB12" s="38" t="s">
        <v>115</v>
      </c>
      <c r="AC12" s="38"/>
      <c r="AD12" s="39">
        <v>31187.59</v>
      </c>
      <c r="AE12" s="39">
        <v>28397.84161</v>
      </c>
      <c r="AF12" s="39">
        <v>2789.74839</v>
      </c>
      <c r="AG12" s="57"/>
      <c r="AH12" s="42" t="s">
        <v>116</v>
      </c>
      <c r="AI12" s="42" t="str">
        <f>IFERROR(__xludf.DUMMYFUNCTION("vLOOKUP(A12,IMPORTRANGE(""https://docs.google.com/spreadsheets/d/1Rawwwdh8wntXGy8isdYNHxsNQS4n_rC8JSdPfj6vEq4"",""'500 объектов перенос на 2026'!A3:AB502""),13,0)"),"#REF!")</f>
        <v>#REF!</v>
      </c>
      <c r="AJ12" s="42" t="str">
        <f>IFERROR(__xludf.DUMMYFUNCTION("vLOOKUP(A12,IMPORTRANGE(""https://docs.google.com/spreadsheets/d/1Rawwwdh8wntXGy8isdYNHxsNQS4n_rC8JSdPfj6vEq4"",""'500 объектов перенос на 2026'!A3:AB502""),14,0)"),"#REF!")</f>
        <v>#REF!</v>
      </c>
      <c r="AK12" s="76" t="s">
        <v>114</v>
      </c>
      <c r="AL12" s="43"/>
      <c r="AM12" s="43" t="str">
        <f>IFERROR(__xludf.DUMMYFUNCTION("""COMPUTED_VALUE"""),"АО МОСОБЛТЕПЛО")</f>
        <v>АО МОСОБЛТЕПЛО</v>
      </c>
      <c r="AN12" s="44">
        <f>IFERROR(__xludf.DUMMYFUNCTION("""COMPUTED_VALUE"""),8.83)</f>
        <v>8.83</v>
      </c>
      <c r="AO12" s="44"/>
    </row>
    <row r="13" hidden="1">
      <c r="A13" s="81" t="s">
        <v>125</v>
      </c>
      <c r="B13" s="63" t="s">
        <v>126</v>
      </c>
      <c r="C13" s="64" t="s">
        <v>127</v>
      </c>
      <c r="D13" s="47" t="s">
        <v>128</v>
      </c>
      <c r="E13" s="64" t="s">
        <v>85</v>
      </c>
      <c r="F13" s="31" t="s">
        <v>60</v>
      </c>
      <c r="G13" s="31"/>
      <c r="H13" s="31"/>
      <c r="I13" s="31" t="s">
        <v>60</v>
      </c>
      <c r="J13" s="31"/>
      <c r="K13" s="31"/>
      <c r="L13" s="32">
        <f>IFERROR(__xludf.DUMMYFUNCTION("VLOOKUP($A13,IMPORTRANGE(""1PQtfbQLqBUP-rjYRznmgNFBLOjvAnhGzpIx7BJWq8rk"",""'Worksheet'!$B$2:$H""),7,FALSE)"),1.0)</f>
        <v>1</v>
      </c>
      <c r="M13" s="31" t="s">
        <v>60</v>
      </c>
      <c r="N13" s="49">
        <v>1.5425222364E8</v>
      </c>
      <c r="O13" s="49">
        <v>1.433674895E8</v>
      </c>
      <c r="P13" s="49">
        <v>0.0</v>
      </c>
      <c r="Q13" s="34">
        <f t="shared" si="3"/>
        <v>0.07056452013</v>
      </c>
      <c r="R13" s="31"/>
      <c r="S13" s="31" t="s">
        <v>60</v>
      </c>
      <c r="T13" s="50" t="s">
        <v>129</v>
      </c>
      <c r="U13" s="50" t="s">
        <v>129</v>
      </c>
      <c r="V13" s="51">
        <v>0.0</v>
      </c>
      <c r="W13" s="31"/>
      <c r="X13" s="52" t="s">
        <v>46</v>
      </c>
      <c r="Y13" s="68"/>
      <c r="Z13" s="68"/>
      <c r="AA13" s="54" t="s">
        <v>114</v>
      </c>
      <c r="AB13" s="82"/>
      <c r="AC13" s="83">
        <v>46325.0</v>
      </c>
      <c r="AD13" s="39">
        <v>146362.4523</v>
      </c>
      <c r="AE13" s="39">
        <v>36526.32717</v>
      </c>
      <c r="AF13" s="40">
        <v>109836.1252</v>
      </c>
      <c r="AG13" s="57" t="s">
        <v>130</v>
      </c>
      <c r="AH13" s="42" t="s">
        <v>131</v>
      </c>
      <c r="AI13" s="42" t="str">
        <f>IFERROR(__xludf.DUMMYFUNCTION("vLOOKUP(A13,IMPORTRANGE(""https://docs.google.com/spreadsheets/d/1Rawwwdh8wntXGy8isdYNHxsNQS4n_rC8JSdPfj6vEq4"",""'500 объектов перенос на 2026'!A3:AB502""),13,0)"),"#REF!")</f>
        <v>#REF!</v>
      </c>
      <c r="AJ13" s="42" t="str">
        <f>IFERROR(__xludf.DUMMYFUNCTION("vLOOKUP(A13,IMPORTRANGE(""https://docs.google.com/spreadsheets/d/1Rawwwdh8wntXGy8isdYNHxsNQS4n_rC8JSdPfj6vEq4"",""'500 объектов перенос на 2026'!A3:AB502""),14,0)"),"#REF!")</f>
        <v>#REF!</v>
      </c>
      <c r="AK13" s="76" t="s">
        <v>114</v>
      </c>
      <c r="AL13" s="43"/>
      <c r="AM13" s="43" t="str">
        <f>IFERROR(__xludf.DUMMYFUNCTION("""COMPUTED_VALUE"""),"ООО ТЕПЛОПОРТ")</f>
        <v>ООО ТЕПЛОПОРТ</v>
      </c>
      <c r="AN13" s="44">
        <f>IFERROR(__xludf.DUMMYFUNCTION("""COMPUTED_VALUE"""),6.8100000000000005)</f>
        <v>6.81</v>
      </c>
      <c r="AO13" s="44"/>
    </row>
    <row r="14" hidden="1">
      <c r="A14" s="62" t="s">
        <v>132</v>
      </c>
      <c r="B14" s="63" t="s">
        <v>133</v>
      </c>
      <c r="C14" s="64" t="s">
        <v>134</v>
      </c>
      <c r="D14" s="47" t="s">
        <v>135</v>
      </c>
      <c r="E14" s="64" t="s">
        <v>85</v>
      </c>
      <c r="F14" s="31" t="s">
        <v>60</v>
      </c>
      <c r="G14" s="31"/>
      <c r="H14" s="31"/>
      <c r="I14" s="31" t="s">
        <v>40</v>
      </c>
      <c r="J14" s="31" t="s">
        <v>102</v>
      </c>
      <c r="K14" s="31" t="s">
        <v>72</v>
      </c>
      <c r="L14" s="32">
        <f>IFERROR(__xludf.DUMMYFUNCTION("VLOOKUP($A14,IMPORTRANGE(""1PQtfbQLqBUP-rjYRznmgNFBLOjvAnhGzpIx7BJWq8rk"",""'Worksheet'!$B$2:$H""),7,FALSE)"),0.22)</f>
        <v>0.22</v>
      </c>
      <c r="M14" s="31" t="s">
        <v>45</v>
      </c>
      <c r="N14" s="49">
        <v>2.46616321E8</v>
      </c>
      <c r="O14" s="49">
        <v>4.0E7</v>
      </c>
      <c r="P14" s="49">
        <f t="shared" ref="P14:P16" si="5">N14-O14</f>
        <v>206616321</v>
      </c>
      <c r="Q14" s="34">
        <f t="shared" si="3"/>
        <v>0.8378047331</v>
      </c>
      <c r="R14" s="31"/>
      <c r="S14" s="31" t="s">
        <v>40</v>
      </c>
      <c r="T14" s="84">
        <f>N14*0.95</f>
        <v>234285505</v>
      </c>
      <c r="U14" s="84">
        <v>0.0</v>
      </c>
      <c r="V14" s="84">
        <v>2.3428550495E8</v>
      </c>
      <c r="W14" s="31"/>
      <c r="X14" s="52" t="s">
        <v>46</v>
      </c>
      <c r="Y14" s="54" t="s">
        <v>136</v>
      </c>
      <c r="Z14" s="74"/>
      <c r="AA14" s="74">
        <v>46280.0</v>
      </c>
      <c r="AB14" s="56"/>
      <c r="AC14" s="38"/>
      <c r="AD14" s="39">
        <v>297701.13</v>
      </c>
      <c r="AE14" s="39">
        <v>0.0</v>
      </c>
      <c r="AF14" s="40">
        <v>297701.13</v>
      </c>
      <c r="AG14" s="57" t="s">
        <v>137</v>
      </c>
      <c r="AH14" s="42" t="s">
        <v>138</v>
      </c>
      <c r="AI14" s="42" t="str">
        <f>IFERROR(__xludf.DUMMYFUNCTION("vLOOKUP(A14,IMPORTRANGE(""https://docs.google.com/spreadsheets/d/1Rawwwdh8wntXGy8isdYNHxsNQS4n_rC8JSdPfj6vEq4"",""'500 объектов перенос на 2026'!A3:AB502""),13,0)"),"#REF!")</f>
        <v>#REF!</v>
      </c>
      <c r="AJ14" s="85" t="s">
        <v>139</v>
      </c>
      <c r="AK14" s="86" t="s">
        <v>140</v>
      </c>
      <c r="AL14" s="43"/>
      <c r="AM14" s="43" t="str">
        <f>IFERROR(__xludf.DUMMYFUNCTION("""COMPUTED_VALUE"""),"ООО ТК СТРОЙ")</f>
        <v>ООО ТК СТРОЙ</v>
      </c>
      <c r="AN14" s="44">
        <f>IFERROR(__xludf.DUMMYFUNCTION("""COMPUTED_VALUE"""),6.5600000000000005)</f>
        <v>6.56</v>
      </c>
      <c r="AO14" s="44"/>
    </row>
    <row r="15" hidden="1">
      <c r="A15" s="62" t="s">
        <v>141</v>
      </c>
      <c r="B15" s="63" t="s">
        <v>142</v>
      </c>
      <c r="C15" s="64" t="s">
        <v>143</v>
      </c>
      <c r="D15" s="47" t="s">
        <v>144</v>
      </c>
      <c r="E15" s="64" t="s">
        <v>59</v>
      </c>
      <c r="F15" s="31" t="s">
        <v>60</v>
      </c>
      <c r="G15" s="31"/>
      <c r="H15" s="31"/>
      <c r="I15" s="31" t="s">
        <v>60</v>
      </c>
      <c r="J15" s="31"/>
      <c r="K15" s="31"/>
      <c r="L15" s="32">
        <f>IFERROR(__xludf.DUMMYFUNCTION("VLOOKUP($A15,IMPORTRANGE(""1PQtfbQLqBUP-rjYRznmgNFBLOjvAnhGzpIx7BJWq8rk"",""'Worksheet'!$B$2:$H""),7,FALSE)"),0.94)</f>
        <v>0.94</v>
      </c>
      <c r="M15" s="31" t="s">
        <v>45</v>
      </c>
      <c r="N15" s="49">
        <v>2.1989956081E8</v>
      </c>
      <c r="O15" s="49">
        <v>1.3998609132E8</v>
      </c>
      <c r="P15" s="49">
        <f t="shared" si="5"/>
        <v>79913469.49</v>
      </c>
      <c r="Q15" s="34">
        <f t="shared" si="3"/>
        <v>0.3634089545</v>
      </c>
      <c r="R15" s="31"/>
      <c r="S15" s="31" t="s">
        <v>45</v>
      </c>
      <c r="T15" s="88" t="s">
        <v>145</v>
      </c>
      <c r="U15" s="88" t="s">
        <v>146</v>
      </c>
      <c r="V15" s="88" t="s">
        <v>147</v>
      </c>
      <c r="W15" s="31" t="s">
        <v>148</v>
      </c>
      <c r="X15" s="52" t="s">
        <v>149</v>
      </c>
      <c r="Y15" s="89" t="s">
        <v>150</v>
      </c>
      <c r="Z15" s="55"/>
      <c r="AA15" s="55">
        <v>46204.0</v>
      </c>
      <c r="AB15" s="56"/>
      <c r="AC15" s="38"/>
      <c r="AD15" s="39">
        <v>93078.51</v>
      </c>
      <c r="AE15" s="39">
        <v>27783.93523</v>
      </c>
      <c r="AF15" s="40">
        <v>65294.57477</v>
      </c>
      <c r="AG15" s="57" t="s">
        <v>151</v>
      </c>
      <c r="AH15" s="85" t="s">
        <v>46</v>
      </c>
      <c r="AI15" s="42" t="str">
        <f>IFERROR(__xludf.DUMMYFUNCTION("vLOOKUP(A15,IMPORTRANGE(""https://docs.google.com/spreadsheets/d/1Rawwwdh8wntXGy8isdYNHxsNQS4n_rC8JSdPfj6vEq4"",""'500 объектов перенос на 2026'!A3:AB502""),13,0)"),"#REF!")</f>
        <v>#REF!</v>
      </c>
      <c r="AJ15" s="42" t="str">
        <f>IFERROR(__xludf.DUMMYFUNCTION("vLOOKUP(A15,IMPORTRANGE(""https://docs.google.com/spreadsheets/d/1Rawwwdh8wntXGy8isdYNHxsNQS4n_rC8JSdPfj6vEq4"",""'500 объектов перенос на 2026'!A3:AB502""),14,0)"),"#REF!")</f>
        <v>#REF!</v>
      </c>
      <c r="AK15" s="76" t="s">
        <v>152</v>
      </c>
      <c r="AL15" s="43"/>
      <c r="AM15" s="43" t="str">
        <f>IFERROR(__xludf.DUMMYFUNCTION("""COMPUTED_VALUE"""),"ООО А-ГРУПП")</f>
        <v>ООО А-ГРУПП</v>
      </c>
      <c r="AN15" s="44">
        <f>IFERROR(__xludf.DUMMYFUNCTION("""COMPUTED_VALUE"""),6.53)</f>
        <v>6.53</v>
      </c>
      <c r="AO15" s="44"/>
    </row>
    <row r="16" hidden="1">
      <c r="A16" s="62" t="s">
        <v>153</v>
      </c>
      <c r="B16" s="63" t="s">
        <v>99</v>
      </c>
      <c r="C16" s="90" t="s">
        <v>154</v>
      </c>
      <c r="D16" s="47" t="s">
        <v>101</v>
      </c>
      <c r="E16" s="90" t="s">
        <v>155</v>
      </c>
      <c r="F16" s="31" t="s">
        <v>40</v>
      </c>
      <c r="G16" s="31" t="s">
        <v>41</v>
      </c>
      <c r="H16" s="31" t="s">
        <v>157</v>
      </c>
      <c r="I16" s="31" t="s">
        <v>40</v>
      </c>
      <c r="J16" s="31" t="s">
        <v>102</v>
      </c>
      <c r="K16" s="31"/>
      <c r="L16" s="32">
        <f>IFERROR(__xludf.DUMMYFUNCTION("VLOOKUP($A16,IMPORTRANGE(""1PQtfbQLqBUP-rjYRznmgNFBLOjvAnhGzpIx7BJWq8rk"",""'Worksheet'!$B$2:$H""),7,FALSE)"),0.45)</f>
        <v>0.45</v>
      </c>
      <c r="M16" s="31" t="s">
        <v>40</v>
      </c>
      <c r="N16" s="49">
        <v>2.7422625E8</v>
      </c>
      <c r="O16" s="49">
        <v>8.2267875E7</v>
      </c>
      <c r="P16" s="49">
        <f t="shared" si="5"/>
        <v>191958375</v>
      </c>
      <c r="Q16" s="34">
        <f t="shared" si="3"/>
        <v>0.7</v>
      </c>
      <c r="R16" s="31"/>
      <c r="S16" s="31" t="s">
        <v>40</v>
      </c>
      <c r="T16" s="84" t="s">
        <v>158</v>
      </c>
      <c r="U16" s="84">
        <v>0.0</v>
      </c>
      <c r="V16" s="84" t="s">
        <v>158</v>
      </c>
      <c r="W16" s="31"/>
      <c r="X16" s="52" t="s">
        <v>46</v>
      </c>
      <c r="Y16" s="54" t="s">
        <v>159</v>
      </c>
      <c r="Z16" s="54" t="s">
        <v>160</v>
      </c>
      <c r="AA16" s="74">
        <v>46296.0</v>
      </c>
      <c r="AB16" s="56"/>
      <c r="AC16" s="38"/>
      <c r="AD16" s="39">
        <v>274226.25</v>
      </c>
      <c r="AE16" s="39">
        <v>82267.875</v>
      </c>
      <c r="AF16" s="40">
        <v>191958.375</v>
      </c>
      <c r="AG16" s="57" t="s">
        <v>161</v>
      </c>
      <c r="AH16" s="42" t="s">
        <v>105</v>
      </c>
      <c r="AI16" s="42" t="str">
        <f>IFERROR(__xludf.DUMMYFUNCTION("vLOOKUP(A16,IMPORTRANGE(""https://docs.google.com/spreadsheets/d/1Rawwwdh8wntXGy8isdYNHxsNQS4n_rC8JSdPfj6vEq4"",""'500 объектов перенос на 2026'!A3:AB502""),13,0)"),"#REF!")</f>
        <v>#REF!</v>
      </c>
      <c r="AJ16" s="42" t="str">
        <f>IFERROR(__xludf.DUMMYFUNCTION("vLOOKUP(A16,IMPORTRANGE(""https://docs.google.com/spreadsheets/d/1Rawwwdh8wntXGy8isdYNHxsNQS4n_rC8JSdPfj6vEq4"",""'500 объектов перенос на 2026'!A3:AB502""),14,0)"),"#REF!")</f>
        <v>#REF!</v>
      </c>
      <c r="AK16" s="76" t="s">
        <v>3307</v>
      </c>
      <c r="AL16" s="43"/>
      <c r="AM16" s="43" t="str">
        <f>IFERROR(__xludf.DUMMYFUNCTION("""COMPUTED_VALUE"""),"АО ГК ЕКС")</f>
        <v>АО ГК ЕКС</v>
      </c>
      <c r="AN16" s="44">
        <f>IFERROR(__xludf.DUMMYFUNCTION("""COMPUTED_VALUE"""),5.6)</f>
        <v>5.6</v>
      </c>
      <c r="AO16" s="44"/>
    </row>
    <row r="17" hidden="1">
      <c r="A17" s="78" t="s">
        <v>164</v>
      </c>
      <c r="B17" s="63" t="s">
        <v>126</v>
      </c>
      <c r="C17" s="90" t="s">
        <v>165</v>
      </c>
      <c r="D17" s="47" t="s">
        <v>166</v>
      </c>
      <c r="E17" s="64" t="s">
        <v>85</v>
      </c>
      <c r="F17" s="31" t="s">
        <v>60</v>
      </c>
      <c r="G17" s="31"/>
      <c r="H17" s="31"/>
      <c r="I17" s="31" t="s">
        <v>60</v>
      </c>
      <c r="J17" s="31"/>
      <c r="K17" s="31"/>
      <c r="L17" s="32" t="str">
        <f>IFERROR(__xludf.DUMMYFUNCTION("VLOOKUP($A17,IMPORTRANGE(""1PQtfbQLqBUP-rjYRznmgNFBLOjvAnhGzpIx7BJWq8rk"",""'Worksheet'!$B$2:$H""),7,FALSE)"),"#N/A")</f>
        <v>#N/A</v>
      </c>
      <c r="M17" s="31" t="s">
        <v>60</v>
      </c>
      <c r="N17" s="49">
        <v>1.4452258402E8</v>
      </c>
      <c r="O17" s="49">
        <v>1.0990151421E8</v>
      </c>
      <c r="P17" s="49">
        <v>0.0</v>
      </c>
      <c r="Q17" s="34">
        <f t="shared" si="3"/>
        <v>0.2395547384</v>
      </c>
      <c r="R17" s="31"/>
      <c r="S17" s="31" t="s">
        <v>60</v>
      </c>
      <c r="T17" s="91">
        <v>1.37296455E8</v>
      </c>
      <c r="U17" s="91">
        <v>1.37296455E8</v>
      </c>
      <c r="V17" s="51">
        <v>0.0</v>
      </c>
      <c r="W17" s="31"/>
      <c r="X17" s="92" t="s">
        <v>113</v>
      </c>
      <c r="Y17" s="74"/>
      <c r="Z17" s="74"/>
      <c r="AA17" s="54" t="s">
        <v>114</v>
      </c>
      <c r="AB17" s="38" t="s">
        <v>115</v>
      </c>
      <c r="AC17" s="38"/>
      <c r="AD17" s="39">
        <v>144552.58</v>
      </c>
      <c r="AE17" s="39">
        <v>121662.7413</v>
      </c>
      <c r="AF17" s="39">
        <v>22889.83875</v>
      </c>
      <c r="AG17" s="57" t="s">
        <v>167</v>
      </c>
      <c r="AH17" s="42" t="s">
        <v>168</v>
      </c>
      <c r="AI17" s="42" t="str">
        <f>IFERROR(__xludf.DUMMYFUNCTION("vLOOKUP(A17,IMPORTRANGE(""https://docs.google.com/spreadsheets/d/1Rawwwdh8wntXGy8isdYNHxsNQS4n_rC8JSdPfj6vEq4"",""'500 объектов перенос на 2026'!A3:AB502""),13,0)"),"#REF!")</f>
        <v>#REF!</v>
      </c>
      <c r="AJ17" s="42" t="str">
        <f>IFERROR(__xludf.DUMMYFUNCTION("vLOOKUP(A17,IMPORTRANGE(""https://docs.google.com/spreadsheets/d/1Rawwwdh8wntXGy8isdYNHxsNQS4n_rC8JSdPfj6vEq4"",""'500 объектов перенос на 2026'!A3:AB502""),14,0)"),"#REF!")</f>
        <v>#REF!</v>
      </c>
      <c r="AK17" s="76" t="s">
        <v>114</v>
      </c>
      <c r="AL17" s="43"/>
      <c r="AM17" s="43" t="str">
        <f>IFERROR(__xludf.DUMMYFUNCTION("""COMPUTED_VALUE"""),"ООО ЭРГАНА")</f>
        <v>ООО ЭРГАНА</v>
      </c>
      <c r="AN17" s="44">
        <f>IFERROR(__xludf.DUMMYFUNCTION("""COMPUTED_VALUE"""),5.54)</f>
        <v>5.54</v>
      </c>
      <c r="AO17" s="44"/>
    </row>
    <row r="18" hidden="1">
      <c r="A18" s="78" t="s">
        <v>169</v>
      </c>
      <c r="B18" s="63" t="s">
        <v>126</v>
      </c>
      <c r="C18" s="64" t="s">
        <v>170</v>
      </c>
      <c r="D18" s="47" t="s">
        <v>171</v>
      </c>
      <c r="E18" s="64" t="s">
        <v>85</v>
      </c>
      <c r="F18" s="31" t="s">
        <v>60</v>
      </c>
      <c r="G18" s="31"/>
      <c r="H18" s="31"/>
      <c r="I18" s="31" t="s">
        <v>60</v>
      </c>
      <c r="J18" s="31"/>
      <c r="K18" s="31"/>
      <c r="L18" s="32" t="str">
        <f>IFERROR(__xludf.DUMMYFUNCTION("VLOOKUP($A18,IMPORTRANGE(""1PQtfbQLqBUP-rjYRznmgNFBLOjvAnhGzpIx7BJWq8rk"",""'Worksheet'!$B$2:$H""),7,FALSE)"),"#N/A")</f>
        <v>#N/A</v>
      </c>
      <c r="M18" s="31" t="s">
        <v>60</v>
      </c>
      <c r="N18" s="49">
        <v>2.841045E7</v>
      </c>
      <c r="O18" s="49">
        <v>1.659223329E7</v>
      </c>
      <c r="P18" s="49">
        <v>0.0</v>
      </c>
      <c r="Q18" s="34">
        <f t="shared" si="3"/>
        <v>0.4159813276</v>
      </c>
      <c r="R18" s="31"/>
      <c r="S18" s="31" t="s">
        <v>60</v>
      </c>
      <c r="T18" s="50" t="s">
        <v>172</v>
      </c>
      <c r="U18" s="50" t="s">
        <v>172</v>
      </c>
      <c r="V18" s="51">
        <v>0.0</v>
      </c>
      <c r="W18" s="31"/>
      <c r="X18" s="92" t="s">
        <v>113</v>
      </c>
      <c r="Y18" s="54"/>
      <c r="Z18" s="54"/>
      <c r="AA18" s="54" t="s">
        <v>114</v>
      </c>
      <c r="AB18" s="38" t="s">
        <v>115</v>
      </c>
      <c r="AC18" s="38" t="s">
        <v>173</v>
      </c>
      <c r="AD18" s="39">
        <v>28410.45</v>
      </c>
      <c r="AE18" s="39">
        <v>18601.00354</v>
      </c>
      <c r="AF18" s="39">
        <v>9809.44646</v>
      </c>
      <c r="AG18" s="57" t="s">
        <v>174</v>
      </c>
      <c r="AH18" s="42" t="s">
        <v>175</v>
      </c>
      <c r="AI18" s="42" t="str">
        <f>IFERROR(__xludf.DUMMYFUNCTION("vLOOKUP(A18,IMPORTRANGE(""https://docs.google.com/spreadsheets/d/1Rawwwdh8wntXGy8isdYNHxsNQS4n_rC8JSdPfj6vEq4"",""'500 объектов перенос на 2026'!A3:AB502""),13,0)"),"#REF!")</f>
        <v>#REF!</v>
      </c>
      <c r="AJ18" s="42" t="str">
        <f>IFERROR(__xludf.DUMMYFUNCTION("vLOOKUP(A18,IMPORTRANGE(""https://docs.google.com/spreadsheets/d/1Rawwwdh8wntXGy8isdYNHxsNQS4n_rC8JSdPfj6vEq4"",""'500 объектов перенос на 2026'!A3:AB502""),14,0)"),"#REF!")</f>
        <v>#REF!</v>
      </c>
      <c r="AK18" s="76" t="s">
        <v>114</v>
      </c>
      <c r="AL18" s="43"/>
      <c r="AM18" s="43" t="str">
        <f>IFERROR(__xludf.DUMMYFUNCTION("""COMPUTED_VALUE"""),"ООО СМУ-ЭС")</f>
        <v>ООО СМУ-ЭС</v>
      </c>
      <c r="AN18" s="44">
        <f>IFERROR(__xludf.DUMMYFUNCTION("""COMPUTED_VALUE"""),5.25)</f>
        <v>5.25</v>
      </c>
      <c r="AO18" s="44"/>
    </row>
    <row r="19" hidden="1">
      <c r="A19" s="62" t="s">
        <v>176</v>
      </c>
      <c r="B19" s="63" t="s">
        <v>177</v>
      </c>
      <c r="C19" s="90" t="s">
        <v>178</v>
      </c>
      <c r="D19" s="47" t="s">
        <v>179</v>
      </c>
      <c r="E19" s="64" t="s">
        <v>85</v>
      </c>
      <c r="F19" s="31" t="s">
        <v>60</v>
      </c>
      <c r="G19" s="31"/>
      <c r="H19" s="31"/>
      <c r="I19" s="31" t="s">
        <v>60</v>
      </c>
      <c r="J19" s="31"/>
      <c r="K19" s="31"/>
      <c r="L19" s="32">
        <f>IFERROR(__xludf.DUMMYFUNCTION("VLOOKUP($A19,IMPORTRANGE(""1PQtfbQLqBUP-rjYRznmgNFBLOjvAnhGzpIx7BJWq8rk"",""'Worksheet'!$B$2:$H""),7,FALSE)"),0.98)</f>
        <v>0.98</v>
      </c>
      <c r="M19" s="31" t="s">
        <v>40</v>
      </c>
      <c r="N19" s="49">
        <v>1.90085E8</v>
      </c>
      <c r="O19" s="49">
        <v>0.0</v>
      </c>
      <c r="P19" s="49">
        <f t="shared" ref="P19:P20" si="6">N19-O19</f>
        <v>190085000</v>
      </c>
      <c r="Q19" s="34">
        <f t="shared" si="3"/>
        <v>1</v>
      </c>
      <c r="R19" s="31"/>
      <c r="S19" s="31" t="s">
        <v>40</v>
      </c>
      <c r="T19" s="88" t="s">
        <v>3308</v>
      </c>
      <c r="U19" s="88">
        <v>0.0</v>
      </c>
      <c r="V19" s="88" t="s">
        <v>3308</v>
      </c>
      <c r="W19" s="31" t="s">
        <v>183</v>
      </c>
      <c r="X19" s="52" t="s">
        <v>184</v>
      </c>
      <c r="Y19" s="54" t="s">
        <v>185</v>
      </c>
      <c r="Z19" s="54" t="s">
        <v>186</v>
      </c>
      <c r="AA19" s="74">
        <v>46235.0</v>
      </c>
      <c r="AB19" s="56"/>
      <c r="AC19" s="38" t="s">
        <v>187</v>
      </c>
      <c r="AD19" s="39">
        <v>190110.0</v>
      </c>
      <c r="AE19" s="39">
        <v>57025.5</v>
      </c>
      <c r="AF19" s="40">
        <v>133084.5</v>
      </c>
      <c r="AG19" s="93" t="s">
        <v>188</v>
      </c>
      <c r="AH19" s="85"/>
      <c r="AI19" s="42" t="str">
        <f>IFERROR(__xludf.DUMMYFUNCTION("vLOOKUP(A19,IMPORTRANGE(""https://docs.google.com/spreadsheets/d/1Rawwwdh8wntXGy8isdYNHxsNQS4n_rC8JSdPfj6vEq4"",""'500 объектов перенос на 2026'!A3:AB502""),13,0)"),"#REF!")</f>
        <v>#REF!</v>
      </c>
      <c r="AJ19" s="42" t="str">
        <f>IFERROR(__xludf.DUMMYFUNCTION("vLOOKUP(A19,IMPORTRANGE(""https://docs.google.com/spreadsheets/d/1Rawwwdh8wntXGy8isdYNHxsNQS4n_rC8JSdPfj6vEq4"",""'500 объектов перенос на 2026'!A3:AB502""),14,0)"),"#REF!")</f>
        <v>#REF!</v>
      </c>
      <c r="AK19" s="138" t="s">
        <v>3309</v>
      </c>
      <c r="AL19" s="43"/>
      <c r="AM19" s="43" t="str">
        <f>IFERROR(__xludf.DUMMYFUNCTION("""COMPUTED_VALUE"""),"ООО СК МАГИРУС")</f>
        <v>ООО СК МАГИРУС</v>
      </c>
      <c r="AN19" s="44">
        <f>IFERROR(__xludf.DUMMYFUNCTION("""COMPUTED_VALUE"""),4.9399999999999995)</f>
        <v>4.94</v>
      </c>
      <c r="AO19" s="44"/>
    </row>
    <row r="20" hidden="1">
      <c r="A20" s="78" t="s">
        <v>191</v>
      </c>
      <c r="B20" s="63" t="s">
        <v>126</v>
      </c>
      <c r="C20" s="64" t="s">
        <v>192</v>
      </c>
      <c r="D20" s="47" t="s">
        <v>193</v>
      </c>
      <c r="E20" s="64" t="s">
        <v>59</v>
      </c>
      <c r="F20" s="31" t="s">
        <v>60</v>
      </c>
      <c r="G20" s="31"/>
      <c r="H20" s="31"/>
      <c r="I20" s="31" t="s">
        <v>60</v>
      </c>
      <c r="J20" s="31"/>
      <c r="K20" s="31"/>
      <c r="L20" s="32" t="str">
        <f>IFERROR(__xludf.DUMMYFUNCTION("VLOOKUP($A20,IMPORTRANGE(""1PQtfbQLqBUP-rjYRznmgNFBLOjvAnhGzpIx7BJWq8rk"",""'Worksheet'!$B$2:$H""),7,FALSE)"),"#N/A")</f>
        <v>#N/A</v>
      </c>
      <c r="M20" s="31" t="s">
        <v>60</v>
      </c>
      <c r="N20" s="49">
        <v>2399700.0</v>
      </c>
      <c r="O20" s="49">
        <v>2399700.0</v>
      </c>
      <c r="P20" s="49">
        <f t="shared" si="6"/>
        <v>0</v>
      </c>
      <c r="Q20" s="34">
        <f t="shared" si="3"/>
        <v>0</v>
      </c>
      <c r="R20" s="31"/>
      <c r="S20" s="31" t="s">
        <v>60</v>
      </c>
      <c r="T20" s="50" t="s">
        <v>194</v>
      </c>
      <c r="U20" s="50" t="s">
        <v>194</v>
      </c>
      <c r="V20" s="51">
        <v>0.0</v>
      </c>
      <c r="W20" s="31"/>
      <c r="X20" s="92" t="s">
        <v>113</v>
      </c>
      <c r="Y20" s="54"/>
      <c r="Z20" s="54"/>
      <c r="AA20" s="54" t="s">
        <v>114</v>
      </c>
      <c r="AB20" s="38" t="s">
        <v>115</v>
      </c>
      <c r="AC20" s="38" t="s">
        <v>173</v>
      </c>
      <c r="AD20" s="39">
        <v>3880.0</v>
      </c>
      <c r="AE20" s="39">
        <v>4044.06275</v>
      </c>
      <c r="AF20" s="39">
        <v>-164.06275</v>
      </c>
      <c r="AG20" s="57" t="s">
        <v>195</v>
      </c>
      <c r="AH20" s="42" t="s">
        <v>175</v>
      </c>
      <c r="AI20" s="42" t="str">
        <f>IFERROR(__xludf.DUMMYFUNCTION("vLOOKUP(A20,IMPORTRANGE(""https://docs.google.com/spreadsheets/d/1Rawwwdh8wntXGy8isdYNHxsNQS4n_rC8JSdPfj6vEq4"",""'500 объектов перенос на 2026'!A3:AB502""),13,0)"),"#REF!")</f>
        <v>#REF!</v>
      </c>
      <c r="AJ20" s="42" t="str">
        <f>IFERROR(__xludf.DUMMYFUNCTION("vLOOKUP(A20,IMPORTRANGE(""https://docs.google.com/spreadsheets/d/1Rawwwdh8wntXGy8isdYNHxsNQS4n_rC8JSdPfj6vEq4"",""'500 объектов перенос на 2026'!A3:AB502""),14,0)"),"#REF!")</f>
        <v>#REF!</v>
      </c>
      <c r="AK20" s="76" t="s">
        <v>114</v>
      </c>
      <c r="AL20" s="43"/>
      <c r="AM20" s="43" t="str">
        <f>IFERROR(__xludf.DUMMYFUNCTION("""COMPUTED_VALUE"""),"ООО МОИК")</f>
        <v>ООО МОИК</v>
      </c>
      <c r="AN20" s="44">
        <f>IFERROR(__xludf.DUMMYFUNCTION("""COMPUTED_VALUE"""),4.81)</f>
        <v>4.81</v>
      </c>
      <c r="AO20" s="44"/>
    </row>
    <row r="21" hidden="1">
      <c r="A21" s="78" t="s">
        <v>196</v>
      </c>
      <c r="B21" s="63" t="s">
        <v>126</v>
      </c>
      <c r="C21" s="64" t="s">
        <v>197</v>
      </c>
      <c r="D21" s="47" t="s">
        <v>198</v>
      </c>
      <c r="E21" s="64" t="s">
        <v>59</v>
      </c>
      <c r="F21" s="31" t="s">
        <v>60</v>
      </c>
      <c r="G21" s="31"/>
      <c r="H21" s="31"/>
      <c r="I21" s="31" t="s">
        <v>60</v>
      </c>
      <c r="J21" s="31"/>
      <c r="K21" s="31"/>
      <c r="L21" s="32" t="str">
        <f>IFERROR(__xludf.DUMMYFUNCTION("VLOOKUP($A21,IMPORTRANGE(""1PQtfbQLqBUP-rjYRznmgNFBLOjvAnhGzpIx7BJWq8rk"",""'Worksheet'!$B$2:$H""),7,FALSE)"),"#N/A")</f>
        <v>#N/A</v>
      </c>
      <c r="M21" s="31" t="s">
        <v>60</v>
      </c>
      <c r="N21" s="49">
        <v>1.380923E7</v>
      </c>
      <c r="O21" s="49">
        <v>1.17354375E7</v>
      </c>
      <c r="P21" s="49">
        <v>0.0</v>
      </c>
      <c r="Q21" s="34">
        <f t="shared" si="3"/>
        <v>0.1501743761</v>
      </c>
      <c r="R21" s="31"/>
      <c r="S21" s="31" t="s">
        <v>60</v>
      </c>
      <c r="T21" s="50" t="s">
        <v>199</v>
      </c>
      <c r="U21" s="50" t="s">
        <v>199</v>
      </c>
      <c r="V21" s="51">
        <v>0.0</v>
      </c>
      <c r="W21" s="31"/>
      <c r="X21" s="92" t="s">
        <v>113</v>
      </c>
      <c r="Y21" s="54"/>
      <c r="Z21" s="54"/>
      <c r="AA21" s="54" t="s">
        <v>114</v>
      </c>
      <c r="AB21" s="38" t="s">
        <v>115</v>
      </c>
      <c r="AC21" s="38" t="s">
        <v>173</v>
      </c>
      <c r="AD21" s="39">
        <v>13809.23</v>
      </c>
      <c r="AE21" s="39">
        <v>11735.4375</v>
      </c>
      <c r="AF21" s="39">
        <v>2073.7925</v>
      </c>
      <c r="AG21" s="57" t="s">
        <v>200</v>
      </c>
      <c r="AH21" s="42" t="s">
        <v>175</v>
      </c>
      <c r="AI21" s="42" t="str">
        <f>IFERROR(__xludf.DUMMYFUNCTION("vLOOKUP(A21,IMPORTRANGE(""https://docs.google.com/spreadsheets/d/1Rawwwdh8wntXGy8isdYNHxsNQS4n_rC8JSdPfj6vEq4"",""'500 объектов перенос на 2026'!A3:AB502""),13,0)"),"#REF!")</f>
        <v>#REF!</v>
      </c>
      <c r="AJ21" s="42" t="str">
        <f>IFERROR(__xludf.DUMMYFUNCTION("vLOOKUP(A21,IMPORTRANGE(""https://docs.google.com/spreadsheets/d/1Rawwwdh8wntXGy8isdYNHxsNQS4n_rC8JSdPfj6vEq4"",""'500 объектов перенос на 2026'!A3:AB502""),14,0)"),"#REF!")</f>
        <v>#REF!</v>
      </c>
      <c r="AK21" s="76" t="s">
        <v>114</v>
      </c>
      <c r="AL21" s="43"/>
      <c r="AM21" s="43" t="str">
        <f>IFERROR(__xludf.DUMMYFUNCTION("""COMPUTED_VALUE"""),"ООО СК ИМПЕРИЯ")</f>
        <v>ООО СК ИМПЕРИЯ</v>
      </c>
      <c r="AN21" s="44">
        <f>IFERROR(__xludf.DUMMYFUNCTION("""COMPUTED_VALUE"""),4.17)</f>
        <v>4.17</v>
      </c>
      <c r="AO21" s="44"/>
    </row>
    <row r="22" hidden="1">
      <c r="A22" s="78" t="s">
        <v>201</v>
      </c>
      <c r="B22" s="63" t="s">
        <v>126</v>
      </c>
      <c r="C22" s="64" t="s">
        <v>202</v>
      </c>
      <c r="D22" s="47" t="s">
        <v>193</v>
      </c>
      <c r="E22" s="64" t="s">
        <v>59</v>
      </c>
      <c r="F22" s="31" t="s">
        <v>60</v>
      </c>
      <c r="G22" s="31"/>
      <c r="H22" s="31"/>
      <c r="I22" s="31" t="s">
        <v>60</v>
      </c>
      <c r="J22" s="31"/>
      <c r="K22" s="31"/>
      <c r="L22" s="32" t="str">
        <f>IFERROR(__xludf.DUMMYFUNCTION("VLOOKUP($A22,IMPORTRANGE(""1PQtfbQLqBUP-rjYRznmgNFBLOjvAnhGzpIx7BJWq8rk"",""'Worksheet'!$B$2:$H""),7,FALSE)"),"#N/A")</f>
        <v>#N/A</v>
      </c>
      <c r="M22" s="31" t="s">
        <v>60</v>
      </c>
      <c r="N22" s="49">
        <v>2206080.0</v>
      </c>
      <c r="O22" s="49">
        <v>2206080.0</v>
      </c>
      <c r="P22" s="49">
        <f>N22-O22</f>
        <v>0</v>
      </c>
      <c r="Q22" s="34">
        <f t="shared" si="3"/>
        <v>0</v>
      </c>
      <c r="R22" s="31"/>
      <c r="S22" s="31" t="s">
        <v>60</v>
      </c>
      <c r="T22" s="50" t="s">
        <v>203</v>
      </c>
      <c r="U22" s="50" t="s">
        <v>203</v>
      </c>
      <c r="V22" s="51">
        <v>0.0</v>
      </c>
      <c r="W22" s="31"/>
      <c r="X22" s="92" t="s">
        <v>113</v>
      </c>
      <c r="Y22" s="54"/>
      <c r="Z22" s="54"/>
      <c r="AA22" s="54" t="s">
        <v>114</v>
      </c>
      <c r="AB22" s="38" t="s">
        <v>115</v>
      </c>
      <c r="AC22" s="38" t="s">
        <v>173</v>
      </c>
      <c r="AD22" s="39">
        <v>4403.78</v>
      </c>
      <c r="AE22" s="39">
        <v>3864.69917</v>
      </c>
      <c r="AF22" s="39">
        <v>539.08083</v>
      </c>
      <c r="AG22" s="57" t="s">
        <v>204</v>
      </c>
      <c r="AH22" s="42" t="s">
        <v>175</v>
      </c>
      <c r="AI22" s="42" t="str">
        <f>IFERROR(__xludf.DUMMYFUNCTION("vLOOKUP(A22,IMPORTRANGE(""https://docs.google.com/spreadsheets/d/1Rawwwdh8wntXGy8isdYNHxsNQS4n_rC8JSdPfj6vEq4"",""'500 объектов перенос на 2026'!A3:AB502""),13,0)"),"#REF!")</f>
        <v>#REF!</v>
      </c>
      <c r="AJ22" s="42" t="str">
        <f>IFERROR(__xludf.DUMMYFUNCTION("vLOOKUP(A22,IMPORTRANGE(""https://docs.google.com/spreadsheets/d/1Rawwwdh8wntXGy8isdYNHxsNQS4n_rC8JSdPfj6vEq4"",""'500 объектов перенос на 2026'!A3:AB502""),14,0)"),"#REF!")</f>
        <v>#REF!</v>
      </c>
      <c r="AK22" s="76" t="s">
        <v>114</v>
      </c>
      <c r="AL22" s="43"/>
      <c r="AM22" s="43" t="str">
        <f>IFERROR(__xludf.DUMMYFUNCTION("""COMPUTED_VALUE"""),"ООО ВРЕМЯ")</f>
        <v>ООО ВРЕМЯ</v>
      </c>
      <c r="AN22" s="44">
        <f>IFERROR(__xludf.DUMMYFUNCTION("""COMPUTED_VALUE"""),3.0)</f>
        <v>3</v>
      </c>
      <c r="AO22" s="44"/>
    </row>
    <row r="23" hidden="1">
      <c r="A23" s="78" t="s">
        <v>205</v>
      </c>
      <c r="B23" s="63" t="s">
        <v>126</v>
      </c>
      <c r="C23" s="64" t="s">
        <v>206</v>
      </c>
      <c r="D23" s="47" t="s">
        <v>207</v>
      </c>
      <c r="E23" s="64" t="s">
        <v>59</v>
      </c>
      <c r="F23" s="31" t="s">
        <v>60</v>
      </c>
      <c r="G23" s="31"/>
      <c r="H23" s="31"/>
      <c r="I23" s="31" t="s">
        <v>60</v>
      </c>
      <c r="J23" s="31"/>
      <c r="K23" s="31"/>
      <c r="L23" s="32">
        <f>IFERROR(__xludf.DUMMYFUNCTION("VLOOKUP($A23,IMPORTRANGE(""1PQtfbQLqBUP-rjYRznmgNFBLOjvAnhGzpIx7BJWq8rk"",""'Worksheet'!$B$2:$H""),7,FALSE)"),1.0)</f>
        <v>1</v>
      </c>
      <c r="M23" s="31" t="s">
        <v>60</v>
      </c>
      <c r="N23" s="49">
        <v>2.650563114E7</v>
      </c>
      <c r="O23" s="49">
        <v>2.610693793E7</v>
      </c>
      <c r="P23" s="49">
        <v>0.0</v>
      </c>
      <c r="Q23" s="34">
        <f t="shared" si="3"/>
        <v>0.01504183047</v>
      </c>
      <c r="R23" s="31"/>
      <c r="S23" s="31" t="s">
        <v>60</v>
      </c>
      <c r="T23" s="50" t="s">
        <v>208</v>
      </c>
      <c r="U23" s="50" t="s">
        <v>208</v>
      </c>
      <c r="V23" s="51">
        <v>0.0</v>
      </c>
      <c r="W23" s="31"/>
      <c r="X23" s="92" t="s">
        <v>209</v>
      </c>
      <c r="Y23" s="54"/>
      <c r="Z23" s="54"/>
      <c r="AA23" s="54" t="s">
        <v>114</v>
      </c>
      <c r="AB23" s="38" t="s">
        <v>115</v>
      </c>
      <c r="AC23" s="38" t="s">
        <v>173</v>
      </c>
      <c r="AD23" s="39">
        <v>26505.63</v>
      </c>
      <c r="AE23" s="39">
        <v>26268.5507</v>
      </c>
      <c r="AF23" s="39">
        <v>237.0793</v>
      </c>
      <c r="AG23" s="57" t="s">
        <v>210</v>
      </c>
      <c r="AH23" s="42" t="s">
        <v>211</v>
      </c>
      <c r="AI23" s="42" t="str">
        <f>IFERROR(__xludf.DUMMYFUNCTION("vLOOKUP(A23,IMPORTRANGE(""https://docs.google.com/spreadsheets/d/1Rawwwdh8wntXGy8isdYNHxsNQS4n_rC8JSdPfj6vEq4"",""'500 объектов перенос на 2026'!A3:AB502""),13,0)"),"#REF!")</f>
        <v>#REF!</v>
      </c>
      <c r="AJ23" s="42" t="str">
        <f>IFERROR(__xludf.DUMMYFUNCTION("vLOOKUP(A23,IMPORTRANGE(""https://docs.google.com/spreadsheets/d/1Rawwwdh8wntXGy8isdYNHxsNQS4n_rC8JSdPfj6vEq4"",""'500 объектов перенос на 2026'!A3:AB502""),14,0)"),"#REF!")</f>
        <v>#REF!</v>
      </c>
      <c r="AK23" s="76" t="s">
        <v>114</v>
      </c>
      <c r="AL23" s="43"/>
      <c r="AM23" s="43" t="str">
        <f>IFERROR(__xludf.DUMMYFUNCTION("""COMPUTED_VALUE"""),"ООО ТРАССТРОЙ")</f>
        <v>ООО ТРАССТРОЙ</v>
      </c>
      <c r="AN23" s="44">
        <f>IFERROR(__xludf.DUMMYFUNCTION("""COMPUTED_VALUE"""),3.0)</f>
        <v>3</v>
      </c>
      <c r="AO23" s="44"/>
    </row>
    <row r="24" hidden="1">
      <c r="A24" s="78" t="s">
        <v>213</v>
      </c>
      <c r="B24" s="63" t="s">
        <v>126</v>
      </c>
      <c r="C24" s="64" t="s">
        <v>214</v>
      </c>
      <c r="D24" s="47" t="s">
        <v>193</v>
      </c>
      <c r="E24" s="64" t="s">
        <v>59</v>
      </c>
      <c r="F24" s="31" t="s">
        <v>60</v>
      </c>
      <c r="G24" s="31"/>
      <c r="H24" s="31"/>
      <c r="I24" s="31" t="s">
        <v>60</v>
      </c>
      <c r="J24" s="31"/>
      <c r="K24" s="31"/>
      <c r="L24" s="32" t="str">
        <f>IFERROR(__xludf.DUMMYFUNCTION("VLOOKUP($A24,IMPORTRANGE(""1PQtfbQLqBUP-rjYRznmgNFBLOjvAnhGzpIx7BJWq8rk"",""'Worksheet'!$B$2:$H""),7,FALSE)"),"#N/A")</f>
        <v>#N/A</v>
      </c>
      <c r="M24" s="31" t="s">
        <v>60</v>
      </c>
      <c r="N24" s="49">
        <v>2399700.0</v>
      </c>
      <c r="O24" s="49">
        <v>2399700.0</v>
      </c>
      <c r="P24" s="49">
        <f>N24-O24</f>
        <v>0</v>
      </c>
      <c r="Q24" s="34">
        <f t="shared" si="3"/>
        <v>0</v>
      </c>
      <c r="R24" s="31"/>
      <c r="S24" s="31" t="s">
        <v>60</v>
      </c>
      <c r="T24" s="50" t="s">
        <v>194</v>
      </c>
      <c r="U24" s="50" t="s">
        <v>194</v>
      </c>
      <c r="V24" s="51">
        <v>0.0</v>
      </c>
      <c r="W24" s="31"/>
      <c r="X24" s="92" t="s">
        <v>113</v>
      </c>
      <c r="Y24" s="54"/>
      <c r="Z24" s="54"/>
      <c r="AA24" s="54" t="s">
        <v>114</v>
      </c>
      <c r="AB24" s="38" t="s">
        <v>115</v>
      </c>
      <c r="AC24" s="38" t="s">
        <v>173</v>
      </c>
      <c r="AD24" s="39">
        <v>11918.61</v>
      </c>
      <c r="AE24" s="39">
        <v>11205.22446</v>
      </c>
      <c r="AF24" s="39">
        <v>713.38554</v>
      </c>
      <c r="AG24" s="57" t="s">
        <v>195</v>
      </c>
      <c r="AH24" s="42" t="s">
        <v>175</v>
      </c>
      <c r="AI24" s="42" t="str">
        <f>IFERROR(__xludf.DUMMYFUNCTION("vLOOKUP(A24,IMPORTRANGE(""https://docs.google.com/spreadsheets/d/1Rawwwdh8wntXGy8isdYNHxsNQS4n_rC8JSdPfj6vEq4"",""'500 объектов перенос на 2026'!A3:AB502""),13,0)"),"#REF!")</f>
        <v>#REF!</v>
      </c>
      <c r="AJ24" s="42" t="str">
        <f>IFERROR(__xludf.DUMMYFUNCTION("vLOOKUP(A24,IMPORTRANGE(""https://docs.google.com/spreadsheets/d/1Rawwwdh8wntXGy8isdYNHxsNQS4n_rC8JSdPfj6vEq4"",""'500 объектов перенос на 2026'!A3:AB502""),14,0)"),"#REF!")</f>
        <v>#REF!</v>
      </c>
      <c r="AK24" s="76" t="s">
        <v>114</v>
      </c>
      <c r="AL24" s="43"/>
      <c r="AM24" s="43" t="str">
        <f>IFERROR(__xludf.DUMMYFUNCTION("""COMPUTED_VALUE"""),"ООО АЛСТРОЙ")</f>
        <v>ООО АЛСТРОЙ</v>
      </c>
      <c r="AN24" s="44">
        <f>IFERROR(__xludf.DUMMYFUNCTION("""COMPUTED_VALUE"""),2.88)</f>
        <v>2.88</v>
      </c>
      <c r="AO24" s="44"/>
    </row>
    <row r="25" hidden="1">
      <c r="A25" s="78" t="s">
        <v>215</v>
      </c>
      <c r="B25" s="63" t="s">
        <v>126</v>
      </c>
      <c r="C25" s="64" t="s">
        <v>216</v>
      </c>
      <c r="D25" s="47" t="s">
        <v>171</v>
      </c>
      <c r="E25" s="64" t="s">
        <v>85</v>
      </c>
      <c r="F25" s="31" t="s">
        <v>60</v>
      </c>
      <c r="G25" s="31"/>
      <c r="H25" s="31"/>
      <c r="I25" s="31" t="s">
        <v>60</v>
      </c>
      <c r="J25" s="31"/>
      <c r="K25" s="31"/>
      <c r="L25" s="32" t="str">
        <f>IFERROR(__xludf.DUMMYFUNCTION("VLOOKUP($A25,IMPORTRANGE(""1PQtfbQLqBUP-rjYRznmgNFBLOjvAnhGzpIx7BJWq8rk"",""'Worksheet'!$B$2:$H""),7,FALSE)"),"#N/A")</f>
        <v>#N/A</v>
      </c>
      <c r="M25" s="31" t="s">
        <v>60</v>
      </c>
      <c r="N25" s="49">
        <v>1.096426E7</v>
      </c>
      <c r="O25" s="49">
        <v>8079644.9</v>
      </c>
      <c r="P25" s="49">
        <v>0.0</v>
      </c>
      <c r="Q25" s="34">
        <f t="shared" si="3"/>
        <v>0.263092548</v>
      </c>
      <c r="R25" s="31"/>
      <c r="S25" s="31" t="s">
        <v>60</v>
      </c>
      <c r="T25" s="50" t="s">
        <v>217</v>
      </c>
      <c r="U25" s="50" t="s">
        <v>217</v>
      </c>
      <c r="V25" s="51">
        <v>0.0</v>
      </c>
      <c r="W25" s="31"/>
      <c r="X25" s="92" t="s">
        <v>113</v>
      </c>
      <c r="Y25" s="54"/>
      <c r="Z25" s="54"/>
      <c r="AA25" s="54" t="s">
        <v>114</v>
      </c>
      <c r="AB25" s="38" t="s">
        <v>115</v>
      </c>
      <c r="AC25" s="38" t="s">
        <v>173</v>
      </c>
      <c r="AD25" s="39">
        <v>10964.26</v>
      </c>
      <c r="AE25" s="39">
        <v>8851.37979</v>
      </c>
      <c r="AF25" s="39">
        <v>2112.88021</v>
      </c>
      <c r="AG25" s="57" t="s">
        <v>218</v>
      </c>
      <c r="AH25" s="42" t="s">
        <v>175</v>
      </c>
      <c r="AI25" s="42" t="str">
        <f>IFERROR(__xludf.DUMMYFUNCTION("vLOOKUP(A25,IMPORTRANGE(""https://docs.google.com/spreadsheets/d/1Rawwwdh8wntXGy8isdYNHxsNQS4n_rC8JSdPfj6vEq4"",""'500 объектов перенос на 2026'!A3:AB502""),13,0)"),"#REF!")</f>
        <v>#REF!</v>
      </c>
      <c r="AJ25" s="42" t="str">
        <f>IFERROR(__xludf.DUMMYFUNCTION("vLOOKUP(A25,IMPORTRANGE(""https://docs.google.com/spreadsheets/d/1Rawwwdh8wntXGy8isdYNHxsNQS4n_rC8JSdPfj6vEq4"",""'500 объектов перенос на 2026'!A3:AB502""),14,0)"),"#REF!")</f>
        <v>#REF!</v>
      </c>
      <c r="AK25" s="76" t="s">
        <v>114</v>
      </c>
      <c r="AL25" s="43"/>
      <c r="AM25" s="43" t="str">
        <f>IFERROR(__xludf.DUMMYFUNCTION("""COMPUTED_VALUE"""),"ООО ИНДЖЕТ")</f>
        <v>ООО ИНДЖЕТ</v>
      </c>
      <c r="AN25" s="44">
        <f>IFERROR(__xludf.DUMMYFUNCTION("""COMPUTED_VALUE"""),2.86)</f>
        <v>2.86</v>
      </c>
      <c r="AO25" s="44"/>
    </row>
    <row r="26" hidden="1">
      <c r="A26" s="78" t="s">
        <v>219</v>
      </c>
      <c r="B26" s="63" t="s">
        <v>126</v>
      </c>
      <c r="C26" s="64" t="s">
        <v>220</v>
      </c>
      <c r="D26" s="47" t="s">
        <v>221</v>
      </c>
      <c r="E26" s="64" t="s">
        <v>59</v>
      </c>
      <c r="F26" s="31" t="s">
        <v>60</v>
      </c>
      <c r="G26" s="31"/>
      <c r="H26" s="31"/>
      <c r="I26" s="31" t="s">
        <v>60</v>
      </c>
      <c r="J26" s="31"/>
      <c r="K26" s="31"/>
      <c r="L26" s="32" t="str">
        <f>IFERROR(__xludf.DUMMYFUNCTION("VLOOKUP($A26,IMPORTRANGE(""1PQtfbQLqBUP-rjYRznmgNFBLOjvAnhGzpIx7BJWq8rk"",""'Worksheet'!$B$2:$H""),7,FALSE)"),"#N/A")</f>
        <v>#N/A</v>
      </c>
      <c r="M26" s="31" t="s">
        <v>60</v>
      </c>
      <c r="N26" s="49">
        <v>3.930641E7</v>
      </c>
      <c r="O26" s="49">
        <v>3.104219842E7</v>
      </c>
      <c r="P26" s="49">
        <v>0.0</v>
      </c>
      <c r="Q26" s="34">
        <f t="shared" si="3"/>
        <v>0.2102509891</v>
      </c>
      <c r="R26" s="31"/>
      <c r="S26" s="31" t="s">
        <v>60</v>
      </c>
      <c r="T26" s="50" t="s">
        <v>222</v>
      </c>
      <c r="U26" s="50" t="s">
        <v>222</v>
      </c>
      <c r="V26" s="51">
        <v>0.0</v>
      </c>
      <c r="W26" s="31"/>
      <c r="X26" s="92" t="s">
        <v>113</v>
      </c>
      <c r="Y26" s="54"/>
      <c r="Z26" s="54"/>
      <c r="AA26" s="54" t="s">
        <v>114</v>
      </c>
      <c r="AB26" s="38" t="s">
        <v>115</v>
      </c>
      <c r="AC26" s="38" t="s">
        <v>173</v>
      </c>
      <c r="AD26" s="39">
        <v>39150.168</v>
      </c>
      <c r="AE26" s="39">
        <v>31042.19841</v>
      </c>
      <c r="AF26" s="39">
        <v>8107.96959</v>
      </c>
      <c r="AG26" s="57" t="s">
        <v>223</v>
      </c>
      <c r="AH26" s="42" t="s">
        <v>175</v>
      </c>
      <c r="AI26" s="42" t="str">
        <f>IFERROR(__xludf.DUMMYFUNCTION("vLOOKUP(A26,IMPORTRANGE(""https://docs.google.com/spreadsheets/d/1Rawwwdh8wntXGy8isdYNHxsNQS4n_rC8JSdPfj6vEq4"",""'500 объектов перенос на 2026'!A3:AB502""),13,0)"),"#REF!")</f>
        <v>#REF!</v>
      </c>
      <c r="AJ26" s="42" t="str">
        <f>IFERROR(__xludf.DUMMYFUNCTION("vLOOKUP(A26,IMPORTRANGE(""https://docs.google.com/spreadsheets/d/1Rawwwdh8wntXGy8isdYNHxsNQS4n_rC8JSdPfj6vEq4"",""'500 объектов перенос на 2026'!A3:AB502""),14,0)"),"#REF!")</f>
        <v>#REF!</v>
      </c>
      <c r="AK26" s="76" t="s">
        <v>114</v>
      </c>
      <c r="AL26" s="43"/>
      <c r="AM26" s="43" t="str">
        <f>IFERROR(__xludf.DUMMYFUNCTION("""COMPUTED_VALUE"""),"ЗАО ПК КОТЛОСТРОЙ")</f>
        <v>ЗАО ПК КОТЛОСТРОЙ</v>
      </c>
      <c r="AN26" s="44">
        <f>IFERROR(__xludf.DUMMYFUNCTION("""COMPUTED_VALUE"""),2.85)</f>
        <v>2.85</v>
      </c>
      <c r="AO26" s="44"/>
    </row>
    <row r="27" hidden="1">
      <c r="A27" s="62" t="s">
        <v>224</v>
      </c>
      <c r="B27" s="63" t="s">
        <v>225</v>
      </c>
      <c r="C27" s="64" t="s">
        <v>226</v>
      </c>
      <c r="D27" s="47" t="s">
        <v>227</v>
      </c>
      <c r="E27" s="64" t="s">
        <v>39</v>
      </c>
      <c r="F27" s="31" t="s">
        <v>60</v>
      </c>
      <c r="G27" s="31"/>
      <c r="H27" s="31"/>
      <c r="I27" s="31" t="s">
        <v>40</v>
      </c>
      <c r="J27" s="31" t="s">
        <v>43</v>
      </c>
      <c r="K27" s="31" t="s">
        <v>72</v>
      </c>
      <c r="L27" s="32">
        <f>IFERROR(__xludf.DUMMYFUNCTION("VLOOKUP($A27,IMPORTRANGE(""1PQtfbQLqBUP-rjYRznmgNFBLOjvAnhGzpIx7BJWq8rk"",""'Worksheet'!$B$2:$H""),7,FALSE)"),0.91)</f>
        <v>0.91</v>
      </c>
      <c r="M27" s="31" t="s">
        <v>40</v>
      </c>
      <c r="N27" s="49">
        <v>2.442230282E8</v>
      </c>
      <c r="O27" s="49">
        <v>5.650348246E7</v>
      </c>
      <c r="P27" s="49">
        <f t="shared" ref="P27:P28" si="7">N27-O27</f>
        <v>187719545.7</v>
      </c>
      <c r="Q27" s="34">
        <f t="shared" si="3"/>
        <v>0.7686398253</v>
      </c>
      <c r="R27" s="31"/>
      <c r="S27" s="31" t="s">
        <v>45</v>
      </c>
      <c r="T27" s="88" t="s">
        <v>3310</v>
      </c>
      <c r="U27" s="88" t="s">
        <v>3311</v>
      </c>
      <c r="V27" s="88" t="s">
        <v>3312</v>
      </c>
      <c r="W27" s="31"/>
      <c r="X27" s="52" t="s">
        <v>228</v>
      </c>
      <c r="Y27" s="54" t="s">
        <v>3313</v>
      </c>
      <c r="Z27" s="54" t="s">
        <v>3314</v>
      </c>
      <c r="AA27" s="74">
        <v>46211.0</v>
      </c>
      <c r="AB27" s="56"/>
      <c r="AC27" s="35"/>
      <c r="AD27" s="39">
        <v>188344.94</v>
      </c>
      <c r="AE27" s="39">
        <v>56503.48246</v>
      </c>
      <c r="AF27" s="40">
        <v>131841.4575</v>
      </c>
      <c r="AG27" s="57" t="s">
        <v>3315</v>
      </c>
      <c r="AH27" s="42" t="s">
        <v>3316</v>
      </c>
      <c r="AI27" s="42" t="str">
        <f>IFERROR(__xludf.DUMMYFUNCTION("vLOOKUP(A27,IMPORTRANGE(""https://docs.google.com/spreadsheets/d/1Rawwwdh8wntXGy8isdYNHxsNQS4n_rC8JSdPfj6vEq4"",""'500 объектов перенос на 2026'!A3:AB502""),13,0)"),"#REF!")</f>
        <v>#REF!</v>
      </c>
      <c r="AJ27" s="42" t="str">
        <f>IFERROR(__xludf.DUMMYFUNCTION("vLOOKUP(A27,IMPORTRANGE(""https://docs.google.com/spreadsheets/d/1Rawwwdh8wntXGy8isdYNHxsNQS4n_rC8JSdPfj6vEq4"",""'500 объектов перенос на 2026'!A3:AB502""),14,0)"),"#REF!")</f>
        <v>#REF!</v>
      </c>
      <c r="AK27" s="76" t="s">
        <v>3317</v>
      </c>
      <c r="AL27" s="43"/>
      <c r="AM27" s="43" t="str">
        <f>IFERROR(__xludf.DUMMYFUNCTION("""COMPUTED_VALUE"""),"ООО ТАРИУС ЭНЕРГО")</f>
        <v>ООО ТАРИУС ЭНЕРГО</v>
      </c>
      <c r="AN27" s="44">
        <f>IFERROR(__xludf.DUMMYFUNCTION("""COMPUTED_VALUE"""),2.8)</f>
        <v>2.8</v>
      </c>
      <c r="AO27" s="44"/>
    </row>
    <row r="28" hidden="1">
      <c r="A28" s="62" t="s">
        <v>235</v>
      </c>
      <c r="B28" s="63" t="s">
        <v>70</v>
      </c>
      <c r="C28" s="64" t="s">
        <v>236</v>
      </c>
      <c r="D28" s="47" t="s">
        <v>237</v>
      </c>
      <c r="E28" s="64" t="s">
        <v>85</v>
      </c>
      <c r="F28" s="31" t="s">
        <v>40</v>
      </c>
      <c r="G28" s="31" t="s">
        <v>41</v>
      </c>
      <c r="H28" s="31" t="s">
        <v>238</v>
      </c>
      <c r="I28" s="31" t="s">
        <v>40</v>
      </c>
      <c r="J28" s="31" t="s">
        <v>102</v>
      </c>
      <c r="K28" s="31"/>
      <c r="L28" s="32">
        <f>IFERROR(__xludf.DUMMYFUNCTION("VLOOKUP($A28,IMPORTRANGE(""1PQtfbQLqBUP-rjYRznmgNFBLOjvAnhGzpIx7BJWq8rk"",""'Worksheet'!$B$2:$H""),7,FALSE)"),0.87)</f>
        <v>0.87</v>
      </c>
      <c r="M28" s="31" t="s">
        <v>40</v>
      </c>
      <c r="N28" s="49">
        <v>5.8138705E8</v>
      </c>
      <c r="O28" s="49">
        <v>4.011557155E8</v>
      </c>
      <c r="P28" s="49">
        <f t="shared" si="7"/>
        <v>180231334.5</v>
      </c>
      <c r="Q28" s="34">
        <f t="shared" si="3"/>
        <v>0.3100023203</v>
      </c>
      <c r="R28" s="31"/>
      <c r="S28" s="31" t="s">
        <v>40</v>
      </c>
      <c r="T28" s="88">
        <v>5.523581273E8</v>
      </c>
      <c r="U28" s="51">
        <v>0.0</v>
      </c>
      <c r="V28" s="88">
        <v>5.523581273E8</v>
      </c>
      <c r="W28" s="31"/>
      <c r="X28" s="52" t="s">
        <v>46</v>
      </c>
      <c r="Y28" s="73" t="s">
        <v>239</v>
      </c>
      <c r="Z28" s="54" t="s">
        <v>240</v>
      </c>
      <c r="AA28" s="100">
        <v>46341.0</v>
      </c>
      <c r="AB28" s="56"/>
      <c r="AC28" s="38"/>
      <c r="AD28" s="39">
        <v>581387.05</v>
      </c>
      <c r="AE28" s="39">
        <v>401155.7155</v>
      </c>
      <c r="AF28" s="40">
        <v>180231.3345</v>
      </c>
      <c r="AG28" s="57" t="s">
        <v>241</v>
      </c>
      <c r="AH28" s="42" t="s">
        <v>49</v>
      </c>
      <c r="AI28" s="42" t="str">
        <f>IFERROR(__xludf.DUMMYFUNCTION("vLOOKUP(A28,IMPORTRANGE(""https://docs.google.com/spreadsheets/d/1Rawwwdh8wntXGy8isdYNHxsNQS4n_rC8JSdPfj6vEq4"",""'500 объектов перенос на 2026'!A3:AB502""),13,0)"),"#REF!")</f>
        <v>#REF!</v>
      </c>
      <c r="AJ28" s="42" t="str">
        <f>IFERROR(__xludf.DUMMYFUNCTION("vLOOKUP(A28,IMPORTRANGE(""https://docs.google.com/spreadsheets/d/1Rawwwdh8wntXGy8isdYNHxsNQS4n_rC8JSdPfj6vEq4"",""'500 объектов перенос на 2026'!A3:AB502""),14,0)"),"#REF!")</f>
        <v>#REF!</v>
      </c>
      <c r="AK28" s="70" t="s">
        <v>3318</v>
      </c>
      <c r="AL28" s="43"/>
      <c r="AM28" s="43" t="str">
        <f>IFERROR(__xludf.DUMMYFUNCTION("""COMPUTED_VALUE"""),"ООО СТРОЙСНАБ")</f>
        <v>ООО СТРОЙСНАБ</v>
      </c>
      <c r="AN28" s="44">
        <f>IFERROR(__xludf.DUMMYFUNCTION("""COMPUTED_VALUE"""),2.79)</f>
        <v>2.79</v>
      </c>
      <c r="AO28" s="44"/>
    </row>
    <row r="29" hidden="1">
      <c r="A29" s="78" t="s">
        <v>243</v>
      </c>
      <c r="B29" s="63" t="s">
        <v>244</v>
      </c>
      <c r="C29" s="64" t="s">
        <v>245</v>
      </c>
      <c r="D29" s="47" t="s">
        <v>246</v>
      </c>
      <c r="E29" s="64" t="s">
        <v>59</v>
      </c>
      <c r="F29" s="31" t="s">
        <v>60</v>
      </c>
      <c r="G29" s="31"/>
      <c r="H29" s="31"/>
      <c r="I29" s="31" t="s">
        <v>60</v>
      </c>
      <c r="J29" s="31"/>
      <c r="K29" s="31"/>
      <c r="L29" s="32" t="str">
        <f>IFERROR(__xludf.DUMMYFUNCTION("VLOOKUP($A29,IMPORTRANGE(""1PQtfbQLqBUP-rjYRznmgNFBLOjvAnhGzpIx7BJWq8rk"",""'Worksheet'!$B$2:$H""),7,FALSE)"),"#N/A")</f>
        <v>#N/A</v>
      </c>
      <c r="M29" s="31" t="s">
        <v>60</v>
      </c>
      <c r="N29" s="49">
        <v>1.8312591E8</v>
      </c>
      <c r="O29" s="49">
        <v>1.6623589543E8</v>
      </c>
      <c r="P29" s="49">
        <v>0.0</v>
      </c>
      <c r="Q29" s="34">
        <f t="shared" si="3"/>
        <v>0.09223170315</v>
      </c>
      <c r="R29" s="31"/>
      <c r="S29" s="31" t="s">
        <v>60</v>
      </c>
      <c r="T29" s="101">
        <v>1.739696145E8</v>
      </c>
      <c r="U29" s="101">
        <v>1.739696145E8</v>
      </c>
      <c r="V29" s="51">
        <v>0.0</v>
      </c>
      <c r="W29" s="31"/>
      <c r="X29" s="52" t="s">
        <v>113</v>
      </c>
      <c r="Y29" s="54"/>
      <c r="Z29" s="54"/>
      <c r="AA29" s="54" t="s">
        <v>114</v>
      </c>
      <c r="AB29" s="38" t="s">
        <v>115</v>
      </c>
      <c r="AC29" s="38"/>
      <c r="AD29" s="39">
        <v>183125.91</v>
      </c>
      <c r="AE29" s="102">
        <v>166235.8954</v>
      </c>
      <c r="AF29" s="39">
        <v>16890.01457</v>
      </c>
      <c r="AG29" s="57" t="s">
        <v>247</v>
      </c>
      <c r="AH29" s="42" t="s">
        <v>248</v>
      </c>
      <c r="AI29" s="42" t="str">
        <f>IFERROR(__xludf.DUMMYFUNCTION("vLOOKUP(A29,IMPORTRANGE(""https://docs.google.com/spreadsheets/d/1Rawwwdh8wntXGy8isdYNHxsNQS4n_rC8JSdPfj6vEq4"",""'500 объектов перенос на 2026'!A3:AB502""),13,0)"),"#REF!")</f>
        <v>#REF!</v>
      </c>
      <c r="AJ29" s="42" t="str">
        <f>IFERROR(__xludf.DUMMYFUNCTION("vLOOKUP(A29,IMPORTRANGE(""https://docs.google.com/spreadsheets/d/1Rawwwdh8wntXGy8isdYNHxsNQS4n_rC8JSdPfj6vEq4"",""'500 объектов перенос на 2026'!A3:AB502""),14,0)"),"#REF!")</f>
        <v>#REF!</v>
      </c>
      <c r="AK29" s="76" t="s">
        <v>114</v>
      </c>
      <c r="AL29" s="43"/>
      <c r="AM29" s="43" t="str">
        <f>IFERROR(__xludf.DUMMYFUNCTION("""COMPUTED_VALUE"""),"ООО ИНВЕСТСТРОЙ")</f>
        <v>ООО ИНВЕСТСТРОЙ</v>
      </c>
      <c r="AN29" s="44">
        <f>IFERROR(__xludf.DUMMYFUNCTION("""COMPUTED_VALUE"""),2.74)</f>
        <v>2.74</v>
      </c>
      <c r="AO29" s="44"/>
    </row>
    <row r="30" hidden="1">
      <c r="A30" s="62" t="s">
        <v>249</v>
      </c>
      <c r="B30" s="63" t="s">
        <v>250</v>
      </c>
      <c r="C30" s="64" t="s">
        <v>251</v>
      </c>
      <c r="D30" s="47" t="s">
        <v>252</v>
      </c>
      <c r="E30" s="64" t="s">
        <v>85</v>
      </c>
      <c r="F30" s="31" t="s">
        <v>60</v>
      </c>
      <c r="G30" s="31"/>
      <c r="H30" s="31"/>
      <c r="I30" s="31" t="s">
        <v>60</v>
      </c>
      <c r="J30" s="31"/>
      <c r="K30" s="31"/>
      <c r="L30" s="32">
        <f>IFERROR(__xludf.DUMMYFUNCTION("VLOOKUP($A30,IMPORTRANGE(""1PQtfbQLqBUP-rjYRznmgNFBLOjvAnhGzpIx7BJWq8rk"",""'Worksheet'!$B$2:$H""),7,FALSE)"),0.95)</f>
        <v>0.95</v>
      </c>
      <c r="M30" s="31" t="s">
        <v>60</v>
      </c>
      <c r="N30" s="49">
        <v>1.519046E7</v>
      </c>
      <c r="O30" s="49">
        <v>1.233385197E7</v>
      </c>
      <c r="P30" s="49">
        <v>0.0</v>
      </c>
      <c r="Q30" s="34">
        <f t="shared" si="3"/>
        <v>0.1880527667</v>
      </c>
      <c r="R30" s="31"/>
      <c r="S30" s="31" t="s">
        <v>60</v>
      </c>
      <c r="T30" s="103">
        <v>1.4430937E7</v>
      </c>
      <c r="U30" s="103">
        <v>1.171715937E7</v>
      </c>
      <c r="V30" s="51">
        <v>2713777.63</v>
      </c>
      <c r="W30" s="31"/>
      <c r="X30" s="52" t="s">
        <v>113</v>
      </c>
      <c r="Y30" s="54"/>
      <c r="Z30" s="54"/>
      <c r="AA30" s="54" t="s">
        <v>114</v>
      </c>
      <c r="AB30" s="56"/>
      <c r="AC30" s="38" t="s">
        <v>253</v>
      </c>
      <c r="AD30" s="39">
        <v>15190.46</v>
      </c>
      <c r="AE30" s="39">
        <v>239.484</v>
      </c>
      <c r="AF30" s="39">
        <v>14950.976</v>
      </c>
      <c r="AG30" s="57" t="s">
        <v>254</v>
      </c>
      <c r="AH30" s="42" t="s">
        <v>255</v>
      </c>
      <c r="AI30" s="42" t="str">
        <f>IFERROR(__xludf.DUMMYFUNCTION("vLOOKUP(A30,IMPORTRANGE(""https://docs.google.com/spreadsheets/d/1Rawwwdh8wntXGy8isdYNHxsNQS4n_rC8JSdPfj6vEq4"",""'500 объектов перенос на 2026'!A3:AB502""),13,0)"),"#REF!")</f>
        <v>#REF!</v>
      </c>
      <c r="AJ30" s="42" t="str">
        <f>IFERROR(__xludf.DUMMYFUNCTION("vLOOKUP(A30,IMPORTRANGE(""https://docs.google.com/spreadsheets/d/1Rawwwdh8wntXGy8isdYNHxsNQS4n_rC8JSdPfj6vEq4"",""'500 объектов перенос на 2026'!A3:AB502""),14,0)"),"#REF!")</f>
        <v>#REF!</v>
      </c>
      <c r="AK30" s="76" t="s">
        <v>114</v>
      </c>
      <c r="AL30" s="43"/>
      <c r="AM30" s="43" t="str">
        <f>IFERROR(__xludf.DUMMYFUNCTION("""COMPUTED_VALUE"""),"ООО ЭКОМОНТАЖ")</f>
        <v>ООО ЭКОМОНТАЖ</v>
      </c>
      <c r="AN30" s="44">
        <f>IFERROR(__xludf.DUMMYFUNCTION("""COMPUTED_VALUE"""),2.65)</f>
        <v>2.65</v>
      </c>
      <c r="AO30" s="44"/>
    </row>
    <row r="31" hidden="1">
      <c r="A31" s="62" t="s">
        <v>256</v>
      </c>
      <c r="B31" s="63" t="s">
        <v>257</v>
      </c>
      <c r="C31" s="104" t="s">
        <v>258</v>
      </c>
      <c r="D31" s="47" t="s">
        <v>259</v>
      </c>
      <c r="E31" s="64" t="s">
        <v>85</v>
      </c>
      <c r="F31" s="31" t="s">
        <v>40</v>
      </c>
      <c r="G31" s="31" t="s">
        <v>41</v>
      </c>
      <c r="H31" s="31" t="s">
        <v>260</v>
      </c>
      <c r="I31" s="31" t="s">
        <v>40</v>
      </c>
      <c r="J31" s="31" t="s">
        <v>102</v>
      </c>
      <c r="K31" s="31"/>
      <c r="L31" s="32">
        <f>IFERROR(__xludf.DUMMYFUNCTION("VLOOKUP($A31,IMPORTRANGE(""1PQtfbQLqBUP-rjYRznmgNFBLOjvAnhGzpIx7BJWq8rk"",""'Worksheet'!$B$2:$H""),7,FALSE)"),0.5)</f>
        <v>0.5</v>
      </c>
      <c r="M31" s="31" t="s">
        <v>40</v>
      </c>
      <c r="N31" s="49">
        <v>2.457688E8</v>
      </c>
      <c r="O31" s="49">
        <v>7.373064E7</v>
      </c>
      <c r="P31" s="49">
        <f t="shared" ref="P31:P37" si="8">N31-O31</f>
        <v>172038160</v>
      </c>
      <c r="Q31" s="34">
        <f t="shared" si="3"/>
        <v>0.7</v>
      </c>
      <c r="R31" s="31"/>
      <c r="S31" s="31" t="s">
        <v>40</v>
      </c>
      <c r="T31" s="88" t="s">
        <v>261</v>
      </c>
      <c r="U31" s="67">
        <v>0.0</v>
      </c>
      <c r="V31" s="88" t="s">
        <v>261</v>
      </c>
      <c r="W31" s="31"/>
      <c r="X31" s="52" t="s">
        <v>262</v>
      </c>
      <c r="Y31" s="73" t="s">
        <v>263</v>
      </c>
      <c r="Z31" s="74"/>
      <c r="AA31" s="74">
        <v>46296.0</v>
      </c>
      <c r="AB31" s="56"/>
      <c r="AC31" s="38"/>
      <c r="AD31" s="39">
        <v>245768.8</v>
      </c>
      <c r="AE31" s="39">
        <v>73730.64</v>
      </c>
      <c r="AF31" s="40">
        <v>172038.16</v>
      </c>
      <c r="AG31" s="57" t="s">
        <v>264</v>
      </c>
      <c r="AH31" s="42" t="s">
        <v>46</v>
      </c>
      <c r="AI31" s="42" t="str">
        <f>IFERROR(__xludf.DUMMYFUNCTION("vLOOKUP(A31,IMPORTRANGE(""https://docs.google.com/spreadsheets/d/1Rawwwdh8wntXGy8isdYNHxsNQS4n_rC8JSdPfj6vEq4"",""'500 объектов перенос на 2026'!A3:AB502""),13,0)"),"#REF!")</f>
        <v>#REF!</v>
      </c>
      <c r="AJ31" s="42" t="str">
        <f>IFERROR(__xludf.DUMMYFUNCTION("vLOOKUP(A31,IMPORTRANGE(""https://docs.google.com/spreadsheets/d/1Rawwwdh8wntXGy8isdYNHxsNQS4n_rC8JSdPfj6vEq4"",""'500 объектов перенос на 2026'!A3:AB502""),14,0)"),"#REF!")</f>
        <v>#REF!</v>
      </c>
      <c r="AK31" s="87" t="s">
        <v>3319</v>
      </c>
      <c r="AL31" s="43"/>
      <c r="AM31" s="43" t="str">
        <f>IFERROR(__xludf.DUMMYFUNCTION("""COMPUTED_VALUE"""),"ООО М1 ГАЗЭКСПЛУАТАЦИЯ")</f>
        <v>ООО М1 ГАЗЭКСПЛУАТАЦИЯ</v>
      </c>
      <c r="AN31" s="44">
        <f>IFERROR(__xludf.DUMMYFUNCTION("""COMPUTED_VALUE"""),2.56)</f>
        <v>2.56</v>
      </c>
      <c r="AO31" s="44"/>
    </row>
    <row r="32" hidden="1">
      <c r="A32" s="62" t="s">
        <v>267</v>
      </c>
      <c r="B32" s="63" t="s">
        <v>268</v>
      </c>
      <c r="C32" s="64" t="s">
        <v>269</v>
      </c>
      <c r="D32" s="105" t="s">
        <v>270</v>
      </c>
      <c r="E32" s="64" t="s">
        <v>39</v>
      </c>
      <c r="F32" s="31" t="s">
        <v>40</v>
      </c>
      <c r="G32" s="31" t="s">
        <v>156</v>
      </c>
      <c r="H32" s="31" t="s">
        <v>42</v>
      </c>
      <c r="I32" s="31" t="s">
        <v>40</v>
      </c>
      <c r="J32" s="31" t="s">
        <v>102</v>
      </c>
      <c r="K32" s="31"/>
      <c r="L32" s="32">
        <f>IFERROR(__xludf.DUMMYFUNCTION("VLOOKUP($A32,IMPORTRANGE(""1PQtfbQLqBUP-rjYRznmgNFBLOjvAnhGzpIx7BJWq8rk"",""'Worksheet'!$B$2:$H""),7,FALSE)"),0.3)</f>
        <v>0.3</v>
      </c>
      <c r="M32" s="31" t="s">
        <v>40</v>
      </c>
      <c r="N32" s="49">
        <v>2.4361609734E8</v>
      </c>
      <c r="O32" s="49">
        <v>7.308482921E7</v>
      </c>
      <c r="P32" s="49">
        <f t="shared" si="8"/>
        <v>170531268.1</v>
      </c>
      <c r="Q32" s="34">
        <f t="shared" si="3"/>
        <v>0.7</v>
      </c>
      <c r="R32" s="31"/>
      <c r="S32" s="31" t="s">
        <v>40</v>
      </c>
      <c r="T32" s="84" t="s">
        <v>271</v>
      </c>
      <c r="U32" s="84">
        <v>0.0</v>
      </c>
      <c r="V32" s="50" t="s">
        <v>271</v>
      </c>
      <c r="W32" s="31"/>
      <c r="X32" s="52" t="s">
        <v>272</v>
      </c>
      <c r="Y32" s="54" t="s">
        <v>273</v>
      </c>
      <c r="Z32" s="54" t="s">
        <v>274</v>
      </c>
      <c r="AA32" s="74">
        <v>46296.0</v>
      </c>
      <c r="AB32" s="56"/>
      <c r="AC32" s="38" t="s">
        <v>275</v>
      </c>
      <c r="AD32" s="39">
        <v>243616.1</v>
      </c>
      <c r="AE32" s="39">
        <v>73084.82921</v>
      </c>
      <c r="AF32" s="40">
        <v>170531.2708</v>
      </c>
      <c r="AG32" s="57" t="s">
        <v>276</v>
      </c>
      <c r="AH32" s="42" t="s">
        <v>277</v>
      </c>
      <c r="AI32" s="42" t="str">
        <f>IFERROR(__xludf.DUMMYFUNCTION("vLOOKUP(A32,IMPORTRANGE(""https://docs.google.com/spreadsheets/d/1Rawwwdh8wntXGy8isdYNHxsNQS4n_rC8JSdPfj6vEq4"",""'500 объектов перенос на 2026'!A3:AB502""),13,0)"),"#REF!")</f>
        <v>#REF!</v>
      </c>
      <c r="AJ32" s="42" t="str">
        <f>IFERROR(__xludf.DUMMYFUNCTION("vLOOKUP(A32,IMPORTRANGE(""https://docs.google.com/spreadsheets/d/1Rawwwdh8wntXGy8isdYNHxsNQS4n_rC8JSdPfj6vEq4"",""'500 объектов перенос на 2026'!A3:AB502""),14,0)"),"#REF!")</f>
        <v>#REF!</v>
      </c>
      <c r="AK32" s="70" t="s">
        <v>3320</v>
      </c>
      <c r="AL32" s="43"/>
      <c r="AM32" s="43" t="str">
        <f>IFERROR(__xludf.DUMMYFUNCTION("""COMPUTED_VALUE"""),"ООО СК ВЕКТОР")</f>
        <v>ООО СК ВЕКТОР</v>
      </c>
      <c r="AN32" s="44">
        <f>IFERROR(__xludf.DUMMYFUNCTION("""COMPUTED_VALUE"""),2.55)</f>
        <v>2.55</v>
      </c>
      <c r="AO32" s="44"/>
    </row>
    <row r="33" hidden="1">
      <c r="A33" s="62" t="s">
        <v>278</v>
      </c>
      <c r="B33" s="106" t="s">
        <v>225</v>
      </c>
      <c r="C33" s="64" t="s">
        <v>279</v>
      </c>
      <c r="D33" s="47" t="s">
        <v>166</v>
      </c>
      <c r="E33" s="64" t="s">
        <v>39</v>
      </c>
      <c r="F33" s="31" t="s">
        <v>60</v>
      </c>
      <c r="G33" s="31"/>
      <c r="H33" s="31"/>
      <c r="I33" s="31" t="s">
        <v>40</v>
      </c>
      <c r="J33" s="31" t="s">
        <v>102</v>
      </c>
      <c r="K33" s="31" t="s">
        <v>280</v>
      </c>
      <c r="L33" s="32">
        <f>IFERROR(__xludf.DUMMYFUNCTION("VLOOKUP($A33,IMPORTRANGE(""1PQtfbQLqBUP-rjYRznmgNFBLOjvAnhGzpIx7BJWq8rk"",""'Worksheet'!$B$2:$H""),7,FALSE)"),0.56)</f>
        <v>0.56</v>
      </c>
      <c r="M33" s="31" t="s">
        <v>40</v>
      </c>
      <c r="N33" s="49">
        <v>1.7017675878E8</v>
      </c>
      <c r="O33" s="49">
        <v>5.105302763E7</v>
      </c>
      <c r="P33" s="49">
        <f t="shared" si="8"/>
        <v>119123731.2</v>
      </c>
      <c r="Q33" s="34">
        <f t="shared" si="3"/>
        <v>0.7</v>
      </c>
      <c r="R33" s="31"/>
      <c r="S33" s="31" t="s">
        <v>40</v>
      </c>
      <c r="T33" s="88" t="s">
        <v>281</v>
      </c>
      <c r="U33" s="67" t="s">
        <v>282</v>
      </c>
      <c r="V33" s="88" t="s">
        <v>283</v>
      </c>
      <c r="W33" s="31"/>
      <c r="X33" s="52" t="s">
        <v>284</v>
      </c>
      <c r="Y33" s="54" t="s">
        <v>3321</v>
      </c>
      <c r="Z33" s="54"/>
      <c r="AA33" s="100">
        <v>46379.0</v>
      </c>
      <c r="AB33" s="56"/>
      <c r="AC33" s="38"/>
      <c r="AD33" s="39">
        <v>202130.67</v>
      </c>
      <c r="AE33" s="39">
        <v>117512.5689</v>
      </c>
      <c r="AF33" s="40">
        <v>84618.1011</v>
      </c>
      <c r="AG33" s="57" t="s">
        <v>286</v>
      </c>
      <c r="AH33" s="42" t="s">
        <v>287</v>
      </c>
      <c r="AI33" s="42" t="str">
        <f>IFERROR(__xludf.DUMMYFUNCTION("vLOOKUP(A33,IMPORTRANGE(""https://docs.google.com/spreadsheets/d/1Rawwwdh8wntXGy8isdYNHxsNQS4n_rC8JSdPfj6vEq4"",""'500 объектов перенос на 2026'!A3:AB502""),13,0)"),"#REF!")</f>
        <v>#REF!</v>
      </c>
      <c r="AJ33" s="42" t="str">
        <f>IFERROR(__xludf.DUMMYFUNCTION("vLOOKUP(A33,IMPORTRANGE(""https://docs.google.com/spreadsheets/d/1Rawwwdh8wntXGy8isdYNHxsNQS4n_rC8JSdPfj6vEq4"",""'500 объектов перенос на 2026'!A3:AB502""),14,0)"),"#REF!")</f>
        <v>#REF!</v>
      </c>
      <c r="AK33" s="76" t="s">
        <v>3322</v>
      </c>
      <c r="AL33" s="43"/>
      <c r="AM33" s="43" t="str">
        <f>IFERROR(__xludf.DUMMYFUNCTION("""COMPUTED_VALUE"""),"ИП РАКОВСКИЙ ДЕНИС ВИКТОРОВИЧ")</f>
        <v>ИП РАКОВСКИЙ ДЕНИС ВИКТОРОВИЧ</v>
      </c>
      <c r="AN33" s="44">
        <f>IFERROR(__xludf.DUMMYFUNCTION("""COMPUTED_VALUE"""),2.0)</f>
        <v>2</v>
      </c>
      <c r="AO33" s="44"/>
    </row>
    <row r="34" hidden="1">
      <c r="A34" s="62" t="s">
        <v>289</v>
      </c>
      <c r="B34" s="63" t="s">
        <v>99</v>
      </c>
      <c r="C34" s="64" t="s">
        <v>290</v>
      </c>
      <c r="D34" s="47" t="s">
        <v>101</v>
      </c>
      <c r="E34" s="64" t="s">
        <v>59</v>
      </c>
      <c r="F34" s="31" t="s">
        <v>60</v>
      </c>
      <c r="G34" s="31"/>
      <c r="H34" s="31"/>
      <c r="I34" s="31" t="s">
        <v>40</v>
      </c>
      <c r="J34" s="31" t="s">
        <v>102</v>
      </c>
      <c r="K34" s="31" t="s">
        <v>72</v>
      </c>
      <c r="L34" s="32">
        <f>IFERROR(__xludf.DUMMYFUNCTION("VLOOKUP($A34,IMPORTRANGE(""1PQtfbQLqBUP-rjYRznmgNFBLOjvAnhGzpIx7BJWq8rk"",""'Worksheet'!$B$2:$H""),7,FALSE)"),0.75)</f>
        <v>0.75</v>
      </c>
      <c r="M34" s="31" t="s">
        <v>45</v>
      </c>
      <c r="N34" s="49">
        <v>2.3815254E8</v>
      </c>
      <c r="O34" s="49">
        <v>7.1445762E7</v>
      </c>
      <c r="P34" s="49">
        <f t="shared" si="8"/>
        <v>166706778</v>
      </c>
      <c r="Q34" s="34">
        <f t="shared" si="3"/>
        <v>0.7</v>
      </c>
      <c r="R34" s="31"/>
      <c r="S34" s="31" t="s">
        <v>40</v>
      </c>
      <c r="T34" s="50">
        <v>2.310079638E8</v>
      </c>
      <c r="U34" s="51">
        <v>0.0</v>
      </c>
      <c r="V34" s="50">
        <v>2.310079638E8</v>
      </c>
      <c r="W34" s="31"/>
      <c r="X34" s="52" t="s">
        <v>291</v>
      </c>
      <c r="Y34" s="54" t="s">
        <v>46</v>
      </c>
      <c r="Z34" s="54" t="s">
        <v>160</v>
      </c>
      <c r="AA34" s="74">
        <v>46248.0</v>
      </c>
      <c r="AB34" s="56"/>
      <c r="AC34" s="38"/>
      <c r="AD34" s="39">
        <v>238152.54</v>
      </c>
      <c r="AE34" s="39">
        <v>71445.762</v>
      </c>
      <c r="AF34" s="40">
        <v>166706.778</v>
      </c>
      <c r="AG34" s="57" t="s">
        <v>292</v>
      </c>
      <c r="AH34" s="42" t="s">
        <v>46</v>
      </c>
      <c r="AI34" s="42" t="str">
        <f>IFERROR(__xludf.DUMMYFUNCTION("vLOOKUP(A34,IMPORTRANGE(""https://docs.google.com/spreadsheets/d/1Rawwwdh8wntXGy8isdYNHxsNQS4n_rC8JSdPfj6vEq4"",""'500 объектов перенос на 2026'!A3:AB502""),13,0)"),"#REF!")</f>
        <v>#REF!</v>
      </c>
      <c r="AJ34" s="42" t="str">
        <f>IFERROR(__xludf.DUMMYFUNCTION("vLOOKUP(A34,IMPORTRANGE(""https://docs.google.com/spreadsheets/d/1Rawwwdh8wntXGy8isdYNHxsNQS4n_rC8JSdPfj6vEq4"",""'500 объектов перенос на 2026'!A3:AB502""),14,0)"),"#REF!")</f>
        <v>#REF!</v>
      </c>
      <c r="AK34" s="76" t="s">
        <v>3323</v>
      </c>
      <c r="AL34" s="43"/>
      <c r="AM34" s="43" t="str">
        <f>IFERROR(__xludf.DUMMYFUNCTION("""COMPUTED_VALUE"""),"ООО РАДУГА")</f>
        <v>ООО РАДУГА</v>
      </c>
      <c r="AN34" s="44">
        <f>IFERROR(__xludf.DUMMYFUNCTION("""COMPUTED_VALUE"""),2.0)</f>
        <v>2</v>
      </c>
      <c r="AO34" s="44"/>
    </row>
    <row r="35" hidden="1">
      <c r="A35" s="62" t="s">
        <v>295</v>
      </c>
      <c r="B35" s="63" t="s">
        <v>296</v>
      </c>
      <c r="C35" s="64" t="s">
        <v>297</v>
      </c>
      <c r="D35" s="47" t="s">
        <v>298</v>
      </c>
      <c r="E35" s="64" t="s">
        <v>85</v>
      </c>
      <c r="F35" s="31" t="s">
        <v>40</v>
      </c>
      <c r="G35" s="31" t="s">
        <v>299</v>
      </c>
      <c r="H35" s="31" t="s">
        <v>300</v>
      </c>
      <c r="I35" s="31" t="s">
        <v>40</v>
      </c>
      <c r="J35" s="31" t="s">
        <v>102</v>
      </c>
      <c r="K35" s="31" t="s">
        <v>301</v>
      </c>
      <c r="L35" s="32" t="str">
        <f>IFERROR(__xludf.DUMMYFUNCTION("VLOOKUP($A35,IMPORTRANGE(""1PQtfbQLqBUP-rjYRznmgNFBLOjvAnhGzpIx7BJWq8rk"",""'Worksheet'!$B$2:$H""),7,FALSE)"),"#N/A")</f>
        <v>#N/A</v>
      </c>
      <c r="M35" s="31" t="s">
        <v>40</v>
      </c>
      <c r="N35" s="49">
        <v>2.3087068154E8</v>
      </c>
      <c r="O35" s="49">
        <v>6.926120446E7</v>
      </c>
      <c r="P35" s="49">
        <f t="shared" si="8"/>
        <v>161609477.1</v>
      </c>
      <c r="Q35" s="34">
        <f t="shared" si="3"/>
        <v>0.7</v>
      </c>
      <c r="R35" s="31"/>
      <c r="S35" s="31" t="s">
        <v>40</v>
      </c>
      <c r="T35" s="107">
        <f>N35-N35*0.05</f>
        <v>219327147.5</v>
      </c>
      <c r="U35" s="51">
        <v>0.0</v>
      </c>
      <c r="V35" s="107">
        <f>P35-P35*0.05</f>
        <v>153529003.2</v>
      </c>
      <c r="W35" s="31"/>
      <c r="X35" s="52" t="s">
        <v>302</v>
      </c>
      <c r="Y35" s="54" t="s">
        <v>3324</v>
      </c>
      <c r="Z35" s="54" t="s">
        <v>1134</v>
      </c>
      <c r="AA35" s="100">
        <v>46351.0</v>
      </c>
      <c r="AB35" s="56"/>
      <c r="AC35" s="38" t="s">
        <v>1135</v>
      </c>
      <c r="AD35" s="39">
        <v>230870.6815</v>
      </c>
      <c r="AE35" s="102">
        <v>0.0</v>
      </c>
      <c r="AF35" s="40">
        <v>230870.6815</v>
      </c>
      <c r="AG35" s="57" t="s">
        <v>306</v>
      </c>
      <c r="AH35" s="57" t="s">
        <v>307</v>
      </c>
      <c r="AI35" s="42" t="str">
        <f>IFERROR(__xludf.DUMMYFUNCTION("vLOOKUP(A35,IMPORTRANGE(""https://docs.google.com/spreadsheets/d/1Rawwwdh8wntXGy8isdYNHxsNQS4n_rC8JSdPfj6vEq4"",""'500 объектов перенос на 2026'!A3:AB502""),13,0)"),"#REF!")</f>
        <v>#REF!</v>
      </c>
      <c r="AJ35" s="42" t="str">
        <f>IFERROR(__xludf.DUMMYFUNCTION("vLOOKUP(A35,IMPORTRANGE(""https://docs.google.com/spreadsheets/d/1Rawwwdh8wntXGy8isdYNHxsNQS4n_rC8JSdPfj6vEq4"",""'500 объектов перенос на 2026'!A3:AB502""),14,0)"),"#REF!")</f>
        <v>#REF!</v>
      </c>
      <c r="AK35" s="76" t="s">
        <v>3325</v>
      </c>
      <c r="AL35" s="43"/>
      <c r="AM35" s="43" t="str">
        <f>IFERROR(__xludf.DUMMYFUNCTION("""COMPUTED_VALUE"""),"ООО ТВЭЛ")</f>
        <v>ООО ТВЭЛ</v>
      </c>
      <c r="AN35" s="44">
        <f>IFERROR(__xludf.DUMMYFUNCTION("""COMPUTED_VALUE"""),2.0)</f>
        <v>2</v>
      </c>
      <c r="AO35" s="44"/>
    </row>
    <row r="36" hidden="1">
      <c r="A36" s="62" t="s">
        <v>309</v>
      </c>
      <c r="B36" s="63" t="s">
        <v>56</v>
      </c>
      <c r="C36" s="64" t="s">
        <v>310</v>
      </c>
      <c r="D36" s="47" t="s">
        <v>311</v>
      </c>
      <c r="E36" s="64" t="s">
        <v>85</v>
      </c>
      <c r="F36" s="31" t="s">
        <v>40</v>
      </c>
      <c r="G36" s="31" t="s">
        <v>156</v>
      </c>
      <c r="H36" s="31" t="s">
        <v>312</v>
      </c>
      <c r="I36" s="31" t="s">
        <v>40</v>
      </c>
      <c r="J36" s="31" t="s">
        <v>102</v>
      </c>
      <c r="K36" s="31"/>
      <c r="L36" s="32">
        <f>IFERROR(__xludf.DUMMYFUNCTION("VLOOKUP($A36,IMPORTRANGE(""1PQtfbQLqBUP-rjYRznmgNFBLOjvAnhGzpIx7BJWq8rk"",""'Worksheet'!$B$2:$H""),7,FALSE)"),0.67)</f>
        <v>0.67</v>
      </c>
      <c r="M36" s="31" t="s">
        <v>40</v>
      </c>
      <c r="N36" s="49">
        <v>2.262388887E8</v>
      </c>
      <c r="O36" s="49">
        <v>6.787166661E7</v>
      </c>
      <c r="P36" s="49">
        <f t="shared" si="8"/>
        <v>158367222.1</v>
      </c>
      <c r="Q36" s="34">
        <f t="shared" si="3"/>
        <v>0.7</v>
      </c>
      <c r="R36" s="31"/>
      <c r="S36" s="31" t="s">
        <v>45</v>
      </c>
      <c r="T36" s="88" t="s">
        <v>313</v>
      </c>
      <c r="U36" s="67" t="s">
        <v>314</v>
      </c>
      <c r="V36" s="88" t="s">
        <v>315</v>
      </c>
      <c r="W36" s="31"/>
      <c r="X36" s="52" t="s">
        <v>49</v>
      </c>
      <c r="Y36" s="54" t="s">
        <v>316</v>
      </c>
      <c r="Z36" s="100"/>
      <c r="AA36" s="100">
        <v>46356.0</v>
      </c>
      <c r="AB36" s="56"/>
      <c r="AC36" s="38"/>
      <c r="AD36" s="39">
        <v>226238.88</v>
      </c>
      <c r="AE36" s="39">
        <v>67871.66661</v>
      </c>
      <c r="AF36" s="40">
        <v>158367.2134</v>
      </c>
      <c r="AG36" s="57" t="s">
        <v>317</v>
      </c>
      <c r="AH36" s="69" t="s">
        <v>66</v>
      </c>
      <c r="AI36" s="42" t="str">
        <f>IFERROR(__xludf.DUMMYFUNCTION("vLOOKUP(A36,IMPORTRANGE(""https://docs.google.com/spreadsheets/d/1Rawwwdh8wntXGy8isdYNHxsNQS4n_rC8JSdPfj6vEq4"",""'500 объектов перенос на 2026'!A3:AB502""),13,0)"),"#REF!")</f>
        <v>#REF!</v>
      </c>
      <c r="AJ36" s="42" t="str">
        <f>IFERROR(__xludf.DUMMYFUNCTION("vLOOKUP(A36,IMPORTRANGE(""https://docs.google.com/spreadsheets/d/1Rawwwdh8wntXGy8isdYNHxsNQS4n_rC8JSdPfj6vEq4"",""'500 объектов перенос на 2026'!A3:AB502""),14,0)"),"#REF!")</f>
        <v>#REF!</v>
      </c>
      <c r="AK36" s="70" t="s">
        <v>3326</v>
      </c>
      <c r="AL36" s="43"/>
      <c r="AM36" s="43" t="str">
        <f>IFERROR(__xludf.DUMMYFUNCTION("""COMPUTED_VALUE"""),"ООО КОСМА")</f>
        <v>ООО КОСМА</v>
      </c>
      <c r="AN36" s="44">
        <f>IFERROR(__xludf.DUMMYFUNCTION("""COMPUTED_VALUE"""),1.95)</f>
        <v>1.95</v>
      </c>
      <c r="AO36" s="44"/>
    </row>
    <row r="37" hidden="1">
      <c r="A37" s="62" t="s">
        <v>321</v>
      </c>
      <c r="B37" s="63" t="s">
        <v>250</v>
      </c>
      <c r="C37" s="64" t="s">
        <v>322</v>
      </c>
      <c r="D37" s="47" t="s">
        <v>323</v>
      </c>
      <c r="E37" s="64" t="s">
        <v>324</v>
      </c>
      <c r="F37" s="31" t="s">
        <v>40</v>
      </c>
      <c r="G37" s="31" t="s">
        <v>156</v>
      </c>
      <c r="H37" s="31" t="s">
        <v>325</v>
      </c>
      <c r="I37" s="31" t="s">
        <v>40</v>
      </c>
      <c r="J37" s="31" t="s">
        <v>102</v>
      </c>
      <c r="K37" s="31"/>
      <c r="L37" s="32">
        <f>IFERROR(__xludf.DUMMYFUNCTION("VLOOKUP($A37,IMPORTRANGE(""1PQtfbQLqBUP-rjYRznmgNFBLOjvAnhGzpIx7BJWq8rk"",""'Worksheet'!$B$2:$H""),7,FALSE)"),0.5)</f>
        <v>0.5</v>
      </c>
      <c r="M37" s="31" t="s">
        <v>40</v>
      </c>
      <c r="N37" s="49">
        <v>2.1113148E8</v>
      </c>
      <c r="O37" s="49">
        <v>6.3339444E7</v>
      </c>
      <c r="P37" s="49">
        <f t="shared" si="8"/>
        <v>147792036</v>
      </c>
      <c r="Q37" s="34">
        <f t="shared" si="3"/>
        <v>0.7</v>
      </c>
      <c r="R37" s="31"/>
      <c r="S37" s="31" t="s">
        <v>40</v>
      </c>
      <c r="T37" s="97">
        <v>2.0034492E8</v>
      </c>
      <c r="U37" s="51">
        <v>0.0</v>
      </c>
      <c r="V37" s="97">
        <v>2.0034492E8</v>
      </c>
      <c r="W37" s="31"/>
      <c r="X37" s="52" t="s">
        <v>326</v>
      </c>
      <c r="Y37" s="54" t="s">
        <v>327</v>
      </c>
      <c r="Z37" s="54" t="s">
        <v>75</v>
      </c>
      <c r="AA37" s="74">
        <v>46295.0</v>
      </c>
      <c r="AB37" s="56"/>
      <c r="AC37" s="38" t="s">
        <v>328</v>
      </c>
      <c r="AD37" s="39">
        <v>211131.48</v>
      </c>
      <c r="AE37" s="39">
        <v>63339.444</v>
      </c>
      <c r="AF37" s="40">
        <v>147792.036</v>
      </c>
      <c r="AG37" s="57" t="s">
        <v>329</v>
      </c>
      <c r="AH37" s="42" t="s">
        <v>66</v>
      </c>
      <c r="AI37" s="42" t="str">
        <f>IFERROR(__xludf.DUMMYFUNCTION("vLOOKUP(A37,IMPORTRANGE(""https://docs.google.com/spreadsheets/d/1Rawwwdh8wntXGy8isdYNHxsNQS4n_rC8JSdPfj6vEq4"",""'500 объектов перенос на 2026'!A3:AB502""),13,0)"),"#REF!")</f>
        <v>#REF!</v>
      </c>
      <c r="AJ37" s="42" t="str">
        <f>IFERROR(__xludf.DUMMYFUNCTION("vLOOKUP(A37,IMPORTRANGE(""https://docs.google.com/spreadsheets/d/1Rawwwdh8wntXGy8isdYNHxsNQS4n_rC8JSdPfj6vEq4"",""'500 объектов перенос на 2026'!A3:AB502""),14,0)"),"#REF!")</f>
        <v>#REF!</v>
      </c>
      <c r="AK37" s="87" t="s">
        <v>3327</v>
      </c>
      <c r="AL37" s="43"/>
      <c r="AM37" s="43" t="str">
        <f>IFERROR(__xludf.DUMMYFUNCTION("""COMPUTED_VALUE"""),"ООО ПРОМИНЖИНИРИНГ")</f>
        <v>ООО ПРОМИНЖИНИРИНГ</v>
      </c>
      <c r="AN37" s="44">
        <f>IFERROR(__xludf.DUMMYFUNCTION("""COMPUTED_VALUE"""),1.93)</f>
        <v>1.93</v>
      </c>
      <c r="AO37" s="44"/>
    </row>
    <row r="38" hidden="1">
      <c r="A38" s="62" t="s">
        <v>331</v>
      </c>
      <c r="B38" s="63" t="s">
        <v>250</v>
      </c>
      <c r="C38" s="64" t="s">
        <v>332</v>
      </c>
      <c r="D38" s="47" t="s">
        <v>333</v>
      </c>
      <c r="E38" s="64" t="s">
        <v>85</v>
      </c>
      <c r="F38" s="31" t="s">
        <v>60</v>
      </c>
      <c r="G38" s="31"/>
      <c r="H38" s="31"/>
      <c r="I38" s="31" t="s">
        <v>60</v>
      </c>
      <c r="J38" s="31"/>
      <c r="K38" s="31"/>
      <c r="L38" s="32">
        <f>IFERROR(__xludf.DUMMYFUNCTION("VLOOKUP($A38,IMPORTRANGE(""1PQtfbQLqBUP-rjYRznmgNFBLOjvAnhGzpIx7BJWq8rk"",""'Worksheet'!$B$2:$H""),7,FALSE)"),0.94)</f>
        <v>0.94</v>
      </c>
      <c r="M38" s="31" t="s">
        <v>60</v>
      </c>
      <c r="N38" s="49">
        <v>2.810610931E7</v>
      </c>
      <c r="O38" s="49">
        <v>2.427709273E7</v>
      </c>
      <c r="P38" s="49">
        <v>0.0</v>
      </c>
      <c r="Q38" s="34">
        <f t="shared" si="3"/>
        <v>0.1362343161</v>
      </c>
      <c r="R38" s="31"/>
      <c r="S38" s="31" t="s">
        <v>60</v>
      </c>
      <c r="T38" s="97" t="s">
        <v>334</v>
      </c>
      <c r="U38" s="88" t="s">
        <v>335</v>
      </c>
      <c r="V38" s="88" t="s">
        <v>336</v>
      </c>
      <c r="W38" s="31"/>
      <c r="X38" s="52" t="s">
        <v>337</v>
      </c>
      <c r="Y38" s="54" t="s">
        <v>338</v>
      </c>
      <c r="Z38" s="54"/>
      <c r="AA38" s="74"/>
      <c r="AB38" s="56"/>
      <c r="AC38" s="38" t="s">
        <v>173</v>
      </c>
      <c r="AD38" s="39">
        <v>28106.11</v>
      </c>
      <c r="AE38" s="39">
        <v>22427.72923</v>
      </c>
      <c r="AF38" s="39">
        <v>5678.38077</v>
      </c>
      <c r="AG38" s="57" t="s">
        <v>339</v>
      </c>
      <c r="AH38" s="42" t="s">
        <v>173</v>
      </c>
      <c r="AI38" s="42" t="str">
        <f>IFERROR(__xludf.DUMMYFUNCTION("vLOOKUP(A38,IMPORTRANGE(""https://docs.google.com/spreadsheets/d/1Rawwwdh8wntXGy8isdYNHxsNQS4n_rC8JSdPfj6vEq4"",""'500 объектов перенос на 2026'!A3:AB502""),13,0)"),"#REF!")</f>
        <v>#REF!</v>
      </c>
      <c r="AJ38" s="42" t="str">
        <f>IFERROR(__xludf.DUMMYFUNCTION("vLOOKUP(A38,IMPORTRANGE(""https://docs.google.com/spreadsheets/d/1Rawwwdh8wntXGy8isdYNHxsNQS4n_rC8JSdPfj6vEq4"",""'500 объектов перенос на 2026'!A3:AB502""),14,0)"),"#REF!")</f>
        <v>#REF!</v>
      </c>
      <c r="AK38" s="70" t="s">
        <v>746</v>
      </c>
      <c r="AL38" s="43"/>
      <c r="AM38" s="43" t="str">
        <f>IFERROR(__xludf.DUMMYFUNCTION("""COMPUTED_VALUE"""),"ООО ИМПУЛЬСЭНЕРГОСТРОЙ")</f>
        <v>ООО ИМПУЛЬСЭНЕРГОСТРОЙ</v>
      </c>
      <c r="AN38" s="44">
        <f>IFERROR(__xludf.DUMMYFUNCTION("""COMPUTED_VALUE"""),1.9)</f>
        <v>1.9</v>
      </c>
      <c r="AO38" s="44"/>
    </row>
    <row r="39" hidden="1">
      <c r="A39" s="62" t="s">
        <v>340</v>
      </c>
      <c r="B39" s="63" t="s">
        <v>268</v>
      </c>
      <c r="C39" s="64" t="s">
        <v>341</v>
      </c>
      <c r="D39" s="47" t="s">
        <v>342</v>
      </c>
      <c r="E39" s="64" t="s">
        <v>39</v>
      </c>
      <c r="F39" s="31" t="s">
        <v>40</v>
      </c>
      <c r="G39" s="31" t="s">
        <v>41</v>
      </c>
      <c r="H39" s="31" t="s">
        <v>343</v>
      </c>
      <c r="I39" s="31" t="s">
        <v>40</v>
      </c>
      <c r="J39" s="31" t="s">
        <v>102</v>
      </c>
      <c r="K39" s="31"/>
      <c r="L39" s="32">
        <f>IFERROR(__xludf.DUMMYFUNCTION("VLOOKUP($A39,IMPORTRANGE(""1PQtfbQLqBUP-rjYRznmgNFBLOjvAnhGzpIx7BJWq8rk"",""'Worksheet'!$B$2:$H""),7,FALSE)"),0.35)</f>
        <v>0.35</v>
      </c>
      <c r="M39" s="31" t="s">
        <v>40</v>
      </c>
      <c r="N39" s="49">
        <v>2.5580415287E8</v>
      </c>
      <c r="O39" s="49">
        <v>1.1365378512E8</v>
      </c>
      <c r="P39" s="49">
        <f t="shared" ref="P39:P46" si="9">N39-O39</f>
        <v>142150367.8</v>
      </c>
      <c r="Q39" s="34">
        <f t="shared" si="3"/>
        <v>0.5557</v>
      </c>
      <c r="R39" s="31"/>
      <c r="S39" s="31" t="s">
        <v>40</v>
      </c>
      <c r="T39" s="84" t="s">
        <v>344</v>
      </c>
      <c r="U39" s="84">
        <v>0.0</v>
      </c>
      <c r="V39" s="84" t="s">
        <v>344</v>
      </c>
      <c r="W39" s="31"/>
      <c r="X39" s="52" t="s">
        <v>345</v>
      </c>
      <c r="Y39" s="54" t="s">
        <v>346</v>
      </c>
      <c r="Z39" s="54" t="s">
        <v>347</v>
      </c>
      <c r="AA39" s="68">
        <v>46313.0</v>
      </c>
      <c r="AB39" s="56"/>
      <c r="AC39" s="38"/>
      <c r="AD39" s="39">
        <v>255804.15</v>
      </c>
      <c r="AE39" s="39">
        <v>113653.7851</v>
      </c>
      <c r="AF39" s="40">
        <v>142150.3649</v>
      </c>
      <c r="AG39" s="57" t="s">
        <v>348</v>
      </c>
      <c r="AH39" s="42" t="s">
        <v>49</v>
      </c>
      <c r="AI39" s="42" t="str">
        <f>IFERROR(__xludf.DUMMYFUNCTION("vLOOKUP(A39,IMPORTRANGE(""https://docs.google.com/spreadsheets/d/1Rawwwdh8wntXGy8isdYNHxsNQS4n_rC8JSdPfj6vEq4"",""'500 объектов перенос на 2026'!A3:AB502""),13,0)"),"#REF!")</f>
        <v>#REF!</v>
      </c>
      <c r="AJ39" s="42" t="str">
        <f>IFERROR(__xludf.DUMMYFUNCTION("vLOOKUP(A39,IMPORTRANGE(""https://docs.google.com/spreadsheets/d/1Rawwwdh8wntXGy8isdYNHxsNQS4n_rC8JSdPfj6vEq4"",""'500 объектов перенос на 2026'!A3:AB502""),14,0)"),"#REF!")</f>
        <v>#REF!</v>
      </c>
      <c r="AK39" s="70" t="s">
        <v>3328</v>
      </c>
      <c r="AL39" s="43"/>
      <c r="AM39" s="43" t="str">
        <f>IFERROR(__xludf.DUMMYFUNCTION("""COMPUTED_VALUE"""),"ООО СТАЙЛГРУПП")</f>
        <v>ООО СТАЙЛГРУПП</v>
      </c>
      <c r="AN39" s="44">
        <f>IFERROR(__xludf.DUMMYFUNCTION("""COMPUTED_VALUE"""),1.75)</f>
        <v>1.75</v>
      </c>
      <c r="AO39" s="44"/>
    </row>
    <row r="40" hidden="1">
      <c r="A40" s="62" t="s">
        <v>349</v>
      </c>
      <c r="B40" s="63" t="s">
        <v>257</v>
      </c>
      <c r="C40" s="64" t="s">
        <v>350</v>
      </c>
      <c r="D40" s="47" t="s">
        <v>351</v>
      </c>
      <c r="E40" s="64" t="s">
        <v>59</v>
      </c>
      <c r="F40" s="31" t="s">
        <v>60</v>
      </c>
      <c r="G40" s="31"/>
      <c r="H40" s="31"/>
      <c r="I40" s="31" t="s">
        <v>40</v>
      </c>
      <c r="J40" s="31" t="s">
        <v>102</v>
      </c>
      <c r="K40" s="31"/>
      <c r="L40" s="32">
        <f>IFERROR(__xludf.DUMMYFUNCTION("VLOOKUP($A40,IMPORTRANGE(""1PQtfbQLqBUP-rjYRznmgNFBLOjvAnhGzpIx7BJWq8rk"",""'Worksheet'!$B$2:$H""),7,FALSE)"),0.89)</f>
        <v>0.89</v>
      </c>
      <c r="M40" s="31" t="s">
        <v>284</v>
      </c>
      <c r="N40" s="49">
        <v>1.53079715E7</v>
      </c>
      <c r="O40" s="49">
        <v>4175000.0</v>
      </c>
      <c r="P40" s="49">
        <f t="shared" si="9"/>
        <v>11132971.5</v>
      </c>
      <c r="Q40" s="34">
        <f t="shared" si="3"/>
        <v>0.7272662808</v>
      </c>
      <c r="R40" s="31"/>
      <c r="S40" s="31" t="s">
        <v>40</v>
      </c>
      <c r="T40" s="88" t="s">
        <v>352</v>
      </c>
      <c r="U40" s="88" t="s">
        <v>353</v>
      </c>
      <c r="V40" s="88" t="s">
        <v>354</v>
      </c>
      <c r="W40" s="31"/>
      <c r="X40" s="52" t="s">
        <v>338</v>
      </c>
      <c r="Y40" s="54" t="s">
        <v>338</v>
      </c>
      <c r="Z40" s="54"/>
      <c r="AA40" s="54"/>
      <c r="AB40" s="56"/>
      <c r="AC40" s="38"/>
      <c r="AD40" s="39">
        <v>15307.9715</v>
      </c>
      <c r="AE40" s="109">
        <v>4175.0</v>
      </c>
      <c r="AF40" s="39">
        <v>11132.9715</v>
      </c>
      <c r="AG40" s="57" t="s">
        <v>355</v>
      </c>
      <c r="AH40" s="42" t="s">
        <v>356</v>
      </c>
      <c r="AI40" s="42" t="str">
        <f>IFERROR(__xludf.DUMMYFUNCTION("vLOOKUP(A40,IMPORTRANGE(""https://docs.google.com/spreadsheets/d/1Rawwwdh8wntXGy8isdYNHxsNQS4n_rC8JSdPfj6vEq4"",""'500 объектов перенос на 2026'!A3:AB502""),13,0)"),"#REF!")</f>
        <v>#REF!</v>
      </c>
      <c r="AJ40" s="42" t="str">
        <f>IFERROR(__xludf.DUMMYFUNCTION("vLOOKUP(A40,IMPORTRANGE(""https://docs.google.com/spreadsheets/d/1Rawwwdh8wntXGy8isdYNHxsNQS4n_rC8JSdPfj6vEq4"",""'500 объектов перенос на 2026'!A3:AB502""),14,0)"),"#REF!")</f>
        <v>#REF!</v>
      </c>
      <c r="AK40" s="110" t="s">
        <v>3329</v>
      </c>
      <c r="AL40" s="43"/>
      <c r="AM40" s="43" t="str">
        <f>IFERROR(__xludf.DUMMYFUNCTION("""COMPUTED_VALUE"""),"ООО УНИСТРОЙ")</f>
        <v>ООО УНИСТРОЙ</v>
      </c>
      <c r="AN40" s="44">
        <f>IFERROR(__xludf.DUMMYFUNCTION("""COMPUTED_VALUE"""),1.73)</f>
        <v>1.73</v>
      </c>
      <c r="AO40" s="44"/>
    </row>
    <row r="41" hidden="1">
      <c r="A41" s="78" t="s">
        <v>357</v>
      </c>
      <c r="B41" s="63" t="s">
        <v>257</v>
      </c>
      <c r="C41" s="64" t="s">
        <v>358</v>
      </c>
      <c r="D41" s="47" t="s">
        <v>259</v>
      </c>
      <c r="E41" s="90" t="s">
        <v>85</v>
      </c>
      <c r="F41" s="31" t="s">
        <v>60</v>
      </c>
      <c r="G41" s="31"/>
      <c r="H41" s="31"/>
      <c r="I41" s="31" t="s">
        <v>60</v>
      </c>
      <c r="J41" s="31"/>
      <c r="K41" s="31"/>
      <c r="L41" s="32" t="str">
        <f>IFERROR(__xludf.DUMMYFUNCTION("VLOOKUP($A41,IMPORTRANGE(""1PQtfbQLqBUP-rjYRznmgNFBLOjvAnhGzpIx7BJWq8rk"",""'Worksheet'!$B$2:$H""),7,FALSE)"),"#N/A")</f>
        <v>#N/A</v>
      </c>
      <c r="M41" s="31" t="s">
        <v>60</v>
      </c>
      <c r="N41" s="49">
        <v>5.984970667E7</v>
      </c>
      <c r="O41" s="49">
        <v>5.984970667E7</v>
      </c>
      <c r="P41" s="49">
        <f t="shared" si="9"/>
        <v>0</v>
      </c>
      <c r="Q41" s="34">
        <f t="shared" si="3"/>
        <v>0</v>
      </c>
      <c r="R41" s="31"/>
      <c r="S41" s="31" t="s">
        <v>60</v>
      </c>
      <c r="T41" s="88">
        <v>5.832764482E7</v>
      </c>
      <c r="U41" s="88">
        <v>2.970328954E7</v>
      </c>
      <c r="V41" s="88" t="s">
        <v>359</v>
      </c>
      <c r="W41" s="31"/>
      <c r="X41" s="52" t="s">
        <v>113</v>
      </c>
      <c r="Y41" s="54"/>
      <c r="Z41" s="54"/>
      <c r="AA41" s="54" t="s">
        <v>360</v>
      </c>
      <c r="AB41" s="38" t="s">
        <v>115</v>
      </c>
      <c r="AC41" s="38"/>
      <c r="AD41" s="39">
        <v>165313.85</v>
      </c>
      <c r="AE41" s="39">
        <v>59849.70667</v>
      </c>
      <c r="AF41" s="39">
        <v>105464.1433</v>
      </c>
      <c r="AG41" s="57" t="s">
        <v>361</v>
      </c>
      <c r="AH41" s="42" t="s">
        <v>362</v>
      </c>
      <c r="AI41" s="42" t="str">
        <f>IFERROR(__xludf.DUMMYFUNCTION("vLOOKUP(A41,IMPORTRANGE(""https://docs.google.com/spreadsheets/d/1Rawwwdh8wntXGy8isdYNHxsNQS4n_rC8JSdPfj6vEq4"",""'500 объектов перенос на 2026'!A3:AB502""),13,0)"),"#REF!")</f>
        <v>#REF!</v>
      </c>
      <c r="AJ41" s="42" t="str">
        <f>IFERROR(__xludf.DUMMYFUNCTION("vLOOKUP(A41,IMPORTRANGE(""https://docs.google.com/spreadsheets/d/1Rawwwdh8wntXGy8isdYNHxsNQS4n_rC8JSdPfj6vEq4"",""'500 объектов перенос на 2026'!A3:AB502""),14,0)"),"#REF!")</f>
        <v>#REF!</v>
      </c>
      <c r="AK41" s="261" t="s">
        <v>113</v>
      </c>
      <c r="AL41" s="43"/>
      <c r="AM41" s="43" t="str">
        <f>IFERROR(__xludf.DUMMYFUNCTION("""COMPUTED_VALUE"""),"ООО ТУЛАОБОРОНСТРОЙ")</f>
        <v>ООО ТУЛАОБОРОНСТРОЙ</v>
      </c>
      <c r="AN41" s="44">
        <f>IFERROR(__xludf.DUMMYFUNCTION("""COMPUTED_VALUE"""),1.65)</f>
        <v>1.65</v>
      </c>
      <c r="AO41" s="44"/>
    </row>
    <row r="42" hidden="1">
      <c r="A42" s="78" t="s">
        <v>363</v>
      </c>
      <c r="B42" s="63" t="s">
        <v>257</v>
      </c>
      <c r="C42" s="64" t="s">
        <v>364</v>
      </c>
      <c r="D42" s="47" t="s">
        <v>365</v>
      </c>
      <c r="E42" s="64" t="s">
        <v>85</v>
      </c>
      <c r="F42" s="31" t="s">
        <v>60</v>
      </c>
      <c r="G42" s="31"/>
      <c r="H42" s="31"/>
      <c r="I42" s="31" t="s">
        <v>60</v>
      </c>
      <c r="J42" s="31"/>
      <c r="K42" s="31"/>
      <c r="L42" s="32" t="str">
        <f>IFERROR(__xludf.DUMMYFUNCTION("VLOOKUP($A42,IMPORTRANGE(""1PQtfbQLqBUP-rjYRznmgNFBLOjvAnhGzpIx7BJWq8rk"",""'Worksheet'!$B$2:$H""),7,FALSE)"),"#N/A")</f>
        <v>#N/A</v>
      </c>
      <c r="M42" s="31" t="s">
        <v>284</v>
      </c>
      <c r="N42" s="49">
        <v>2.10369E8</v>
      </c>
      <c r="O42" s="49">
        <v>7018012.4</v>
      </c>
      <c r="P42" s="49">
        <f t="shared" si="9"/>
        <v>203350987.6</v>
      </c>
      <c r="Q42" s="34">
        <f t="shared" si="3"/>
        <v>0.9666395125</v>
      </c>
      <c r="R42" s="31" t="s">
        <v>366</v>
      </c>
      <c r="S42" s="31" t="s">
        <v>40</v>
      </c>
      <c r="T42" s="88" t="s">
        <v>367</v>
      </c>
      <c r="U42" s="88">
        <v>0.0</v>
      </c>
      <c r="V42" s="88" t="s">
        <v>367</v>
      </c>
      <c r="W42" s="31"/>
      <c r="X42" s="52" t="s">
        <v>113</v>
      </c>
      <c r="Y42" s="54" t="s">
        <v>284</v>
      </c>
      <c r="Z42" s="54"/>
      <c r="AA42" s="54" t="s">
        <v>114</v>
      </c>
      <c r="AB42" s="38" t="s">
        <v>115</v>
      </c>
      <c r="AC42" s="38"/>
      <c r="AD42" s="39">
        <v>210369.0</v>
      </c>
      <c r="AE42" s="39">
        <v>59983.01198</v>
      </c>
      <c r="AF42" s="39">
        <v>150385.988</v>
      </c>
      <c r="AG42" s="57" t="s">
        <v>368</v>
      </c>
      <c r="AH42" s="42" t="s">
        <v>362</v>
      </c>
      <c r="AI42" s="42" t="str">
        <f>IFERROR(__xludf.DUMMYFUNCTION("vLOOKUP(A42,IMPORTRANGE(""https://docs.google.com/spreadsheets/d/1Rawwwdh8wntXGy8isdYNHxsNQS4n_rC8JSdPfj6vEq4"",""'500 объектов перенос на 2026'!A3:AB502""),13,0)"),"#REF!")</f>
        <v>#REF!</v>
      </c>
      <c r="AJ42" s="42" t="str">
        <f>IFERROR(__xludf.DUMMYFUNCTION("vLOOKUP(A42,IMPORTRANGE(""https://docs.google.com/spreadsheets/d/1Rawwwdh8wntXGy8isdYNHxsNQS4n_rC8JSdPfj6vEq4"",""'500 объектов перенос на 2026'!A3:AB502""),14,0)"),"#REF!")</f>
        <v>#REF!</v>
      </c>
      <c r="AK42" s="76" t="s">
        <v>114</v>
      </c>
      <c r="AL42" s="43"/>
      <c r="AM42" s="43" t="str">
        <f>IFERROR(__xludf.DUMMYFUNCTION("""COMPUTED_VALUE"""),"ООО СТРОЙ ГРУПП")</f>
        <v>ООО СТРОЙ ГРУПП</v>
      </c>
      <c r="AN42" s="44">
        <f>IFERROR(__xludf.DUMMYFUNCTION("""COMPUTED_VALUE"""),1.52)</f>
        <v>1.52</v>
      </c>
      <c r="AO42" s="44"/>
    </row>
    <row r="43" hidden="1">
      <c r="A43" s="78" t="s">
        <v>369</v>
      </c>
      <c r="B43" s="111" t="s">
        <v>257</v>
      </c>
      <c r="C43" s="64" t="s">
        <v>370</v>
      </c>
      <c r="D43" s="47" t="s">
        <v>365</v>
      </c>
      <c r="E43" s="64" t="s">
        <v>85</v>
      </c>
      <c r="F43" s="31" t="s">
        <v>60</v>
      </c>
      <c r="G43" s="31"/>
      <c r="H43" s="31"/>
      <c r="I43" s="31" t="s">
        <v>60</v>
      </c>
      <c r="J43" s="31"/>
      <c r="K43" s="31"/>
      <c r="L43" s="32" t="str">
        <f>IFERROR(__xludf.DUMMYFUNCTION("VLOOKUP($A43,IMPORTRANGE(""1PQtfbQLqBUP-rjYRznmgNFBLOjvAnhGzpIx7BJWq8rk"",""'Worksheet'!$B$2:$H""),7,FALSE)"),"#N/A")</f>
        <v>#N/A</v>
      </c>
      <c r="M43" s="31" t="s">
        <v>284</v>
      </c>
      <c r="N43" s="49">
        <v>6160313.88</v>
      </c>
      <c r="O43" s="49">
        <v>0.0</v>
      </c>
      <c r="P43" s="49">
        <f t="shared" si="9"/>
        <v>6160313.88</v>
      </c>
      <c r="Q43" s="34">
        <f t="shared" si="3"/>
        <v>1</v>
      </c>
      <c r="R43" s="31" t="s">
        <v>366</v>
      </c>
      <c r="S43" s="31" t="s">
        <v>40</v>
      </c>
      <c r="T43" s="88" t="s">
        <v>371</v>
      </c>
      <c r="U43" s="88">
        <v>0.0</v>
      </c>
      <c r="V43" s="88" t="s">
        <v>371</v>
      </c>
      <c r="W43" s="31"/>
      <c r="X43" s="52" t="s">
        <v>113</v>
      </c>
      <c r="Y43" s="54" t="s">
        <v>284</v>
      </c>
      <c r="Z43" s="54"/>
      <c r="AA43" s="54" t="s">
        <v>114</v>
      </c>
      <c r="AB43" s="38" t="s">
        <v>115</v>
      </c>
      <c r="AC43" s="38"/>
      <c r="AD43" s="39">
        <v>6160.31</v>
      </c>
      <c r="AE43" s="39">
        <v>0.0</v>
      </c>
      <c r="AF43" s="39">
        <v>6160.31</v>
      </c>
      <c r="AG43" s="57" t="s">
        <v>372</v>
      </c>
      <c r="AH43" s="42" t="s">
        <v>373</v>
      </c>
      <c r="AI43" s="42" t="str">
        <f>IFERROR(__xludf.DUMMYFUNCTION("vLOOKUP(A43,IMPORTRANGE(""https://docs.google.com/spreadsheets/d/1Rawwwdh8wntXGy8isdYNHxsNQS4n_rC8JSdPfj6vEq4"",""'500 объектов перенос на 2026'!A3:AB502""),13,0)"),"#REF!")</f>
        <v>#REF!</v>
      </c>
      <c r="AJ43" s="42" t="str">
        <f>IFERROR(__xludf.DUMMYFUNCTION("vLOOKUP(A43,IMPORTRANGE(""https://docs.google.com/spreadsheets/d/1Rawwwdh8wntXGy8isdYNHxsNQS4n_rC8JSdPfj6vEq4"",""'500 объектов перенос на 2026'!A3:AB502""),14,0)"),"#REF!")</f>
        <v>#REF!</v>
      </c>
      <c r="AK43" s="76" t="s">
        <v>114</v>
      </c>
      <c r="AL43" s="43"/>
      <c r="AM43" s="43" t="str">
        <f>IFERROR(__xludf.DUMMYFUNCTION("""COMPUTED_VALUE"""),"ООО ВМО-ПРОЕКТ")</f>
        <v>ООО ВМО-ПРОЕКТ</v>
      </c>
      <c r="AN43" s="44">
        <f>IFERROR(__xludf.DUMMYFUNCTION("""COMPUTED_VALUE"""),1.22)</f>
        <v>1.22</v>
      </c>
      <c r="AO43" s="44"/>
    </row>
    <row r="44" hidden="1">
      <c r="A44" s="78" t="s">
        <v>374</v>
      </c>
      <c r="B44" s="63" t="s">
        <v>257</v>
      </c>
      <c r="C44" s="90" t="s">
        <v>375</v>
      </c>
      <c r="D44" s="47" t="s">
        <v>365</v>
      </c>
      <c r="E44" s="64" t="s">
        <v>85</v>
      </c>
      <c r="F44" s="31" t="s">
        <v>40</v>
      </c>
      <c r="G44" s="31" t="s">
        <v>41</v>
      </c>
      <c r="H44" s="31"/>
      <c r="I44" s="31" t="s">
        <v>60</v>
      </c>
      <c r="J44" s="31"/>
      <c r="K44" s="31"/>
      <c r="L44" s="32" t="str">
        <f>IFERROR(__xludf.DUMMYFUNCTION("VLOOKUP($A44,IMPORTRANGE(""1PQtfbQLqBUP-rjYRznmgNFBLOjvAnhGzpIx7BJWq8rk"",""'Worksheet'!$B$2:$H""),7,FALSE)"),"#N/A")</f>
        <v>#N/A</v>
      </c>
      <c r="M44" s="31" t="s">
        <v>284</v>
      </c>
      <c r="N44" s="49">
        <v>3834151.45</v>
      </c>
      <c r="O44" s="49">
        <v>0.0</v>
      </c>
      <c r="P44" s="49">
        <f t="shared" si="9"/>
        <v>3834151.45</v>
      </c>
      <c r="Q44" s="34">
        <f t="shared" si="3"/>
        <v>1</v>
      </c>
      <c r="R44" s="31" t="s">
        <v>366</v>
      </c>
      <c r="S44" s="31" t="s">
        <v>40</v>
      </c>
      <c r="T44" s="88" t="s">
        <v>376</v>
      </c>
      <c r="U44" s="88">
        <v>0.0</v>
      </c>
      <c r="V44" s="88" t="s">
        <v>376</v>
      </c>
      <c r="W44" s="31"/>
      <c r="X44" s="52" t="s">
        <v>113</v>
      </c>
      <c r="Y44" s="54" t="s">
        <v>377</v>
      </c>
      <c r="Z44" s="54"/>
      <c r="AA44" s="54" t="s">
        <v>114</v>
      </c>
      <c r="AB44" s="38" t="s">
        <v>115</v>
      </c>
      <c r="AC44" s="38"/>
      <c r="AD44" s="39">
        <v>3834.15</v>
      </c>
      <c r="AE44" s="39">
        <v>0.0</v>
      </c>
      <c r="AF44" s="39">
        <v>3834.15</v>
      </c>
      <c r="AG44" s="57" t="s">
        <v>378</v>
      </c>
      <c r="AH44" s="42" t="s">
        <v>373</v>
      </c>
      <c r="AI44" s="42" t="str">
        <f>IFERROR(__xludf.DUMMYFUNCTION("vLOOKUP(A44,IMPORTRANGE(""https://docs.google.com/spreadsheets/d/1Rawwwdh8wntXGy8isdYNHxsNQS4n_rC8JSdPfj6vEq4"",""'500 объектов перенос на 2026'!A3:AB502""),13,0)"),"#REF!")</f>
        <v>#REF!</v>
      </c>
      <c r="AJ44" s="42" t="str">
        <f>IFERROR(__xludf.DUMMYFUNCTION("vLOOKUP(A44,IMPORTRANGE(""https://docs.google.com/spreadsheets/d/1Rawwwdh8wntXGy8isdYNHxsNQS4n_rC8JSdPfj6vEq4"",""'500 объектов перенос на 2026'!A3:AB502""),14,0)"),"#REF!")</f>
        <v>#REF!</v>
      </c>
      <c r="AK44" s="138" t="s">
        <v>377</v>
      </c>
      <c r="AL44" s="43"/>
      <c r="AM44" s="43" t="str">
        <f>IFERROR(__xludf.DUMMYFUNCTION("""COMPUTED_VALUE"""),"ООО ТПП КОНТУР")</f>
        <v>ООО ТПП КОНТУР</v>
      </c>
      <c r="AN44" s="44">
        <f>IFERROR(__xludf.DUMMYFUNCTION("""COMPUTED_VALUE"""),1.21)</f>
        <v>1.21</v>
      </c>
      <c r="AO44" s="112" t="s">
        <v>3330</v>
      </c>
    </row>
    <row r="45" hidden="1">
      <c r="A45" s="62" t="s">
        <v>379</v>
      </c>
      <c r="B45" s="63" t="s">
        <v>36</v>
      </c>
      <c r="C45" s="64" t="s">
        <v>380</v>
      </c>
      <c r="D45" s="47" t="s">
        <v>38</v>
      </c>
      <c r="E45" s="90" t="s">
        <v>39</v>
      </c>
      <c r="F45" s="31" t="s">
        <v>40</v>
      </c>
      <c r="G45" s="31" t="s">
        <v>299</v>
      </c>
      <c r="H45" s="31" t="s">
        <v>325</v>
      </c>
      <c r="I45" s="31" t="s">
        <v>40</v>
      </c>
      <c r="J45" s="31" t="s">
        <v>43</v>
      </c>
      <c r="K45" s="31"/>
      <c r="L45" s="32">
        <f>IFERROR(__xludf.DUMMYFUNCTION("VLOOKUP($A45,IMPORTRANGE(""1PQtfbQLqBUP-rjYRznmgNFBLOjvAnhGzpIx7BJWq8rk"",""'Worksheet'!$B$2:$H""),7,FALSE)"),0.87)</f>
        <v>0.87</v>
      </c>
      <c r="M45" s="31" t="s">
        <v>40</v>
      </c>
      <c r="N45" s="49">
        <v>1.9212207E8</v>
      </c>
      <c r="O45" s="49">
        <v>5.594594678E7</v>
      </c>
      <c r="P45" s="49">
        <f t="shared" si="9"/>
        <v>136176123.2</v>
      </c>
      <c r="Q45" s="34">
        <f t="shared" si="3"/>
        <v>0.7088</v>
      </c>
      <c r="R45" s="31"/>
      <c r="S45" s="31" t="s">
        <v>40</v>
      </c>
      <c r="T45" s="84"/>
      <c r="U45" s="84"/>
      <c r="V45" s="84"/>
      <c r="W45" s="31"/>
      <c r="X45" s="52" t="s">
        <v>46</v>
      </c>
      <c r="Y45" s="53" t="s">
        <v>381</v>
      </c>
      <c r="Z45" s="54" t="s">
        <v>48</v>
      </c>
      <c r="AA45" s="100">
        <v>46384.0</v>
      </c>
      <c r="AB45" s="56"/>
      <c r="AC45" s="38" t="s">
        <v>49</v>
      </c>
      <c r="AD45" s="39">
        <v>192122.07</v>
      </c>
      <c r="AE45" s="39">
        <v>55945.94678</v>
      </c>
      <c r="AF45" s="40">
        <v>136176.1232</v>
      </c>
      <c r="AG45" s="57" t="s">
        <v>382</v>
      </c>
      <c r="AH45" s="42" t="s">
        <v>51</v>
      </c>
      <c r="AI45" s="42" t="str">
        <f>IFERROR(__xludf.DUMMYFUNCTION("vLOOKUP(A45,IMPORTRANGE(""https://docs.google.com/spreadsheets/d/1Rawwwdh8wntXGy8isdYNHxsNQS4n_rC8JSdPfj6vEq4"",""'500 объектов перенос на 2026'!A3:AB502""),13,0)"),"#REF!")</f>
        <v>#REF!</v>
      </c>
      <c r="AJ45" s="42" t="str">
        <f>IFERROR(__xludf.DUMMYFUNCTION("vLOOKUP(A45,IMPORTRANGE(""https://docs.google.com/spreadsheets/d/1Rawwwdh8wntXGy8isdYNHxsNQS4n_rC8JSdPfj6vEq4"",""'500 объектов перенос на 2026'!A3:AB502""),14,0)"),"#REF!")</f>
        <v>#REF!</v>
      </c>
      <c r="AK45" s="76" t="s">
        <v>3331</v>
      </c>
      <c r="AL45" s="43"/>
      <c r="AM45" s="43" t="str">
        <f>IFERROR(__xludf.DUMMYFUNCTION("""COMPUTED_VALUE"""),"ООО ВЕКТОР")</f>
        <v>ООО ВЕКТОР</v>
      </c>
      <c r="AN45" s="44">
        <f>IFERROR(__xludf.DUMMYFUNCTION("""COMPUTED_VALUE"""),1.0)</f>
        <v>1</v>
      </c>
      <c r="AO45" s="44"/>
    </row>
    <row r="46" hidden="1">
      <c r="A46" s="62" t="s">
        <v>385</v>
      </c>
      <c r="B46" s="63" t="s">
        <v>82</v>
      </c>
      <c r="C46" s="64" t="s">
        <v>386</v>
      </c>
      <c r="D46" s="47" t="s">
        <v>227</v>
      </c>
      <c r="E46" s="64" t="s">
        <v>85</v>
      </c>
      <c r="F46" s="31" t="s">
        <v>40</v>
      </c>
      <c r="G46" s="31" t="s">
        <v>156</v>
      </c>
      <c r="H46" s="31" t="s">
        <v>260</v>
      </c>
      <c r="I46" s="31" t="s">
        <v>60</v>
      </c>
      <c r="J46" s="31"/>
      <c r="K46" s="31"/>
      <c r="L46" s="32">
        <f>IFERROR(__xludf.DUMMYFUNCTION("VLOOKUP($A46,IMPORTRANGE(""1PQtfbQLqBUP-rjYRznmgNFBLOjvAnhGzpIx7BJWq8rk"",""'Worksheet'!$B$2:$H""),7,FALSE)"),0.95)</f>
        <v>0.95</v>
      </c>
      <c r="M46" s="31" t="s">
        <v>40</v>
      </c>
      <c r="N46" s="49">
        <v>1.3432576E8</v>
      </c>
      <c r="O46" s="49">
        <v>0.0</v>
      </c>
      <c r="P46" s="49">
        <f t="shared" si="9"/>
        <v>134325760</v>
      </c>
      <c r="Q46" s="34">
        <f t="shared" si="3"/>
        <v>1</v>
      </c>
      <c r="R46" s="31"/>
      <c r="S46" s="31" t="s">
        <v>40</v>
      </c>
      <c r="T46" s="84" t="s">
        <v>387</v>
      </c>
      <c r="U46" s="84">
        <v>0.0</v>
      </c>
      <c r="V46" s="84" t="s">
        <v>387</v>
      </c>
      <c r="W46" s="31"/>
      <c r="X46" s="52" t="s">
        <v>49</v>
      </c>
      <c r="Y46" s="54" t="s">
        <v>388</v>
      </c>
      <c r="Z46" s="74"/>
      <c r="AA46" s="74">
        <v>46218.0</v>
      </c>
      <c r="AB46" s="56"/>
      <c r="AC46" s="38"/>
      <c r="AD46" s="39">
        <v>134325.76</v>
      </c>
      <c r="AE46" s="39">
        <v>0.0</v>
      </c>
      <c r="AF46" s="40">
        <v>134325.76</v>
      </c>
      <c r="AG46" s="57"/>
      <c r="AH46" s="42"/>
      <c r="AI46" s="42" t="str">
        <f>IFERROR(__xludf.DUMMYFUNCTION("vLOOKUP(A46,IMPORTRANGE(""https://docs.google.com/spreadsheets/d/1Rawwwdh8wntXGy8isdYNHxsNQS4n_rC8JSdPfj6vEq4"",""'500 объектов перенос на 2026'!A3:AB502""),13,0)"),"#REF!")</f>
        <v>#REF!</v>
      </c>
      <c r="AJ46" s="42" t="str">
        <f>IFERROR(__xludf.DUMMYFUNCTION("vLOOKUP(A46,IMPORTRANGE(""https://docs.google.com/spreadsheets/d/1Rawwwdh8wntXGy8isdYNHxsNQS4n_rC8JSdPfj6vEq4"",""'500 объектов перенос на 2026'!A3:AB502""),14,0)"),"#REF!")</f>
        <v>#REF!</v>
      </c>
      <c r="AK46" s="76" t="s">
        <v>3332</v>
      </c>
      <c r="AL46" s="43"/>
      <c r="AM46" s="43" t="str">
        <f>IFERROR(__xludf.DUMMYFUNCTION("""COMPUTED_VALUE"""),"ООО ГЭС")</f>
        <v>ООО ГЭС</v>
      </c>
      <c r="AN46" s="44">
        <f>IFERROR(__xludf.DUMMYFUNCTION("""COMPUTED_VALUE"""),1.0)</f>
        <v>1</v>
      </c>
      <c r="AO46" s="44"/>
    </row>
    <row r="47" hidden="1">
      <c r="A47" s="62" t="s">
        <v>391</v>
      </c>
      <c r="B47" s="63" t="s">
        <v>392</v>
      </c>
      <c r="C47" s="113" t="s">
        <v>393</v>
      </c>
      <c r="D47" s="47" t="s">
        <v>227</v>
      </c>
      <c r="E47" s="64" t="s">
        <v>39</v>
      </c>
      <c r="F47" s="31" t="s">
        <v>60</v>
      </c>
      <c r="G47" s="31"/>
      <c r="H47" s="31"/>
      <c r="I47" s="31" t="s">
        <v>60</v>
      </c>
      <c r="J47" s="31"/>
      <c r="K47" s="31"/>
      <c r="L47" s="32">
        <f>IFERROR(__xludf.DUMMYFUNCTION("VLOOKUP($A47,IMPORTRANGE(""1PQtfbQLqBUP-rjYRznmgNFBLOjvAnhGzpIx7BJWq8rk"",""'Worksheet'!$B$2:$H""),7,FALSE)"),1.0)</f>
        <v>1</v>
      </c>
      <c r="M47" s="31" t="s">
        <v>60</v>
      </c>
      <c r="N47" s="49">
        <v>1.726387306E7</v>
      </c>
      <c r="O47" s="49">
        <v>1.22734146E7</v>
      </c>
      <c r="P47" s="49">
        <v>0.0</v>
      </c>
      <c r="Q47" s="34">
        <f t="shared" si="3"/>
        <v>0.2890694598</v>
      </c>
      <c r="R47" s="31"/>
      <c r="S47" s="31" t="s">
        <v>60</v>
      </c>
      <c r="T47" s="50">
        <f t="shared" ref="T47:T48" si="10">N47*0.95</f>
        <v>16400679.41</v>
      </c>
      <c r="U47" s="51">
        <v>1.6400679406999998E7</v>
      </c>
      <c r="V47" s="51">
        <v>0.0</v>
      </c>
      <c r="W47" s="31"/>
      <c r="X47" s="52" t="s">
        <v>113</v>
      </c>
      <c r="Y47" s="54"/>
      <c r="Z47" s="54"/>
      <c r="AA47" s="54" t="s">
        <v>114</v>
      </c>
      <c r="AB47" s="56"/>
      <c r="AC47" s="38"/>
      <c r="AD47" s="39">
        <v>17263.87</v>
      </c>
      <c r="AE47" s="39">
        <v>5179.16</v>
      </c>
      <c r="AF47" s="39">
        <v>12084.71</v>
      </c>
      <c r="AG47" s="57" t="s">
        <v>394</v>
      </c>
      <c r="AH47" s="42" t="s">
        <v>395</v>
      </c>
      <c r="AI47" s="42" t="str">
        <f>IFERROR(__xludf.DUMMYFUNCTION("vLOOKUP(A47,IMPORTRANGE(""https://docs.google.com/spreadsheets/d/1Rawwwdh8wntXGy8isdYNHxsNQS4n_rC8JSdPfj6vEq4"",""'500 объектов перенос на 2026'!A3:AB502""),13,0)"),"#REF!")</f>
        <v>#REF!</v>
      </c>
      <c r="AJ47" s="42" t="str">
        <f>IFERROR(__xludf.DUMMYFUNCTION("vLOOKUP(A47,IMPORTRANGE(""https://docs.google.com/spreadsheets/d/1Rawwwdh8wntXGy8isdYNHxsNQS4n_rC8JSdPfj6vEq4"",""'500 объектов перенос на 2026'!A3:AB502""),14,0)"),"#REF!")</f>
        <v>#REF!</v>
      </c>
      <c r="AK47" s="76" t="s">
        <v>114</v>
      </c>
      <c r="AL47" s="43"/>
      <c r="AM47" s="43" t="str">
        <f>IFERROR(__xludf.DUMMYFUNCTION("""COMPUTED_VALUE"""),"ООО ЕВРО СТРОЙ")</f>
        <v>ООО ЕВРО СТРОЙ</v>
      </c>
      <c r="AN47" s="44">
        <f>IFERROR(__xludf.DUMMYFUNCTION("""COMPUTED_VALUE"""),1.0)</f>
        <v>1</v>
      </c>
      <c r="AO47" s="44"/>
    </row>
    <row r="48" hidden="1">
      <c r="A48" s="62" t="s">
        <v>396</v>
      </c>
      <c r="B48" s="63" t="s">
        <v>392</v>
      </c>
      <c r="C48" s="113" t="s">
        <v>397</v>
      </c>
      <c r="D48" s="47" t="s">
        <v>227</v>
      </c>
      <c r="E48" s="64" t="s">
        <v>39</v>
      </c>
      <c r="F48" s="31" t="s">
        <v>60</v>
      </c>
      <c r="G48" s="31"/>
      <c r="H48" s="31"/>
      <c r="I48" s="31" t="s">
        <v>60</v>
      </c>
      <c r="J48" s="31"/>
      <c r="K48" s="31"/>
      <c r="L48" s="32">
        <f>IFERROR(__xludf.DUMMYFUNCTION("VLOOKUP($A48,IMPORTRANGE(""1PQtfbQLqBUP-rjYRznmgNFBLOjvAnhGzpIx7BJWq8rk"",""'Worksheet'!$B$2:$H""),7,FALSE)"),1.0)</f>
        <v>1</v>
      </c>
      <c r="M48" s="31" t="s">
        <v>60</v>
      </c>
      <c r="N48" s="49">
        <v>1.561029331E7</v>
      </c>
      <c r="O48" s="49">
        <v>1.504463562E7</v>
      </c>
      <c r="P48" s="49">
        <v>0.0</v>
      </c>
      <c r="Q48" s="34">
        <f t="shared" si="3"/>
        <v>0.03623619869</v>
      </c>
      <c r="R48" s="31"/>
      <c r="S48" s="31" t="s">
        <v>60</v>
      </c>
      <c r="T48" s="50">
        <f t="shared" si="10"/>
        <v>14829778.64</v>
      </c>
      <c r="U48" s="51">
        <v>1.48297786445E7</v>
      </c>
      <c r="V48" s="51">
        <v>0.0</v>
      </c>
      <c r="W48" s="31"/>
      <c r="X48" s="52" t="s">
        <v>113</v>
      </c>
      <c r="Y48" s="54"/>
      <c r="Z48" s="54"/>
      <c r="AA48" s="54" t="s">
        <v>114</v>
      </c>
      <c r="AB48" s="56"/>
      <c r="AC48" s="38"/>
      <c r="AD48" s="39">
        <v>17263.87</v>
      </c>
      <c r="AE48" s="39">
        <v>5179.16</v>
      </c>
      <c r="AF48" s="39">
        <v>12084.71</v>
      </c>
      <c r="AG48" s="57" t="s">
        <v>398</v>
      </c>
      <c r="AH48" s="42" t="s">
        <v>362</v>
      </c>
      <c r="AI48" s="42" t="str">
        <f>IFERROR(__xludf.DUMMYFUNCTION("vLOOKUP(A48,IMPORTRANGE(""https://docs.google.com/spreadsheets/d/1Rawwwdh8wntXGy8isdYNHxsNQS4n_rC8JSdPfj6vEq4"",""'500 объектов перенос на 2026'!A3:AB502""),13,0)"),"#REF!")</f>
        <v>#REF!</v>
      </c>
      <c r="AJ48" s="42" t="str">
        <f>IFERROR(__xludf.DUMMYFUNCTION("vLOOKUP(A48,IMPORTRANGE(""https://docs.google.com/spreadsheets/d/1Rawwwdh8wntXGy8isdYNHxsNQS4n_rC8JSdPfj6vEq4"",""'500 объектов перенос на 2026'!A3:AB502""),14,0)"),"#REF!")</f>
        <v>#REF!</v>
      </c>
      <c r="AK48" s="76" t="s">
        <v>114</v>
      </c>
      <c r="AL48" s="43"/>
      <c r="AM48" s="43" t="str">
        <f>IFERROR(__xludf.DUMMYFUNCTION("""COMPUTED_VALUE"""),"ООО ЕВРОГАЗ")</f>
        <v>ООО ЕВРОГАЗ</v>
      </c>
      <c r="AN48" s="44">
        <f>IFERROR(__xludf.DUMMYFUNCTION("""COMPUTED_VALUE"""),1.0)</f>
        <v>1</v>
      </c>
      <c r="AO48" s="44"/>
    </row>
    <row r="49" hidden="1">
      <c r="A49" s="114" t="s">
        <v>399</v>
      </c>
      <c r="B49" s="63" t="s">
        <v>400</v>
      </c>
      <c r="C49" s="64" t="s">
        <v>401</v>
      </c>
      <c r="D49" s="47" t="s">
        <v>402</v>
      </c>
      <c r="E49" s="64" t="s">
        <v>85</v>
      </c>
      <c r="F49" s="31" t="s">
        <v>40</v>
      </c>
      <c r="G49" s="31" t="s">
        <v>41</v>
      </c>
      <c r="H49" s="31" t="s">
        <v>260</v>
      </c>
      <c r="I49" s="31" t="s">
        <v>40</v>
      </c>
      <c r="J49" s="31" t="s">
        <v>61</v>
      </c>
      <c r="K49" s="31"/>
      <c r="L49" s="32">
        <f>IFERROR(__xludf.DUMMYFUNCTION("VLOOKUP($A49,IMPORTRANGE(""1PQtfbQLqBUP-rjYRznmgNFBLOjvAnhGzpIx7BJWq8rk"",""'Worksheet'!$B$2:$H""),7,FALSE)"),0.73)</f>
        <v>0.73</v>
      </c>
      <c r="M49" s="31" t="s">
        <v>40</v>
      </c>
      <c r="N49" s="49">
        <v>1.88768474E8</v>
      </c>
      <c r="O49" s="49">
        <v>5.6630544E7</v>
      </c>
      <c r="P49" s="49">
        <f t="shared" ref="P49:P50" si="11">N49-O49</f>
        <v>132137930</v>
      </c>
      <c r="Q49" s="34">
        <f t="shared" si="3"/>
        <v>0.6999999905</v>
      </c>
      <c r="R49" s="31"/>
      <c r="S49" s="31" t="s">
        <v>40</v>
      </c>
      <c r="T49" s="50"/>
      <c r="U49" s="51"/>
      <c r="V49" s="51"/>
      <c r="W49" s="31"/>
      <c r="X49" s="52" t="s">
        <v>49</v>
      </c>
      <c r="Y49" s="89" t="s">
        <v>403</v>
      </c>
      <c r="Z49" s="89" t="s">
        <v>404</v>
      </c>
      <c r="AA49" s="74">
        <v>46254.0</v>
      </c>
      <c r="AB49" s="56"/>
      <c r="AC49" s="38"/>
      <c r="AD49" s="39">
        <v>188768.48</v>
      </c>
      <c r="AE49" s="39">
        <v>56630.544</v>
      </c>
      <c r="AF49" s="40">
        <v>132137.936</v>
      </c>
      <c r="AG49" s="57" t="s">
        <v>405</v>
      </c>
      <c r="AH49" s="42" t="s">
        <v>51</v>
      </c>
      <c r="AI49" s="42" t="str">
        <f>IFERROR(__xludf.DUMMYFUNCTION("vLOOKUP(A49,IMPORTRANGE(""https://docs.google.com/spreadsheets/d/1Rawwwdh8wntXGy8isdYNHxsNQS4n_rC8JSdPfj6vEq4"",""'500 объектов перенос на 2026'!A3:AB502""),13,0)"),"#REF!")</f>
        <v>#REF!</v>
      </c>
      <c r="AJ49" s="42" t="str">
        <f>IFERROR(__xludf.DUMMYFUNCTION("vLOOKUP(A49,IMPORTRANGE(""https://docs.google.com/spreadsheets/d/1Rawwwdh8wntXGy8isdYNHxsNQS4n_rC8JSdPfj6vEq4"",""'500 объектов перенос на 2026'!A3:AB502""),14,0)"),"#REF!")</f>
        <v>#REF!</v>
      </c>
      <c r="AK49" s="138" t="s">
        <v>3333</v>
      </c>
      <c r="AL49" s="43"/>
      <c r="AM49" s="43" t="str">
        <f>IFERROR(__xludf.DUMMYFUNCTION("""COMPUTED_VALUE"""),"ООО ПКФ ЭНЕРГОСТРОЙ")</f>
        <v>ООО ПКФ ЭНЕРГОСТРОЙ</v>
      </c>
      <c r="AN49" s="44">
        <f>IFERROR(__xludf.DUMMYFUNCTION("""COMPUTED_VALUE"""),1.0)</f>
        <v>1</v>
      </c>
      <c r="AO49" s="44"/>
    </row>
    <row r="50" hidden="1">
      <c r="A50" s="62" t="s">
        <v>406</v>
      </c>
      <c r="B50" s="111" t="s">
        <v>392</v>
      </c>
      <c r="C50" s="104" t="s">
        <v>407</v>
      </c>
      <c r="D50" s="47" t="s">
        <v>408</v>
      </c>
      <c r="E50" s="64" t="s">
        <v>39</v>
      </c>
      <c r="F50" s="31" t="s">
        <v>60</v>
      </c>
      <c r="G50" s="31"/>
      <c r="H50" s="31"/>
      <c r="I50" s="31" t="s">
        <v>40</v>
      </c>
      <c r="J50" s="31" t="s">
        <v>102</v>
      </c>
      <c r="K50" s="31" t="s">
        <v>280</v>
      </c>
      <c r="L50" s="32" t="str">
        <f>IFERROR(__xludf.DUMMYFUNCTION("VLOOKUP($A50,IMPORTRANGE(""1PQtfbQLqBUP-rjYRznmgNFBLOjvAnhGzpIx7BJWq8rk"",""'Worksheet'!$B$2:$H""),7,FALSE)"),"#N/A")</f>
        <v>#N/A</v>
      </c>
      <c r="M50" s="31" t="s">
        <v>284</v>
      </c>
      <c r="N50" s="49">
        <v>1.084348136E7</v>
      </c>
      <c r="O50" s="49">
        <v>0.0</v>
      </c>
      <c r="P50" s="49">
        <f t="shared" si="11"/>
        <v>10843481.36</v>
      </c>
      <c r="Q50" s="34">
        <f t="shared" si="3"/>
        <v>1</v>
      </c>
      <c r="R50" s="31"/>
      <c r="S50" s="31" t="s">
        <v>40</v>
      </c>
      <c r="T50" s="50"/>
      <c r="U50" s="51"/>
      <c r="V50" s="51"/>
      <c r="W50" s="31"/>
      <c r="X50" s="52" t="s">
        <v>409</v>
      </c>
      <c r="Y50" s="54" t="s">
        <v>284</v>
      </c>
      <c r="Z50" s="74"/>
      <c r="AA50" s="74">
        <v>46305.0</v>
      </c>
      <c r="AB50" s="56"/>
      <c r="AC50" s="38" t="s">
        <v>410</v>
      </c>
      <c r="AD50" s="39" t="s">
        <v>411</v>
      </c>
      <c r="AE50" s="39">
        <v>16839.66</v>
      </c>
      <c r="AF50" s="40">
        <v>25946.89</v>
      </c>
      <c r="AG50" s="57" t="s">
        <v>412</v>
      </c>
      <c r="AH50" s="42" t="s">
        <v>413</v>
      </c>
      <c r="AI50" s="42" t="str">
        <f>IFERROR(__xludf.DUMMYFUNCTION("vLOOKUP(A50,IMPORTRANGE(""https://docs.google.com/spreadsheets/d/1Rawwwdh8wntXGy8isdYNHxsNQS4n_rC8JSdPfj6vEq4"",""'500 объектов перенос на 2026'!A3:AB502""),13,0)"),"#REF!")</f>
        <v>#REF!</v>
      </c>
      <c r="AJ50" s="42" t="str">
        <f>IFERROR(__xludf.DUMMYFUNCTION("vLOOKUP(A50,IMPORTRANGE(""https://docs.google.com/spreadsheets/d/1Rawwwdh8wntXGy8isdYNHxsNQS4n_rC8JSdPfj6vEq4"",""'500 объектов перенос на 2026'!A3:AB502""),14,0)"),"#REF!")</f>
        <v>#REF!</v>
      </c>
      <c r="AK50" s="76" t="s">
        <v>3334</v>
      </c>
      <c r="AL50" s="43"/>
      <c r="AM50" s="43" t="str">
        <f>IFERROR(__xludf.DUMMYFUNCTION("""COMPUTED_VALUE"""),"ООО РСК ИМПУЛЬС")</f>
        <v>ООО РСК ИМПУЛЬС</v>
      </c>
      <c r="AN50" s="44">
        <f>IFERROR(__xludf.DUMMYFUNCTION("""COMPUTED_VALUE"""),1.0)</f>
        <v>1</v>
      </c>
      <c r="AO50" s="44"/>
    </row>
    <row r="51" hidden="1">
      <c r="A51" s="62" t="s">
        <v>414</v>
      </c>
      <c r="B51" s="63" t="s">
        <v>392</v>
      </c>
      <c r="C51" s="64" t="s">
        <v>415</v>
      </c>
      <c r="D51" s="47" t="s">
        <v>416</v>
      </c>
      <c r="E51" s="64" t="s">
        <v>39</v>
      </c>
      <c r="F51" s="31" t="s">
        <v>60</v>
      </c>
      <c r="G51" s="31"/>
      <c r="H51" s="31"/>
      <c r="I51" s="31" t="s">
        <v>60</v>
      </c>
      <c r="J51" s="31"/>
      <c r="K51" s="31"/>
      <c r="L51" s="32">
        <f>IFERROR(__xludf.DUMMYFUNCTION("VLOOKUP($A51,IMPORTRANGE(""1PQtfbQLqBUP-rjYRznmgNFBLOjvAnhGzpIx7BJWq8rk"",""'Worksheet'!$B$2:$H""),7,FALSE)"),1.0)</f>
        <v>1</v>
      </c>
      <c r="M51" s="31" t="s">
        <v>60</v>
      </c>
      <c r="N51" s="49">
        <v>1.2809145E8</v>
      </c>
      <c r="O51" s="49">
        <v>1.2808004984E8</v>
      </c>
      <c r="P51" s="49">
        <v>0.0</v>
      </c>
      <c r="Q51" s="34">
        <f t="shared" si="3"/>
        <v>0.00008900016355</v>
      </c>
      <c r="R51" s="31"/>
      <c r="S51" s="31" t="s">
        <v>60</v>
      </c>
      <c r="T51" s="115">
        <f>N51-N51*0.05</f>
        <v>121686877.5</v>
      </c>
      <c r="U51" s="88">
        <v>1.216868775E8</v>
      </c>
      <c r="V51" s="115">
        <f>T51-U51</f>
        <v>0</v>
      </c>
      <c r="W51" s="31"/>
      <c r="X51" s="52" t="s">
        <v>113</v>
      </c>
      <c r="Y51" s="54"/>
      <c r="Z51" s="54"/>
      <c r="AA51" s="54" t="s">
        <v>114</v>
      </c>
      <c r="AB51" s="56"/>
      <c r="AC51" s="38"/>
      <c r="AD51" s="39">
        <v>124900.0</v>
      </c>
      <c r="AE51" s="39">
        <v>12490.0</v>
      </c>
      <c r="AF51" s="39">
        <v>112410.0</v>
      </c>
      <c r="AG51" s="116"/>
      <c r="AH51" s="116"/>
      <c r="AI51" s="42" t="str">
        <f>IFERROR(__xludf.DUMMYFUNCTION("vLOOKUP(A51,IMPORTRANGE(""https://docs.google.com/spreadsheets/d/1Rawwwdh8wntXGy8isdYNHxsNQS4n_rC8JSdPfj6vEq4"",""'500 объектов перенос на 2026'!A3:AB502""),13,0)"),"#REF!")</f>
        <v>#REF!</v>
      </c>
      <c r="AJ51" s="42" t="str">
        <f>IFERROR(__xludf.DUMMYFUNCTION("vLOOKUP(A51,IMPORTRANGE(""https://docs.google.com/spreadsheets/d/1Rawwwdh8wntXGy8isdYNHxsNQS4n_rC8JSdPfj6vEq4"",""'500 объектов перенос на 2026'!A3:AB502""),14,0)"),"#REF!")</f>
        <v>#REF!</v>
      </c>
      <c r="AK51" s="76" t="s">
        <v>114</v>
      </c>
      <c r="AL51" s="43"/>
      <c r="AM51" s="43" t="str">
        <f>IFERROR(__xludf.DUMMYFUNCTION("""COMPUTED_VALUE"""),"ООО СК")</f>
        <v>ООО СК</v>
      </c>
      <c r="AN51" s="44">
        <f>IFERROR(__xludf.DUMMYFUNCTION("""COMPUTED_VALUE"""),1.0)</f>
        <v>1</v>
      </c>
      <c r="AO51" s="44"/>
    </row>
    <row r="52" hidden="1">
      <c r="A52" s="62" t="s">
        <v>417</v>
      </c>
      <c r="B52" s="63" t="s">
        <v>392</v>
      </c>
      <c r="C52" s="104" t="s">
        <v>418</v>
      </c>
      <c r="D52" s="47" t="s">
        <v>227</v>
      </c>
      <c r="E52" s="64" t="s">
        <v>39</v>
      </c>
      <c r="F52" s="31" t="s">
        <v>60</v>
      </c>
      <c r="G52" s="31"/>
      <c r="H52" s="31"/>
      <c r="I52" s="31" t="s">
        <v>60</v>
      </c>
      <c r="J52" s="31"/>
      <c r="K52" s="31"/>
      <c r="L52" s="32">
        <f>IFERROR(__xludf.DUMMYFUNCTION("VLOOKUP($A52,IMPORTRANGE(""1PQtfbQLqBUP-rjYRznmgNFBLOjvAnhGzpIx7BJWq8rk"",""'Worksheet'!$B$2:$H""),7,FALSE)"),1.0)</f>
        <v>1</v>
      </c>
      <c r="M52" s="31" t="s">
        <v>60</v>
      </c>
      <c r="N52" s="49">
        <v>2.503000698E7</v>
      </c>
      <c r="O52" s="49">
        <v>1.853416842E7</v>
      </c>
      <c r="P52" s="49">
        <v>0.0</v>
      </c>
      <c r="Q52" s="34">
        <f t="shared" si="3"/>
        <v>0.2595220435</v>
      </c>
      <c r="R52" s="31"/>
      <c r="S52" s="31" t="s">
        <v>60</v>
      </c>
      <c r="T52" s="88" t="s">
        <v>419</v>
      </c>
      <c r="U52" s="88" t="s">
        <v>419</v>
      </c>
      <c r="V52" s="88">
        <v>0.0</v>
      </c>
      <c r="W52" s="31"/>
      <c r="X52" s="52" t="s">
        <v>113</v>
      </c>
      <c r="Y52" s="54"/>
      <c r="Z52" s="54"/>
      <c r="AA52" s="54" t="s">
        <v>114</v>
      </c>
      <c r="AB52" s="56"/>
      <c r="AC52" s="38"/>
      <c r="AD52" s="39">
        <v>25030.0</v>
      </c>
      <c r="AE52" s="39">
        <v>7509.0</v>
      </c>
      <c r="AF52" s="39">
        <v>17521.0</v>
      </c>
      <c r="AG52" s="57" t="s">
        <v>420</v>
      </c>
      <c r="AH52" s="42" t="s">
        <v>362</v>
      </c>
      <c r="AI52" s="42" t="str">
        <f>IFERROR(__xludf.DUMMYFUNCTION("vLOOKUP(A52,IMPORTRANGE(""https://docs.google.com/spreadsheets/d/1Rawwwdh8wntXGy8isdYNHxsNQS4n_rC8JSdPfj6vEq4"",""'500 объектов перенос на 2026'!A3:AB502""),13,0)"),"#REF!")</f>
        <v>#REF!</v>
      </c>
      <c r="AJ52" s="42" t="str">
        <f>IFERROR(__xludf.DUMMYFUNCTION("vLOOKUP(A52,IMPORTRANGE(""https://docs.google.com/spreadsheets/d/1Rawwwdh8wntXGy8isdYNHxsNQS4n_rC8JSdPfj6vEq4"",""'500 объектов перенос на 2026'!A3:AB502""),14,0)"),"#REF!")</f>
        <v>#REF!</v>
      </c>
      <c r="AK52" s="76" t="s">
        <v>114</v>
      </c>
      <c r="AL52" s="43"/>
      <c r="AM52" s="43" t="str">
        <f>IFERROR(__xludf.DUMMYFUNCTION("""COMPUTED_VALUE"""),"ООО СОВРЕМЕННЫЕ ТЕХНОЛОГИИ ТЕПЛОСНАБЖЕНИЯ")</f>
        <v>ООО СОВРЕМЕННЫЕ ТЕХНОЛОГИИ ТЕПЛОСНАБЖЕНИЯ</v>
      </c>
      <c r="AN52" s="44">
        <f>IFERROR(__xludf.DUMMYFUNCTION("""COMPUTED_VALUE"""),1.0)</f>
        <v>1</v>
      </c>
      <c r="AO52" s="44"/>
    </row>
    <row r="53" hidden="1">
      <c r="A53" s="81" t="s">
        <v>421</v>
      </c>
      <c r="B53" s="63" t="s">
        <v>392</v>
      </c>
      <c r="C53" s="104" t="s">
        <v>422</v>
      </c>
      <c r="D53" s="47" t="s">
        <v>423</v>
      </c>
      <c r="E53" s="64" t="s">
        <v>39</v>
      </c>
      <c r="F53" s="31" t="s">
        <v>60</v>
      </c>
      <c r="G53" s="31"/>
      <c r="H53" s="31"/>
      <c r="I53" s="31" t="s">
        <v>60</v>
      </c>
      <c r="J53" s="31" t="s">
        <v>43</v>
      </c>
      <c r="K53" s="31"/>
      <c r="L53" s="32" t="str">
        <f>IFERROR(__xludf.DUMMYFUNCTION("VLOOKUP($A53,IMPORTRANGE(""1PQtfbQLqBUP-rjYRznmgNFBLOjvAnhGzpIx7BJWq8rk"",""'Worksheet'!$B$2:$H""),7,FALSE)"),"#N/A")</f>
        <v>#N/A</v>
      </c>
      <c r="M53" s="31" t="s">
        <v>60</v>
      </c>
      <c r="N53" s="49">
        <v>4.131932473E7</v>
      </c>
      <c r="O53" s="49">
        <v>4.131932473E7</v>
      </c>
      <c r="P53" s="49">
        <f t="shared" ref="P53:P54" si="12">N53-O53</f>
        <v>0</v>
      </c>
      <c r="Q53" s="34">
        <f t="shared" si="3"/>
        <v>0</v>
      </c>
      <c r="R53" s="31"/>
      <c r="S53" s="31" t="s">
        <v>60</v>
      </c>
      <c r="T53" s="88">
        <v>4.131932473E7</v>
      </c>
      <c r="U53" s="88">
        <v>0.0</v>
      </c>
      <c r="V53" s="88">
        <v>4.131932473E7</v>
      </c>
      <c r="W53" s="31"/>
      <c r="X53" s="52" t="s">
        <v>113</v>
      </c>
      <c r="Y53" s="52" t="s">
        <v>113</v>
      </c>
      <c r="Z53" s="74"/>
      <c r="AA53" s="100">
        <v>46305.0</v>
      </c>
      <c r="AB53" s="56"/>
      <c r="AC53" s="38" t="s">
        <v>410</v>
      </c>
      <c r="AD53" s="39">
        <v>59259.13</v>
      </c>
      <c r="AE53" s="39">
        <v>5319.0</v>
      </c>
      <c r="AF53" s="40">
        <v>53940.13</v>
      </c>
      <c r="AG53" s="99" t="s">
        <v>424</v>
      </c>
      <c r="AH53" s="42" t="s">
        <v>284</v>
      </c>
      <c r="AI53" s="42" t="str">
        <f>IFERROR(__xludf.DUMMYFUNCTION("vLOOKUP(A53,IMPORTRANGE(""https://docs.google.com/spreadsheets/d/1Rawwwdh8wntXGy8isdYNHxsNQS4n_rC8JSdPfj6vEq4"",""'500 объектов перенос на 2026'!A3:AB502""),13,0)"),"#REF!")</f>
        <v>#REF!</v>
      </c>
      <c r="AJ53" s="42" t="str">
        <f>IFERROR(__xludf.DUMMYFUNCTION("vLOOKUP(A53,IMPORTRANGE(""https://docs.google.com/spreadsheets/d/1Rawwwdh8wntXGy8isdYNHxsNQS4n_rC8JSdPfj6vEq4"",""'500 объектов перенос на 2026'!A3:AB502""),14,0)"),"#REF!")</f>
        <v>#REF!</v>
      </c>
      <c r="AK53" s="261" t="s">
        <v>113</v>
      </c>
      <c r="AL53" s="43"/>
      <c r="AM53" s="43" t="str">
        <f>IFERROR(__xludf.DUMMYFUNCTION("""COMPUTED_VALUE"""),"ООО ТЕЗА-СТРОЙ")</f>
        <v>ООО ТЕЗА-СТРОЙ</v>
      </c>
      <c r="AN53" s="44">
        <f>IFERROR(__xludf.DUMMYFUNCTION("""COMPUTED_VALUE"""),1.0)</f>
        <v>1</v>
      </c>
      <c r="AO53" s="44"/>
    </row>
    <row r="54" hidden="1">
      <c r="A54" s="62" t="s">
        <v>425</v>
      </c>
      <c r="B54" s="63" t="s">
        <v>142</v>
      </c>
      <c r="C54" s="104" t="s">
        <v>426</v>
      </c>
      <c r="D54" s="47" t="s">
        <v>427</v>
      </c>
      <c r="E54" s="64" t="s">
        <v>59</v>
      </c>
      <c r="F54" s="31" t="s">
        <v>60</v>
      </c>
      <c r="G54" s="31"/>
      <c r="H54" s="31"/>
      <c r="I54" s="31" t="s">
        <v>40</v>
      </c>
      <c r="J54" s="31" t="s">
        <v>102</v>
      </c>
      <c r="K54" s="31" t="s">
        <v>62</v>
      </c>
      <c r="L54" s="32">
        <f>IFERROR(__xludf.DUMMYFUNCTION("VLOOKUP($A54,IMPORTRANGE(""1PQtfbQLqBUP-rjYRznmgNFBLOjvAnhGzpIx7BJWq8rk"",""'Worksheet'!$B$2:$H""),7,FALSE)"),0.81)</f>
        <v>0.81</v>
      </c>
      <c r="M54" s="31" t="s">
        <v>45</v>
      </c>
      <c r="N54" s="49">
        <v>2.974361485E8</v>
      </c>
      <c r="O54" s="49">
        <v>1.82302533E8</v>
      </c>
      <c r="P54" s="49">
        <f t="shared" si="12"/>
        <v>115133615.5</v>
      </c>
      <c r="Q54" s="34">
        <f t="shared" si="3"/>
        <v>0.3870868288</v>
      </c>
      <c r="R54" s="31"/>
      <c r="S54" s="31" t="s">
        <v>45</v>
      </c>
      <c r="T54" s="72" t="s">
        <v>428</v>
      </c>
      <c r="U54" s="67" t="s">
        <v>429</v>
      </c>
      <c r="V54" s="67" t="s">
        <v>430</v>
      </c>
      <c r="W54" s="31"/>
      <c r="X54" s="52" t="s">
        <v>46</v>
      </c>
      <c r="Z54" s="54" t="s">
        <v>431</v>
      </c>
      <c r="AA54" s="74">
        <v>46266.0</v>
      </c>
      <c r="AB54" s="56"/>
      <c r="AC54" s="38"/>
      <c r="AD54" s="39">
        <v>297436.15</v>
      </c>
      <c r="AE54" s="39">
        <v>184209.3385</v>
      </c>
      <c r="AF54" s="40">
        <v>113226.8115</v>
      </c>
      <c r="AG54" s="99" t="s">
        <v>432</v>
      </c>
      <c r="AH54" s="42" t="s">
        <v>46</v>
      </c>
      <c r="AI54" s="42" t="str">
        <f>IFERROR(__xludf.DUMMYFUNCTION("vLOOKUP(A54,IMPORTRANGE(""https://docs.google.com/spreadsheets/d/1Rawwwdh8wntXGy8isdYNHxsNQS4n_rC8JSdPfj6vEq4"",""'500 объектов перенос на 2026'!A3:AB502""),13,0)"),"#REF!")</f>
        <v>#REF!</v>
      </c>
      <c r="AJ54" s="42" t="str">
        <f>IFERROR(__xludf.DUMMYFUNCTION("vLOOKUP(A54,IMPORTRANGE(""https://docs.google.com/spreadsheets/d/1Rawwwdh8wntXGy8isdYNHxsNQS4n_rC8JSdPfj6vEq4"",""'500 объектов перенос на 2026'!A3:AB502""),14,0)"),"#REF!")</f>
        <v>#REF!</v>
      </c>
      <c r="AK54" s="138" t="s">
        <v>3335</v>
      </c>
      <c r="AL54" s="43"/>
      <c r="AM54" s="43" t="str">
        <f>IFERROR(__xludf.DUMMYFUNCTION("""COMPUTED_VALUE"""),"ООО ОПУСГРУПП")</f>
        <v>ООО ОПУСГРУПП</v>
      </c>
      <c r="AN54" s="44">
        <f>IFERROR(__xludf.DUMMYFUNCTION("""COMPUTED_VALUE"""),0.99)</f>
        <v>0.99</v>
      </c>
      <c r="AO54" s="44"/>
    </row>
    <row r="55" hidden="1">
      <c r="A55" s="78" t="s">
        <v>433</v>
      </c>
      <c r="B55" s="63" t="s">
        <v>268</v>
      </c>
      <c r="C55" s="64" t="s">
        <v>434</v>
      </c>
      <c r="D55" s="47" t="s">
        <v>435</v>
      </c>
      <c r="E55" s="90" t="s">
        <v>59</v>
      </c>
      <c r="F55" s="31" t="s">
        <v>60</v>
      </c>
      <c r="G55" s="31"/>
      <c r="H55" s="31"/>
      <c r="I55" s="31" t="s">
        <v>60</v>
      </c>
      <c r="J55" s="31"/>
      <c r="K55" s="31"/>
      <c r="L55" s="32" t="str">
        <f>IFERROR(__xludf.DUMMYFUNCTION("VLOOKUP($A55,IMPORTRANGE(""1PQtfbQLqBUP-rjYRznmgNFBLOjvAnhGzpIx7BJWq8rk"",""'Worksheet'!$B$2:$H""),7,FALSE)"),"#N/A")</f>
        <v>#N/A</v>
      </c>
      <c r="M55" s="31" t="s">
        <v>60</v>
      </c>
      <c r="N55" s="49">
        <v>2.2491E7</v>
      </c>
      <c r="O55" s="49">
        <v>2.246279006E7</v>
      </c>
      <c r="P55" s="49">
        <v>0.0</v>
      </c>
      <c r="Q55" s="34">
        <f t="shared" si="3"/>
        <v>0.001254276822</v>
      </c>
      <c r="R55" s="31"/>
      <c r="S55" s="31" t="s">
        <v>60</v>
      </c>
      <c r="T55" s="50" t="s">
        <v>436</v>
      </c>
      <c r="U55" s="117" t="s">
        <v>436</v>
      </c>
      <c r="V55" s="51">
        <v>0.0</v>
      </c>
      <c r="W55" s="31"/>
      <c r="X55" s="52" t="s">
        <v>409</v>
      </c>
      <c r="Z55" s="54" t="s">
        <v>437</v>
      </c>
      <c r="AA55" s="54" t="s">
        <v>114</v>
      </c>
      <c r="AB55" s="38" t="s">
        <v>115</v>
      </c>
      <c r="AC55" s="38" t="s">
        <v>438</v>
      </c>
      <c r="AD55" s="39">
        <v>22462.79</v>
      </c>
      <c r="AE55" s="39">
        <v>22462.78958</v>
      </c>
      <c r="AF55" s="40">
        <v>4.2E-4</v>
      </c>
      <c r="AG55" s="57" t="s">
        <v>439</v>
      </c>
      <c r="AH55" s="42"/>
      <c r="AI55" s="42" t="str">
        <f>IFERROR(__xludf.DUMMYFUNCTION("vLOOKUP(A55,IMPORTRANGE(""https://docs.google.com/spreadsheets/d/1Rawwwdh8wntXGy8isdYNHxsNQS4n_rC8JSdPfj6vEq4"",""'500 объектов перенос на 2026'!A3:AB502""),13,0)"),"#REF!")</f>
        <v>#REF!</v>
      </c>
      <c r="AJ55" s="42" t="str">
        <f>IFERROR(__xludf.DUMMYFUNCTION("vLOOKUP(A55,IMPORTRANGE(""https://docs.google.com/spreadsheets/d/1Rawwwdh8wntXGy8isdYNHxsNQS4n_rC8JSdPfj6vEq4"",""'500 объектов перенос на 2026'!A3:AB502""),14,0)"),"#REF!")</f>
        <v>#REF!</v>
      </c>
      <c r="AK55" s="76" t="s">
        <v>437</v>
      </c>
      <c r="AL55" s="43"/>
      <c r="AM55" s="43" t="str">
        <f>IFERROR(__xludf.DUMMYFUNCTION("""COMPUTED_VALUE"""),"ООО РОУД ГРУПП")</f>
        <v>ООО РОУД ГРУПП</v>
      </c>
      <c r="AN55" s="44">
        <f>IFERROR(__xludf.DUMMYFUNCTION("""COMPUTED_VALUE"""),0.99)</f>
        <v>0.99</v>
      </c>
      <c r="AO55" s="44"/>
    </row>
    <row r="56" hidden="1">
      <c r="A56" s="78" t="s">
        <v>440</v>
      </c>
      <c r="B56" s="63" t="s">
        <v>268</v>
      </c>
      <c r="C56" s="64" t="s">
        <v>441</v>
      </c>
      <c r="D56" s="47" t="s">
        <v>442</v>
      </c>
      <c r="E56" s="64" t="s">
        <v>85</v>
      </c>
      <c r="F56" s="31" t="s">
        <v>60</v>
      </c>
      <c r="G56" s="31"/>
      <c r="H56" s="31"/>
      <c r="I56" s="31" t="s">
        <v>60</v>
      </c>
      <c r="J56" s="31"/>
      <c r="K56" s="31"/>
      <c r="L56" s="32" t="str">
        <f>IFERROR(__xludf.DUMMYFUNCTION("VLOOKUP($A56,IMPORTRANGE(""1PQtfbQLqBUP-rjYRznmgNFBLOjvAnhGzpIx7BJWq8rk"",""'Worksheet'!$B$2:$H""),7,FALSE)"),"#N/A")</f>
        <v>#N/A</v>
      </c>
      <c r="M56" s="31" t="s">
        <v>60</v>
      </c>
      <c r="N56" s="49">
        <v>2.411392E7</v>
      </c>
      <c r="O56" s="49">
        <v>1.942931061E7</v>
      </c>
      <c r="P56" s="49">
        <v>0.0</v>
      </c>
      <c r="Q56" s="34">
        <f t="shared" si="3"/>
        <v>0.1942699233</v>
      </c>
      <c r="R56" s="31"/>
      <c r="S56" s="31" t="s">
        <v>60</v>
      </c>
      <c r="T56" s="50" t="s">
        <v>443</v>
      </c>
      <c r="U56" s="51" t="s">
        <v>443</v>
      </c>
      <c r="V56" s="51">
        <v>0.0</v>
      </c>
      <c r="W56" s="31"/>
      <c r="X56" s="52" t="s">
        <v>409</v>
      </c>
      <c r="Z56" s="54" t="s">
        <v>437</v>
      </c>
      <c r="AA56" s="54" t="s">
        <v>114</v>
      </c>
      <c r="AB56" s="38" t="s">
        <v>115</v>
      </c>
      <c r="AC56" s="38" t="s">
        <v>438</v>
      </c>
      <c r="AD56" s="39">
        <v>22891.7</v>
      </c>
      <c r="AE56" s="39">
        <v>20609.05941</v>
      </c>
      <c r="AF56" s="40">
        <v>2282.64059</v>
      </c>
      <c r="AG56" s="57" t="s">
        <v>444</v>
      </c>
      <c r="AH56" s="42"/>
      <c r="AI56" s="42" t="str">
        <f>IFERROR(__xludf.DUMMYFUNCTION("vLOOKUP(A56,IMPORTRANGE(""https://docs.google.com/spreadsheets/d/1Rawwwdh8wntXGy8isdYNHxsNQS4n_rC8JSdPfj6vEq4"",""'500 объектов перенос на 2026'!A3:AB502""),13,0)"),"#REF!")</f>
        <v>#REF!</v>
      </c>
      <c r="AJ56" s="42" t="str">
        <f>IFERROR(__xludf.DUMMYFUNCTION("vLOOKUP(A56,IMPORTRANGE(""https://docs.google.com/spreadsheets/d/1Rawwwdh8wntXGy8isdYNHxsNQS4n_rC8JSdPfj6vEq4"",""'500 объектов перенос на 2026'!A3:AB502""),14,0)"),"#REF!")</f>
        <v>#REF!</v>
      </c>
      <c r="AK56" s="76" t="s">
        <v>437</v>
      </c>
      <c r="AL56" s="43"/>
      <c r="AM56" s="43" t="str">
        <f>IFERROR(__xludf.DUMMYFUNCTION("""COMPUTED_VALUE"""),"АО АГУНА")</f>
        <v>АО АГУНА</v>
      </c>
      <c r="AN56" s="44">
        <f>IFERROR(__xludf.DUMMYFUNCTION("""COMPUTED_VALUE"""),0.98)</f>
        <v>0.98</v>
      </c>
      <c r="AO56" s="44"/>
    </row>
    <row r="57" hidden="1">
      <c r="A57" s="78" t="s">
        <v>445</v>
      </c>
      <c r="B57" s="63" t="s">
        <v>268</v>
      </c>
      <c r="C57" s="64" t="s">
        <v>446</v>
      </c>
      <c r="D57" s="47" t="s">
        <v>442</v>
      </c>
      <c r="E57" s="64" t="s">
        <v>85</v>
      </c>
      <c r="F57" s="31" t="s">
        <v>60</v>
      </c>
      <c r="G57" s="31"/>
      <c r="H57" s="31"/>
      <c r="I57" s="31" t="s">
        <v>60</v>
      </c>
      <c r="J57" s="31"/>
      <c r="K57" s="31"/>
      <c r="L57" s="32" t="str">
        <f>IFERROR(__xludf.DUMMYFUNCTION("VLOOKUP($A57,IMPORTRANGE(""1PQtfbQLqBUP-rjYRznmgNFBLOjvAnhGzpIx7BJWq8rk"",""'Worksheet'!$B$2:$H""),7,FALSE)"),"#N/A")</f>
        <v>#N/A</v>
      </c>
      <c r="M57" s="31" t="s">
        <v>60</v>
      </c>
      <c r="N57" s="49">
        <v>1.752363E7</v>
      </c>
      <c r="O57" s="49">
        <v>1.512096682E7</v>
      </c>
      <c r="P57" s="49">
        <v>0.0</v>
      </c>
      <c r="Q57" s="34">
        <f t="shared" si="3"/>
        <v>0.1371099013</v>
      </c>
      <c r="R57" s="31"/>
      <c r="S57" s="31" t="s">
        <v>60</v>
      </c>
      <c r="T57" s="50" t="s">
        <v>447</v>
      </c>
      <c r="U57" s="51" t="s">
        <v>447</v>
      </c>
      <c r="V57" s="51">
        <v>0.0</v>
      </c>
      <c r="W57" s="31"/>
      <c r="X57" s="52" t="s">
        <v>409</v>
      </c>
      <c r="Z57" s="54" t="s">
        <v>437</v>
      </c>
      <c r="AA57" s="54" t="s">
        <v>114</v>
      </c>
      <c r="AB57" s="38" t="s">
        <v>115</v>
      </c>
      <c r="AC57" s="38" t="s">
        <v>438</v>
      </c>
      <c r="AD57" s="39">
        <v>17523.63</v>
      </c>
      <c r="AE57" s="39">
        <v>15120.96682</v>
      </c>
      <c r="AF57" s="40">
        <v>2402.66318</v>
      </c>
      <c r="AG57" s="57" t="s">
        <v>448</v>
      </c>
      <c r="AH57" s="42"/>
      <c r="AI57" s="42" t="str">
        <f>IFERROR(__xludf.DUMMYFUNCTION("vLOOKUP(A57,IMPORTRANGE(""https://docs.google.com/spreadsheets/d/1Rawwwdh8wntXGy8isdYNHxsNQS4n_rC8JSdPfj6vEq4"",""'500 объектов перенос на 2026'!A3:AB502""),13,0)"),"#REF!")</f>
        <v>#REF!</v>
      </c>
      <c r="AJ57" s="42" t="str">
        <f>IFERROR(__xludf.DUMMYFUNCTION("vLOOKUP(A57,IMPORTRANGE(""https://docs.google.com/spreadsheets/d/1Rawwwdh8wntXGy8isdYNHxsNQS4n_rC8JSdPfj6vEq4"",""'500 объектов перенос на 2026'!A3:AB502""),14,0)"),"#REF!")</f>
        <v>#REF!</v>
      </c>
      <c r="AK57" s="76" t="s">
        <v>437</v>
      </c>
      <c r="AL57" s="43"/>
      <c r="AM57" s="43" t="str">
        <f>IFERROR(__xludf.DUMMYFUNCTION("""COMPUTED_VALUE"""),"АО АСП")</f>
        <v>АО АСП</v>
      </c>
      <c r="AN57" s="44">
        <f>IFERROR(__xludf.DUMMYFUNCTION("""COMPUTED_VALUE"""),0.98)</f>
        <v>0.98</v>
      </c>
      <c r="AO57" s="44"/>
    </row>
    <row r="58" hidden="1">
      <c r="A58" s="78" t="s">
        <v>449</v>
      </c>
      <c r="B58" s="63" t="s">
        <v>268</v>
      </c>
      <c r="C58" s="64" t="s">
        <v>450</v>
      </c>
      <c r="D58" s="47" t="s">
        <v>442</v>
      </c>
      <c r="E58" s="90" t="s">
        <v>85</v>
      </c>
      <c r="F58" s="31" t="s">
        <v>60</v>
      </c>
      <c r="G58" s="31"/>
      <c r="H58" s="31"/>
      <c r="I58" s="31" t="s">
        <v>60</v>
      </c>
      <c r="J58" s="31"/>
      <c r="K58" s="31"/>
      <c r="L58" s="32" t="str">
        <f>IFERROR(__xludf.DUMMYFUNCTION("VLOOKUP($A58,IMPORTRANGE(""1PQtfbQLqBUP-rjYRznmgNFBLOjvAnhGzpIx7BJWq8rk"",""'Worksheet'!$B$2:$H""),7,FALSE)"),"#N/A")</f>
        <v>#N/A</v>
      </c>
      <c r="M58" s="31" t="s">
        <v>60</v>
      </c>
      <c r="N58" s="49">
        <v>2.11686E7</v>
      </c>
      <c r="O58" s="49">
        <v>1.651564405E7</v>
      </c>
      <c r="P58" s="49">
        <v>0.0</v>
      </c>
      <c r="Q58" s="34">
        <f t="shared" si="3"/>
        <v>0.2198046139</v>
      </c>
      <c r="R58" s="31"/>
      <c r="S58" s="31" t="s">
        <v>60</v>
      </c>
      <c r="T58" s="50" t="s">
        <v>451</v>
      </c>
      <c r="U58" s="51" t="s">
        <v>451</v>
      </c>
      <c r="V58" s="51">
        <v>0.0</v>
      </c>
      <c r="W58" s="31"/>
      <c r="X58" s="52" t="s">
        <v>409</v>
      </c>
      <c r="Z58" s="54" t="s">
        <v>437</v>
      </c>
      <c r="AA58" s="54" t="s">
        <v>114</v>
      </c>
      <c r="AB58" s="38" t="s">
        <v>115</v>
      </c>
      <c r="AC58" s="38" t="s">
        <v>438</v>
      </c>
      <c r="AD58" s="39">
        <v>21168.6</v>
      </c>
      <c r="AE58" s="39">
        <v>16515.64541</v>
      </c>
      <c r="AF58" s="40">
        <v>4652.95459</v>
      </c>
      <c r="AG58" s="57" t="s">
        <v>452</v>
      </c>
      <c r="AH58" s="42"/>
      <c r="AI58" s="42" t="str">
        <f>IFERROR(__xludf.DUMMYFUNCTION("vLOOKUP(A58,IMPORTRANGE(""https://docs.google.com/spreadsheets/d/1Rawwwdh8wntXGy8isdYNHxsNQS4n_rC8JSdPfj6vEq4"",""'500 объектов перенос на 2026'!A3:AB502""),13,0)"),"#REF!")</f>
        <v>#REF!</v>
      </c>
      <c r="AJ58" s="42" t="str">
        <f>IFERROR(__xludf.DUMMYFUNCTION("vLOOKUP(A58,IMPORTRANGE(""https://docs.google.com/spreadsheets/d/1Rawwwdh8wntXGy8isdYNHxsNQS4n_rC8JSdPfj6vEq4"",""'500 объектов перенос на 2026'!A3:AB502""),14,0)"),"#REF!")</f>
        <v>#REF!</v>
      </c>
      <c r="AK58" s="76" t="s">
        <v>437</v>
      </c>
      <c r="AL58" s="43"/>
      <c r="AM58" s="43" t="str">
        <f>IFERROR(__xludf.DUMMYFUNCTION("""COMPUTED_VALUE"""),"ООО КАЛЬДЕРА")</f>
        <v>ООО КАЛЬДЕРА</v>
      </c>
      <c r="AN58" s="44">
        <f>IFERROR(__xludf.DUMMYFUNCTION("""COMPUTED_VALUE"""),0.98)</f>
        <v>0.98</v>
      </c>
      <c r="AO58" s="44"/>
    </row>
    <row r="59" hidden="1">
      <c r="A59" s="78" t="s">
        <v>453</v>
      </c>
      <c r="B59" s="63" t="s">
        <v>268</v>
      </c>
      <c r="C59" s="64" t="s">
        <v>454</v>
      </c>
      <c r="D59" s="47" t="s">
        <v>442</v>
      </c>
      <c r="E59" s="90" t="s">
        <v>85</v>
      </c>
      <c r="F59" s="31" t="s">
        <v>60</v>
      </c>
      <c r="G59" s="31"/>
      <c r="H59" s="31"/>
      <c r="I59" s="31" t="s">
        <v>60</v>
      </c>
      <c r="J59" s="31"/>
      <c r="K59" s="31"/>
      <c r="L59" s="32" t="str">
        <f>IFERROR(__xludf.DUMMYFUNCTION("VLOOKUP($A59,IMPORTRANGE(""1PQtfbQLqBUP-rjYRznmgNFBLOjvAnhGzpIx7BJWq8rk"",""'Worksheet'!$B$2:$H""),7,FALSE)"),"#N/A")</f>
        <v>#N/A</v>
      </c>
      <c r="M59" s="31" t="s">
        <v>60</v>
      </c>
      <c r="N59" s="49">
        <v>1.890254E7</v>
      </c>
      <c r="O59" s="49">
        <v>1.635505298E7</v>
      </c>
      <c r="P59" s="49">
        <v>0.0</v>
      </c>
      <c r="Q59" s="34">
        <f t="shared" si="3"/>
        <v>0.1347695611</v>
      </c>
      <c r="R59" s="31"/>
      <c r="S59" s="31" t="s">
        <v>60</v>
      </c>
      <c r="T59" s="50" t="s">
        <v>455</v>
      </c>
      <c r="U59" s="51" t="s">
        <v>455</v>
      </c>
      <c r="V59" s="51">
        <v>0.0</v>
      </c>
      <c r="W59" s="31"/>
      <c r="X59" s="52" t="s">
        <v>409</v>
      </c>
      <c r="Z59" s="54" t="s">
        <v>437</v>
      </c>
      <c r="AA59" s="54" t="s">
        <v>114</v>
      </c>
      <c r="AB59" s="38" t="s">
        <v>115</v>
      </c>
      <c r="AC59" s="38" t="s">
        <v>438</v>
      </c>
      <c r="AD59" s="39">
        <v>18902.54</v>
      </c>
      <c r="AE59" s="39">
        <v>16355.05098</v>
      </c>
      <c r="AF59" s="40">
        <v>2547.48902</v>
      </c>
      <c r="AG59" s="57" t="s">
        <v>456</v>
      </c>
      <c r="AH59" s="42"/>
      <c r="AI59" s="42" t="str">
        <f>IFERROR(__xludf.DUMMYFUNCTION("vLOOKUP(A59,IMPORTRANGE(""https://docs.google.com/spreadsheets/d/1Rawwwdh8wntXGy8isdYNHxsNQS4n_rC8JSdPfj6vEq4"",""'500 объектов перенос на 2026'!A3:AB502""),13,0)"),"#REF!")</f>
        <v>#REF!</v>
      </c>
      <c r="AJ59" s="42" t="str">
        <f>IFERROR(__xludf.DUMMYFUNCTION("vLOOKUP(A59,IMPORTRANGE(""https://docs.google.com/spreadsheets/d/1Rawwwdh8wntXGy8isdYNHxsNQS4n_rC8JSdPfj6vEq4"",""'500 объектов перенос на 2026'!A3:AB502""),14,0)"),"#REF!")</f>
        <v>#REF!</v>
      </c>
      <c r="AK59" s="76" t="s">
        <v>437</v>
      </c>
      <c r="AL59" s="43"/>
      <c r="AM59" s="43" t="str">
        <f>IFERROR(__xludf.DUMMYFUNCTION("""COMPUTED_VALUE"""),"ООО ПГК МСК")</f>
        <v>ООО ПГК МСК</v>
      </c>
      <c r="AN59" s="44">
        <f>IFERROR(__xludf.DUMMYFUNCTION("""COMPUTED_VALUE"""),0.98)</f>
        <v>0.98</v>
      </c>
      <c r="AO59" s="44"/>
    </row>
    <row r="60" hidden="1">
      <c r="A60" s="78" t="s">
        <v>457</v>
      </c>
      <c r="B60" s="63" t="s">
        <v>268</v>
      </c>
      <c r="C60" s="64" t="s">
        <v>458</v>
      </c>
      <c r="D60" s="47" t="s">
        <v>442</v>
      </c>
      <c r="E60" s="64" t="s">
        <v>85</v>
      </c>
      <c r="F60" s="31" t="s">
        <v>60</v>
      </c>
      <c r="G60" s="31"/>
      <c r="H60" s="31"/>
      <c r="I60" s="31" t="s">
        <v>60</v>
      </c>
      <c r="J60" s="31"/>
      <c r="K60" s="31"/>
      <c r="L60" s="32" t="str">
        <f>IFERROR(__xludf.DUMMYFUNCTION("VLOOKUP($A60,IMPORTRANGE(""1PQtfbQLqBUP-rjYRznmgNFBLOjvAnhGzpIx7BJWq8rk"",""'Worksheet'!$B$2:$H""),7,FALSE)"),"#N/A")</f>
        <v>#N/A</v>
      </c>
      <c r="M60" s="31" t="s">
        <v>60</v>
      </c>
      <c r="N60" s="49">
        <v>3.10204E7</v>
      </c>
      <c r="O60" s="49">
        <v>2.946624211E7</v>
      </c>
      <c r="P60" s="49">
        <v>0.0</v>
      </c>
      <c r="Q60" s="34">
        <f t="shared" si="3"/>
        <v>0.05010115569</v>
      </c>
      <c r="R60" s="31"/>
      <c r="S60" s="31" t="s">
        <v>60</v>
      </c>
      <c r="T60" s="50" t="s">
        <v>459</v>
      </c>
      <c r="U60" s="51" t="s">
        <v>459</v>
      </c>
      <c r="V60" s="51">
        <v>0.0</v>
      </c>
      <c r="W60" s="31"/>
      <c r="X60" s="52" t="s">
        <v>409</v>
      </c>
      <c r="Z60" s="54" t="s">
        <v>437</v>
      </c>
      <c r="AA60" s="54" t="s">
        <v>114</v>
      </c>
      <c r="AB60" s="38" t="s">
        <v>115</v>
      </c>
      <c r="AC60" s="38" t="s">
        <v>438</v>
      </c>
      <c r="AD60" s="39">
        <v>31020.4</v>
      </c>
      <c r="AE60" s="39">
        <v>29466.23859</v>
      </c>
      <c r="AF60" s="40">
        <v>1554.16141</v>
      </c>
      <c r="AG60" s="57" t="s">
        <v>460</v>
      </c>
      <c r="AH60" s="42"/>
      <c r="AI60" s="42" t="str">
        <f>IFERROR(__xludf.DUMMYFUNCTION("vLOOKUP(A60,IMPORTRANGE(""https://docs.google.com/spreadsheets/d/1Rawwwdh8wntXGy8isdYNHxsNQS4n_rC8JSdPfj6vEq4"",""'500 объектов перенос на 2026'!A3:AB502""),13,0)"),"#REF!")</f>
        <v>#REF!</v>
      </c>
      <c r="AJ60" s="42" t="str">
        <f>IFERROR(__xludf.DUMMYFUNCTION("vLOOKUP(A60,IMPORTRANGE(""https://docs.google.com/spreadsheets/d/1Rawwwdh8wntXGy8isdYNHxsNQS4n_rC8JSdPfj6vEq4"",""'500 объектов перенос на 2026'!A3:AB502""),14,0)"),"#REF!")</f>
        <v>#REF!</v>
      </c>
      <c r="AK60" s="76" t="s">
        <v>437</v>
      </c>
      <c r="AL60" s="43"/>
      <c r="AM60" s="43" t="str">
        <f>IFERROR(__xludf.DUMMYFUNCTION("""COMPUTED_VALUE"""),"ООО СПМК МАГИСТРАЛЬ")</f>
        <v>ООО СПМК МАГИСТРАЛЬ</v>
      </c>
      <c r="AN60" s="44">
        <f>IFERROR(__xludf.DUMMYFUNCTION("""COMPUTED_VALUE"""),0.98)</f>
        <v>0.98</v>
      </c>
      <c r="AO60" s="44"/>
    </row>
    <row r="61" hidden="1">
      <c r="A61" s="78" t="s">
        <v>461</v>
      </c>
      <c r="B61" s="63" t="s">
        <v>268</v>
      </c>
      <c r="C61" s="64" t="s">
        <v>462</v>
      </c>
      <c r="D61" s="47" t="s">
        <v>463</v>
      </c>
      <c r="E61" s="64" t="s">
        <v>85</v>
      </c>
      <c r="F61" s="31" t="s">
        <v>60</v>
      </c>
      <c r="G61" s="31"/>
      <c r="H61" s="31"/>
      <c r="I61" s="31" t="s">
        <v>60</v>
      </c>
      <c r="J61" s="31"/>
      <c r="K61" s="31"/>
      <c r="L61" s="32" t="str">
        <f>IFERROR(__xludf.DUMMYFUNCTION("VLOOKUP($A61,IMPORTRANGE(""1PQtfbQLqBUP-rjYRznmgNFBLOjvAnhGzpIx7BJWq8rk"",""'Worksheet'!$B$2:$H""),7,FALSE)"),"#N/A")</f>
        <v>#N/A</v>
      </c>
      <c r="M61" s="31" t="s">
        <v>60</v>
      </c>
      <c r="N61" s="49">
        <v>4.023408E7</v>
      </c>
      <c r="O61" s="49">
        <v>3.748866654E7</v>
      </c>
      <c r="P61" s="49">
        <v>0.0</v>
      </c>
      <c r="Q61" s="34">
        <f t="shared" si="3"/>
        <v>0.06823601931</v>
      </c>
      <c r="R61" s="31"/>
      <c r="S61" s="31" t="s">
        <v>60</v>
      </c>
      <c r="T61" s="50" t="s">
        <v>464</v>
      </c>
      <c r="U61" s="51" t="s">
        <v>464</v>
      </c>
      <c r="V61" s="51">
        <v>0.0</v>
      </c>
      <c r="W61" s="31"/>
      <c r="X61" s="52" t="s">
        <v>409</v>
      </c>
      <c r="Z61" s="54" t="s">
        <v>437</v>
      </c>
      <c r="AA61" s="54" t="s">
        <v>114</v>
      </c>
      <c r="AB61" s="38" t="s">
        <v>115</v>
      </c>
      <c r="AC61" s="38" t="s">
        <v>438</v>
      </c>
      <c r="AD61" s="39">
        <v>40234.08</v>
      </c>
      <c r="AE61" s="39">
        <v>37488.66654</v>
      </c>
      <c r="AF61" s="40">
        <v>2745.41346</v>
      </c>
      <c r="AG61" s="57" t="s">
        <v>465</v>
      </c>
      <c r="AH61" s="42"/>
      <c r="AI61" s="42" t="str">
        <f>IFERROR(__xludf.DUMMYFUNCTION("vLOOKUP(A61,IMPORTRANGE(""https://docs.google.com/spreadsheets/d/1Rawwwdh8wntXGy8isdYNHxsNQS4n_rC8JSdPfj6vEq4"",""'500 объектов перенос на 2026'!A3:AB502""),13,0)"),"#REF!")</f>
        <v>#REF!</v>
      </c>
      <c r="AJ61" s="42" t="str">
        <f>IFERROR(__xludf.DUMMYFUNCTION("vLOOKUP(A61,IMPORTRANGE(""https://docs.google.com/spreadsheets/d/1Rawwwdh8wntXGy8isdYNHxsNQS4n_rC8JSdPfj6vEq4"",""'500 объектов перенос на 2026'!A3:AB502""),14,0)"),"#REF!")</f>
        <v>#REF!</v>
      </c>
      <c r="AK61" s="76" t="s">
        <v>437</v>
      </c>
      <c r="AL61" s="43"/>
      <c r="AM61" s="43" t="str">
        <f>IFERROR(__xludf.DUMMYFUNCTION("""COMPUTED_VALUE"""),"АО МИСК")</f>
        <v>АО МИСК</v>
      </c>
      <c r="AN61" s="44">
        <f>IFERROR(__xludf.DUMMYFUNCTION("""COMPUTED_VALUE"""),0.97)</f>
        <v>0.97</v>
      </c>
      <c r="AO61" s="44"/>
    </row>
    <row r="62" hidden="1">
      <c r="A62" s="62" t="s">
        <v>466</v>
      </c>
      <c r="B62" s="63" t="s">
        <v>142</v>
      </c>
      <c r="C62" s="64" t="s">
        <v>467</v>
      </c>
      <c r="D62" s="47" t="s">
        <v>468</v>
      </c>
      <c r="E62" s="64" t="s">
        <v>59</v>
      </c>
      <c r="F62" s="31" t="s">
        <v>60</v>
      </c>
      <c r="G62" s="31"/>
      <c r="H62" s="31"/>
      <c r="I62" s="31" t="s">
        <v>40</v>
      </c>
      <c r="J62" s="31" t="s">
        <v>102</v>
      </c>
      <c r="K62" s="31" t="s">
        <v>72</v>
      </c>
      <c r="L62" s="32">
        <f>IFERROR(__xludf.DUMMYFUNCTION("VLOOKUP($A62,IMPORTRANGE(""1PQtfbQLqBUP-rjYRznmgNFBLOjvAnhGzpIx7BJWq8rk"",""'Worksheet'!$B$2:$H""),7,FALSE)"),0.7)</f>
        <v>0.7</v>
      </c>
      <c r="M62" s="31" t="s">
        <v>45</v>
      </c>
      <c r="N62" s="49">
        <v>2.4025867686E8</v>
      </c>
      <c r="O62" s="49">
        <v>1.2744015581E8</v>
      </c>
      <c r="P62" s="49">
        <f t="shared" ref="P62:P63" si="13">N62-O62</f>
        <v>112818521.1</v>
      </c>
      <c r="Q62" s="34">
        <f t="shared" si="3"/>
        <v>0.4695710578</v>
      </c>
      <c r="R62" s="31"/>
      <c r="S62" s="31" t="s">
        <v>45</v>
      </c>
      <c r="T62" s="72" t="s">
        <v>469</v>
      </c>
      <c r="U62" s="67" t="s">
        <v>470</v>
      </c>
      <c r="V62" s="67" t="s">
        <v>471</v>
      </c>
      <c r="W62" s="31"/>
      <c r="X62" s="52" t="s">
        <v>472</v>
      </c>
      <c r="Z62" s="54" t="s">
        <v>431</v>
      </c>
      <c r="AA62" s="74">
        <v>46266.0</v>
      </c>
      <c r="AB62" s="56"/>
      <c r="AC62" s="38"/>
      <c r="AD62" s="39">
        <v>240258.68</v>
      </c>
      <c r="AE62" s="39">
        <v>85316.9</v>
      </c>
      <c r="AF62" s="40">
        <v>154941.78</v>
      </c>
      <c r="AG62" s="57" t="s">
        <v>473</v>
      </c>
      <c r="AH62" s="42" t="s">
        <v>46</v>
      </c>
      <c r="AI62" s="42" t="str">
        <f>IFERROR(__xludf.DUMMYFUNCTION("vLOOKUP(A62,IMPORTRANGE(""https://docs.google.com/spreadsheets/d/1Rawwwdh8wntXGy8isdYNHxsNQS4n_rC8JSdPfj6vEq4"",""'500 объектов перенос на 2026'!A3:AB502""),13,0)"),"#REF!")</f>
        <v>#REF!</v>
      </c>
      <c r="AJ62" s="42" t="str">
        <f>IFERROR(__xludf.DUMMYFUNCTION("vLOOKUP(A62,IMPORTRANGE(""https://docs.google.com/spreadsheets/d/1Rawwwdh8wntXGy8isdYNHxsNQS4n_rC8JSdPfj6vEq4"",""'500 объектов перенос на 2026'!A3:AB502""),14,0)"),"#REF!")</f>
        <v>#REF!</v>
      </c>
      <c r="AK62" s="138" t="s">
        <v>3336</v>
      </c>
      <c r="AL62" s="43"/>
      <c r="AM62" s="43" t="str">
        <f>IFERROR(__xludf.DUMMYFUNCTION("""COMPUTED_VALUE"""),"ООО ТЭСКИП")</f>
        <v>ООО ТЭСКИП</v>
      </c>
      <c r="AN62" s="44">
        <f>IFERROR(__xludf.DUMMYFUNCTION("""COMPUTED_VALUE"""),0.97)</f>
        <v>0.97</v>
      </c>
      <c r="AO62" s="44"/>
    </row>
    <row r="63" hidden="1">
      <c r="A63" s="62" t="s">
        <v>474</v>
      </c>
      <c r="B63" s="63" t="s">
        <v>142</v>
      </c>
      <c r="C63" s="64" t="s">
        <v>475</v>
      </c>
      <c r="D63" s="47" t="s">
        <v>476</v>
      </c>
      <c r="E63" s="64" t="s">
        <v>59</v>
      </c>
      <c r="F63" s="31" t="s">
        <v>60</v>
      </c>
      <c r="G63" s="31"/>
      <c r="H63" s="31"/>
      <c r="I63" s="31" t="s">
        <v>40</v>
      </c>
      <c r="J63" s="31" t="s">
        <v>102</v>
      </c>
      <c r="K63" s="31" t="s">
        <v>62</v>
      </c>
      <c r="L63" s="32">
        <f>IFERROR(__xludf.DUMMYFUNCTION("VLOOKUP($A63,IMPORTRANGE(""1PQtfbQLqBUP-rjYRznmgNFBLOjvAnhGzpIx7BJWq8rk"",""'Worksheet'!$B$2:$H""),7,FALSE)"),0.75)</f>
        <v>0.75</v>
      </c>
      <c r="M63" s="31" t="s">
        <v>40</v>
      </c>
      <c r="N63" s="49">
        <v>1.5947199391E8</v>
      </c>
      <c r="O63" s="49">
        <v>4.784159818E7</v>
      </c>
      <c r="P63" s="49">
        <f t="shared" si="13"/>
        <v>111630395.7</v>
      </c>
      <c r="Q63" s="34">
        <f t="shared" si="3"/>
        <v>0.7</v>
      </c>
      <c r="R63" s="31"/>
      <c r="S63" s="31" t="s">
        <v>45</v>
      </c>
      <c r="T63" s="72" t="s">
        <v>477</v>
      </c>
      <c r="U63" s="67" t="s">
        <v>478</v>
      </c>
      <c r="V63" s="67" t="s">
        <v>479</v>
      </c>
      <c r="W63" s="31"/>
      <c r="X63" s="52" t="s">
        <v>46</v>
      </c>
      <c r="Z63" s="54" t="s">
        <v>431</v>
      </c>
      <c r="AA63" s="74">
        <v>46266.0</v>
      </c>
      <c r="AB63" s="56"/>
      <c r="AC63" s="38" t="s">
        <v>49</v>
      </c>
      <c r="AD63" s="39">
        <v>172860.09</v>
      </c>
      <c r="AE63" s="39">
        <v>47841.59818</v>
      </c>
      <c r="AF63" s="40">
        <v>125018.4918</v>
      </c>
      <c r="AG63" s="57" t="s">
        <v>480</v>
      </c>
      <c r="AH63" s="42" t="s">
        <v>46</v>
      </c>
      <c r="AI63" s="42" t="str">
        <f>IFERROR(__xludf.DUMMYFUNCTION("vLOOKUP(A63,IMPORTRANGE(""https://docs.google.com/spreadsheets/d/1Rawwwdh8wntXGy8isdYNHxsNQS4n_rC8JSdPfj6vEq4"",""'500 объектов перенос на 2026'!A3:AB502""),13,0)"),"#REF!")</f>
        <v>#REF!</v>
      </c>
      <c r="AJ63" s="42" t="str">
        <f>IFERROR(__xludf.DUMMYFUNCTION("vLOOKUP(A63,IMPORTRANGE(""https://docs.google.com/spreadsheets/d/1Rawwwdh8wntXGy8isdYNHxsNQS4n_rC8JSdPfj6vEq4"",""'500 объектов перенос на 2026'!A3:AB502""),14,0)"),"#REF!")</f>
        <v>#REF!</v>
      </c>
      <c r="AK63" s="138" t="s">
        <v>3335</v>
      </c>
      <c r="AL63" s="43"/>
      <c r="AM63" s="43" t="str">
        <f>IFERROR(__xludf.DUMMYFUNCTION("""COMPUTED_VALUE"""),"ООО ЭНЕРГОИНДУСТРИЯ")</f>
        <v>ООО ЭНЕРГОИНДУСТРИЯ</v>
      </c>
      <c r="AN63" s="44">
        <f>IFERROR(__xludf.DUMMYFUNCTION("""COMPUTED_VALUE"""),0.97)</f>
        <v>0.97</v>
      </c>
      <c r="AO63" s="44"/>
    </row>
    <row r="64" hidden="1">
      <c r="A64" s="78" t="s">
        <v>481</v>
      </c>
      <c r="B64" s="63" t="s">
        <v>268</v>
      </c>
      <c r="C64" s="64" t="s">
        <v>482</v>
      </c>
      <c r="D64" s="47" t="s">
        <v>463</v>
      </c>
      <c r="E64" s="64" t="s">
        <v>85</v>
      </c>
      <c r="F64" s="31" t="s">
        <v>60</v>
      </c>
      <c r="G64" s="31"/>
      <c r="H64" s="31"/>
      <c r="I64" s="31" t="s">
        <v>60</v>
      </c>
      <c r="J64" s="31"/>
      <c r="K64" s="31"/>
      <c r="L64" s="32">
        <f>IFERROR(__xludf.DUMMYFUNCTION("VLOOKUP($A64,IMPORTRANGE(""1PQtfbQLqBUP-rjYRznmgNFBLOjvAnhGzpIx7BJWq8rk"",""'Worksheet'!$B$2:$H""),7,FALSE)"),0.98)</f>
        <v>0.98</v>
      </c>
      <c r="M64" s="31" t="s">
        <v>60</v>
      </c>
      <c r="N64" s="49">
        <v>5.2827E7</v>
      </c>
      <c r="O64" s="49">
        <v>4.727123481E7</v>
      </c>
      <c r="P64" s="49">
        <v>0.0</v>
      </c>
      <c r="Q64" s="34">
        <f t="shared" si="3"/>
        <v>0.1051690459</v>
      </c>
      <c r="R64" s="31"/>
      <c r="S64" s="31" t="s">
        <v>60</v>
      </c>
      <c r="T64" s="50" t="s">
        <v>483</v>
      </c>
      <c r="U64" s="51" t="s">
        <v>483</v>
      </c>
      <c r="V64" s="51">
        <v>0.0</v>
      </c>
      <c r="W64" s="31"/>
      <c r="X64" s="52" t="s">
        <v>409</v>
      </c>
      <c r="Y64" s="54" t="s">
        <v>437</v>
      </c>
      <c r="Z64" s="54" t="s">
        <v>437</v>
      </c>
      <c r="AA64" s="54" t="s">
        <v>114</v>
      </c>
      <c r="AB64" s="38" t="s">
        <v>115</v>
      </c>
      <c r="AC64" s="38" t="s">
        <v>438</v>
      </c>
      <c r="AD64" s="39">
        <v>52827.0</v>
      </c>
      <c r="AE64" s="39">
        <v>47506.51281</v>
      </c>
      <c r="AF64" s="40">
        <v>5320.48719</v>
      </c>
      <c r="AG64" s="57" t="s">
        <v>484</v>
      </c>
      <c r="AH64" s="42" t="s">
        <v>485</v>
      </c>
      <c r="AI64" s="42" t="str">
        <f>IFERROR(__xludf.DUMMYFUNCTION("vLOOKUP(A64,IMPORTRANGE(""https://docs.google.com/spreadsheets/d/1Rawwwdh8wntXGy8isdYNHxsNQS4n_rC8JSdPfj6vEq4"",""'500 объектов перенос на 2026'!A3:AB502""),13,0)"),"#REF!")</f>
        <v>#REF!</v>
      </c>
      <c r="AJ64" s="42" t="str">
        <f>IFERROR(__xludf.DUMMYFUNCTION("vLOOKUP(A64,IMPORTRANGE(""https://docs.google.com/spreadsheets/d/1Rawwwdh8wntXGy8isdYNHxsNQS4n_rC8JSdPfj6vEq4"",""'500 объектов перенос на 2026'!A3:AB502""),14,0)"),"#REF!")</f>
        <v>#REF!</v>
      </c>
      <c r="AK64" s="76" t="s">
        <v>114</v>
      </c>
      <c r="AL64" s="43"/>
      <c r="AM64" s="43" t="str">
        <f>IFERROR(__xludf.DUMMYFUNCTION("""COMPUTED_VALUE"""),"МУП БЛАГОУСТРОЙСТВО И РАЗВИТИЕ ГОРОДСКОГО ОКРУГА ВЛАСИХА")</f>
        <v>МУП БЛАГОУСТРОЙСТВО И РАЗВИТИЕ ГОРОДСКОГО ОКРУГА ВЛАСИХА</v>
      </c>
      <c r="AN64" s="44">
        <f>IFERROR(__xludf.DUMMYFUNCTION("""COMPUTED_VALUE"""),0.95)</f>
        <v>0.95</v>
      </c>
      <c r="AO64" s="44"/>
    </row>
    <row r="65" hidden="1">
      <c r="A65" s="78" t="s">
        <v>486</v>
      </c>
      <c r="B65" s="63" t="s">
        <v>268</v>
      </c>
      <c r="C65" s="64" t="s">
        <v>487</v>
      </c>
      <c r="D65" s="47" t="s">
        <v>463</v>
      </c>
      <c r="E65" s="90" t="s">
        <v>85</v>
      </c>
      <c r="F65" s="31" t="s">
        <v>60</v>
      </c>
      <c r="G65" s="31"/>
      <c r="H65" s="31"/>
      <c r="I65" s="31" t="s">
        <v>60</v>
      </c>
      <c r="J65" s="31"/>
      <c r="K65" s="31"/>
      <c r="L65" s="32">
        <f>IFERROR(__xludf.DUMMYFUNCTION("VLOOKUP($A65,IMPORTRANGE(""1PQtfbQLqBUP-rjYRznmgNFBLOjvAnhGzpIx7BJWq8rk"",""'Worksheet'!$B$2:$H""),7,FALSE)"),0.92)</f>
        <v>0.92</v>
      </c>
      <c r="M65" s="31" t="s">
        <v>60</v>
      </c>
      <c r="N65" s="49">
        <v>6.140629E7</v>
      </c>
      <c r="O65" s="49">
        <v>5.687967226E7</v>
      </c>
      <c r="P65" s="49">
        <v>0.0</v>
      </c>
      <c r="Q65" s="34">
        <f t="shared" si="3"/>
        <v>0.07371586429</v>
      </c>
      <c r="R65" s="31"/>
      <c r="S65" s="31" t="s">
        <v>60</v>
      </c>
      <c r="T65" s="50" t="s">
        <v>488</v>
      </c>
      <c r="U65" s="51" t="s">
        <v>488</v>
      </c>
      <c r="V65" s="51">
        <v>0.0</v>
      </c>
      <c r="W65" s="31"/>
      <c r="X65" s="52" t="s">
        <v>409</v>
      </c>
      <c r="Y65" s="54" t="s">
        <v>437</v>
      </c>
      <c r="Z65" s="54" t="s">
        <v>437</v>
      </c>
      <c r="AA65" s="54" t="s">
        <v>114</v>
      </c>
      <c r="AB65" s="38" t="s">
        <v>115</v>
      </c>
      <c r="AC65" s="38" t="s">
        <v>438</v>
      </c>
      <c r="AD65" s="39">
        <v>96849.5</v>
      </c>
      <c r="AE65" s="39">
        <v>57873.59588</v>
      </c>
      <c r="AF65" s="40">
        <v>38975.90412</v>
      </c>
      <c r="AG65" s="57" t="s">
        <v>489</v>
      </c>
      <c r="AH65" s="42"/>
      <c r="AI65" s="42" t="str">
        <f>IFERROR(__xludf.DUMMYFUNCTION("vLOOKUP(A65,IMPORTRANGE(""https://docs.google.com/spreadsheets/d/1Rawwwdh8wntXGy8isdYNHxsNQS4n_rC8JSdPfj6vEq4"",""'500 объектов перенос на 2026'!A3:AB502""),13,0)"),"#REF!")</f>
        <v>#REF!</v>
      </c>
      <c r="AJ65" s="42" t="str">
        <f>IFERROR(__xludf.DUMMYFUNCTION("vLOOKUP(A65,IMPORTRANGE(""https://docs.google.com/spreadsheets/d/1Rawwwdh8wntXGy8isdYNHxsNQS4n_rC8JSdPfj6vEq4"",""'500 объектов перенос на 2026'!A3:AB502""),14,0)"),"#REF!")</f>
        <v>#REF!</v>
      </c>
      <c r="AK65" s="76" t="s">
        <v>114</v>
      </c>
      <c r="AL65" s="43"/>
      <c r="AM65" s="43" t="str">
        <f>IFERROR(__xludf.DUMMYFUNCTION("""COMPUTED_VALUE"""),"ООО ИСК")</f>
        <v>ООО ИСК</v>
      </c>
      <c r="AN65" s="44">
        <f>IFERROR(__xludf.DUMMYFUNCTION("""COMPUTED_VALUE"""),0.95)</f>
        <v>0.95</v>
      </c>
      <c r="AO65" s="44"/>
    </row>
    <row r="66" hidden="1">
      <c r="A66" s="62" t="s">
        <v>490</v>
      </c>
      <c r="B66" s="63" t="s">
        <v>56</v>
      </c>
      <c r="C66" s="64" t="s">
        <v>491</v>
      </c>
      <c r="D66" s="47" t="s">
        <v>492</v>
      </c>
      <c r="E66" s="64" t="s">
        <v>85</v>
      </c>
      <c r="F66" s="31" t="s">
        <v>40</v>
      </c>
      <c r="G66" s="31" t="s">
        <v>41</v>
      </c>
      <c r="H66" s="31" t="s">
        <v>343</v>
      </c>
      <c r="I66" s="31" t="s">
        <v>40</v>
      </c>
      <c r="J66" s="31" t="s">
        <v>102</v>
      </c>
      <c r="K66" s="31"/>
      <c r="L66" s="32">
        <f>IFERROR(__xludf.DUMMYFUNCTION("VLOOKUP($A66,IMPORTRANGE(""1PQtfbQLqBUP-rjYRznmgNFBLOjvAnhGzpIx7BJWq8rk"",""'Worksheet'!$B$2:$H""),7,FALSE)"),0.25)</f>
        <v>0.25</v>
      </c>
      <c r="M66" s="31" t="s">
        <v>40</v>
      </c>
      <c r="N66" s="49">
        <v>1.2151329E8</v>
      </c>
      <c r="O66" s="49">
        <v>1.2151329E7</v>
      </c>
      <c r="P66" s="49">
        <f t="shared" ref="P66:P68" si="14">N66-O66</f>
        <v>109361961</v>
      </c>
      <c r="Q66" s="34">
        <f t="shared" si="3"/>
        <v>0.9</v>
      </c>
      <c r="R66" s="31"/>
      <c r="S66" s="31" t="s">
        <v>45</v>
      </c>
      <c r="T66" s="72" t="s">
        <v>493</v>
      </c>
      <c r="U66" s="67" t="s">
        <v>494</v>
      </c>
      <c r="V66" s="67" t="s">
        <v>495</v>
      </c>
      <c r="W66" s="31"/>
      <c r="X66" s="52" t="s">
        <v>49</v>
      </c>
      <c r="Y66" s="54" t="s">
        <v>496</v>
      </c>
      <c r="Z66" s="54" t="s">
        <v>497</v>
      </c>
      <c r="AA66" s="68">
        <v>46356.0</v>
      </c>
      <c r="AB66" s="56"/>
      <c r="AC66" s="38" t="s">
        <v>498</v>
      </c>
      <c r="AD66" s="39">
        <v>121513.3</v>
      </c>
      <c r="AE66" s="39">
        <v>12151.329</v>
      </c>
      <c r="AF66" s="40">
        <v>109361.971</v>
      </c>
      <c r="AG66" s="57" t="s">
        <v>499</v>
      </c>
      <c r="AH66" s="42" t="s">
        <v>500</v>
      </c>
      <c r="AI66" s="42" t="str">
        <f>IFERROR(__xludf.DUMMYFUNCTION("vLOOKUP(A66,IMPORTRANGE(""https://docs.google.com/spreadsheets/d/1Rawwwdh8wntXGy8isdYNHxsNQS4n_rC8JSdPfj6vEq4"",""'500 объектов перенос на 2026'!A3:AB502""),13,0)"),"#REF!")</f>
        <v>#REF!</v>
      </c>
      <c r="AJ66" s="42" t="str">
        <f>IFERROR(__xludf.DUMMYFUNCTION("vLOOKUP(A66,IMPORTRANGE(""https://docs.google.com/spreadsheets/d/1Rawwwdh8wntXGy8isdYNHxsNQS4n_rC8JSdPfj6vEq4"",""'500 объектов перенос на 2026'!A3:AB502""),14,0)"),"#REF!")</f>
        <v>#REF!</v>
      </c>
      <c r="AK66" s="70" t="s">
        <v>3337</v>
      </c>
      <c r="AL66" s="43"/>
      <c r="AM66" s="43" t="str">
        <f>IFERROR(__xludf.DUMMYFUNCTION("""COMPUTED_VALUE"""),"ООО РНП")</f>
        <v>ООО РНП</v>
      </c>
      <c r="AN66" s="44">
        <f>IFERROR(__xludf.DUMMYFUNCTION("""COMPUTED_VALUE"""),0.95)</f>
        <v>0.95</v>
      </c>
      <c r="AO66" s="44"/>
    </row>
    <row r="67" hidden="1">
      <c r="A67" s="114" t="s">
        <v>502</v>
      </c>
      <c r="B67" s="63" t="s">
        <v>503</v>
      </c>
      <c r="C67" s="64" t="s">
        <v>504</v>
      </c>
      <c r="D67" s="47" t="s">
        <v>505</v>
      </c>
      <c r="E67" s="64" t="s">
        <v>59</v>
      </c>
      <c r="F67" s="31" t="s">
        <v>60</v>
      </c>
      <c r="G67" s="31"/>
      <c r="H67" s="31"/>
      <c r="I67" s="31" t="s">
        <v>60</v>
      </c>
      <c r="J67" s="31"/>
      <c r="K67" s="31"/>
      <c r="L67" s="32">
        <f>IFERROR(__xludf.DUMMYFUNCTION("VLOOKUP($A67,IMPORTRANGE(""1PQtfbQLqBUP-rjYRznmgNFBLOjvAnhGzpIx7BJWq8rk"",""'Worksheet'!$B$2:$H""),7,FALSE)"),0.98)</f>
        <v>0.98</v>
      </c>
      <c r="M67" s="31" t="s">
        <v>40</v>
      </c>
      <c r="N67" s="49">
        <v>1.4802362E8</v>
      </c>
      <c r="O67" s="49">
        <v>4.222486602E7</v>
      </c>
      <c r="P67" s="49">
        <f t="shared" si="14"/>
        <v>105798754</v>
      </c>
      <c r="Q67" s="34">
        <f t="shared" si="3"/>
        <v>0.7147423768</v>
      </c>
      <c r="R67" s="31"/>
      <c r="S67" s="31" t="s">
        <v>45</v>
      </c>
      <c r="T67" s="50"/>
      <c r="U67" s="51"/>
      <c r="V67" s="50"/>
      <c r="W67" s="31" t="s">
        <v>506</v>
      </c>
      <c r="X67" s="52" t="s">
        <v>507</v>
      </c>
      <c r="Y67" s="54" t="s">
        <v>508</v>
      </c>
      <c r="Z67" s="54" t="s">
        <v>509</v>
      </c>
      <c r="AA67" s="74">
        <v>46213.0</v>
      </c>
      <c r="AB67" s="56"/>
      <c r="AC67" s="38"/>
      <c r="AD67" s="39">
        <v>148023.62</v>
      </c>
      <c r="AE67" s="39">
        <v>42224.86602</v>
      </c>
      <c r="AF67" s="40">
        <v>105798.754</v>
      </c>
      <c r="AG67" s="57" t="s">
        <v>510</v>
      </c>
      <c r="AH67" s="85" t="s">
        <v>511</v>
      </c>
      <c r="AI67" s="42" t="str">
        <f>IFERROR(__xludf.DUMMYFUNCTION("vLOOKUP(A67,IMPORTRANGE(""https://docs.google.com/spreadsheets/d/1Rawwwdh8wntXGy8isdYNHxsNQS4n_rC8JSdPfj6vEq4"",""'500 объектов перенос на 2026'!A3:AB502""),13,0)"),"#REF!")</f>
        <v>#REF!</v>
      </c>
      <c r="AJ67" s="42" t="str">
        <f>IFERROR(__xludf.DUMMYFUNCTION("vLOOKUP(A67,IMPORTRANGE(""https://docs.google.com/spreadsheets/d/1Rawwwdh8wntXGy8isdYNHxsNQS4n_rC8JSdPfj6vEq4"",""'500 объектов перенос на 2026'!A3:AB502""),14,0)"),"#REF!")</f>
        <v>#REF!</v>
      </c>
      <c r="AK67" s="87" t="s">
        <v>3338</v>
      </c>
      <c r="AL67" s="43"/>
      <c r="AM67" s="43" t="str">
        <f>IFERROR(__xludf.DUMMYFUNCTION("""COMPUTED_VALUE"""),"ООО ЭТС")</f>
        <v>ООО ЭТС</v>
      </c>
      <c r="AN67" s="44">
        <f>IFERROR(__xludf.DUMMYFUNCTION("""COMPUTED_VALUE"""),0.94)</f>
        <v>0.94</v>
      </c>
      <c r="AO67" s="44"/>
    </row>
    <row r="68" hidden="1">
      <c r="A68" s="62" t="s">
        <v>512</v>
      </c>
      <c r="B68" s="63" t="s">
        <v>257</v>
      </c>
      <c r="C68" s="104" t="s">
        <v>513</v>
      </c>
      <c r="D68" s="47" t="s">
        <v>259</v>
      </c>
      <c r="E68" s="64" t="s">
        <v>39</v>
      </c>
      <c r="F68" s="31" t="s">
        <v>60</v>
      </c>
      <c r="G68" s="31"/>
      <c r="H68" s="31"/>
      <c r="I68" s="31" t="s">
        <v>40</v>
      </c>
      <c r="J68" s="31" t="s">
        <v>102</v>
      </c>
      <c r="K68" s="31" t="s">
        <v>62</v>
      </c>
      <c r="L68" s="32">
        <f>IFERROR(__xludf.DUMMYFUNCTION("VLOOKUP($A68,IMPORTRANGE(""1PQtfbQLqBUP-rjYRznmgNFBLOjvAnhGzpIx7BJWq8rk"",""'Worksheet'!$B$2:$H""),7,FALSE)"),0.14)</f>
        <v>0.14</v>
      </c>
      <c r="M68" s="31" t="s">
        <v>40</v>
      </c>
      <c r="N68" s="49">
        <v>1.5003949507E8</v>
      </c>
      <c r="O68" s="49">
        <v>4.501184852E7</v>
      </c>
      <c r="P68" s="49">
        <f t="shared" si="14"/>
        <v>105027646.6</v>
      </c>
      <c r="Q68" s="34">
        <f t="shared" si="3"/>
        <v>0.7</v>
      </c>
      <c r="R68" s="31"/>
      <c r="S68" s="31" t="s">
        <v>40</v>
      </c>
      <c r="T68" s="72" t="s">
        <v>514</v>
      </c>
      <c r="U68" s="67">
        <v>0.0</v>
      </c>
      <c r="V68" s="67" t="s">
        <v>514</v>
      </c>
      <c r="W68" s="31"/>
      <c r="X68" s="52" t="s">
        <v>262</v>
      </c>
      <c r="Y68" s="54" t="s">
        <v>515</v>
      </c>
      <c r="Z68" s="74"/>
      <c r="AA68" s="74">
        <v>46296.0</v>
      </c>
      <c r="AB68" s="56"/>
      <c r="AC68" s="38"/>
      <c r="AD68" s="39">
        <v>150039.5</v>
      </c>
      <c r="AE68" s="39">
        <v>45011.84852</v>
      </c>
      <c r="AF68" s="40">
        <v>105027.6515</v>
      </c>
      <c r="AG68" s="57" t="s">
        <v>355</v>
      </c>
      <c r="AH68" s="42" t="s">
        <v>46</v>
      </c>
      <c r="AI68" s="42" t="str">
        <f>IFERROR(__xludf.DUMMYFUNCTION("vLOOKUP(A68,IMPORTRANGE(""https://docs.google.com/spreadsheets/d/1Rawwwdh8wntXGy8isdYNHxsNQS4n_rC8JSdPfj6vEq4"",""'500 объектов перенос на 2026'!A3:AB502""),13,0)"),"#REF!")</f>
        <v>#REF!</v>
      </c>
      <c r="AJ68" s="42" t="str">
        <f>IFERROR(__xludf.DUMMYFUNCTION("vLOOKUP(A68,IMPORTRANGE(""https://docs.google.com/spreadsheets/d/1Rawwwdh8wntXGy8isdYNHxsNQS4n_rC8JSdPfj6vEq4"",""'500 объектов перенос на 2026'!A3:AB502""),14,0)"),"#REF!")</f>
        <v>#REF!</v>
      </c>
      <c r="AK68" s="76" t="s">
        <v>3339</v>
      </c>
      <c r="AL68" s="43"/>
      <c r="AM68" s="43" t="str">
        <f>IFERROR(__xludf.DUMMYFUNCTION("""COMPUTED_VALUE"""),"ООО АРХИН")</f>
        <v>ООО АРХИН</v>
      </c>
      <c r="AN68" s="44">
        <f>IFERROR(__xludf.DUMMYFUNCTION("""COMPUTED_VALUE"""),0.92)</f>
        <v>0.92</v>
      </c>
      <c r="AO68" s="44"/>
    </row>
    <row r="69" hidden="1">
      <c r="A69" s="78" t="s">
        <v>517</v>
      </c>
      <c r="B69" s="63" t="s">
        <v>268</v>
      </c>
      <c r="C69" s="64" t="s">
        <v>518</v>
      </c>
      <c r="D69" s="47" t="s">
        <v>442</v>
      </c>
      <c r="E69" s="64" t="s">
        <v>85</v>
      </c>
      <c r="F69" s="31" t="s">
        <v>60</v>
      </c>
      <c r="G69" s="31"/>
      <c r="H69" s="31"/>
      <c r="I69" s="31" t="s">
        <v>60</v>
      </c>
      <c r="J69" s="31"/>
      <c r="K69" s="31"/>
      <c r="L69" s="32">
        <f>IFERROR(__xludf.DUMMYFUNCTION("VLOOKUP($A69,IMPORTRANGE(""1PQtfbQLqBUP-rjYRznmgNFBLOjvAnhGzpIx7BJWq8rk"",""'Worksheet'!$B$2:$H""),7,FALSE)"),0.92)</f>
        <v>0.92</v>
      </c>
      <c r="M69" s="31" t="s">
        <v>60</v>
      </c>
      <c r="N69" s="49">
        <v>3.521142E7</v>
      </c>
      <c r="O69" s="49">
        <v>2.791092128E7</v>
      </c>
      <c r="P69" s="49">
        <v>0.0</v>
      </c>
      <c r="Q69" s="34">
        <f t="shared" si="3"/>
        <v>0.2073332663</v>
      </c>
      <c r="R69" s="31"/>
      <c r="S69" s="31" t="s">
        <v>60</v>
      </c>
      <c r="T69" s="50" t="s">
        <v>519</v>
      </c>
      <c r="U69" s="51" t="s">
        <v>519</v>
      </c>
      <c r="V69" s="51">
        <v>0.0</v>
      </c>
      <c r="W69" s="31"/>
      <c r="X69" s="52" t="s">
        <v>409</v>
      </c>
      <c r="Y69" s="54" t="s">
        <v>437</v>
      </c>
      <c r="Z69" s="54" t="s">
        <v>437</v>
      </c>
      <c r="AA69" s="54" t="s">
        <v>114</v>
      </c>
      <c r="AB69" s="38" t="s">
        <v>115</v>
      </c>
      <c r="AC69" s="38" t="s">
        <v>438</v>
      </c>
      <c r="AD69" s="39">
        <v>35211.42</v>
      </c>
      <c r="AE69" s="39">
        <v>27910.922</v>
      </c>
      <c r="AF69" s="40">
        <v>7300.498</v>
      </c>
      <c r="AG69" s="57" t="s">
        <v>520</v>
      </c>
      <c r="AH69" s="42" t="s">
        <v>485</v>
      </c>
      <c r="AI69" s="42" t="str">
        <f>IFERROR(__xludf.DUMMYFUNCTION("vLOOKUP(A69,IMPORTRANGE(""https://docs.google.com/spreadsheets/d/1Rawwwdh8wntXGy8isdYNHxsNQS4n_rC8JSdPfj6vEq4"",""'500 объектов перенос на 2026'!A3:AB502""),13,0)"),"#REF!")</f>
        <v>#REF!</v>
      </c>
      <c r="AJ69" s="42" t="str">
        <f>IFERROR(__xludf.DUMMYFUNCTION("vLOOKUP(A69,IMPORTRANGE(""https://docs.google.com/spreadsheets/d/1Rawwwdh8wntXGy8isdYNHxsNQS4n_rC8JSdPfj6vEq4"",""'500 объектов перенос на 2026'!A3:AB502""),14,0)"),"#REF!")</f>
        <v>#REF!</v>
      </c>
      <c r="AK69" s="76" t="s">
        <v>114</v>
      </c>
      <c r="AL69" s="43"/>
      <c r="AM69" s="43" t="str">
        <f>IFERROR(__xludf.DUMMYFUNCTION("""COMPUTED_VALUE"""),"ООО ОПТИМГРУПП")</f>
        <v>ООО ОПТИМГРУПП</v>
      </c>
      <c r="AN69" s="44">
        <f>IFERROR(__xludf.DUMMYFUNCTION("""COMPUTED_VALUE"""),0.9)</f>
        <v>0.9</v>
      </c>
      <c r="AO69" s="44"/>
    </row>
    <row r="70" hidden="1">
      <c r="A70" s="62" t="s">
        <v>521</v>
      </c>
      <c r="B70" s="63" t="s">
        <v>225</v>
      </c>
      <c r="C70" s="64" t="s">
        <v>522</v>
      </c>
      <c r="D70" s="105" t="s">
        <v>523</v>
      </c>
      <c r="E70" s="64" t="s">
        <v>39</v>
      </c>
      <c r="F70" s="31" t="s">
        <v>60</v>
      </c>
      <c r="G70" s="31"/>
      <c r="H70" s="31"/>
      <c r="I70" s="31" t="s">
        <v>40</v>
      </c>
      <c r="J70" s="31" t="s">
        <v>102</v>
      </c>
      <c r="K70" s="31" t="s">
        <v>280</v>
      </c>
      <c r="L70" s="32">
        <f>IFERROR(__xludf.DUMMYFUNCTION("VLOOKUP($A70,IMPORTRANGE(""1PQtfbQLqBUP-rjYRznmgNFBLOjvAnhGzpIx7BJWq8rk"",""'Worksheet'!$B$2:$H""),7,FALSE)"),0.56)</f>
        <v>0.56</v>
      </c>
      <c r="M70" s="31" t="s">
        <v>40</v>
      </c>
      <c r="N70" s="49">
        <v>2.0459178784E8</v>
      </c>
      <c r="O70" s="49">
        <v>1.0229589392E8</v>
      </c>
      <c r="P70" s="49">
        <f>N70-O70</f>
        <v>102295893.9</v>
      </c>
      <c r="Q70" s="34">
        <f t="shared" si="3"/>
        <v>0.5</v>
      </c>
      <c r="R70" s="31"/>
      <c r="S70" s="31" t="s">
        <v>45</v>
      </c>
      <c r="T70" s="72" t="s">
        <v>524</v>
      </c>
      <c r="U70" s="67" t="s">
        <v>525</v>
      </c>
      <c r="V70" s="67" t="s">
        <v>526</v>
      </c>
      <c r="W70" s="31"/>
      <c r="X70" s="52" t="s">
        <v>527</v>
      </c>
      <c r="Y70" s="118" t="s">
        <v>3340</v>
      </c>
      <c r="Z70" s="54" t="s">
        <v>3341</v>
      </c>
      <c r="AA70" s="74">
        <v>46310.0</v>
      </c>
      <c r="AB70" s="56"/>
      <c r="AC70" s="38"/>
      <c r="AD70" s="39">
        <v>204591.78</v>
      </c>
      <c r="AE70" s="39">
        <v>103991.7587</v>
      </c>
      <c r="AF70" s="40">
        <v>100600.0214</v>
      </c>
      <c r="AG70" s="57" t="s">
        <v>530</v>
      </c>
      <c r="AH70" s="42" t="s">
        <v>531</v>
      </c>
      <c r="AI70" s="42" t="str">
        <f>IFERROR(__xludf.DUMMYFUNCTION("vLOOKUP(A70,IMPORTRANGE(""https://docs.google.com/spreadsheets/d/1Rawwwdh8wntXGy8isdYNHxsNQS4n_rC8JSdPfj6vEq4"",""'500 объектов перенос на 2026'!A3:AB502""),13,0)"),"#REF!")</f>
        <v>#REF!</v>
      </c>
      <c r="AJ70" s="42" t="str">
        <f>IFERROR(__xludf.DUMMYFUNCTION("vLOOKUP(A70,IMPORTRANGE(""https://docs.google.com/spreadsheets/d/1Rawwwdh8wntXGy8isdYNHxsNQS4n_rC8JSdPfj6vEq4"",""'500 объектов перенос на 2026'!A3:AB502""),14,0)"),"#REF!")</f>
        <v>#REF!</v>
      </c>
      <c r="AK70" s="76" t="s">
        <v>3342</v>
      </c>
      <c r="AL70" s="43"/>
      <c r="AM70" s="43" t="str">
        <f>IFERROR(__xludf.DUMMYFUNCTION("""COMPUTED_VALUE"""),"ООО МЕГАПОЛИС")</f>
        <v>ООО МЕГАПОЛИС</v>
      </c>
      <c r="AN70" s="44">
        <f>IFERROR(__xludf.DUMMYFUNCTION("""COMPUTED_VALUE"""),0.89)</f>
        <v>0.89</v>
      </c>
      <c r="AO70" s="44"/>
    </row>
    <row r="71" hidden="1">
      <c r="A71" s="78" t="s">
        <v>533</v>
      </c>
      <c r="B71" s="63" t="s">
        <v>268</v>
      </c>
      <c r="C71" s="64" t="s">
        <v>534</v>
      </c>
      <c r="D71" s="47" t="s">
        <v>535</v>
      </c>
      <c r="E71" s="64" t="s">
        <v>85</v>
      </c>
      <c r="F71" s="31" t="s">
        <v>60</v>
      </c>
      <c r="G71" s="31"/>
      <c r="H71" s="31"/>
      <c r="I71" s="31" t="s">
        <v>60</v>
      </c>
      <c r="J71" s="31"/>
      <c r="K71" s="31"/>
      <c r="L71" s="32">
        <f>IFERROR(__xludf.DUMMYFUNCTION("VLOOKUP($A71,IMPORTRANGE(""1PQtfbQLqBUP-rjYRznmgNFBLOjvAnhGzpIx7BJWq8rk"",""'Worksheet'!$B$2:$H""),7,FALSE)"),1.0)</f>
        <v>1</v>
      </c>
      <c r="M71" s="31" t="s">
        <v>60</v>
      </c>
      <c r="N71" s="49">
        <v>2.99595E7</v>
      </c>
      <c r="O71" s="49">
        <v>2.610841286E7</v>
      </c>
      <c r="P71" s="49">
        <v>0.0</v>
      </c>
      <c r="Q71" s="34">
        <f t="shared" si="3"/>
        <v>0.1285431045</v>
      </c>
      <c r="R71" s="31"/>
      <c r="S71" s="31" t="s">
        <v>60</v>
      </c>
      <c r="T71" s="91" t="s">
        <v>536</v>
      </c>
      <c r="U71" s="117" t="s">
        <v>536</v>
      </c>
      <c r="V71" s="51">
        <v>0.0</v>
      </c>
      <c r="W71" s="31"/>
      <c r="X71" s="52" t="s">
        <v>409</v>
      </c>
      <c r="Y71" s="54" t="s">
        <v>437</v>
      </c>
      <c r="Z71" s="54" t="s">
        <v>437</v>
      </c>
      <c r="AA71" s="54" t="s">
        <v>114</v>
      </c>
      <c r="AB71" s="38" t="s">
        <v>115</v>
      </c>
      <c r="AC71" s="38" t="s">
        <v>438</v>
      </c>
      <c r="AD71" s="39">
        <v>22553.664</v>
      </c>
      <c r="AE71" s="39">
        <v>26108.0992</v>
      </c>
      <c r="AF71" s="40">
        <v>-3554.4352</v>
      </c>
      <c r="AG71" s="57" t="s">
        <v>537</v>
      </c>
      <c r="AH71" s="42"/>
      <c r="AI71" s="42" t="str">
        <f>IFERROR(__xludf.DUMMYFUNCTION("vLOOKUP(A71,IMPORTRANGE(""https://docs.google.com/spreadsheets/d/1Rawwwdh8wntXGy8isdYNHxsNQS4n_rC8JSdPfj6vEq4"",""'500 объектов перенос на 2026'!A3:AB502""),13,0)"),"#REF!")</f>
        <v>#REF!</v>
      </c>
      <c r="AJ71" s="42" t="str">
        <f>IFERROR(__xludf.DUMMYFUNCTION("vLOOKUP(A71,IMPORTRANGE(""https://docs.google.com/spreadsheets/d/1Rawwwdh8wntXGy8isdYNHxsNQS4n_rC8JSdPfj6vEq4"",""'500 объектов перенос на 2026'!A3:AB502""),14,0)"),"#REF!")</f>
        <v>#REF!</v>
      </c>
      <c r="AK71" s="76" t="s">
        <v>114</v>
      </c>
      <c r="AL71" s="43"/>
      <c r="AM71" s="43" t="str">
        <f>IFERROR(__xludf.DUMMYFUNCTION("""COMPUTED_VALUE"""),"был ООО ГРАНДХИТ")</f>
        <v>был ООО ГРАНДХИТ</v>
      </c>
      <c r="AN71" s="44">
        <f>IFERROR(__xludf.DUMMYFUNCTION("""COMPUTED_VALUE"""),0.89)</f>
        <v>0.89</v>
      </c>
      <c r="AO71" s="44"/>
    </row>
    <row r="72" hidden="1">
      <c r="A72" s="62" t="s">
        <v>538</v>
      </c>
      <c r="B72" s="63" t="s">
        <v>268</v>
      </c>
      <c r="C72" s="64" t="s">
        <v>539</v>
      </c>
      <c r="D72" s="47" t="s">
        <v>535</v>
      </c>
      <c r="E72" s="64" t="s">
        <v>85</v>
      </c>
      <c r="F72" s="31" t="s">
        <v>60</v>
      </c>
      <c r="G72" s="31"/>
      <c r="H72" s="31"/>
      <c r="I72" s="31" t="s">
        <v>60</v>
      </c>
      <c r="J72" s="31"/>
      <c r="K72" s="31"/>
      <c r="L72" s="32">
        <f>IFERROR(__xludf.DUMMYFUNCTION("VLOOKUP($A72,IMPORTRANGE(""1PQtfbQLqBUP-rjYRznmgNFBLOjvAnhGzpIx7BJWq8rk"",""'Worksheet'!$B$2:$H""),7,FALSE)"),1.0)</f>
        <v>1</v>
      </c>
      <c r="M72" s="31" t="s">
        <v>60</v>
      </c>
      <c r="N72" s="49">
        <v>5.477854E7</v>
      </c>
      <c r="O72" s="49">
        <v>4.91418065E7</v>
      </c>
      <c r="P72" s="49">
        <v>0.0</v>
      </c>
      <c r="Q72" s="34">
        <f t="shared" si="3"/>
        <v>0.1029003968</v>
      </c>
      <c r="R72" s="31"/>
      <c r="S72" s="31" t="s">
        <v>60</v>
      </c>
      <c r="T72" s="91" t="s">
        <v>540</v>
      </c>
      <c r="U72" s="51" t="s">
        <v>540</v>
      </c>
      <c r="V72" s="51">
        <v>0.0</v>
      </c>
      <c r="W72" s="31"/>
      <c r="X72" s="52" t="s">
        <v>409</v>
      </c>
      <c r="Y72" s="54" t="s">
        <v>437</v>
      </c>
      <c r="Z72" s="54" t="s">
        <v>437</v>
      </c>
      <c r="AA72" s="54" t="s">
        <v>114</v>
      </c>
      <c r="AB72" s="38" t="s">
        <v>115</v>
      </c>
      <c r="AC72" s="38" t="s">
        <v>438</v>
      </c>
      <c r="AD72" s="39">
        <v>54778.54</v>
      </c>
      <c r="AE72" s="39">
        <v>49141.81042</v>
      </c>
      <c r="AF72" s="40">
        <v>5636.72958</v>
      </c>
      <c r="AG72" s="57" t="s">
        <v>541</v>
      </c>
      <c r="AH72" s="42"/>
      <c r="AI72" s="42" t="str">
        <f>IFERROR(__xludf.DUMMYFUNCTION("vLOOKUP(A72,IMPORTRANGE(""https://docs.google.com/spreadsheets/d/1Rawwwdh8wntXGy8isdYNHxsNQS4n_rC8JSdPfj6vEq4"",""'500 объектов перенос на 2026'!A3:AB502""),13,0)"),"#REF!")</f>
        <v>#REF!</v>
      </c>
      <c r="AJ72" s="42" t="str">
        <f>IFERROR(__xludf.DUMMYFUNCTION("vLOOKUP(A72,IMPORTRANGE(""https://docs.google.com/spreadsheets/d/1Rawwwdh8wntXGy8isdYNHxsNQS4n_rC8JSdPfj6vEq4"",""'500 объектов перенос на 2026'!A3:AB502""),14,0)"),"#REF!")</f>
        <v>#REF!</v>
      </c>
      <c r="AK72" s="76" t="s">
        <v>114</v>
      </c>
      <c r="AL72" s="43"/>
      <c r="AM72" s="43" t="str">
        <f>IFERROR(__xludf.DUMMYFUNCTION("""COMPUTED_VALUE"""),"ООО ЛЕГИОНСТРОЙГРУПП")</f>
        <v>ООО ЛЕГИОНСТРОЙГРУПП</v>
      </c>
      <c r="AN72" s="44">
        <f>IFERROR(__xludf.DUMMYFUNCTION("""COMPUTED_VALUE"""),0.85)</f>
        <v>0.85</v>
      </c>
      <c r="AO72" s="44"/>
    </row>
    <row r="73" hidden="1">
      <c r="A73" s="62" t="s">
        <v>542</v>
      </c>
      <c r="B73" s="63" t="s">
        <v>543</v>
      </c>
      <c r="C73" s="64" t="s">
        <v>544</v>
      </c>
      <c r="D73" s="47" t="s">
        <v>545</v>
      </c>
      <c r="E73" s="64" t="s">
        <v>85</v>
      </c>
      <c r="F73" s="31" t="s">
        <v>60</v>
      </c>
      <c r="G73" s="31"/>
      <c r="H73" s="31"/>
      <c r="I73" s="31" t="s">
        <v>40</v>
      </c>
      <c r="J73" s="31" t="s">
        <v>102</v>
      </c>
      <c r="K73" s="31" t="s">
        <v>62</v>
      </c>
      <c r="L73" s="32">
        <f>IFERROR(__xludf.DUMMYFUNCTION("VLOOKUP($A73,IMPORTRANGE(""1PQtfbQLqBUP-rjYRznmgNFBLOjvAnhGzpIx7BJWq8rk"",""'Worksheet'!$B$2:$H""),7,FALSE)"),0.82)</f>
        <v>0.82</v>
      </c>
      <c r="M73" s="31" t="s">
        <v>45</v>
      </c>
      <c r="N73" s="49">
        <v>1.3227422E8</v>
      </c>
      <c r="O73" s="49">
        <v>7.599798227E7</v>
      </c>
      <c r="P73" s="49">
        <f t="shared" ref="P73:P86" si="15">N73-O73</f>
        <v>56276237.73</v>
      </c>
      <c r="Q73" s="34">
        <f t="shared" si="3"/>
        <v>0.4254512915</v>
      </c>
      <c r="R73" s="31"/>
      <c r="S73" s="31" t="s">
        <v>45</v>
      </c>
      <c r="T73" s="50" t="s">
        <v>546</v>
      </c>
      <c r="U73" s="51" t="s">
        <v>547</v>
      </c>
      <c r="V73" s="51" t="s">
        <v>548</v>
      </c>
      <c r="W73" s="31"/>
      <c r="X73" s="52" t="s">
        <v>46</v>
      </c>
      <c r="Y73" s="54" t="s">
        <v>549</v>
      </c>
      <c r="Z73" s="54" t="s">
        <v>550</v>
      </c>
      <c r="AA73" s="68">
        <v>46268.0</v>
      </c>
      <c r="AB73" s="56"/>
      <c r="AC73" s="38"/>
      <c r="AD73" s="39">
        <v>90546.4</v>
      </c>
      <c r="AE73" s="39">
        <v>31691.24</v>
      </c>
      <c r="AF73" s="40">
        <v>58855.16</v>
      </c>
      <c r="AG73" s="57" t="s">
        <v>551</v>
      </c>
      <c r="AH73" s="42" t="s">
        <v>552</v>
      </c>
      <c r="AI73" s="42" t="str">
        <f>IFERROR(__xludf.DUMMYFUNCTION("vLOOKUP(A73,IMPORTRANGE(""https://docs.google.com/spreadsheets/d/1Rawwwdh8wntXGy8isdYNHxsNQS4n_rC8JSdPfj6vEq4"",""'500 объектов перенос на 2026'!A3:AB502""),13,0)"),"#REF!")</f>
        <v>#REF!</v>
      </c>
      <c r="AJ73" s="42" t="str">
        <f>IFERROR(__xludf.DUMMYFUNCTION("vLOOKUP(A73,IMPORTRANGE(""https://docs.google.com/spreadsheets/d/1Rawwwdh8wntXGy8isdYNHxsNQS4n_rC8JSdPfj6vEq4"",""'500 объектов перенос на 2026'!A3:AB502""),14,0)"),"#REF!")</f>
        <v>#REF!</v>
      </c>
      <c r="AK73" s="119"/>
      <c r="AL73" s="43"/>
      <c r="AM73" s="43" t="str">
        <f>IFERROR(__xludf.DUMMYFUNCTION("""COMPUTED_VALUE"""),"ООО РУСВОДА ИНЖИНИРИНГ")</f>
        <v>ООО РУСВОДА ИНЖИНИРИНГ</v>
      </c>
      <c r="AN73" s="44">
        <f>IFERROR(__xludf.DUMMYFUNCTION("""COMPUTED_VALUE"""),0.85)</f>
        <v>0.85</v>
      </c>
      <c r="AO73" s="44"/>
    </row>
    <row r="74" hidden="1">
      <c r="A74" s="62" t="s">
        <v>553</v>
      </c>
      <c r="B74" s="63" t="s">
        <v>110</v>
      </c>
      <c r="C74" s="64" t="s">
        <v>554</v>
      </c>
      <c r="D74" s="47" t="s">
        <v>112</v>
      </c>
      <c r="E74" s="90" t="s">
        <v>85</v>
      </c>
      <c r="F74" s="31" t="s">
        <v>60</v>
      </c>
      <c r="G74" s="31"/>
      <c r="H74" s="31"/>
      <c r="I74" s="31" t="s">
        <v>40</v>
      </c>
      <c r="J74" s="31" t="s">
        <v>61</v>
      </c>
      <c r="K74" s="31" t="s">
        <v>301</v>
      </c>
      <c r="L74" s="32">
        <f>IFERROR(__xludf.DUMMYFUNCTION("VLOOKUP($A74,IMPORTRANGE(""1PQtfbQLqBUP-rjYRznmgNFBLOjvAnhGzpIx7BJWq8rk"",""'Worksheet'!$B$2:$H""),7,FALSE)"),0.82)</f>
        <v>0.82</v>
      </c>
      <c r="M74" s="31" t="s">
        <v>45</v>
      </c>
      <c r="N74" s="49">
        <v>2.0136950999E8</v>
      </c>
      <c r="O74" s="49">
        <v>1.0519727496E8</v>
      </c>
      <c r="P74" s="49">
        <f t="shared" si="15"/>
        <v>96172235.03</v>
      </c>
      <c r="Q74" s="34">
        <f t="shared" si="3"/>
        <v>0.477590848</v>
      </c>
      <c r="R74" s="31" t="s">
        <v>555</v>
      </c>
      <c r="S74" s="31" t="s">
        <v>45</v>
      </c>
      <c r="T74" s="50">
        <v>1.9782385869E8</v>
      </c>
      <c r="U74" s="51">
        <v>1.2669783333E8</v>
      </c>
      <c r="V74" s="51">
        <v>7.112602536E7</v>
      </c>
      <c r="W74" s="31" t="s">
        <v>556</v>
      </c>
      <c r="X74" s="52" t="s">
        <v>557</v>
      </c>
      <c r="Y74" s="54" t="s">
        <v>558</v>
      </c>
      <c r="Z74" s="54"/>
      <c r="AA74" s="74">
        <v>46193.0</v>
      </c>
      <c r="AB74" s="37">
        <v>46132.0</v>
      </c>
      <c r="AC74" s="35" t="s">
        <v>559</v>
      </c>
      <c r="AD74" s="39">
        <v>201369.51</v>
      </c>
      <c r="AE74" s="39">
        <v>156725.2569</v>
      </c>
      <c r="AF74" s="40">
        <v>44644.25306</v>
      </c>
      <c r="AG74" s="57"/>
      <c r="AH74" s="42" t="s">
        <v>560</v>
      </c>
      <c r="AI74" s="42" t="str">
        <f>IFERROR(__xludf.DUMMYFUNCTION("vLOOKUP(A74,IMPORTRANGE(""https://docs.google.com/spreadsheets/d/1Rawwwdh8wntXGy8isdYNHxsNQS4n_rC8JSdPfj6vEq4"",""'500 объектов перенос на 2026'!A3:AB502""),13,0)"),"#REF!")</f>
        <v>#REF!</v>
      </c>
      <c r="AJ74" s="42" t="str">
        <f>IFERROR(__xludf.DUMMYFUNCTION("vLOOKUP(A74,IMPORTRANGE(""https://docs.google.com/spreadsheets/d/1Rawwwdh8wntXGy8isdYNHxsNQS4n_rC8JSdPfj6vEq4"",""'500 объектов перенос на 2026'!A3:AB502""),14,0)"),"#REF!")</f>
        <v>#REF!</v>
      </c>
      <c r="AK74" s="70" t="s">
        <v>3343</v>
      </c>
      <c r="AL74" s="43"/>
      <c r="AM74" s="43" t="str">
        <f>IFERROR(__xludf.DUMMYFUNCTION("""COMPUTED_VALUE"""),"ООО ГЕОМАР")</f>
        <v>ООО ГЕОМАР</v>
      </c>
      <c r="AN74" s="44">
        <f>IFERROR(__xludf.DUMMYFUNCTION("""COMPUTED_VALUE"""),0.82)</f>
        <v>0.82</v>
      </c>
      <c r="AO74" s="44"/>
    </row>
    <row r="75" hidden="1">
      <c r="A75" s="62" t="s">
        <v>563</v>
      </c>
      <c r="B75" s="63" t="s">
        <v>225</v>
      </c>
      <c r="C75" s="64" t="s">
        <v>564</v>
      </c>
      <c r="D75" s="47" t="s">
        <v>166</v>
      </c>
      <c r="E75" s="64" t="s">
        <v>85</v>
      </c>
      <c r="F75" s="31" t="s">
        <v>40</v>
      </c>
      <c r="G75" s="31" t="s">
        <v>299</v>
      </c>
      <c r="H75" s="31" t="s">
        <v>42</v>
      </c>
      <c r="I75" s="31" t="s">
        <v>60</v>
      </c>
      <c r="J75" s="31"/>
      <c r="K75" s="31"/>
      <c r="L75" s="32" t="str">
        <f>IFERROR(__xludf.DUMMYFUNCTION("VLOOKUP($A75,IMPORTRANGE(""1PQtfbQLqBUP-rjYRznmgNFBLOjvAnhGzpIx7BJWq8rk"",""'Worksheet'!$B$2:$H""),7,FALSE)"),"#N/A")</f>
        <v>#N/A</v>
      </c>
      <c r="M75" s="31" t="s">
        <v>40</v>
      </c>
      <c r="N75" s="49">
        <v>1.3640398E8</v>
      </c>
      <c r="O75" s="49">
        <v>4.0921194E7</v>
      </c>
      <c r="P75" s="49">
        <f t="shared" si="15"/>
        <v>95482786</v>
      </c>
      <c r="Q75" s="34">
        <f t="shared" si="3"/>
        <v>0.7</v>
      </c>
      <c r="R75" s="31"/>
      <c r="S75" s="31" t="s">
        <v>40</v>
      </c>
      <c r="T75" s="50">
        <v>0.0</v>
      </c>
      <c r="U75" s="51">
        <v>0.0</v>
      </c>
      <c r="V75" s="51">
        <v>0.0</v>
      </c>
      <c r="W75" s="31"/>
      <c r="X75" s="52" t="s">
        <v>49</v>
      </c>
      <c r="Y75" s="54" t="s">
        <v>565</v>
      </c>
      <c r="Z75" s="54" t="s">
        <v>3344</v>
      </c>
      <c r="AA75" s="68">
        <v>46295.0</v>
      </c>
      <c r="AB75" s="56"/>
      <c r="AC75" s="121" t="s">
        <v>567</v>
      </c>
      <c r="AD75" s="39" t="s">
        <v>568</v>
      </c>
      <c r="AE75" s="39">
        <v>40921.19</v>
      </c>
      <c r="AF75" s="40">
        <v>95482.79</v>
      </c>
      <c r="AG75" s="57" t="s">
        <v>569</v>
      </c>
      <c r="AH75" s="42" t="s">
        <v>570</v>
      </c>
      <c r="AI75" s="42" t="str">
        <f>IFERROR(__xludf.DUMMYFUNCTION("vLOOKUP(A75,IMPORTRANGE(""https://docs.google.com/spreadsheets/d/1Rawwwdh8wntXGy8isdYNHxsNQS4n_rC8JSdPfj6vEq4"",""'500 объектов перенос на 2026'!A3:AB502""),13,0)"),"#REF!")</f>
        <v>#REF!</v>
      </c>
      <c r="AJ75" s="42" t="str">
        <f>IFERROR(__xludf.DUMMYFUNCTION("vLOOKUP(A75,IMPORTRANGE(""https://docs.google.com/spreadsheets/d/1Rawwwdh8wntXGy8isdYNHxsNQS4n_rC8JSdPfj6vEq4"",""'500 объектов перенос на 2026'!A3:AB502""),14,0)"),"#REF!")</f>
        <v>#REF!</v>
      </c>
      <c r="AK75" s="76" t="s">
        <v>3345</v>
      </c>
      <c r="AL75" s="43"/>
      <c r="AM75" s="43" t="str">
        <f>IFERROR(__xludf.DUMMYFUNCTION("""COMPUTED_VALUE"""),"ООО ГАЗЭНЕРГО ПРОМСЕРВИС")</f>
        <v>ООО ГАЗЭНЕРГО ПРОМСЕРВИС</v>
      </c>
      <c r="AN75" s="44">
        <f>IFERROR(__xludf.DUMMYFUNCTION("""COMPUTED_VALUE"""),0.8)</f>
        <v>0.8</v>
      </c>
      <c r="AO75" s="44"/>
    </row>
    <row r="76" hidden="1">
      <c r="A76" s="122" t="s">
        <v>572</v>
      </c>
      <c r="B76" s="63" t="s">
        <v>573</v>
      </c>
      <c r="C76" s="104" t="s">
        <v>574</v>
      </c>
      <c r="D76" s="47" t="s">
        <v>575</v>
      </c>
      <c r="E76" s="90" t="s">
        <v>85</v>
      </c>
      <c r="F76" s="31" t="s">
        <v>60</v>
      </c>
      <c r="G76" s="31"/>
      <c r="H76" s="31"/>
      <c r="I76" s="31" t="s">
        <v>40</v>
      </c>
      <c r="J76" s="31" t="s">
        <v>61</v>
      </c>
      <c r="K76" s="31" t="s">
        <v>72</v>
      </c>
      <c r="L76" s="32">
        <f>IFERROR(__xludf.DUMMYFUNCTION("VLOOKUP($A76,IMPORTRANGE(""1PQtfbQLqBUP-rjYRznmgNFBLOjvAnhGzpIx7BJWq8rk"",""'Worksheet'!$B$2:$H""),7,FALSE)"),0.97)</f>
        <v>0.97</v>
      </c>
      <c r="M76" s="31" t="s">
        <v>45</v>
      </c>
      <c r="N76" s="49">
        <v>1.66537425599E9</v>
      </c>
      <c r="O76" s="49">
        <v>1.57008172871E9</v>
      </c>
      <c r="P76" s="49">
        <f t="shared" si="15"/>
        <v>95292527.28</v>
      </c>
      <c r="Q76" s="34">
        <f t="shared" si="3"/>
        <v>0.05721988732</v>
      </c>
      <c r="R76" s="31"/>
      <c r="S76" s="31" t="s">
        <v>45</v>
      </c>
      <c r="T76" s="50"/>
      <c r="U76" s="51"/>
      <c r="V76" s="51"/>
      <c r="W76" s="31"/>
      <c r="X76" s="52" t="s">
        <v>576</v>
      </c>
      <c r="Y76" s="54" t="s">
        <v>577</v>
      </c>
      <c r="Z76" s="54" t="s">
        <v>578</v>
      </c>
      <c r="AA76" s="54" t="s">
        <v>579</v>
      </c>
      <c r="AB76" s="56"/>
      <c r="AC76" s="121" t="s">
        <v>580</v>
      </c>
      <c r="AD76" s="39">
        <v>1665374.25</v>
      </c>
      <c r="AE76" s="39">
        <v>1561783.315</v>
      </c>
      <c r="AF76" s="40">
        <v>103590.935</v>
      </c>
      <c r="AG76" s="57" t="s">
        <v>581</v>
      </c>
      <c r="AH76" s="42" t="s">
        <v>582</v>
      </c>
      <c r="AI76" s="42" t="str">
        <f>IFERROR(__xludf.DUMMYFUNCTION("vLOOKUP(A76,IMPORTRANGE(""https://docs.google.com/spreadsheets/d/1Rawwwdh8wntXGy8isdYNHxsNQS4n_rC8JSdPfj6vEq4"",""'500 объектов перенос на 2026'!A3:AB502""),13,0)"),"#REF!")</f>
        <v>#REF!</v>
      </c>
      <c r="AJ76" s="42" t="str">
        <f>IFERROR(__xludf.DUMMYFUNCTION("vLOOKUP(A76,IMPORTRANGE(""https://docs.google.com/spreadsheets/d/1Rawwwdh8wntXGy8isdYNHxsNQS4n_rC8JSdPfj6vEq4"",""'500 объектов перенос на 2026'!A3:AB502""),14,0)"),"#REF!")</f>
        <v>#REF!</v>
      </c>
      <c r="AK76" s="76" t="s">
        <v>577</v>
      </c>
      <c r="AL76" s="43"/>
      <c r="AM76" s="43" t="str">
        <f>IFERROR(__xludf.DUMMYFUNCTION("""COMPUTED_VALUE"""),"ООО ГИПРОН")</f>
        <v>ООО ГИПРОН</v>
      </c>
      <c r="AN76" s="44">
        <f>IFERROR(__xludf.DUMMYFUNCTION("""COMPUTED_VALUE"""),0.8)</f>
        <v>0.8</v>
      </c>
      <c r="AO76" s="44"/>
    </row>
    <row r="77" hidden="1">
      <c r="A77" s="62" t="s">
        <v>583</v>
      </c>
      <c r="B77" s="63" t="s">
        <v>126</v>
      </c>
      <c r="C77" s="64" t="s">
        <v>584</v>
      </c>
      <c r="D77" s="47" t="s">
        <v>585</v>
      </c>
      <c r="E77" s="64" t="s">
        <v>85</v>
      </c>
      <c r="F77" s="31" t="s">
        <v>60</v>
      </c>
      <c r="G77" s="31"/>
      <c r="H77" s="31"/>
      <c r="I77" s="31" t="s">
        <v>40</v>
      </c>
      <c r="J77" s="31" t="s">
        <v>102</v>
      </c>
      <c r="K77" s="31" t="s">
        <v>586</v>
      </c>
      <c r="L77" s="32">
        <f>IFERROR(__xludf.DUMMYFUNCTION("VLOOKUP($A77,IMPORTRANGE(""1PQtfbQLqBUP-rjYRznmgNFBLOjvAnhGzpIx7BJWq8rk"",""'Worksheet'!$B$2:$H""),7,FALSE)"),0.45)</f>
        <v>0.45</v>
      </c>
      <c r="M77" s="31" t="s">
        <v>45</v>
      </c>
      <c r="N77" s="49">
        <v>2.0409799E8</v>
      </c>
      <c r="O77" s="49">
        <v>1.0989082063E8</v>
      </c>
      <c r="P77" s="49">
        <f t="shared" si="15"/>
        <v>94207169.37</v>
      </c>
      <c r="Q77" s="34">
        <f t="shared" si="3"/>
        <v>0.461578134</v>
      </c>
      <c r="R77" s="31"/>
      <c r="S77" s="31" t="s">
        <v>45</v>
      </c>
      <c r="T77" s="72" t="s">
        <v>587</v>
      </c>
      <c r="U77" s="67" t="s">
        <v>588</v>
      </c>
      <c r="V77" s="67" t="s">
        <v>589</v>
      </c>
      <c r="W77" s="31"/>
      <c r="X77" s="52" t="s">
        <v>590</v>
      </c>
      <c r="Y77" s="54" t="s">
        <v>591</v>
      </c>
      <c r="Z77" s="54" t="s">
        <v>592</v>
      </c>
      <c r="AA77" s="74">
        <v>46254.0</v>
      </c>
      <c r="AB77" s="56"/>
      <c r="AC77" s="121" t="s">
        <v>593</v>
      </c>
      <c r="AD77" s="39">
        <v>204097.99</v>
      </c>
      <c r="AE77" s="39">
        <v>109890.8206</v>
      </c>
      <c r="AF77" s="40">
        <v>94207.16937</v>
      </c>
      <c r="AG77" s="57" t="s">
        <v>594</v>
      </c>
      <c r="AH77" s="42" t="s">
        <v>595</v>
      </c>
      <c r="AI77" s="42" t="str">
        <f>IFERROR(__xludf.DUMMYFUNCTION("vLOOKUP(A77,IMPORTRANGE(""https://docs.google.com/spreadsheets/d/1Rawwwdh8wntXGy8isdYNHxsNQS4n_rC8JSdPfj6vEq4"",""'500 объектов перенос на 2026'!A3:AB502""),13,0)"),"#REF!")</f>
        <v>#REF!</v>
      </c>
      <c r="AJ77" s="42" t="str">
        <f>IFERROR(__xludf.DUMMYFUNCTION("vLOOKUP(A77,IMPORTRANGE(""https://docs.google.com/spreadsheets/d/1Rawwwdh8wntXGy8isdYNHxsNQS4n_rC8JSdPfj6vEq4"",""'500 объектов перенос на 2026'!A3:AB502""),14,0)"),"#REF!")</f>
        <v>#REF!</v>
      </c>
      <c r="AK77" s="70" t="s">
        <v>3346</v>
      </c>
      <c r="AL77" s="43"/>
      <c r="AM77" s="43" t="str">
        <f>IFERROR(__xludf.DUMMYFUNCTION("""COMPUTED_VALUE"""),"ООО ИЭС")</f>
        <v>ООО ИЭС</v>
      </c>
      <c r="AN77" s="44">
        <f>IFERROR(__xludf.DUMMYFUNCTION("""COMPUTED_VALUE"""),0.8)</f>
        <v>0.8</v>
      </c>
      <c r="AO77" s="44"/>
    </row>
    <row r="78" hidden="1">
      <c r="A78" s="62" t="s">
        <v>597</v>
      </c>
      <c r="B78" s="63" t="s">
        <v>36</v>
      </c>
      <c r="C78" s="64" t="s">
        <v>598</v>
      </c>
      <c r="D78" s="47" t="s">
        <v>599</v>
      </c>
      <c r="E78" s="123" t="s">
        <v>85</v>
      </c>
      <c r="F78" s="31" t="s">
        <v>60</v>
      </c>
      <c r="G78" s="31"/>
      <c r="H78" s="31"/>
      <c r="I78" s="31" t="s">
        <v>60</v>
      </c>
      <c r="J78" s="31"/>
      <c r="K78" s="31"/>
      <c r="L78" s="32">
        <f>IFERROR(__xludf.DUMMYFUNCTION("VLOOKUP($A78,IMPORTRANGE(""1PQtfbQLqBUP-rjYRznmgNFBLOjvAnhGzpIx7BJWq8rk"",""'Worksheet'!$B$2:$H""),7,FALSE)"),0.95)</f>
        <v>0.95</v>
      </c>
      <c r="M78" s="31" t="s">
        <v>45</v>
      </c>
      <c r="N78" s="49">
        <v>1.5961413826E8</v>
      </c>
      <c r="O78" s="49">
        <v>4.401398677E7</v>
      </c>
      <c r="P78" s="49">
        <f t="shared" si="15"/>
        <v>115600151.5</v>
      </c>
      <c r="Q78" s="34">
        <f t="shared" si="3"/>
        <v>0.7242475682</v>
      </c>
      <c r="R78" s="31"/>
      <c r="S78" s="31" t="s">
        <v>60</v>
      </c>
      <c r="T78" s="50"/>
      <c r="U78" s="51"/>
      <c r="V78" s="51"/>
      <c r="W78" s="31" t="s">
        <v>148</v>
      </c>
      <c r="X78" s="52" t="s">
        <v>600</v>
      </c>
      <c r="Y78" s="89" t="s">
        <v>601</v>
      </c>
      <c r="Z78" s="54" t="s">
        <v>602</v>
      </c>
      <c r="AA78" s="74">
        <v>46188.0</v>
      </c>
      <c r="AB78" s="56"/>
      <c r="AC78" s="121"/>
      <c r="AD78" s="39">
        <v>135788.4</v>
      </c>
      <c r="AE78" s="39">
        <v>44013.98308</v>
      </c>
      <c r="AF78" s="40">
        <v>91774.41692</v>
      </c>
      <c r="AG78" s="57" t="s">
        <v>603</v>
      </c>
      <c r="AH78" s="42" t="s">
        <v>3347</v>
      </c>
      <c r="AI78" s="42" t="str">
        <f>IFERROR(__xludf.DUMMYFUNCTION("vLOOKUP(A78,IMPORTRANGE(""https://docs.google.com/spreadsheets/d/1Rawwwdh8wntXGy8isdYNHxsNQS4n_rC8JSdPfj6vEq4"",""'500 объектов перенос на 2026'!A3:AB502""),13,0)"),"#REF!")</f>
        <v>#REF!</v>
      </c>
      <c r="AJ78" s="42" t="str">
        <f>IFERROR(__xludf.DUMMYFUNCTION("vLOOKUP(A78,IMPORTRANGE(""https://docs.google.com/spreadsheets/d/1Rawwwdh8wntXGy8isdYNHxsNQS4n_rC8JSdPfj6vEq4"",""'500 объектов перенос на 2026'!A3:AB502""),14,0)"),"#REF!")</f>
        <v>#REF!</v>
      </c>
      <c r="AK78" s="138" t="s">
        <v>3348</v>
      </c>
      <c r="AL78" s="43"/>
      <c r="AM78" s="43" t="str">
        <f>IFERROR(__xludf.DUMMYFUNCTION("""COMPUTED_VALUE"""),"ООО КАСКАД-ЭНЕРГО")</f>
        <v>ООО КАСКАД-ЭНЕРГО</v>
      </c>
      <c r="AN78" s="44">
        <f>IFERROR(__xludf.DUMMYFUNCTION("""COMPUTED_VALUE"""),0.8)</f>
        <v>0.8</v>
      </c>
      <c r="AO78" s="44"/>
    </row>
    <row r="79" hidden="1">
      <c r="A79" s="62" t="s">
        <v>604</v>
      </c>
      <c r="B79" s="63" t="s">
        <v>605</v>
      </c>
      <c r="C79" s="64" t="s">
        <v>606</v>
      </c>
      <c r="D79" s="47" t="s">
        <v>179</v>
      </c>
      <c r="E79" s="64" t="s">
        <v>85</v>
      </c>
      <c r="F79" s="31" t="s">
        <v>60</v>
      </c>
      <c r="G79" s="31"/>
      <c r="H79" s="31"/>
      <c r="I79" s="31" t="s">
        <v>60</v>
      </c>
      <c r="J79" s="31"/>
      <c r="K79" s="31"/>
      <c r="L79" s="32">
        <f>IFERROR(__xludf.DUMMYFUNCTION("VLOOKUP($A79,IMPORTRANGE(""1PQtfbQLqBUP-rjYRznmgNFBLOjvAnhGzpIx7BJWq8rk"",""'Worksheet'!$B$2:$H""),7,FALSE)"),0.98)</f>
        <v>0.98</v>
      </c>
      <c r="M79" s="31" t="s">
        <v>40</v>
      </c>
      <c r="N79" s="49">
        <v>1.5957378989E8</v>
      </c>
      <c r="O79" s="49">
        <v>3.646226989E7</v>
      </c>
      <c r="P79" s="49">
        <f t="shared" si="15"/>
        <v>123111520</v>
      </c>
      <c r="Q79" s="34">
        <f t="shared" si="3"/>
        <v>0.7715021376</v>
      </c>
      <c r="R79" s="31"/>
      <c r="S79" s="31" t="s">
        <v>40</v>
      </c>
      <c r="T79" s="72" t="s">
        <v>607</v>
      </c>
      <c r="U79" s="67">
        <v>0.0</v>
      </c>
      <c r="V79" s="67" t="s">
        <v>607</v>
      </c>
      <c r="W79" s="31" t="s">
        <v>148</v>
      </c>
      <c r="X79" s="52" t="s">
        <v>507</v>
      </c>
      <c r="Y79" s="124" t="s">
        <v>608</v>
      </c>
      <c r="Z79" s="54" t="s">
        <v>75</v>
      </c>
      <c r="AA79" s="74">
        <v>46265.0</v>
      </c>
      <c r="AB79" s="56"/>
      <c r="AC79" s="121"/>
      <c r="AD79" s="39">
        <v>127937.789</v>
      </c>
      <c r="AE79" s="39">
        <v>36462.26989</v>
      </c>
      <c r="AF79" s="40">
        <v>91475.51911</v>
      </c>
      <c r="AG79" s="99" t="s">
        <v>609</v>
      </c>
      <c r="AH79" s="85"/>
      <c r="AI79" s="42" t="str">
        <f>IFERROR(__xludf.DUMMYFUNCTION("vLOOKUP(A79,IMPORTRANGE(""https://docs.google.com/spreadsheets/d/1Rawwwdh8wntXGy8isdYNHxsNQS4n_rC8JSdPfj6vEq4"",""'500 объектов перенос на 2026'!A3:AB502""),13,0)"),"#REF!")</f>
        <v>#REF!</v>
      </c>
      <c r="AJ79" s="42" t="str">
        <f>IFERROR(__xludf.DUMMYFUNCTION("vLOOKUP(A79,IMPORTRANGE(""https://docs.google.com/spreadsheets/d/1Rawwwdh8wntXGy8isdYNHxsNQS4n_rC8JSdPfj6vEq4"",""'500 объектов перенос на 2026'!A3:AB502""),14,0)"),"#REF!")</f>
        <v>#REF!</v>
      </c>
      <c r="AK79" s="76" t="s">
        <v>3349</v>
      </c>
      <c r="AL79" s="43"/>
      <c r="AM79" s="43" t="str">
        <f>IFERROR(__xludf.DUMMYFUNCTION("""COMPUTED_VALUE"""),"ООО РЕМИСТР")</f>
        <v>ООО РЕМИСТР</v>
      </c>
      <c r="AN79" s="44">
        <f>IFERROR(__xludf.DUMMYFUNCTION("""COMPUTED_VALUE"""),0.79)</f>
        <v>0.79</v>
      </c>
      <c r="AO79" s="44"/>
    </row>
    <row r="80" hidden="1">
      <c r="A80" s="62" t="s">
        <v>612</v>
      </c>
      <c r="B80" s="63" t="s">
        <v>126</v>
      </c>
      <c r="C80" s="64" t="s">
        <v>613</v>
      </c>
      <c r="D80" s="47" t="s">
        <v>614</v>
      </c>
      <c r="E80" s="64" t="s">
        <v>39</v>
      </c>
      <c r="F80" s="31" t="s">
        <v>60</v>
      </c>
      <c r="G80" s="31"/>
      <c r="H80" s="31"/>
      <c r="I80" s="31" t="s">
        <v>60</v>
      </c>
      <c r="J80" s="31"/>
      <c r="K80" s="31"/>
      <c r="L80" s="32">
        <f>IFERROR(__xludf.DUMMYFUNCTION("VLOOKUP($A80,IMPORTRANGE(""1PQtfbQLqBUP-rjYRznmgNFBLOjvAnhGzpIx7BJWq8rk"",""'Worksheet'!$B$2:$H""),7,FALSE)"),1.0)</f>
        <v>1</v>
      </c>
      <c r="M80" s="31" t="s">
        <v>45</v>
      </c>
      <c r="N80" s="49">
        <v>1.5850905222E8</v>
      </c>
      <c r="O80" s="49">
        <v>6.910483807E7</v>
      </c>
      <c r="P80" s="49">
        <f t="shared" si="15"/>
        <v>89404214.15</v>
      </c>
      <c r="Q80" s="34">
        <f t="shared" si="3"/>
        <v>0.5640322297</v>
      </c>
      <c r="R80" s="31" t="s">
        <v>2505</v>
      </c>
      <c r="S80" s="31" t="s">
        <v>60</v>
      </c>
      <c r="T80" s="65" t="s">
        <v>615</v>
      </c>
      <c r="U80" s="67" t="s">
        <v>616</v>
      </c>
      <c r="V80" s="67" t="s">
        <v>617</v>
      </c>
      <c r="W80" s="31"/>
      <c r="X80" s="52" t="s">
        <v>618</v>
      </c>
      <c r="Y80" s="125" t="s">
        <v>619</v>
      </c>
      <c r="Z80" s="74"/>
      <c r="AA80" s="74">
        <v>46203.0</v>
      </c>
      <c r="AB80" s="56"/>
      <c r="AC80" s="121" t="s">
        <v>620</v>
      </c>
      <c r="AD80" s="39">
        <v>122000.0</v>
      </c>
      <c r="AE80" s="39">
        <v>75397.38398</v>
      </c>
      <c r="AF80" s="40">
        <v>46602.61602</v>
      </c>
      <c r="AG80" s="57" t="s">
        <v>621</v>
      </c>
      <c r="AH80" s="42" t="s">
        <v>622</v>
      </c>
      <c r="AI80" s="42" t="str">
        <f>IFERROR(__xludf.DUMMYFUNCTION("vLOOKUP(A80,IMPORTRANGE(""https://docs.google.com/spreadsheets/d/1Rawwwdh8wntXGy8isdYNHxsNQS4n_rC8JSdPfj6vEq4"",""'500 объектов перенос на 2026'!A3:AB502""),13,0)"),"#REF!")</f>
        <v>#REF!</v>
      </c>
      <c r="AJ80" s="42" t="str">
        <f>IFERROR(__xludf.DUMMYFUNCTION("vLOOKUP(A80,IMPORTRANGE(""https://docs.google.com/spreadsheets/d/1Rawwwdh8wntXGy8isdYNHxsNQS4n_rC8JSdPfj6vEq4"",""'500 объектов перенос на 2026'!A3:AB502""),14,0)"),"#REF!")</f>
        <v>#REF!</v>
      </c>
      <c r="AK80" s="70" t="s">
        <v>3350</v>
      </c>
      <c r="AL80" s="43"/>
      <c r="AM80" s="43" t="str">
        <f>IFERROR(__xludf.DUMMYFUNCTION("""COMPUTED_VALUE"""),"ООО ВКС ПРОЕКТ")</f>
        <v>ООО ВКС ПРОЕКТ</v>
      </c>
      <c r="AN80" s="44">
        <f>IFERROR(__xludf.DUMMYFUNCTION("""COMPUTED_VALUE"""),0.78)</f>
        <v>0.78</v>
      </c>
      <c r="AO80" s="44"/>
    </row>
    <row r="81" hidden="1">
      <c r="A81" s="62" t="s">
        <v>624</v>
      </c>
      <c r="B81" s="63" t="s">
        <v>625</v>
      </c>
      <c r="C81" s="64" t="s">
        <v>626</v>
      </c>
      <c r="D81" s="47" t="s">
        <v>101</v>
      </c>
      <c r="E81" s="64" t="s">
        <v>39</v>
      </c>
      <c r="F81" s="31" t="s">
        <v>60</v>
      </c>
      <c r="G81" s="31"/>
      <c r="H81" s="31"/>
      <c r="I81" s="31" t="s">
        <v>40</v>
      </c>
      <c r="J81" s="31" t="s">
        <v>102</v>
      </c>
      <c r="K81" s="31" t="s">
        <v>72</v>
      </c>
      <c r="L81" s="32">
        <f>IFERROR(__xludf.DUMMYFUNCTION("VLOOKUP($A81,IMPORTRANGE(""1PQtfbQLqBUP-rjYRznmgNFBLOjvAnhGzpIx7BJWq8rk"",""'Worksheet'!$B$2:$H""),7,FALSE)"),0.75)</f>
        <v>0.75</v>
      </c>
      <c r="M81" s="31" t="s">
        <v>45</v>
      </c>
      <c r="N81" s="49">
        <v>1.345953477E8</v>
      </c>
      <c r="O81" s="49">
        <v>4.53072888E7</v>
      </c>
      <c r="P81" s="49">
        <f t="shared" si="15"/>
        <v>89288058.9</v>
      </c>
      <c r="Q81" s="34">
        <f t="shared" si="3"/>
        <v>0.6633814647</v>
      </c>
      <c r="R81" s="31"/>
      <c r="S81" s="31" t="s">
        <v>40</v>
      </c>
      <c r="T81" s="50" t="s">
        <v>627</v>
      </c>
      <c r="U81" s="51">
        <v>0.0</v>
      </c>
      <c r="V81" s="51" t="s">
        <v>627</v>
      </c>
      <c r="W81" s="31"/>
      <c r="X81" s="52" t="s">
        <v>46</v>
      </c>
      <c r="Y81" s="54" t="s">
        <v>628</v>
      </c>
      <c r="Z81" s="54" t="s">
        <v>629</v>
      </c>
      <c r="AA81" s="68">
        <v>46310.0</v>
      </c>
      <c r="AB81" s="56"/>
      <c r="AC81" s="121"/>
      <c r="AD81" s="39">
        <v>151024.29</v>
      </c>
      <c r="AE81" s="39">
        <v>45307.2888</v>
      </c>
      <c r="AF81" s="40">
        <v>105717.0012</v>
      </c>
      <c r="AG81" s="57" t="s">
        <v>630</v>
      </c>
      <c r="AH81" s="42" t="s">
        <v>272</v>
      </c>
      <c r="AI81" s="42" t="str">
        <f>IFERROR(__xludf.DUMMYFUNCTION("vLOOKUP(A81,IMPORTRANGE(""https://docs.google.com/spreadsheets/d/1Rawwwdh8wntXGy8isdYNHxsNQS4n_rC8JSdPfj6vEq4"",""'500 объектов перенос на 2026'!A3:AB502""),13,0)"),"#REF!")</f>
        <v>#REF!</v>
      </c>
      <c r="AJ81" s="85" t="s">
        <v>631</v>
      </c>
      <c r="AK81" s="119"/>
      <c r="AL81" s="43"/>
      <c r="AM81" s="43" t="str">
        <f>IFERROR(__xludf.DUMMYFUNCTION("""COMPUTED_VALUE"""),"ООО РБК СТРОЙИНВЕСТ")</f>
        <v>ООО РБК СТРОЙИНВЕСТ</v>
      </c>
      <c r="AN81" s="44">
        <f>IFERROR(__xludf.DUMMYFUNCTION("""COMPUTED_VALUE"""),0.73)</f>
        <v>0.73</v>
      </c>
      <c r="AO81" s="44"/>
    </row>
    <row r="82" hidden="1">
      <c r="A82" s="62" t="s">
        <v>634</v>
      </c>
      <c r="B82" s="63" t="s">
        <v>635</v>
      </c>
      <c r="C82" s="64" t="s">
        <v>636</v>
      </c>
      <c r="D82" s="47" t="s">
        <v>505</v>
      </c>
      <c r="E82" s="64" t="s">
        <v>59</v>
      </c>
      <c r="F82" s="31" t="s">
        <v>40</v>
      </c>
      <c r="G82" s="31" t="s">
        <v>156</v>
      </c>
      <c r="H82" s="31" t="s">
        <v>637</v>
      </c>
      <c r="I82" s="31" t="s">
        <v>60</v>
      </c>
      <c r="J82" s="31"/>
      <c r="K82" s="31"/>
      <c r="L82" s="32">
        <f>IFERROR(__xludf.DUMMYFUNCTION("VLOOKUP($A82,IMPORTRANGE(""1PQtfbQLqBUP-rjYRznmgNFBLOjvAnhGzpIx7BJWq8rk"",""'Worksheet'!$B$2:$H""),7,FALSE)"),0.87)</f>
        <v>0.87</v>
      </c>
      <c r="M82" s="31" t="s">
        <v>40</v>
      </c>
      <c r="N82" s="49">
        <v>1.27113E8</v>
      </c>
      <c r="O82" s="49">
        <v>3.81339E7</v>
      </c>
      <c r="P82" s="49">
        <f t="shared" si="15"/>
        <v>88979100</v>
      </c>
      <c r="Q82" s="34">
        <f t="shared" si="3"/>
        <v>0.7</v>
      </c>
      <c r="R82" s="31"/>
      <c r="S82" s="31" t="s">
        <v>40</v>
      </c>
      <c r="T82" s="50" t="s">
        <v>638</v>
      </c>
      <c r="U82" s="51">
        <v>0.0</v>
      </c>
      <c r="V82" s="51" t="s">
        <v>638</v>
      </c>
      <c r="W82" s="31"/>
      <c r="X82" s="52" t="s">
        <v>49</v>
      </c>
      <c r="Y82" s="54" t="s">
        <v>639</v>
      </c>
      <c r="Z82" s="54" t="s">
        <v>640</v>
      </c>
      <c r="AA82" s="74">
        <v>46249.0</v>
      </c>
      <c r="AB82" s="56"/>
      <c r="AC82" s="38"/>
      <c r="AD82" s="39">
        <v>129362.51</v>
      </c>
      <c r="AE82" s="39">
        <v>38133.9</v>
      </c>
      <c r="AF82" s="40">
        <v>91228.61</v>
      </c>
      <c r="AG82" s="57" t="s">
        <v>641</v>
      </c>
      <c r="AH82" s="42" t="s">
        <v>49</v>
      </c>
      <c r="AI82" s="42" t="str">
        <f>IFERROR(__xludf.DUMMYFUNCTION("vLOOKUP(A82,IMPORTRANGE(""https://docs.google.com/spreadsheets/d/1Rawwwdh8wntXGy8isdYNHxsNQS4n_rC8JSdPfj6vEq4"",""'500 объектов перенос на 2026'!A3:AB502""),13,0)"),"#REF!")</f>
        <v>#REF!</v>
      </c>
      <c r="AJ82" s="42" t="str">
        <f>IFERROR(__xludf.DUMMYFUNCTION("vLOOKUP(A82,IMPORTRANGE(""https://docs.google.com/spreadsheets/d/1Rawwwdh8wntXGy8isdYNHxsNQS4n_rC8JSdPfj6vEq4"",""'500 объектов перенос на 2026'!A3:AB502""),14,0)"),"#REF!")</f>
        <v>#REF!</v>
      </c>
      <c r="AK82" s="70" t="s">
        <v>3351</v>
      </c>
      <c r="AL82" s="43"/>
      <c r="AM82" s="43" t="str">
        <f>IFERROR(__xludf.DUMMYFUNCTION("""COMPUTED_VALUE"""),"ООО СЗСМЭУ")</f>
        <v>ООО СЗСМЭУ</v>
      </c>
      <c r="AN82" s="44">
        <f>IFERROR(__xludf.DUMMYFUNCTION("""COMPUTED_VALUE"""),0.7)</f>
        <v>0.7</v>
      </c>
      <c r="AO82" s="44"/>
    </row>
    <row r="83" hidden="1">
      <c r="A83" s="62" t="s">
        <v>642</v>
      </c>
      <c r="B83" s="63" t="s">
        <v>126</v>
      </c>
      <c r="C83" s="64" t="s">
        <v>643</v>
      </c>
      <c r="D83" s="47" t="s">
        <v>171</v>
      </c>
      <c r="E83" s="64" t="s">
        <v>85</v>
      </c>
      <c r="F83" s="31" t="s">
        <v>60</v>
      </c>
      <c r="G83" s="31"/>
      <c r="H83" s="31"/>
      <c r="I83" s="31" t="s">
        <v>60</v>
      </c>
      <c r="J83" s="31"/>
      <c r="K83" s="31"/>
      <c r="L83" s="32">
        <f>IFERROR(__xludf.DUMMYFUNCTION("VLOOKUP($A83,IMPORTRANGE(""1PQtfbQLqBUP-rjYRznmgNFBLOjvAnhGzpIx7BJWq8rk"",""'Worksheet'!$B$2:$H""),7,FALSE)"),0.98)</f>
        <v>0.98</v>
      </c>
      <c r="M83" s="31" t="s">
        <v>45</v>
      </c>
      <c r="N83" s="49">
        <v>9.895348E7</v>
      </c>
      <c r="O83" s="49">
        <v>1.021553425E7</v>
      </c>
      <c r="P83" s="49">
        <f t="shared" si="15"/>
        <v>88737945.75</v>
      </c>
      <c r="Q83" s="34">
        <f t="shared" si="3"/>
        <v>0.896764275</v>
      </c>
      <c r="R83" s="31"/>
      <c r="S83" s="31" t="s">
        <v>45</v>
      </c>
      <c r="T83" s="72" t="s">
        <v>644</v>
      </c>
      <c r="U83" s="67" t="s">
        <v>645</v>
      </c>
      <c r="V83" s="67" t="s">
        <v>646</v>
      </c>
      <c r="W83" s="31" t="s">
        <v>148</v>
      </c>
      <c r="X83" s="92" t="s">
        <v>647</v>
      </c>
      <c r="Y83" s="54" t="s">
        <v>648</v>
      </c>
      <c r="Z83" s="74"/>
      <c r="AA83" s="74">
        <v>46203.0</v>
      </c>
      <c r="AB83" s="56"/>
      <c r="AC83" s="38"/>
      <c r="AD83" s="39">
        <v>98953.48</v>
      </c>
      <c r="AE83" s="39">
        <v>37801.22722</v>
      </c>
      <c r="AF83" s="40">
        <v>61152.25278</v>
      </c>
      <c r="AG83" s="99" t="s">
        <v>649</v>
      </c>
      <c r="AH83" s="42" t="s">
        <v>650</v>
      </c>
      <c r="AI83" s="42" t="str">
        <f>IFERROR(__xludf.DUMMYFUNCTION("vLOOKUP(A83,IMPORTRANGE(""https://docs.google.com/spreadsheets/d/1Rawwwdh8wntXGy8isdYNHxsNQS4n_rC8JSdPfj6vEq4"",""'500 объектов перенос на 2026'!A3:AB502""),13,0)"),"#REF!")</f>
        <v>#REF!</v>
      </c>
      <c r="AJ83" s="42" t="str">
        <f>IFERROR(__xludf.DUMMYFUNCTION("vLOOKUP(A83,IMPORTRANGE(""https://docs.google.com/spreadsheets/d/1Rawwwdh8wntXGy8isdYNHxsNQS4n_rC8JSdPfj6vEq4"",""'500 объектов перенос на 2026'!A3:AB502""),14,0)"),"#REF!")</f>
        <v>#REF!</v>
      </c>
      <c r="AK83" s="70" t="s">
        <v>3352</v>
      </c>
      <c r="AL83" s="43"/>
      <c r="AM83" s="43" t="str">
        <f>IFERROR(__xludf.DUMMYFUNCTION("""COMPUTED_VALUE"""),"ООО СМУ-102")</f>
        <v>ООО СМУ-102</v>
      </c>
      <c r="AN83" s="44">
        <f>IFERROR(__xludf.DUMMYFUNCTION("""COMPUTED_VALUE"""),0.7)</f>
        <v>0.7</v>
      </c>
      <c r="AO83" s="44"/>
    </row>
    <row r="84" hidden="1">
      <c r="A84" s="62" t="s">
        <v>652</v>
      </c>
      <c r="B84" s="63" t="s">
        <v>653</v>
      </c>
      <c r="C84" s="64" t="s">
        <v>654</v>
      </c>
      <c r="D84" s="47" t="s">
        <v>655</v>
      </c>
      <c r="E84" s="64" t="s">
        <v>59</v>
      </c>
      <c r="F84" s="31" t="s">
        <v>60</v>
      </c>
      <c r="G84" s="31"/>
      <c r="H84" s="31"/>
      <c r="I84" s="31" t="s">
        <v>40</v>
      </c>
      <c r="J84" s="31" t="s">
        <v>102</v>
      </c>
      <c r="K84" s="31" t="s">
        <v>62</v>
      </c>
      <c r="L84" s="32">
        <f>IFERROR(__xludf.DUMMYFUNCTION("VLOOKUP($A84,IMPORTRANGE(""1PQtfbQLqBUP-rjYRznmgNFBLOjvAnhGzpIx7BJWq8rk"",""'Worksheet'!$B$2:$H""),7,FALSE)"),0.53)</f>
        <v>0.53</v>
      </c>
      <c r="M84" s="31" t="s">
        <v>45</v>
      </c>
      <c r="N84" s="49">
        <v>1.3987372268E8</v>
      </c>
      <c r="O84" s="49">
        <v>1.0756197087E8</v>
      </c>
      <c r="P84" s="49">
        <f t="shared" si="15"/>
        <v>32311751.81</v>
      </c>
      <c r="Q84" s="34">
        <f t="shared" si="3"/>
        <v>0.2310065907</v>
      </c>
      <c r="R84" s="31"/>
      <c r="S84" s="31" t="s">
        <v>45</v>
      </c>
      <c r="T84" s="91" t="s">
        <v>656</v>
      </c>
      <c r="U84" s="117" t="s">
        <v>657</v>
      </c>
      <c r="V84" s="51" t="s">
        <v>658</v>
      </c>
      <c r="W84" s="31"/>
      <c r="X84" s="52" t="s">
        <v>326</v>
      </c>
      <c r="Y84" s="54" t="s">
        <v>3353</v>
      </c>
      <c r="Z84" s="54" t="s">
        <v>660</v>
      </c>
      <c r="AA84" s="74">
        <v>46290.0</v>
      </c>
      <c r="AB84" s="56"/>
      <c r="AC84" s="38" t="s">
        <v>45</v>
      </c>
      <c r="AD84" s="39">
        <v>140619.49</v>
      </c>
      <c r="AE84" s="39">
        <v>107561.9709</v>
      </c>
      <c r="AF84" s="40">
        <v>33057.51913</v>
      </c>
      <c r="AG84" s="57">
        <v>107561.9709</v>
      </c>
      <c r="AH84" s="42" t="s">
        <v>661</v>
      </c>
      <c r="AI84" s="42" t="str">
        <f>IFERROR(__xludf.DUMMYFUNCTION("vLOOKUP(A84,IMPORTRANGE(""https://docs.google.com/spreadsheets/d/1Rawwwdh8wntXGy8isdYNHxsNQS4n_rC8JSdPfj6vEq4"",""'500 объектов перенос на 2026'!A3:AB502""),13,0)"),"#REF!")</f>
        <v>#REF!</v>
      </c>
      <c r="AJ84" s="42" t="str">
        <f>IFERROR(__xludf.DUMMYFUNCTION("vLOOKUP(A84,IMPORTRANGE(""https://docs.google.com/spreadsheets/d/1Rawwwdh8wntXGy8isdYNHxsNQS4n_rC8JSdPfj6vEq4"",""'500 объектов перенос на 2026'!A3:AB502""),14,0)"),"#REF!")</f>
        <v>#REF!</v>
      </c>
      <c r="AK84" s="70" t="s">
        <v>3354</v>
      </c>
      <c r="AL84" s="43"/>
      <c r="AM84" s="184"/>
      <c r="AN84" s="43"/>
      <c r="AO84" s="43"/>
    </row>
    <row r="85" hidden="1">
      <c r="A85" s="62" t="s">
        <v>662</v>
      </c>
      <c r="B85" s="63" t="s">
        <v>56</v>
      </c>
      <c r="C85" s="64" t="s">
        <v>663</v>
      </c>
      <c r="D85" s="47" t="s">
        <v>664</v>
      </c>
      <c r="E85" s="64" t="s">
        <v>85</v>
      </c>
      <c r="F85" s="31" t="s">
        <v>40</v>
      </c>
      <c r="G85" s="31" t="s">
        <v>299</v>
      </c>
      <c r="H85" s="31" t="s">
        <v>343</v>
      </c>
      <c r="I85" s="31" t="s">
        <v>40</v>
      </c>
      <c r="J85" s="31" t="s">
        <v>102</v>
      </c>
      <c r="K85" s="31"/>
      <c r="L85" s="32">
        <f>IFERROR(__xludf.DUMMYFUNCTION("VLOOKUP($A85,IMPORTRANGE(""1PQtfbQLqBUP-rjYRznmgNFBLOjvAnhGzpIx7BJWq8rk"",""'Worksheet'!$B$2:$H""),7,FALSE)"),0.68)</f>
        <v>0.68</v>
      </c>
      <c r="M85" s="31" t="s">
        <v>45</v>
      </c>
      <c r="N85" s="49">
        <v>1.75874E8</v>
      </c>
      <c r="O85" s="49">
        <v>8.7937E7</v>
      </c>
      <c r="P85" s="49">
        <f t="shared" si="15"/>
        <v>87937000</v>
      </c>
      <c r="Q85" s="34">
        <f t="shared" si="3"/>
        <v>0.5</v>
      </c>
      <c r="R85" s="31"/>
      <c r="S85" s="31" t="s">
        <v>45</v>
      </c>
      <c r="T85" s="72" t="s">
        <v>665</v>
      </c>
      <c r="U85" s="67" t="s">
        <v>666</v>
      </c>
      <c r="V85" s="67" t="s">
        <v>667</v>
      </c>
      <c r="W85" s="31"/>
      <c r="X85" s="52" t="s">
        <v>49</v>
      </c>
      <c r="Y85" s="54" t="s">
        <v>496</v>
      </c>
      <c r="Z85" s="54" t="s">
        <v>668</v>
      </c>
      <c r="AA85" s="68">
        <v>46249.0</v>
      </c>
      <c r="AB85" s="56"/>
      <c r="AC85" s="38"/>
      <c r="AD85" s="39">
        <v>175874.24</v>
      </c>
      <c r="AE85" s="39">
        <v>87937.0</v>
      </c>
      <c r="AF85" s="40">
        <v>87937.24</v>
      </c>
      <c r="AG85" s="57" t="s">
        <v>669</v>
      </c>
      <c r="AH85" s="69" t="s">
        <v>66</v>
      </c>
      <c r="AI85" s="42" t="str">
        <f>IFERROR(__xludf.DUMMYFUNCTION("vLOOKUP(A85,IMPORTRANGE(""https://docs.google.com/spreadsheets/d/1Rawwwdh8wntXGy8isdYNHxsNQS4n_rC8JSdPfj6vEq4"",""'500 объектов перенос на 2026'!A3:AB502""),13,0)"),"#REF!")</f>
        <v>#REF!</v>
      </c>
      <c r="AJ85" s="42" t="str">
        <f>IFERROR(__xludf.DUMMYFUNCTION("vLOOKUP(A85,IMPORTRANGE(""https://docs.google.com/spreadsheets/d/1Rawwwdh8wntXGy8isdYNHxsNQS4n_rC8JSdPfj6vEq4"",""'500 объектов перенос на 2026'!A3:AB502""),14,0)"),"#REF!")</f>
        <v>#REF!</v>
      </c>
      <c r="AK85" s="70" t="s">
        <v>3355</v>
      </c>
      <c r="AL85" s="43"/>
      <c r="AM85" s="43"/>
      <c r="AN85" s="43"/>
      <c r="AO85" s="43"/>
    </row>
    <row r="86" hidden="1">
      <c r="A86" s="62" t="s">
        <v>671</v>
      </c>
      <c r="B86" s="63" t="s">
        <v>70</v>
      </c>
      <c r="C86" s="64" t="s">
        <v>672</v>
      </c>
      <c r="D86" s="47" t="s">
        <v>237</v>
      </c>
      <c r="E86" s="64" t="s">
        <v>85</v>
      </c>
      <c r="F86" s="31" t="s">
        <v>60</v>
      </c>
      <c r="G86" s="31"/>
      <c r="H86" s="31"/>
      <c r="I86" s="31" t="s">
        <v>60</v>
      </c>
      <c r="J86" s="31"/>
      <c r="K86" s="31"/>
      <c r="L86" s="32">
        <f>IFERROR(__xludf.DUMMYFUNCTION("VLOOKUP($A86,IMPORTRANGE(""1PQtfbQLqBUP-rjYRznmgNFBLOjvAnhGzpIx7BJWq8rk"",""'Worksheet'!$B$2:$H""),7,FALSE)"),0.88)</f>
        <v>0.88</v>
      </c>
      <c r="M86" s="31" t="s">
        <v>45</v>
      </c>
      <c r="N86" s="49">
        <v>2.1167282364E8</v>
      </c>
      <c r="O86" s="49">
        <v>1.5051322773E8</v>
      </c>
      <c r="P86" s="49">
        <f t="shared" si="15"/>
        <v>61159595.91</v>
      </c>
      <c r="Q86" s="34">
        <f t="shared" si="3"/>
        <v>0.2889345683</v>
      </c>
      <c r="R86" s="31"/>
      <c r="S86" s="31" t="s">
        <v>45</v>
      </c>
      <c r="T86" s="50">
        <v>2.0108918246E8</v>
      </c>
      <c r="U86" s="51">
        <v>1.06768125E7</v>
      </c>
      <c r="V86" s="51">
        <v>1.9041237E8</v>
      </c>
      <c r="W86" s="31" t="s">
        <v>183</v>
      </c>
      <c r="X86" s="52" t="s">
        <v>507</v>
      </c>
      <c r="Y86" s="73" t="s">
        <v>673</v>
      </c>
      <c r="Z86" s="54" t="s">
        <v>75</v>
      </c>
      <c r="AA86" s="74">
        <v>46203.0</v>
      </c>
      <c r="AB86" s="56"/>
      <c r="AC86" s="121"/>
      <c r="AD86" s="39">
        <v>257853.5168</v>
      </c>
      <c r="AE86" s="39">
        <v>128926.76</v>
      </c>
      <c r="AF86" s="40">
        <v>128926.7568</v>
      </c>
      <c r="AG86" s="57" t="s">
        <v>675</v>
      </c>
      <c r="AH86" s="42" t="s">
        <v>66</v>
      </c>
      <c r="AI86" s="42" t="str">
        <f>IFERROR(__xludf.DUMMYFUNCTION("vLOOKUP(A86,IMPORTRANGE(""https://docs.google.com/spreadsheets/d/1Rawwwdh8wntXGy8isdYNHxsNQS4n_rC8JSdPfj6vEq4"",""'500 объектов перенос на 2026'!A3:AB502""),13,0)"),"#REF!")</f>
        <v>#REF!</v>
      </c>
      <c r="AJ86" s="42" t="str">
        <f>IFERROR(__xludf.DUMMYFUNCTION("vLOOKUP(A86,IMPORTRANGE(""https://docs.google.com/spreadsheets/d/1Rawwwdh8wntXGy8isdYNHxsNQS4n_rC8JSdPfj6vEq4"",""'500 объектов перенос на 2026'!A3:AB502""),14,0)"),"#REF!")</f>
        <v>#REF!</v>
      </c>
      <c r="AK86" s="70" t="s">
        <v>3356</v>
      </c>
      <c r="AL86" s="43"/>
      <c r="AM86" s="43"/>
      <c r="AN86" s="43"/>
      <c r="AO86" s="43"/>
    </row>
    <row r="87" hidden="1">
      <c r="A87" s="78" t="s">
        <v>678</v>
      </c>
      <c r="B87" s="63" t="s">
        <v>268</v>
      </c>
      <c r="C87" s="64" t="s">
        <v>679</v>
      </c>
      <c r="D87" s="47" t="s">
        <v>505</v>
      </c>
      <c r="E87" s="64" t="s">
        <v>59</v>
      </c>
      <c r="F87" s="31" t="s">
        <v>60</v>
      </c>
      <c r="G87" s="31"/>
      <c r="H87" s="31"/>
      <c r="I87" s="31" t="s">
        <v>60</v>
      </c>
      <c r="J87" s="31"/>
      <c r="K87" s="31"/>
      <c r="L87" s="32" t="str">
        <f>IFERROR(__xludf.DUMMYFUNCTION("VLOOKUP($A87,IMPORTRANGE(""1PQtfbQLqBUP-rjYRznmgNFBLOjvAnhGzpIx7BJWq8rk"",""'Worksheet'!$B$2:$H""),7,FALSE)"),"#N/A")</f>
        <v>#N/A</v>
      </c>
      <c r="M87" s="31" t="s">
        <v>60</v>
      </c>
      <c r="N87" s="49">
        <v>2.954643E7</v>
      </c>
      <c r="O87" s="49">
        <v>2.825891256E7</v>
      </c>
      <c r="P87" s="49">
        <v>0.0</v>
      </c>
      <c r="Q87" s="34">
        <f t="shared" si="3"/>
        <v>0.04357607467</v>
      </c>
      <c r="R87" s="31"/>
      <c r="S87" s="31" t="s">
        <v>60</v>
      </c>
      <c r="T87" s="50" t="s">
        <v>680</v>
      </c>
      <c r="U87" s="51" t="s">
        <v>680</v>
      </c>
      <c r="V87" s="51">
        <v>0.0</v>
      </c>
      <c r="W87" s="31"/>
      <c r="X87" s="52" t="s">
        <v>113</v>
      </c>
      <c r="Y87" s="54" t="s">
        <v>437</v>
      </c>
      <c r="Z87" s="54" t="s">
        <v>437</v>
      </c>
      <c r="AA87" s="54" t="s">
        <v>114</v>
      </c>
      <c r="AB87" s="38" t="s">
        <v>115</v>
      </c>
      <c r="AC87" s="38"/>
      <c r="AD87" s="39">
        <v>29546.43</v>
      </c>
      <c r="AE87" s="39">
        <v>28258.91256</v>
      </c>
      <c r="AF87" s="39">
        <v>1287.51744</v>
      </c>
      <c r="AG87" s="57" t="s">
        <v>681</v>
      </c>
      <c r="AH87" s="42"/>
      <c r="AI87" s="42" t="str">
        <f>IFERROR(__xludf.DUMMYFUNCTION("vLOOKUP(A87,IMPORTRANGE(""https://docs.google.com/spreadsheets/d/1Rawwwdh8wntXGy8isdYNHxsNQS4n_rC8JSdPfj6vEq4"",""'500 объектов перенос на 2026'!A3:AB502""),13,0)"),"#REF!")</f>
        <v>#REF!</v>
      </c>
      <c r="AJ87" s="42" t="str">
        <f>IFERROR(__xludf.DUMMYFUNCTION("vLOOKUP(A87,IMPORTRANGE(""https://docs.google.com/spreadsheets/d/1Rawwwdh8wntXGy8isdYNHxsNQS4n_rC8JSdPfj6vEq4"",""'500 объектов перенос на 2026'!A3:AB502""),14,0)"),"#REF!")</f>
        <v>#REF!</v>
      </c>
      <c r="AK87" s="76" t="s">
        <v>114</v>
      </c>
      <c r="AL87" s="43"/>
      <c r="AM87" s="43"/>
      <c r="AN87" s="43"/>
      <c r="AO87" s="43"/>
    </row>
    <row r="88" hidden="1">
      <c r="A88" s="78" t="s">
        <v>682</v>
      </c>
      <c r="B88" s="63" t="s">
        <v>268</v>
      </c>
      <c r="C88" s="64" t="s">
        <v>683</v>
      </c>
      <c r="D88" s="47" t="s">
        <v>505</v>
      </c>
      <c r="E88" s="90" t="s">
        <v>59</v>
      </c>
      <c r="F88" s="31" t="s">
        <v>60</v>
      </c>
      <c r="G88" s="31"/>
      <c r="H88" s="31"/>
      <c r="I88" s="31" t="s">
        <v>60</v>
      </c>
      <c r="J88" s="31"/>
      <c r="K88" s="31"/>
      <c r="L88" s="32" t="str">
        <f>IFERROR(__xludf.DUMMYFUNCTION("VLOOKUP($A88,IMPORTRANGE(""1PQtfbQLqBUP-rjYRznmgNFBLOjvAnhGzpIx7BJWq8rk"",""'Worksheet'!$B$2:$H""),7,FALSE)"),"#N/A")</f>
        <v>#N/A</v>
      </c>
      <c r="M88" s="31" t="s">
        <v>60</v>
      </c>
      <c r="N88" s="49">
        <v>1.591718E7</v>
      </c>
      <c r="O88" s="49">
        <v>1.441645065E7</v>
      </c>
      <c r="P88" s="49">
        <v>0.0</v>
      </c>
      <c r="Q88" s="34">
        <f t="shared" si="3"/>
        <v>0.09428361996</v>
      </c>
      <c r="R88" s="31"/>
      <c r="S88" s="31" t="s">
        <v>60</v>
      </c>
      <c r="T88" s="50" t="s">
        <v>684</v>
      </c>
      <c r="U88" s="51" t="s">
        <v>684</v>
      </c>
      <c r="V88" s="51">
        <v>0.0</v>
      </c>
      <c r="W88" s="31"/>
      <c r="X88" s="52" t="s">
        <v>113</v>
      </c>
      <c r="Y88" s="54" t="s">
        <v>437</v>
      </c>
      <c r="Z88" s="54" t="s">
        <v>437</v>
      </c>
      <c r="AA88" s="54" t="s">
        <v>114</v>
      </c>
      <c r="AB88" s="38" t="s">
        <v>115</v>
      </c>
      <c r="AC88" s="38"/>
      <c r="AD88" s="39">
        <v>15917.18</v>
      </c>
      <c r="AE88" s="39">
        <v>4153.5</v>
      </c>
      <c r="AF88" s="39">
        <v>11763.68</v>
      </c>
      <c r="AG88" s="57" t="s">
        <v>685</v>
      </c>
      <c r="AH88" s="42"/>
      <c r="AI88" s="42" t="str">
        <f>IFERROR(__xludf.DUMMYFUNCTION("vLOOKUP(A88,IMPORTRANGE(""https://docs.google.com/spreadsheets/d/1Rawwwdh8wntXGy8isdYNHxsNQS4n_rC8JSdPfj6vEq4"",""'500 объектов перенос на 2026'!A3:AB502""),13,0)"),"#REF!")</f>
        <v>#REF!</v>
      </c>
      <c r="AJ88" s="42" t="str">
        <f>IFERROR(__xludf.DUMMYFUNCTION("vLOOKUP(A88,IMPORTRANGE(""https://docs.google.com/spreadsheets/d/1Rawwwdh8wntXGy8isdYNHxsNQS4n_rC8JSdPfj6vEq4"",""'500 объектов перенос на 2026'!A3:AB502""),14,0)"),"#REF!")</f>
        <v>#REF!</v>
      </c>
      <c r="AK88" s="76" t="s">
        <v>114</v>
      </c>
      <c r="AL88" s="43"/>
      <c r="AM88" s="43"/>
      <c r="AN88" s="43"/>
      <c r="AO88" s="43"/>
    </row>
    <row r="89" hidden="1">
      <c r="A89" s="62" t="s">
        <v>686</v>
      </c>
      <c r="B89" s="63" t="s">
        <v>142</v>
      </c>
      <c r="C89" s="64" t="s">
        <v>687</v>
      </c>
      <c r="D89" s="47" t="s">
        <v>476</v>
      </c>
      <c r="E89" s="64" t="s">
        <v>59</v>
      </c>
      <c r="F89" s="31" t="s">
        <v>40</v>
      </c>
      <c r="G89" s="31" t="s">
        <v>156</v>
      </c>
      <c r="H89" s="31" t="s">
        <v>260</v>
      </c>
      <c r="I89" s="31" t="s">
        <v>40</v>
      </c>
      <c r="J89" s="31" t="s">
        <v>102</v>
      </c>
      <c r="K89" s="31"/>
      <c r="L89" s="32">
        <f>IFERROR(__xludf.DUMMYFUNCTION("VLOOKUP($A89,IMPORTRANGE(""1PQtfbQLqBUP-rjYRznmgNFBLOjvAnhGzpIx7BJWq8rk"",""'Worksheet'!$B$2:$H""),7,FALSE)"),0.9)</f>
        <v>0.9</v>
      </c>
      <c r="M89" s="31" t="s">
        <v>40</v>
      </c>
      <c r="N89" s="49">
        <v>1.146638597E8</v>
      </c>
      <c r="O89" s="49">
        <v>3.439915791E7</v>
      </c>
      <c r="P89" s="49">
        <f t="shared" ref="P89:P92" si="16">N89-O89</f>
        <v>80264701.79</v>
      </c>
      <c r="Q89" s="34">
        <f t="shared" si="3"/>
        <v>0.7</v>
      </c>
      <c r="R89" s="31"/>
      <c r="S89" s="31" t="s">
        <v>45</v>
      </c>
      <c r="T89" s="72" t="s">
        <v>688</v>
      </c>
      <c r="U89" s="67" t="s">
        <v>689</v>
      </c>
      <c r="V89" s="67" t="s">
        <v>690</v>
      </c>
      <c r="W89" s="31"/>
      <c r="X89" s="52" t="s">
        <v>46</v>
      </c>
      <c r="Y89" s="54" t="s">
        <v>691</v>
      </c>
      <c r="Z89" s="54" t="s">
        <v>431</v>
      </c>
      <c r="AA89" s="74">
        <v>46266.0</v>
      </c>
      <c r="AB89" s="56"/>
      <c r="AC89" s="38"/>
      <c r="AD89" s="39">
        <v>115240.06</v>
      </c>
      <c r="AE89" s="39">
        <v>34399.15791</v>
      </c>
      <c r="AF89" s="40">
        <v>80840.90209</v>
      </c>
      <c r="AG89" s="57" t="s">
        <v>692</v>
      </c>
      <c r="AH89" s="42" t="s">
        <v>49</v>
      </c>
      <c r="AI89" s="42" t="str">
        <f>IFERROR(__xludf.DUMMYFUNCTION("vLOOKUP(A89,IMPORTRANGE(""https://docs.google.com/spreadsheets/d/1Rawwwdh8wntXGy8isdYNHxsNQS4n_rC8JSdPfj6vEq4"",""'500 объектов перенос на 2026'!A3:AB502""),13,0)"),"#REF!")</f>
        <v>#REF!</v>
      </c>
      <c r="AJ89" s="42" t="str">
        <f>IFERROR(__xludf.DUMMYFUNCTION("vLOOKUP(A89,IMPORTRANGE(""https://docs.google.com/spreadsheets/d/1Rawwwdh8wntXGy8isdYNHxsNQS4n_rC8JSdPfj6vEq4"",""'500 объектов перенос на 2026'!A3:AB502""),14,0)"),"#REF!")</f>
        <v>#REF!</v>
      </c>
      <c r="AK89" s="138" t="s">
        <v>3357</v>
      </c>
      <c r="AL89" s="43"/>
      <c r="AM89" s="43"/>
      <c r="AN89" s="43"/>
      <c r="AO89" s="43"/>
    </row>
    <row r="90" hidden="1">
      <c r="A90" s="62" t="s">
        <v>693</v>
      </c>
      <c r="B90" s="63" t="s">
        <v>653</v>
      </c>
      <c r="C90" s="64" t="s">
        <v>694</v>
      </c>
      <c r="D90" s="47" t="s">
        <v>695</v>
      </c>
      <c r="E90" s="64" t="s">
        <v>59</v>
      </c>
      <c r="F90" s="31" t="s">
        <v>60</v>
      </c>
      <c r="G90" s="31"/>
      <c r="H90" s="31"/>
      <c r="I90" s="31" t="s">
        <v>40</v>
      </c>
      <c r="J90" s="31" t="s">
        <v>102</v>
      </c>
      <c r="K90" s="31" t="s">
        <v>62</v>
      </c>
      <c r="L90" s="32">
        <f>IFERROR(__xludf.DUMMYFUNCTION("VLOOKUP($A90,IMPORTRANGE(""1PQtfbQLqBUP-rjYRznmgNFBLOjvAnhGzpIx7BJWq8rk"",""'Worksheet'!$B$2:$H""),7,FALSE)"),0.67)</f>
        <v>0.67</v>
      </c>
      <c r="M90" s="31" t="s">
        <v>40</v>
      </c>
      <c r="N90" s="49">
        <v>1.0511412E8</v>
      </c>
      <c r="O90" s="49">
        <v>2.627853E7</v>
      </c>
      <c r="P90" s="49">
        <f t="shared" si="16"/>
        <v>78835590</v>
      </c>
      <c r="Q90" s="34">
        <f t="shared" si="3"/>
        <v>0.75</v>
      </c>
      <c r="R90" s="31"/>
      <c r="S90" s="31" t="s">
        <v>40</v>
      </c>
      <c r="T90" s="91" t="s">
        <v>696</v>
      </c>
      <c r="U90" s="51">
        <v>0.0</v>
      </c>
      <c r="V90" s="51" t="s">
        <v>696</v>
      </c>
      <c r="W90" s="31"/>
      <c r="X90" s="52" t="s">
        <v>46</v>
      </c>
      <c r="Y90" s="54" t="s">
        <v>697</v>
      </c>
      <c r="Z90" s="54" t="s">
        <v>698</v>
      </c>
      <c r="AA90" s="68">
        <v>46381.0</v>
      </c>
      <c r="AB90" s="56"/>
      <c r="AC90" s="38" t="s">
        <v>699</v>
      </c>
      <c r="AD90" s="39">
        <v>105114.12</v>
      </c>
      <c r="AE90" s="39">
        <v>26278.53</v>
      </c>
      <c r="AF90" s="40">
        <v>78835.59</v>
      </c>
      <c r="AG90" s="57" t="s">
        <v>700</v>
      </c>
      <c r="AH90" s="42" t="s">
        <v>701</v>
      </c>
      <c r="AI90" s="42" t="str">
        <f>IFERROR(__xludf.DUMMYFUNCTION("vLOOKUP(A90,IMPORTRANGE(""https://docs.google.com/spreadsheets/d/1Rawwwdh8wntXGy8isdYNHxsNQS4n_rC8JSdPfj6vEq4"",""'500 объектов перенос на 2026'!A3:AB502""),13,0)"),"#REF!")</f>
        <v>#REF!</v>
      </c>
      <c r="AJ90" s="42" t="str">
        <f>IFERROR(__xludf.DUMMYFUNCTION("vLOOKUP(A90,IMPORTRANGE(""https://docs.google.com/spreadsheets/d/1Rawwwdh8wntXGy8isdYNHxsNQS4n_rC8JSdPfj6vEq4"",""'500 объектов перенос на 2026'!A3:AB502""),14,0)"),"#REF!")</f>
        <v>#REF!</v>
      </c>
      <c r="AK90" s="70" t="s">
        <v>3358</v>
      </c>
      <c r="AL90" s="43"/>
      <c r="AM90" s="43"/>
      <c r="AN90" s="43"/>
      <c r="AO90" s="43"/>
    </row>
    <row r="91" hidden="1">
      <c r="A91" s="62" t="s">
        <v>702</v>
      </c>
      <c r="B91" s="63" t="s">
        <v>703</v>
      </c>
      <c r="C91" s="64" t="s">
        <v>704</v>
      </c>
      <c r="D91" s="47" t="s">
        <v>705</v>
      </c>
      <c r="E91" s="64" t="s">
        <v>85</v>
      </c>
      <c r="F91" s="31" t="s">
        <v>40</v>
      </c>
      <c r="G91" s="31" t="s">
        <v>41</v>
      </c>
      <c r="H91" s="31" t="s">
        <v>779</v>
      </c>
      <c r="I91" s="31" t="s">
        <v>60</v>
      </c>
      <c r="J91" s="31"/>
      <c r="K91" s="31"/>
      <c r="L91" s="32">
        <f>IFERROR(__xludf.DUMMYFUNCTION("VLOOKUP($A91,IMPORTRANGE(""1PQtfbQLqBUP-rjYRznmgNFBLOjvAnhGzpIx7BJWq8rk"",""'Worksheet'!$B$2:$H""),7,FALSE)"),0.98)</f>
        <v>0.98</v>
      </c>
      <c r="M91" s="31" t="s">
        <v>45</v>
      </c>
      <c r="N91" s="49">
        <v>1.6244128914E8</v>
      </c>
      <c r="O91" s="49">
        <v>1.3786524632E8</v>
      </c>
      <c r="P91" s="49">
        <f t="shared" si="16"/>
        <v>24576042.82</v>
      </c>
      <c r="Q91" s="34">
        <f t="shared" si="3"/>
        <v>0.151291848</v>
      </c>
      <c r="R91" s="31"/>
      <c r="S91" s="31" t="s">
        <v>45</v>
      </c>
      <c r="T91" s="91"/>
      <c r="U91" s="51"/>
      <c r="V91" s="51"/>
      <c r="W91" s="31"/>
      <c r="X91" s="52" t="s">
        <v>507</v>
      </c>
      <c r="Y91" s="128" t="s">
        <v>706</v>
      </c>
      <c r="Z91" s="54" t="s">
        <v>707</v>
      </c>
      <c r="AA91" s="74">
        <v>46204.0</v>
      </c>
      <c r="AB91" s="38" t="s">
        <v>3359</v>
      </c>
      <c r="AC91" s="38"/>
      <c r="AD91" s="39">
        <v>170109.67</v>
      </c>
      <c r="AE91" s="39">
        <v>112827.3767</v>
      </c>
      <c r="AF91" s="40">
        <v>57282.29334</v>
      </c>
      <c r="AG91" s="99" t="s">
        <v>3360</v>
      </c>
      <c r="AH91" s="85"/>
      <c r="AI91" s="42" t="str">
        <f>IFERROR(__xludf.DUMMYFUNCTION("vLOOKUP(A91,IMPORTRANGE(""https://docs.google.com/spreadsheets/d/1Rawwwdh8wntXGy8isdYNHxsNQS4n_rC8JSdPfj6vEq4"",""'500 объектов перенос на 2026'!A3:AB502""),13,0)"),"#REF!")</f>
        <v>#REF!</v>
      </c>
      <c r="AJ91" s="42" t="str">
        <f>IFERROR(__xludf.DUMMYFUNCTION("vLOOKUP(A91,IMPORTRANGE(""https://docs.google.com/spreadsheets/d/1Rawwwdh8wntXGy8isdYNHxsNQS4n_rC8JSdPfj6vEq4"",""'500 объектов перенос на 2026'!A3:AB502""),14,0)"),"#REF!")</f>
        <v>#REF!</v>
      </c>
      <c r="AK91" s="138" t="s">
        <v>2951</v>
      </c>
      <c r="AL91" s="43"/>
      <c r="AM91" s="43"/>
      <c r="AN91" s="43"/>
      <c r="AO91" s="43"/>
    </row>
    <row r="92" hidden="1">
      <c r="A92" s="62" t="s">
        <v>710</v>
      </c>
      <c r="B92" s="63" t="s">
        <v>711</v>
      </c>
      <c r="C92" s="64" t="s">
        <v>712</v>
      </c>
      <c r="D92" s="47" t="s">
        <v>227</v>
      </c>
      <c r="E92" s="64" t="s">
        <v>39</v>
      </c>
      <c r="F92" s="31" t="s">
        <v>60</v>
      </c>
      <c r="G92" s="31"/>
      <c r="H92" s="31"/>
      <c r="I92" s="31" t="s">
        <v>40</v>
      </c>
      <c r="J92" s="31" t="s">
        <v>102</v>
      </c>
      <c r="K92" s="31" t="s">
        <v>713</v>
      </c>
      <c r="L92" s="32">
        <f>IFERROR(__xludf.DUMMYFUNCTION("VLOOKUP($A92,IMPORTRANGE(""1PQtfbQLqBUP-rjYRznmgNFBLOjvAnhGzpIx7BJWq8rk"",""'Worksheet'!$B$2:$H""),7,FALSE)"),0.37)</f>
        <v>0.37</v>
      </c>
      <c r="M92" s="31" t="s">
        <v>40</v>
      </c>
      <c r="N92" s="49">
        <v>1.4921788954E8</v>
      </c>
      <c r="O92" s="49">
        <v>7.460894478E7</v>
      </c>
      <c r="P92" s="49">
        <f t="shared" si="16"/>
        <v>74608944.76</v>
      </c>
      <c r="Q92" s="34">
        <f t="shared" si="3"/>
        <v>0.4999999999</v>
      </c>
      <c r="R92" s="31"/>
      <c r="S92" s="31" t="s">
        <v>40</v>
      </c>
      <c r="T92" s="50"/>
      <c r="U92" s="51"/>
      <c r="V92" s="51"/>
      <c r="W92" s="31"/>
      <c r="X92" s="52" t="s">
        <v>46</v>
      </c>
      <c r="Y92" s="54" t="s">
        <v>714</v>
      </c>
      <c r="Z92" s="54" t="s">
        <v>715</v>
      </c>
      <c r="AA92" s="74">
        <v>46326.0</v>
      </c>
      <c r="AB92" s="56"/>
      <c r="AC92" s="38"/>
      <c r="AD92" s="39">
        <v>149217.89</v>
      </c>
      <c r="AE92" s="39">
        <v>74608.94478</v>
      </c>
      <c r="AF92" s="40">
        <v>74608.94522</v>
      </c>
      <c r="AG92" s="57" t="s">
        <v>716</v>
      </c>
      <c r="AH92" s="42" t="s">
        <v>717</v>
      </c>
      <c r="AI92" s="42" t="str">
        <f>IFERROR(__xludf.DUMMYFUNCTION("vLOOKUP(A92,IMPORTRANGE(""https://docs.google.com/spreadsheets/d/1Rawwwdh8wntXGy8isdYNHxsNQS4n_rC8JSdPfj6vEq4"",""'500 объектов перенос на 2026'!A3:AB502""),13,0)"),"#REF!")</f>
        <v>#REF!</v>
      </c>
      <c r="AJ92" s="42" t="str">
        <f>IFERROR(__xludf.DUMMYFUNCTION("vLOOKUP(A92,IMPORTRANGE(""https://docs.google.com/spreadsheets/d/1Rawwwdh8wntXGy8isdYNHxsNQS4n_rC8JSdPfj6vEq4"",""'500 объектов перенос на 2026'!A3:AB502""),14,0)"),"#REF!")</f>
        <v>#REF!</v>
      </c>
      <c r="AK92" s="76" t="s">
        <v>3361</v>
      </c>
      <c r="AL92" s="43"/>
      <c r="AM92" s="43"/>
      <c r="AN92" s="43"/>
      <c r="AO92" s="43"/>
    </row>
    <row r="93" hidden="1">
      <c r="A93" s="78" t="s">
        <v>720</v>
      </c>
      <c r="B93" s="63" t="s">
        <v>268</v>
      </c>
      <c r="C93" s="64" t="s">
        <v>721</v>
      </c>
      <c r="D93" s="47" t="s">
        <v>505</v>
      </c>
      <c r="E93" s="64" t="s">
        <v>59</v>
      </c>
      <c r="F93" s="31" t="s">
        <v>60</v>
      </c>
      <c r="G93" s="31"/>
      <c r="H93" s="31"/>
      <c r="I93" s="31" t="s">
        <v>60</v>
      </c>
      <c r="J93" s="31"/>
      <c r="K93" s="31"/>
      <c r="L93" s="32" t="str">
        <f>IFERROR(__xludf.DUMMYFUNCTION("VLOOKUP($A93,IMPORTRANGE(""1PQtfbQLqBUP-rjYRznmgNFBLOjvAnhGzpIx7BJWq8rk"",""'Worksheet'!$B$2:$H""),7,FALSE)"),"#N/A")</f>
        <v>#N/A</v>
      </c>
      <c r="M93" s="31" t="s">
        <v>60</v>
      </c>
      <c r="N93" s="49">
        <v>1.261231E7</v>
      </c>
      <c r="O93" s="49">
        <v>1.243513566E7</v>
      </c>
      <c r="P93" s="49">
        <v>0.0</v>
      </c>
      <c r="Q93" s="34">
        <f t="shared" si="3"/>
        <v>0.01404773115</v>
      </c>
      <c r="R93" s="31"/>
      <c r="S93" s="31" t="s">
        <v>60</v>
      </c>
      <c r="T93" s="91" t="s">
        <v>722</v>
      </c>
      <c r="U93" s="51" t="s">
        <v>722</v>
      </c>
      <c r="V93" s="51">
        <v>0.0</v>
      </c>
      <c r="W93" s="31"/>
      <c r="X93" s="52" t="s">
        <v>113</v>
      </c>
      <c r="Y93" s="54" t="s">
        <v>437</v>
      </c>
      <c r="Z93" s="54" t="s">
        <v>437</v>
      </c>
      <c r="AA93" s="54" t="s">
        <v>114</v>
      </c>
      <c r="AB93" s="38" t="s">
        <v>115</v>
      </c>
      <c r="AC93" s="38"/>
      <c r="AD93" s="39">
        <v>12629.93</v>
      </c>
      <c r="AE93" s="39">
        <v>3788.979</v>
      </c>
      <c r="AF93" s="39">
        <v>8840.951</v>
      </c>
      <c r="AG93" s="57" t="s">
        <v>723</v>
      </c>
      <c r="AH93" s="42"/>
      <c r="AI93" s="42" t="str">
        <f>IFERROR(__xludf.DUMMYFUNCTION("vLOOKUP(A93,IMPORTRANGE(""https://docs.google.com/spreadsheets/d/1Rawwwdh8wntXGy8isdYNHxsNQS4n_rC8JSdPfj6vEq4"",""'500 объектов перенос на 2026'!A3:AB502""),13,0)"),"#REF!")</f>
        <v>#REF!</v>
      </c>
      <c r="AJ93" s="42" t="str">
        <f>IFERROR(__xludf.DUMMYFUNCTION("vLOOKUP(A93,IMPORTRANGE(""https://docs.google.com/spreadsheets/d/1Rawwwdh8wntXGy8isdYNHxsNQS4n_rC8JSdPfj6vEq4"",""'500 объектов перенос на 2026'!A3:AB502""),14,0)"),"#REF!")</f>
        <v>#REF!</v>
      </c>
      <c r="AK93" s="76" t="s">
        <v>114</v>
      </c>
      <c r="AL93" s="43"/>
      <c r="AM93" s="43"/>
      <c r="AN93" s="43"/>
      <c r="AO93" s="43"/>
    </row>
    <row r="94" hidden="1">
      <c r="A94" s="62" t="s">
        <v>724</v>
      </c>
      <c r="B94" s="63" t="s">
        <v>725</v>
      </c>
      <c r="C94" s="104" t="s">
        <v>726</v>
      </c>
      <c r="D94" s="47" t="s">
        <v>727</v>
      </c>
      <c r="E94" s="64" t="s">
        <v>85</v>
      </c>
      <c r="F94" s="31" t="s">
        <v>60</v>
      </c>
      <c r="G94" s="31"/>
      <c r="H94" s="31"/>
      <c r="I94" s="31" t="s">
        <v>40</v>
      </c>
      <c r="J94" s="31" t="s">
        <v>102</v>
      </c>
      <c r="K94" s="31" t="s">
        <v>72</v>
      </c>
      <c r="L94" s="32" t="str">
        <f>IFERROR(__xludf.DUMMYFUNCTION("VLOOKUP($A94,IMPORTRANGE(""1PQtfbQLqBUP-rjYRznmgNFBLOjvAnhGzpIx7BJWq8rk"",""'Worksheet'!$B$2:$H""),7,FALSE)"),"#N/A")</f>
        <v>#N/A</v>
      </c>
      <c r="M94" s="31" t="s">
        <v>45</v>
      </c>
      <c r="N94" s="49">
        <v>1.432E8</v>
      </c>
      <c r="O94" s="49">
        <v>7.062502395E7</v>
      </c>
      <c r="P94" s="49">
        <f t="shared" ref="P94:P97" si="17">N94-O94</f>
        <v>72574976.05</v>
      </c>
      <c r="Q94" s="34">
        <f t="shared" si="3"/>
        <v>0.506808492</v>
      </c>
      <c r="R94" s="31"/>
      <c r="S94" s="31" t="s">
        <v>40</v>
      </c>
      <c r="T94" s="72" t="s">
        <v>728</v>
      </c>
      <c r="U94" s="67">
        <v>6.70937727525E7</v>
      </c>
      <c r="V94" s="67" t="s">
        <v>729</v>
      </c>
      <c r="W94" s="31"/>
      <c r="X94" s="52" t="s">
        <v>46</v>
      </c>
      <c r="Y94" s="89" t="s">
        <v>730</v>
      </c>
      <c r="Z94" s="54" t="s">
        <v>731</v>
      </c>
      <c r="AA94" s="74">
        <v>46266.0</v>
      </c>
      <c r="AB94" s="56"/>
      <c r="AC94" s="38"/>
      <c r="AD94" s="39">
        <v>150000.01</v>
      </c>
      <c r="AE94" s="39">
        <v>0.0</v>
      </c>
      <c r="AF94" s="40">
        <v>150000.01</v>
      </c>
      <c r="AG94" s="57" t="s">
        <v>732</v>
      </c>
      <c r="AH94" s="42" t="s">
        <v>46</v>
      </c>
      <c r="AI94" s="42" t="str">
        <f>IFERROR(__xludf.DUMMYFUNCTION("vLOOKUP(A94,IMPORTRANGE(""https://docs.google.com/spreadsheets/d/1Rawwwdh8wntXGy8isdYNHxsNQS4n_rC8JSdPfj6vEq4"",""'500 объектов перенос на 2026'!A3:AB502""),13,0)"),"#REF!")</f>
        <v>#REF!</v>
      </c>
      <c r="AJ94" s="42" t="str">
        <f>IFERROR(__xludf.DUMMYFUNCTION("vLOOKUP(A94,IMPORTRANGE(""https://docs.google.com/spreadsheets/d/1Rawwwdh8wntXGy8isdYNHxsNQS4n_rC8JSdPfj6vEq4"",""'500 объектов перенос на 2026'!A3:AB502""),14,0)"),"#REF!")</f>
        <v>#REF!</v>
      </c>
      <c r="AK94" s="138" t="s">
        <v>3362</v>
      </c>
      <c r="AL94" s="43"/>
      <c r="AM94" s="43"/>
      <c r="AN94" s="43"/>
      <c r="AO94" s="43"/>
    </row>
    <row r="95" hidden="1">
      <c r="A95" s="62" t="s">
        <v>735</v>
      </c>
      <c r="B95" s="63" t="s">
        <v>736</v>
      </c>
      <c r="C95" s="64" t="s">
        <v>737</v>
      </c>
      <c r="D95" s="47" t="s">
        <v>101</v>
      </c>
      <c r="E95" s="64" t="s">
        <v>39</v>
      </c>
      <c r="F95" s="31" t="s">
        <v>60</v>
      </c>
      <c r="G95" s="31"/>
      <c r="H95" s="31"/>
      <c r="I95" s="31" t="s">
        <v>60</v>
      </c>
      <c r="J95" s="31"/>
      <c r="K95" s="31"/>
      <c r="L95" s="32">
        <f>IFERROR(__xludf.DUMMYFUNCTION("VLOOKUP($A95,IMPORTRANGE(""1PQtfbQLqBUP-rjYRznmgNFBLOjvAnhGzpIx7BJWq8rk"",""'Worksheet'!$B$2:$H""),7,FALSE)"),1.0)</f>
        <v>1</v>
      </c>
      <c r="M95" s="31" t="s">
        <v>45</v>
      </c>
      <c r="N95" s="49">
        <v>1.302231713E8</v>
      </c>
      <c r="O95" s="49">
        <v>6.078426356E7</v>
      </c>
      <c r="P95" s="49">
        <f t="shared" si="17"/>
        <v>69438907.74</v>
      </c>
      <c r="Q95" s="34">
        <f t="shared" si="3"/>
        <v>0.5332300469</v>
      </c>
      <c r="R95" s="31"/>
      <c r="S95" s="31" t="s">
        <v>45</v>
      </c>
      <c r="T95" s="50" t="s">
        <v>738</v>
      </c>
      <c r="U95" s="51" t="s">
        <v>739</v>
      </c>
      <c r="V95" s="51" t="s">
        <v>740</v>
      </c>
      <c r="W95" s="31" t="s">
        <v>148</v>
      </c>
      <c r="X95" s="52" t="s">
        <v>741</v>
      </c>
      <c r="Y95" s="54" t="s">
        <v>742</v>
      </c>
      <c r="Z95" s="54" t="s">
        <v>743</v>
      </c>
      <c r="AA95" s="74">
        <v>46188.0</v>
      </c>
      <c r="AB95" s="56"/>
      <c r="AC95" s="38"/>
      <c r="AD95" s="39">
        <v>103744.37</v>
      </c>
      <c r="AE95" s="39">
        <v>72442.33592</v>
      </c>
      <c r="AF95" s="40">
        <v>31302.03408</v>
      </c>
      <c r="AG95" s="57" t="s">
        <v>744</v>
      </c>
      <c r="AH95" s="42" t="s">
        <v>745</v>
      </c>
      <c r="AI95" s="42" t="str">
        <f>IFERROR(__xludf.DUMMYFUNCTION("vLOOKUP(A95,IMPORTRANGE(""https://docs.google.com/spreadsheets/d/1Rawwwdh8wntXGy8isdYNHxsNQS4n_rC8JSdPfj6vEq4"",""'500 объектов перенос на 2026'!A3:AB502""),13,0)"),"#REF!")</f>
        <v>#REF!</v>
      </c>
      <c r="AJ95" s="42" t="str">
        <f>IFERROR(__xludf.DUMMYFUNCTION("vLOOKUP(A95,IMPORTRANGE(""https://docs.google.com/spreadsheets/d/1Rawwwdh8wntXGy8isdYNHxsNQS4n_rC8JSdPfj6vEq4"",""'500 объектов перенос на 2026'!A3:AB502""),14,0)"),"#REF!")</f>
        <v>#REF!</v>
      </c>
      <c r="AK95" s="76" t="s">
        <v>742</v>
      </c>
      <c r="AL95" s="43"/>
      <c r="AM95" s="43"/>
      <c r="AN95" s="43"/>
      <c r="AO95" s="43"/>
    </row>
    <row r="96" hidden="1">
      <c r="A96" s="62" t="s">
        <v>749</v>
      </c>
      <c r="B96" s="63" t="s">
        <v>605</v>
      </c>
      <c r="C96" s="64" t="s">
        <v>750</v>
      </c>
      <c r="D96" s="47" t="s">
        <v>751</v>
      </c>
      <c r="E96" s="64" t="s">
        <v>39</v>
      </c>
      <c r="F96" s="31" t="s">
        <v>40</v>
      </c>
      <c r="G96" s="31" t="s">
        <v>156</v>
      </c>
      <c r="H96" s="31" t="s">
        <v>300</v>
      </c>
      <c r="I96" s="31" t="s">
        <v>40</v>
      </c>
      <c r="J96" s="31" t="s">
        <v>43</v>
      </c>
      <c r="K96" s="31"/>
      <c r="L96" s="32">
        <f>IFERROR(__xludf.DUMMYFUNCTION("VLOOKUP($A96,IMPORTRANGE(""1PQtfbQLqBUP-rjYRznmgNFBLOjvAnhGzpIx7BJWq8rk"",""'Worksheet'!$B$2:$H""),7,FALSE)"),0.89)</f>
        <v>0.89</v>
      </c>
      <c r="M96" s="31" t="s">
        <v>40</v>
      </c>
      <c r="N96" s="49">
        <v>1.2927103371E8</v>
      </c>
      <c r="O96" s="49">
        <v>5.995E7</v>
      </c>
      <c r="P96" s="49">
        <f t="shared" si="17"/>
        <v>69321033.71</v>
      </c>
      <c r="Q96" s="34">
        <f t="shared" si="3"/>
        <v>0.5362456826</v>
      </c>
      <c r="R96" s="31"/>
      <c r="S96" s="31" t="s">
        <v>40</v>
      </c>
      <c r="T96" s="72" t="s">
        <v>752</v>
      </c>
      <c r="U96" s="67">
        <v>0.0</v>
      </c>
      <c r="V96" s="67" t="s">
        <v>752</v>
      </c>
      <c r="W96" s="31"/>
      <c r="X96" s="52" t="s">
        <v>49</v>
      </c>
      <c r="Y96" s="54" t="s">
        <v>753</v>
      </c>
      <c r="Z96" s="54" t="s">
        <v>754</v>
      </c>
      <c r="AA96" s="74">
        <v>46280.0</v>
      </c>
      <c r="AB96" s="56"/>
      <c r="AC96" s="38" t="s">
        <v>46</v>
      </c>
      <c r="AD96" s="39">
        <v>149221.02</v>
      </c>
      <c r="AE96" s="39">
        <v>59950.0</v>
      </c>
      <c r="AF96" s="40">
        <v>89271.02</v>
      </c>
      <c r="AG96" s="99" t="s">
        <v>755</v>
      </c>
      <c r="AH96" s="85"/>
      <c r="AI96" s="42" t="str">
        <f>IFERROR(__xludf.DUMMYFUNCTION("vLOOKUP(A96,IMPORTRANGE(""https://docs.google.com/spreadsheets/d/1Rawwwdh8wntXGy8isdYNHxsNQS4n_rC8JSdPfj6vEq4"",""'500 объектов перенос на 2026'!A3:AB502""),13,0)"),"#REF!")</f>
        <v>#REF!</v>
      </c>
      <c r="AJ96" s="42" t="str">
        <f>IFERROR(__xludf.DUMMYFUNCTION("vLOOKUP(A96,IMPORTRANGE(""https://docs.google.com/spreadsheets/d/1Rawwwdh8wntXGy8isdYNHxsNQS4n_rC8JSdPfj6vEq4"",""'500 объектов перенос на 2026'!A3:AB502""),14,0)"),"#REF!")</f>
        <v>#REF!</v>
      </c>
      <c r="AK96" s="70" t="s">
        <v>3363</v>
      </c>
      <c r="AL96" s="43"/>
      <c r="AM96" s="43"/>
      <c r="AN96" s="43"/>
      <c r="AO96" s="43"/>
    </row>
    <row r="97" hidden="1">
      <c r="A97" s="62" t="s">
        <v>756</v>
      </c>
      <c r="B97" s="63" t="s">
        <v>757</v>
      </c>
      <c r="C97" s="64" t="s">
        <v>758</v>
      </c>
      <c r="D97" s="47" t="s">
        <v>759</v>
      </c>
      <c r="E97" s="64" t="s">
        <v>85</v>
      </c>
      <c r="F97" s="31" t="s">
        <v>60</v>
      </c>
      <c r="G97" s="31"/>
      <c r="H97" s="31"/>
      <c r="I97" s="31" t="s">
        <v>60</v>
      </c>
      <c r="J97" s="31"/>
      <c r="K97" s="31"/>
      <c r="L97" s="32">
        <f>IFERROR(__xludf.DUMMYFUNCTION("VLOOKUP($A97,IMPORTRANGE(""1PQtfbQLqBUP-rjYRznmgNFBLOjvAnhGzpIx7BJWq8rk"",""'Worksheet'!$B$2:$H""),7,FALSE)"),0.93)</f>
        <v>0.93</v>
      </c>
      <c r="M97" s="31" t="s">
        <v>45</v>
      </c>
      <c r="N97" s="49">
        <v>8.000224E7</v>
      </c>
      <c r="O97" s="49">
        <v>1.1965E7</v>
      </c>
      <c r="P97" s="49">
        <f t="shared" si="17"/>
        <v>68037240</v>
      </c>
      <c r="Q97" s="34">
        <f t="shared" si="3"/>
        <v>0.8504416876</v>
      </c>
      <c r="R97" s="31"/>
      <c r="S97" s="31" t="s">
        <v>45</v>
      </c>
      <c r="T97" s="50"/>
      <c r="U97" s="51"/>
      <c r="V97" s="51"/>
      <c r="W97" s="31" t="s">
        <v>148</v>
      </c>
      <c r="X97" s="52" t="s">
        <v>507</v>
      </c>
      <c r="Y97" s="54" t="s">
        <v>760</v>
      </c>
      <c r="Z97" s="54"/>
      <c r="AA97" s="74">
        <v>46188.0</v>
      </c>
      <c r="AB97" s="56"/>
      <c r="AC97" s="38"/>
      <c r="AD97" s="39">
        <v>41960.32</v>
      </c>
      <c r="AE97" s="39">
        <v>11964.996</v>
      </c>
      <c r="AF97" s="40">
        <v>29995.324</v>
      </c>
      <c r="AG97" s="57" t="s">
        <v>761</v>
      </c>
      <c r="AH97" s="42" t="s">
        <v>762</v>
      </c>
      <c r="AI97" s="42" t="str">
        <f>IFERROR(__xludf.DUMMYFUNCTION("vLOOKUP(A97,IMPORTRANGE(""https://docs.google.com/spreadsheets/d/1Rawwwdh8wntXGy8isdYNHxsNQS4n_rC8JSdPfj6vEq4"",""'500 объектов перенос на 2026'!A3:AB502""),13,0)"),"#REF!")</f>
        <v>#REF!</v>
      </c>
      <c r="AJ97" s="42" t="str">
        <f>IFERROR(__xludf.DUMMYFUNCTION("vLOOKUP(A97,IMPORTRANGE(""https://docs.google.com/spreadsheets/d/1Rawwwdh8wntXGy8isdYNHxsNQS4n_rC8JSdPfj6vEq4"",""'500 объектов перенос на 2026'!A3:AB502""),14,0)"),"#REF!")</f>
        <v>#REF!</v>
      </c>
      <c r="AK97" s="76" t="s">
        <v>760</v>
      </c>
      <c r="AL97" s="43"/>
      <c r="AM97" s="43"/>
      <c r="AN97" s="43"/>
      <c r="AO97" s="43"/>
    </row>
    <row r="98" hidden="1">
      <c r="A98" s="78" t="s">
        <v>763</v>
      </c>
      <c r="B98" s="63" t="s">
        <v>764</v>
      </c>
      <c r="C98" s="64" t="s">
        <v>765</v>
      </c>
      <c r="D98" s="47" t="s">
        <v>766</v>
      </c>
      <c r="E98" s="64" t="s">
        <v>59</v>
      </c>
      <c r="F98" s="31" t="s">
        <v>60</v>
      </c>
      <c r="G98" s="31"/>
      <c r="H98" s="31"/>
      <c r="I98" s="31" t="s">
        <v>60</v>
      </c>
      <c r="J98" s="31"/>
      <c r="K98" s="31"/>
      <c r="L98" s="32" t="str">
        <f>IFERROR(__xludf.DUMMYFUNCTION("VLOOKUP($A98,IMPORTRANGE(""1PQtfbQLqBUP-rjYRznmgNFBLOjvAnhGzpIx7BJWq8rk"",""'Worksheet'!$B$2:$H""),7,FALSE)"),"#N/A")</f>
        <v>#N/A</v>
      </c>
      <c r="M98" s="31" t="s">
        <v>60</v>
      </c>
      <c r="N98" s="49">
        <v>1.2459294E8</v>
      </c>
      <c r="O98" s="49">
        <v>1.2432971615E8</v>
      </c>
      <c r="P98" s="49">
        <v>0.0</v>
      </c>
      <c r="Q98" s="34">
        <f t="shared" si="3"/>
        <v>0.00211267067</v>
      </c>
      <c r="R98" s="31"/>
      <c r="S98" s="31" t="s">
        <v>60</v>
      </c>
      <c r="T98" s="50">
        <f>0.95*N98</f>
        <v>118363293</v>
      </c>
      <c r="U98" s="51">
        <f>T98</f>
        <v>118363293</v>
      </c>
      <c r="V98" s="51">
        <v>0.0</v>
      </c>
      <c r="W98" s="31"/>
      <c r="X98" s="52" t="s">
        <v>113</v>
      </c>
      <c r="Y98" s="54"/>
      <c r="Z98" s="54"/>
      <c r="AA98" s="54" t="s">
        <v>114</v>
      </c>
      <c r="AB98" s="38" t="s">
        <v>115</v>
      </c>
      <c r="AC98" s="38"/>
      <c r="AD98" s="39">
        <v>124592.94</v>
      </c>
      <c r="AE98" s="39">
        <v>124329.7162</v>
      </c>
      <c r="AF98" s="39">
        <v>263.22385</v>
      </c>
      <c r="AG98" s="57" t="s">
        <v>767</v>
      </c>
      <c r="AH98" s="42" t="s">
        <v>768</v>
      </c>
      <c r="AI98" s="42" t="s">
        <v>768</v>
      </c>
      <c r="AJ98" s="42" t="s">
        <v>768</v>
      </c>
      <c r="AK98" s="76" t="s">
        <v>114</v>
      </c>
      <c r="AL98" s="43"/>
      <c r="AM98" s="43"/>
      <c r="AN98" s="43"/>
      <c r="AO98" s="43"/>
    </row>
    <row r="99" hidden="1">
      <c r="A99" s="62" t="s">
        <v>769</v>
      </c>
      <c r="B99" s="63" t="s">
        <v>736</v>
      </c>
      <c r="C99" s="64" t="s">
        <v>770</v>
      </c>
      <c r="D99" s="47" t="s">
        <v>101</v>
      </c>
      <c r="E99" s="64" t="s">
        <v>59</v>
      </c>
      <c r="F99" s="31" t="s">
        <v>60</v>
      </c>
      <c r="G99" s="31"/>
      <c r="H99" s="31"/>
      <c r="I99" s="31" t="s">
        <v>60</v>
      </c>
      <c r="J99" s="31"/>
      <c r="K99" s="31"/>
      <c r="L99" s="32">
        <f>IFERROR(__xludf.DUMMYFUNCTION("VLOOKUP($A99,IMPORTRANGE(""1PQtfbQLqBUP-rjYRznmgNFBLOjvAnhGzpIx7BJWq8rk"",""'Worksheet'!$B$2:$H""),7,FALSE)"),1.0)</f>
        <v>1</v>
      </c>
      <c r="M99" s="31" t="s">
        <v>45</v>
      </c>
      <c r="N99" s="49">
        <v>8.657372861E7</v>
      </c>
      <c r="O99" s="49">
        <v>1.884815579E7</v>
      </c>
      <c r="P99" s="49">
        <f t="shared" ref="P99:P102" si="18">N99-O99</f>
        <v>67725572.82</v>
      </c>
      <c r="Q99" s="34">
        <f t="shared" si="3"/>
        <v>0.782287813</v>
      </c>
      <c r="R99" s="31"/>
      <c r="S99" s="31" t="s">
        <v>45</v>
      </c>
      <c r="T99" s="84" t="s">
        <v>771</v>
      </c>
      <c r="U99" s="84" t="s">
        <v>772</v>
      </c>
      <c r="V99" s="84" t="s">
        <v>773</v>
      </c>
      <c r="W99" s="31" t="s">
        <v>148</v>
      </c>
      <c r="X99" s="52" t="s">
        <v>507</v>
      </c>
      <c r="Y99" s="54" t="s">
        <v>742</v>
      </c>
      <c r="Z99" s="54" t="s">
        <v>774</v>
      </c>
      <c r="AA99" s="74">
        <v>46188.0</v>
      </c>
      <c r="AB99" s="56"/>
      <c r="AC99" s="38"/>
      <c r="AD99" s="39">
        <v>53941.16</v>
      </c>
      <c r="AE99" s="39">
        <v>18848.15947</v>
      </c>
      <c r="AF99" s="40">
        <v>35093.00053</v>
      </c>
      <c r="AG99" s="57" t="s">
        <v>775</v>
      </c>
      <c r="AH99" s="42" t="s">
        <v>776</v>
      </c>
      <c r="AI99" s="42" t="str">
        <f>IFERROR(__xludf.DUMMYFUNCTION("vLOOKUP(A99,IMPORTRANGE(""https://docs.google.com/spreadsheets/d/1Rawwwdh8wntXGy8isdYNHxsNQS4n_rC8JSdPfj6vEq4"",""'500 объектов перенос на 2026'!A3:AB502""),13,0)"),"#REF!")</f>
        <v>#REF!</v>
      </c>
      <c r="AJ99" s="42" t="str">
        <f>IFERROR(__xludf.DUMMYFUNCTION("vLOOKUP(A99,IMPORTRANGE(""https://docs.google.com/spreadsheets/d/1Rawwwdh8wntXGy8isdYNHxsNQS4n_rC8JSdPfj6vEq4"",""'500 объектов перенос на 2026'!A3:AB502""),14,0)"),"#REF!")</f>
        <v>#REF!</v>
      </c>
      <c r="AK99" s="76" t="s">
        <v>742</v>
      </c>
      <c r="AL99" s="43"/>
      <c r="AM99" s="43"/>
      <c r="AN99" s="43"/>
      <c r="AO99" s="43"/>
    </row>
    <row r="100" hidden="1">
      <c r="A100" s="62" t="s">
        <v>777</v>
      </c>
      <c r="B100" s="63" t="s">
        <v>70</v>
      </c>
      <c r="C100" s="64" t="s">
        <v>778</v>
      </c>
      <c r="D100" s="47" t="s">
        <v>38</v>
      </c>
      <c r="E100" s="64" t="s">
        <v>59</v>
      </c>
      <c r="F100" s="31" t="s">
        <v>40</v>
      </c>
      <c r="G100" s="31" t="s">
        <v>41</v>
      </c>
      <c r="H100" s="31" t="s">
        <v>779</v>
      </c>
      <c r="I100" s="31" t="s">
        <v>40</v>
      </c>
      <c r="J100" s="31"/>
      <c r="K100" s="31"/>
      <c r="L100" s="32">
        <f>IFERROR(__xludf.DUMMYFUNCTION("VLOOKUP($A100,IMPORTRANGE(""1PQtfbQLqBUP-rjYRznmgNFBLOjvAnhGzpIx7BJWq8rk"",""'Worksheet'!$B$2:$H""),7,FALSE)"),0.97)</f>
        <v>0.97</v>
      </c>
      <c r="M100" s="31" t="s">
        <v>45</v>
      </c>
      <c r="N100" s="49">
        <v>2.18210565E8</v>
      </c>
      <c r="O100" s="49">
        <v>1.5056528984E8</v>
      </c>
      <c r="P100" s="49">
        <f t="shared" si="18"/>
        <v>67645275.16</v>
      </c>
      <c r="Q100" s="34">
        <f t="shared" si="3"/>
        <v>0.31</v>
      </c>
      <c r="R100" s="31"/>
      <c r="S100" s="31" t="s">
        <v>45</v>
      </c>
      <c r="T100" s="88">
        <v>2.0742669282E8</v>
      </c>
      <c r="U100" s="84">
        <v>0.0</v>
      </c>
      <c r="V100" s="88">
        <v>2.0742669282E8</v>
      </c>
      <c r="W100" s="31"/>
      <c r="X100" s="52" t="s">
        <v>73</v>
      </c>
      <c r="Y100" s="73" t="s">
        <v>780</v>
      </c>
      <c r="Z100" s="54" t="s">
        <v>75</v>
      </c>
      <c r="AA100" s="74">
        <v>46285.0</v>
      </c>
      <c r="AB100" s="56"/>
      <c r="AC100" s="38"/>
      <c r="AD100" s="39">
        <v>218210.56</v>
      </c>
      <c r="AE100" s="39">
        <v>150565.2898</v>
      </c>
      <c r="AF100" s="40">
        <v>67645.27016</v>
      </c>
      <c r="AG100" s="57" t="s">
        <v>781</v>
      </c>
      <c r="AH100" s="42" t="s">
        <v>782</v>
      </c>
      <c r="AI100" s="42" t="str">
        <f>IFERROR(__xludf.DUMMYFUNCTION("vLOOKUP(A100,IMPORTRANGE(""https://docs.google.com/spreadsheets/d/1Rawwwdh8wntXGy8isdYNHxsNQS4n_rC8JSdPfj6vEq4"",""'500 объектов перенос на 2026'!A3:AB502""),13,0)"),"#REF!")</f>
        <v>#REF!</v>
      </c>
      <c r="AJ100" s="42" t="str">
        <f>IFERROR(__xludf.DUMMYFUNCTION("vLOOKUP(A100,IMPORTRANGE(""https://docs.google.com/spreadsheets/d/1Rawwwdh8wntXGy8isdYNHxsNQS4n_rC8JSdPfj6vEq4"",""'500 объектов перенос на 2026'!A3:AB502""),14,0)"),"#REF!")</f>
        <v>#REF!</v>
      </c>
      <c r="AK100" s="70" t="s">
        <v>3364</v>
      </c>
      <c r="AL100" s="43"/>
      <c r="AM100" s="43"/>
      <c r="AN100" s="43"/>
      <c r="AO100" s="43"/>
    </row>
    <row r="101" hidden="1">
      <c r="A101" s="62" t="s">
        <v>785</v>
      </c>
      <c r="B101" s="63" t="s">
        <v>82</v>
      </c>
      <c r="C101" s="64" t="s">
        <v>786</v>
      </c>
      <c r="D101" s="47" t="s">
        <v>227</v>
      </c>
      <c r="E101" s="64" t="s">
        <v>39</v>
      </c>
      <c r="F101" s="31" t="s">
        <v>60</v>
      </c>
      <c r="G101" s="31"/>
      <c r="H101" s="31"/>
      <c r="I101" s="31" t="s">
        <v>60</v>
      </c>
      <c r="J101" s="31"/>
      <c r="K101" s="31"/>
      <c r="L101" s="32">
        <f>IFERROR(__xludf.DUMMYFUNCTION("VLOOKUP($A101,IMPORTRANGE(""1PQtfbQLqBUP-rjYRznmgNFBLOjvAnhGzpIx7BJWq8rk"",""'Worksheet'!$B$2:$H""),7,FALSE)"),0.98)</f>
        <v>0.98</v>
      </c>
      <c r="M101" s="31" t="s">
        <v>40</v>
      </c>
      <c r="N101" s="49">
        <v>1.3385958E8</v>
      </c>
      <c r="O101" s="49">
        <v>6.692979E7</v>
      </c>
      <c r="P101" s="49">
        <f t="shared" si="18"/>
        <v>66929790</v>
      </c>
      <c r="Q101" s="34">
        <f t="shared" si="3"/>
        <v>0.5</v>
      </c>
      <c r="R101" s="31"/>
      <c r="S101" s="31" t="s">
        <v>45</v>
      </c>
      <c r="T101" s="84" t="s">
        <v>787</v>
      </c>
      <c r="U101" s="84">
        <v>0.0</v>
      </c>
      <c r="V101" s="84" t="s">
        <v>787</v>
      </c>
      <c r="W101" s="31" t="s">
        <v>148</v>
      </c>
      <c r="X101" s="52" t="s">
        <v>46</v>
      </c>
      <c r="Y101" s="54" t="s">
        <v>788</v>
      </c>
      <c r="Z101" s="74"/>
      <c r="AA101" s="74">
        <v>46195.0</v>
      </c>
      <c r="AB101" s="56"/>
      <c r="AC101" s="38" t="s">
        <v>789</v>
      </c>
      <c r="AD101" s="39">
        <v>133859.58</v>
      </c>
      <c r="AE101" s="39">
        <v>66929.79</v>
      </c>
      <c r="AF101" s="40">
        <v>66929.79</v>
      </c>
      <c r="AG101" s="57" t="s">
        <v>790</v>
      </c>
      <c r="AH101" s="42" t="s">
        <v>46</v>
      </c>
      <c r="AI101" s="42" t="str">
        <f>IFERROR(__xludf.DUMMYFUNCTION("vLOOKUP(A101,IMPORTRANGE(""https://docs.google.com/spreadsheets/d/1Rawwwdh8wntXGy8isdYNHxsNQS4n_rC8JSdPfj6vEq4"",""'500 объектов перенос на 2026'!A3:AB502""),13,0)"),"#REF!")</f>
        <v>#REF!</v>
      </c>
      <c r="AJ101" s="42" t="str">
        <f>IFERROR(__xludf.DUMMYFUNCTION("vLOOKUP(A101,IMPORTRANGE(""https://docs.google.com/spreadsheets/d/1Rawwwdh8wntXGy8isdYNHxsNQS4n_rC8JSdPfj6vEq4"",""'500 объектов перенос на 2026'!A3:AB502""),14,0)"),"#REF!")</f>
        <v>#REF!</v>
      </c>
      <c r="AK101" s="76" t="s">
        <v>3365</v>
      </c>
      <c r="AL101" s="43"/>
      <c r="AM101" s="43"/>
      <c r="AN101" s="43"/>
      <c r="AO101" s="43"/>
    </row>
    <row r="102" hidden="1">
      <c r="A102" s="132" t="s">
        <v>793</v>
      </c>
      <c r="B102" s="63" t="s">
        <v>757</v>
      </c>
      <c r="C102" s="64" t="s">
        <v>794</v>
      </c>
      <c r="D102" s="47" t="s">
        <v>759</v>
      </c>
      <c r="E102" s="64" t="s">
        <v>85</v>
      </c>
      <c r="F102" s="31" t="s">
        <v>60</v>
      </c>
      <c r="G102" s="31"/>
      <c r="H102" s="31"/>
      <c r="I102" s="31" t="s">
        <v>60</v>
      </c>
      <c r="J102" s="31"/>
      <c r="K102" s="31"/>
      <c r="L102" s="32">
        <f>IFERROR(__xludf.DUMMYFUNCTION("VLOOKUP($A102,IMPORTRANGE(""1PQtfbQLqBUP-rjYRznmgNFBLOjvAnhGzpIx7BJWq8rk"",""'Worksheet'!$B$2:$H""),7,FALSE)"),0.93)</f>
        <v>0.93</v>
      </c>
      <c r="M102" s="31" t="s">
        <v>60</v>
      </c>
      <c r="N102" s="49">
        <v>8.669524585E7</v>
      </c>
      <c r="O102" s="49">
        <v>8.669524585E7</v>
      </c>
      <c r="P102" s="49">
        <f t="shared" si="18"/>
        <v>0</v>
      </c>
      <c r="Q102" s="34">
        <f t="shared" si="3"/>
        <v>0</v>
      </c>
      <c r="R102" s="31"/>
      <c r="S102" s="31" t="s">
        <v>60</v>
      </c>
      <c r="T102" s="84"/>
      <c r="U102" s="84"/>
      <c r="V102" s="84"/>
      <c r="W102" s="31"/>
      <c r="X102" s="52" t="s">
        <v>795</v>
      </c>
      <c r="Y102" s="54" t="s">
        <v>796</v>
      </c>
      <c r="Z102" s="54" t="s">
        <v>797</v>
      </c>
      <c r="AA102" s="54" t="s">
        <v>798</v>
      </c>
      <c r="AB102" s="56"/>
      <c r="AC102" s="38"/>
      <c r="AD102" s="39">
        <v>74133.89</v>
      </c>
      <c r="AE102" s="39">
        <v>21128.157</v>
      </c>
      <c r="AF102" s="40">
        <v>53005.733</v>
      </c>
      <c r="AG102" s="57" t="s">
        <v>799</v>
      </c>
      <c r="AH102" s="42" t="s">
        <v>762</v>
      </c>
      <c r="AI102" s="42" t="str">
        <f>IFERROR(__xludf.DUMMYFUNCTION("vLOOKUP(A102,IMPORTRANGE(""https://docs.google.com/spreadsheets/d/1Rawwwdh8wntXGy8isdYNHxsNQS4n_rC8JSdPfj6vEq4"",""'500 объектов перенос на 2026'!A3:AB502""),13,0)"),"#REF!")</f>
        <v>#REF!</v>
      </c>
      <c r="AJ102" s="42" t="str">
        <f>IFERROR(__xludf.DUMMYFUNCTION("vLOOKUP(A102,IMPORTRANGE(""https://docs.google.com/spreadsheets/d/1Rawwwdh8wntXGy8isdYNHxsNQS4n_rC8JSdPfj6vEq4"",""'500 объектов перенос на 2026'!A3:AB502""),14,0)"),"#REF!")</f>
        <v>#REF!</v>
      </c>
      <c r="AK102" s="76" t="s">
        <v>3366</v>
      </c>
      <c r="AL102" s="43"/>
      <c r="AM102" s="43"/>
      <c r="AN102" s="43"/>
      <c r="AO102" s="43"/>
    </row>
    <row r="103" hidden="1">
      <c r="A103" s="62" t="s">
        <v>800</v>
      </c>
      <c r="B103" s="63" t="s">
        <v>177</v>
      </c>
      <c r="C103" s="64" t="s">
        <v>801</v>
      </c>
      <c r="D103" s="47" t="s">
        <v>179</v>
      </c>
      <c r="E103" s="64" t="s">
        <v>85</v>
      </c>
      <c r="F103" s="31" t="s">
        <v>60</v>
      </c>
      <c r="G103" s="31"/>
      <c r="H103" s="31"/>
      <c r="I103" s="31" t="s">
        <v>60</v>
      </c>
      <c r="J103" s="31"/>
      <c r="K103" s="31"/>
      <c r="L103" s="32" t="str">
        <f>IFERROR(__xludf.DUMMYFUNCTION("VLOOKUP($A103,IMPORTRANGE(""1PQtfbQLqBUP-rjYRznmgNFBLOjvAnhGzpIx7BJWq8rk"",""'Worksheet'!$B$2:$H""),7,FALSE)"),"#N/A")</f>
        <v>#N/A</v>
      </c>
      <c r="M103" s="31" t="s">
        <v>60</v>
      </c>
      <c r="N103" s="49">
        <v>2.844435E7</v>
      </c>
      <c r="O103" s="49">
        <v>2.772356895E7</v>
      </c>
      <c r="P103" s="49">
        <v>0.0</v>
      </c>
      <c r="Q103" s="34">
        <f t="shared" si="3"/>
        <v>0.02534004293</v>
      </c>
      <c r="R103" s="31"/>
      <c r="S103" s="31" t="s">
        <v>60</v>
      </c>
      <c r="T103" s="134" t="s">
        <v>802</v>
      </c>
      <c r="U103" s="135" t="s">
        <v>802</v>
      </c>
      <c r="V103" s="51">
        <v>0.0</v>
      </c>
      <c r="W103" s="31"/>
      <c r="X103" s="52" t="s">
        <v>803</v>
      </c>
      <c r="Y103" s="54" t="s">
        <v>114</v>
      </c>
      <c r="Z103" s="54"/>
      <c r="AA103" s="54" t="s">
        <v>114</v>
      </c>
      <c r="AB103" s="38" t="s">
        <v>115</v>
      </c>
      <c r="AC103" s="38"/>
      <c r="AD103" s="39">
        <v>28444.35</v>
      </c>
      <c r="AE103" s="39">
        <v>27723.56895</v>
      </c>
      <c r="AF103" s="40">
        <v>720.78105</v>
      </c>
      <c r="AG103" s="99" t="s">
        <v>804</v>
      </c>
      <c r="AH103" s="42"/>
      <c r="AI103" s="116" t="s">
        <v>115</v>
      </c>
      <c r="AJ103" s="116" t="s">
        <v>115</v>
      </c>
      <c r="AK103" s="76" t="s">
        <v>114</v>
      </c>
      <c r="AL103" s="43"/>
      <c r="AM103" s="43"/>
      <c r="AN103" s="43"/>
      <c r="AO103" s="43"/>
    </row>
    <row r="104" hidden="1">
      <c r="A104" s="62" t="s">
        <v>805</v>
      </c>
      <c r="B104" s="63" t="s">
        <v>177</v>
      </c>
      <c r="C104" s="64" t="s">
        <v>806</v>
      </c>
      <c r="D104" s="47" t="s">
        <v>179</v>
      </c>
      <c r="E104" s="64" t="s">
        <v>85</v>
      </c>
      <c r="F104" s="31" t="s">
        <v>60</v>
      </c>
      <c r="G104" s="31"/>
      <c r="H104" s="31"/>
      <c r="I104" s="31" t="s">
        <v>60</v>
      </c>
      <c r="J104" s="31"/>
      <c r="K104" s="31"/>
      <c r="L104" s="32">
        <f>IFERROR(__xludf.DUMMYFUNCTION("VLOOKUP($A104,IMPORTRANGE(""1PQtfbQLqBUP-rjYRznmgNFBLOjvAnhGzpIx7BJWq8rk"",""'Worksheet'!$B$2:$H""),7,FALSE)"),1.0)</f>
        <v>1</v>
      </c>
      <c r="M104" s="31" t="s">
        <v>60</v>
      </c>
      <c r="N104" s="49">
        <v>9.510377E7</v>
      </c>
      <c r="O104" s="49">
        <v>8.894564252E7</v>
      </c>
      <c r="P104" s="49">
        <v>0.0</v>
      </c>
      <c r="Q104" s="34">
        <f t="shared" si="3"/>
        <v>0.06475166526</v>
      </c>
      <c r="R104" s="31"/>
      <c r="S104" s="31" t="s">
        <v>60</v>
      </c>
      <c r="T104" s="135" t="s">
        <v>807</v>
      </c>
      <c r="U104" s="135" t="s">
        <v>807</v>
      </c>
      <c r="V104" s="51">
        <v>0.0</v>
      </c>
      <c r="W104" s="31"/>
      <c r="X104" s="52" t="s">
        <v>507</v>
      </c>
      <c r="Y104" s="54" t="s">
        <v>114</v>
      </c>
      <c r="Z104" s="54"/>
      <c r="AA104" s="54" t="s">
        <v>114</v>
      </c>
      <c r="AB104" s="38" t="s">
        <v>115</v>
      </c>
      <c r="AC104" s="38"/>
      <c r="AD104" s="39">
        <v>95103.77</v>
      </c>
      <c r="AE104" s="39">
        <v>88945.64561</v>
      </c>
      <c r="AF104" s="40">
        <v>6158.12439</v>
      </c>
      <c r="AG104" s="99" t="s">
        <v>808</v>
      </c>
      <c r="AH104" s="42"/>
      <c r="AI104" s="85" t="s">
        <v>809</v>
      </c>
      <c r="AJ104" s="85" t="s">
        <v>809</v>
      </c>
      <c r="AK104" s="76" t="s">
        <v>114</v>
      </c>
      <c r="AL104" s="43"/>
      <c r="AM104" s="43"/>
      <c r="AN104" s="43"/>
      <c r="AO104" s="43"/>
    </row>
    <row r="105" hidden="1">
      <c r="A105" s="81" t="s">
        <v>810</v>
      </c>
      <c r="B105" s="111" t="s">
        <v>635</v>
      </c>
      <c r="C105" s="64" t="s">
        <v>811</v>
      </c>
      <c r="D105" s="47" t="s">
        <v>812</v>
      </c>
      <c r="E105" s="64" t="s">
        <v>85</v>
      </c>
      <c r="F105" s="31" t="s">
        <v>60</v>
      </c>
      <c r="G105" s="31"/>
      <c r="H105" s="31"/>
      <c r="I105" s="31" t="s">
        <v>60</v>
      </c>
      <c r="J105" s="31"/>
      <c r="K105" s="31"/>
      <c r="L105" s="32">
        <f>IFERROR(__xludf.DUMMYFUNCTION("VLOOKUP($A105,IMPORTRANGE(""1PQtfbQLqBUP-rjYRznmgNFBLOjvAnhGzpIx7BJWq8rk"",""'Worksheet'!$B$2:$H""),7,FALSE)"),0.78)</f>
        <v>0.78</v>
      </c>
      <c r="M105" s="31" t="s">
        <v>60</v>
      </c>
      <c r="N105" s="49">
        <v>1.2595936882E8</v>
      </c>
      <c r="O105" s="49">
        <v>1.1495382463E8</v>
      </c>
      <c r="P105" s="49">
        <v>0.0</v>
      </c>
      <c r="Q105" s="34">
        <f t="shared" si="3"/>
        <v>0.0873737642</v>
      </c>
      <c r="R105" s="31"/>
      <c r="S105" s="31" t="s">
        <v>60</v>
      </c>
      <c r="T105" s="50" t="s">
        <v>813</v>
      </c>
      <c r="U105" s="51" t="s">
        <v>813</v>
      </c>
      <c r="V105" s="51">
        <v>0.0</v>
      </c>
      <c r="W105" s="31"/>
      <c r="X105" s="52" t="s">
        <v>814</v>
      </c>
      <c r="Y105" s="54" t="s">
        <v>437</v>
      </c>
      <c r="Z105" s="54" t="s">
        <v>437</v>
      </c>
      <c r="AA105" s="54" t="s">
        <v>114</v>
      </c>
      <c r="AB105" s="56"/>
      <c r="AC105" s="38" t="s">
        <v>284</v>
      </c>
      <c r="AD105" s="39">
        <v>125959.38</v>
      </c>
      <c r="AE105" s="39">
        <v>115063.8246</v>
      </c>
      <c r="AF105" s="39">
        <v>10895.55537</v>
      </c>
      <c r="AG105" s="57" t="s">
        <v>815</v>
      </c>
      <c r="AH105" s="42"/>
      <c r="AI105" s="42" t="str">
        <f>IFERROR(__xludf.DUMMYFUNCTION("vLOOKUP(A105,IMPORTRANGE(""https://docs.google.com/spreadsheets/d/1Rawwwdh8wntXGy8isdYNHxsNQS4n_rC8JSdPfj6vEq4"",""'500 объектов перенос на 2026'!A3:AB502""),13,0)"),"#REF!")</f>
        <v>#REF!</v>
      </c>
      <c r="AJ105" s="42" t="str">
        <f>IFERROR(__xludf.DUMMYFUNCTION("vLOOKUP(A105,IMPORTRANGE(""https://docs.google.com/spreadsheets/d/1Rawwwdh8wntXGy8isdYNHxsNQS4n_rC8JSdPfj6vEq4"",""'500 объектов перенос на 2026'!A3:AB502""),14,0)"),"#REF!")</f>
        <v>#REF!</v>
      </c>
      <c r="AK105" s="76" t="s">
        <v>114</v>
      </c>
      <c r="AL105" s="43"/>
      <c r="AM105" s="43"/>
      <c r="AN105" s="43"/>
      <c r="AO105" s="43"/>
    </row>
    <row r="106" hidden="1">
      <c r="A106" s="62" t="s">
        <v>816</v>
      </c>
      <c r="B106" s="111" t="s">
        <v>635</v>
      </c>
      <c r="C106" s="64" t="s">
        <v>817</v>
      </c>
      <c r="D106" s="47" t="s">
        <v>818</v>
      </c>
      <c r="E106" s="64" t="s">
        <v>85</v>
      </c>
      <c r="F106" s="31" t="s">
        <v>60</v>
      </c>
      <c r="G106" s="31"/>
      <c r="H106" s="31"/>
      <c r="I106" s="31" t="s">
        <v>40</v>
      </c>
      <c r="J106" s="31" t="s">
        <v>102</v>
      </c>
      <c r="K106" s="31" t="s">
        <v>280</v>
      </c>
      <c r="L106" s="32">
        <f>IFERROR(__xludf.DUMMYFUNCTION("VLOOKUP($A106,IMPORTRANGE(""1PQtfbQLqBUP-rjYRznmgNFBLOjvAnhGzpIx7BJWq8rk"",""'Worksheet'!$B$2:$H""),7,FALSE)"),0.17)</f>
        <v>0.17</v>
      </c>
      <c r="M106" s="31" t="s">
        <v>284</v>
      </c>
      <c r="N106" s="49">
        <v>5.584219044E7</v>
      </c>
      <c r="O106" s="49">
        <v>1.824453085E7</v>
      </c>
      <c r="P106" s="49">
        <f t="shared" ref="P106:P107" si="19">N106-O106</f>
        <v>37597659.59</v>
      </c>
      <c r="Q106" s="34">
        <f t="shared" si="3"/>
        <v>0.6732841118</v>
      </c>
      <c r="R106" s="31"/>
      <c r="S106" s="31" t="s">
        <v>40</v>
      </c>
      <c r="T106" s="50" t="s">
        <v>819</v>
      </c>
      <c r="U106" s="51">
        <v>0.0</v>
      </c>
      <c r="V106" s="51" t="s">
        <v>819</v>
      </c>
      <c r="W106" s="31"/>
      <c r="X106" s="52" t="s">
        <v>820</v>
      </c>
      <c r="Y106" s="54" t="s">
        <v>821</v>
      </c>
      <c r="Z106" s="54" t="s">
        <v>822</v>
      </c>
      <c r="AA106" s="68">
        <v>46346.0</v>
      </c>
      <c r="AB106" s="56"/>
      <c r="AC106" s="38" t="s">
        <v>823</v>
      </c>
      <c r="AD106" s="39">
        <v>39747.03</v>
      </c>
      <c r="AE106" s="39">
        <v>18244.53085</v>
      </c>
      <c r="AF106" s="40">
        <v>21502.49915</v>
      </c>
      <c r="AG106" s="57" t="s">
        <v>824</v>
      </c>
      <c r="AH106" s="42"/>
      <c r="AI106" s="42" t="str">
        <f>IFERROR(__xludf.DUMMYFUNCTION("vLOOKUP(A106,IMPORTRANGE(""https://docs.google.com/spreadsheets/d/1Rawwwdh8wntXGy8isdYNHxsNQS4n_rC8JSdPfj6vEq4"",""'500 объектов перенос на 2026'!A3:AB502""),13,0)"),"#REF!")</f>
        <v>#REF!</v>
      </c>
      <c r="AJ106" s="42" t="str">
        <f>IFERROR(__xludf.DUMMYFUNCTION("vLOOKUP(A106,IMPORTRANGE(""https://docs.google.com/spreadsheets/d/1Rawwwdh8wntXGy8isdYNHxsNQS4n_rC8JSdPfj6vEq4"",""'500 объектов перенос на 2026'!A3:AB502""),14,0)"),"#REF!")</f>
        <v>#REF!</v>
      </c>
      <c r="AK106" s="70" t="s">
        <v>3367</v>
      </c>
      <c r="AL106" s="43"/>
      <c r="AM106" s="43"/>
      <c r="AN106" s="43"/>
      <c r="AO106" s="43"/>
    </row>
    <row r="107" hidden="1">
      <c r="A107" s="137" t="s">
        <v>825</v>
      </c>
      <c r="B107" s="63" t="s">
        <v>826</v>
      </c>
      <c r="C107" s="104" t="s">
        <v>827</v>
      </c>
      <c r="D107" s="47" t="s">
        <v>727</v>
      </c>
      <c r="E107" s="64" t="s">
        <v>59</v>
      </c>
      <c r="F107" s="31" t="s">
        <v>40</v>
      </c>
      <c r="G107" s="31" t="s">
        <v>41</v>
      </c>
      <c r="H107" s="31" t="s">
        <v>828</v>
      </c>
      <c r="I107" s="31" t="s">
        <v>40</v>
      </c>
      <c r="J107" s="31" t="s">
        <v>102</v>
      </c>
      <c r="K107" s="31"/>
      <c r="L107" s="32">
        <f>IFERROR(__xludf.DUMMYFUNCTION("VLOOKUP($A107,IMPORTRANGE(""1PQtfbQLqBUP-rjYRznmgNFBLOjvAnhGzpIx7BJWq8rk"",""'Worksheet'!$B$2:$H""),7,FALSE)"),0.77)</f>
        <v>0.77</v>
      </c>
      <c r="M107" s="31" t="s">
        <v>40</v>
      </c>
      <c r="N107" s="49">
        <v>1.1904704E8</v>
      </c>
      <c r="O107" s="49">
        <v>5.475238705E7</v>
      </c>
      <c r="P107" s="49">
        <f t="shared" si="19"/>
        <v>64294652.95</v>
      </c>
      <c r="Q107" s="34">
        <f t="shared" si="3"/>
        <v>0.5400777117</v>
      </c>
      <c r="R107" s="31"/>
      <c r="S107" s="31" t="s">
        <v>45</v>
      </c>
      <c r="T107" s="50">
        <v>1.13094688E8</v>
      </c>
      <c r="U107" s="51">
        <v>5.20147677E7</v>
      </c>
      <c r="V107" s="51">
        <f>T107-U107</f>
        <v>61079920.3</v>
      </c>
      <c r="W107" s="31"/>
      <c r="X107" s="52">
        <v>5.20147677E7</v>
      </c>
      <c r="Y107" s="54" t="s">
        <v>829</v>
      </c>
      <c r="Z107" s="54" t="s">
        <v>830</v>
      </c>
      <c r="AA107" s="74">
        <v>46266.0</v>
      </c>
      <c r="AB107" s="56"/>
      <c r="AC107" s="38" t="s">
        <v>49</v>
      </c>
      <c r="AD107" s="39">
        <v>119047.04</v>
      </c>
      <c r="AE107" s="39">
        <v>54752.38705</v>
      </c>
      <c r="AF107" s="40">
        <v>64294.65295</v>
      </c>
      <c r="AG107" s="57" t="s">
        <v>831</v>
      </c>
      <c r="AH107" s="42" t="s">
        <v>832</v>
      </c>
      <c r="AI107" s="42" t="str">
        <f>IFERROR(__xludf.DUMMYFUNCTION("vLOOKUP(A107,IMPORTRANGE(""https://docs.google.com/spreadsheets/d/1Rawwwdh8wntXGy8isdYNHxsNQS4n_rC8JSdPfj6vEq4"",""'500 объектов перенос на 2026'!A3:AB502""),13,0)"),"#REF!")</f>
        <v>#REF!</v>
      </c>
      <c r="AJ107" s="42" t="str">
        <f>IFERROR(__xludf.DUMMYFUNCTION("vLOOKUP(A107,IMPORTRANGE(""https://docs.google.com/spreadsheets/d/1Rawwwdh8wntXGy8isdYNHxsNQS4n_rC8JSdPfj6vEq4"",""'500 объектов перенос на 2026'!A3:AB502""),14,0)"),"#REF!")</f>
        <v>#REF!</v>
      </c>
      <c r="AK107" s="138" t="s">
        <v>829</v>
      </c>
      <c r="AL107" s="43"/>
      <c r="AM107" s="43"/>
      <c r="AN107" s="43"/>
      <c r="AO107" s="43"/>
    </row>
    <row r="108" hidden="1">
      <c r="A108" s="114" t="s">
        <v>835</v>
      </c>
      <c r="B108" s="63" t="s">
        <v>635</v>
      </c>
      <c r="C108" s="64" t="s">
        <v>836</v>
      </c>
      <c r="D108" s="47" t="s">
        <v>812</v>
      </c>
      <c r="E108" s="64" t="s">
        <v>59</v>
      </c>
      <c r="F108" s="31" t="s">
        <v>60</v>
      </c>
      <c r="G108" s="31"/>
      <c r="H108" s="31"/>
      <c r="I108" s="31" t="s">
        <v>60</v>
      </c>
      <c r="J108" s="31"/>
      <c r="K108" s="31"/>
      <c r="L108" s="32" t="str">
        <f>IFERROR(__xludf.DUMMYFUNCTION("VLOOKUP($A108,IMPORTRANGE(""1PQtfbQLqBUP-rjYRznmgNFBLOjvAnhGzpIx7BJWq8rk"",""'Worksheet'!$B$2:$H""),7,FALSE)"),"#N/A")</f>
        <v>#N/A</v>
      </c>
      <c r="M108" s="31" t="s">
        <v>60</v>
      </c>
      <c r="N108" s="49">
        <v>7920000.0</v>
      </c>
      <c r="O108" s="49">
        <v>4489928.93</v>
      </c>
      <c r="P108" s="49">
        <v>0.0</v>
      </c>
      <c r="Q108" s="34">
        <f t="shared" si="3"/>
        <v>0.4330897816</v>
      </c>
      <c r="R108" s="31"/>
      <c r="S108" s="31" t="s">
        <v>60</v>
      </c>
      <c r="T108" s="50" t="s">
        <v>837</v>
      </c>
      <c r="U108" s="51" t="s">
        <v>837</v>
      </c>
      <c r="V108" s="51">
        <v>0.0</v>
      </c>
      <c r="W108" s="31"/>
      <c r="X108" s="52" t="s">
        <v>113</v>
      </c>
      <c r="Y108" s="54" t="s">
        <v>437</v>
      </c>
      <c r="Z108" s="54" t="s">
        <v>437</v>
      </c>
      <c r="AA108" s="54" t="s">
        <v>114</v>
      </c>
      <c r="AB108" s="38" t="s">
        <v>115</v>
      </c>
      <c r="AC108" s="38"/>
      <c r="AD108" s="39">
        <v>7920.0</v>
      </c>
      <c r="AE108" s="39">
        <v>4425.49561</v>
      </c>
      <c r="AF108" s="39">
        <v>3494.50439</v>
      </c>
      <c r="AG108" s="57" t="s">
        <v>838</v>
      </c>
      <c r="AH108" s="42"/>
      <c r="AI108" s="42" t="str">
        <f>IFERROR(__xludf.DUMMYFUNCTION("vLOOKUP(A108,IMPORTRANGE(""https://docs.google.com/spreadsheets/d/1Rawwwdh8wntXGy8isdYNHxsNQS4n_rC8JSdPfj6vEq4"",""'500 объектов перенос на 2026'!A3:AB502""),13,0)"),"#REF!")</f>
        <v>#REF!</v>
      </c>
      <c r="AJ108" s="42" t="str">
        <f>IFERROR(__xludf.DUMMYFUNCTION("vLOOKUP(A108,IMPORTRANGE(""https://docs.google.com/spreadsheets/d/1Rawwwdh8wntXGy8isdYNHxsNQS4n_rC8JSdPfj6vEq4"",""'500 объектов перенос на 2026'!A3:AB502""),14,0)"),"#REF!")</f>
        <v>#REF!</v>
      </c>
      <c r="AK108" s="76" t="s">
        <v>114</v>
      </c>
      <c r="AL108" s="43"/>
      <c r="AM108" s="43"/>
      <c r="AN108" s="43"/>
      <c r="AO108" s="43"/>
    </row>
    <row r="109" hidden="1">
      <c r="A109" s="78" t="s">
        <v>839</v>
      </c>
      <c r="B109" s="63" t="s">
        <v>635</v>
      </c>
      <c r="C109" s="64" t="s">
        <v>840</v>
      </c>
      <c r="D109" s="47" t="s">
        <v>505</v>
      </c>
      <c r="E109" s="64" t="s">
        <v>59</v>
      </c>
      <c r="F109" s="31" t="s">
        <v>60</v>
      </c>
      <c r="G109" s="31"/>
      <c r="H109" s="31"/>
      <c r="I109" s="31" t="s">
        <v>60</v>
      </c>
      <c r="J109" s="31"/>
      <c r="K109" s="31"/>
      <c r="L109" s="32" t="str">
        <f>IFERROR(__xludf.DUMMYFUNCTION("VLOOKUP($A109,IMPORTRANGE(""1PQtfbQLqBUP-rjYRznmgNFBLOjvAnhGzpIx7BJWq8rk"",""'Worksheet'!$B$2:$H""),7,FALSE)"),"#N/A")</f>
        <v>#N/A</v>
      </c>
      <c r="M109" s="31" t="s">
        <v>60</v>
      </c>
      <c r="N109" s="49">
        <v>7.11613E7</v>
      </c>
      <c r="O109" s="49">
        <v>6.856578567E7</v>
      </c>
      <c r="P109" s="49">
        <v>0.0</v>
      </c>
      <c r="Q109" s="34">
        <f t="shared" si="3"/>
        <v>0.03647367783</v>
      </c>
      <c r="R109" s="31"/>
      <c r="S109" s="31" t="s">
        <v>60</v>
      </c>
      <c r="T109" s="50" t="s">
        <v>841</v>
      </c>
      <c r="U109" s="51" t="s">
        <v>841</v>
      </c>
      <c r="V109" s="51">
        <v>0.0</v>
      </c>
      <c r="W109" s="31"/>
      <c r="X109" s="52" t="s">
        <v>113</v>
      </c>
      <c r="Y109" s="54" t="s">
        <v>437</v>
      </c>
      <c r="Z109" s="54" t="s">
        <v>437</v>
      </c>
      <c r="AA109" s="54" t="s">
        <v>114</v>
      </c>
      <c r="AB109" s="38" t="s">
        <v>115</v>
      </c>
      <c r="AC109" s="38"/>
      <c r="AD109" s="39">
        <v>71161.3</v>
      </c>
      <c r="AE109" s="39">
        <v>68710.21899</v>
      </c>
      <c r="AF109" s="39">
        <v>2451.08101</v>
      </c>
      <c r="AG109" s="57" t="s">
        <v>842</v>
      </c>
      <c r="AH109" s="42"/>
      <c r="AI109" s="42" t="str">
        <f>IFERROR(__xludf.DUMMYFUNCTION("vLOOKUP(A109,IMPORTRANGE(""https://docs.google.com/spreadsheets/d/1Rawwwdh8wntXGy8isdYNHxsNQS4n_rC8JSdPfj6vEq4"",""'500 объектов перенос на 2026'!A3:AB502""),13,0)"),"#REF!")</f>
        <v>#REF!</v>
      </c>
      <c r="AJ109" s="42" t="str">
        <f>IFERROR(__xludf.DUMMYFUNCTION("vLOOKUP(A109,IMPORTRANGE(""https://docs.google.com/spreadsheets/d/1Rawwwdh8wntXGy8isdYNHxsNQS4n_rC8JSdPfj6vEq4"",""'500 объектов перенос на 2026'!A3:AB502""),14,0)"),"#REF!")</f>
        <v>#REF!</v>
      </c>
      <c r="AK109" s="76" t="s">
        <v>114</v>
      </c>
      <c r="AL109" s="43"/>
      <c r="AM109" s="43"/>
      <c r="AN109" s="43"/>
      <c r="AO109" s="43"/>
    </row>
    <row r="110" hidden="1">
      <c r="A110" s="62" t="s">
        <v>843</v>
      </c>
      <c r="B110" s="63" t="s">
        <v>826</v>
      </c>
      <c r="C110" s="64" t="s">
        <v>844</v>
      </c>
      <c r="D110" s="47" t="s">
        <v>727</v>
      </c>
      <c r="E110" s="64" t="s">
        <v>59</v>
      </c>
      <c r="F110" s="31" t="s">
        <v>40</v>
      </c>
      <c r="G110" s="31" t="s">
        <v>41</v>
      </c>
      <c r="H110" s="31" t="s">
        <v>828</v>
      </c>
      <c r="I110" s="31" t="s">
        <v>40</v>
      </c>
      <c r="J110" s="31" t="s">
        <v>102</v>
      </c>
      <c r="K110" s="31"/>
      <c r="L110" s="32">
        <f>IFERROR(__xludf.DUMMYFUNCTION("VLOOKUP($A110,IMPORTRANGE(""1PQtfbQLqBUP-rjYRznmgNFBLOjvAnhGzpIx7BJWq8rk"",""'Worksheet'!$B$2:$H""),7,FALSE)"),0.83)</f>
        <v>0.83</v>
      </c>
      <c r="M110" s="31" t="s">
        <v>40</v>
      </c>
      <c r="N110" s="49">
        <v>1.1904704E8</v>
      </c>
      <c r="O110" s="49">
        <v>5.475238745E7</v>
      </c>
      <c r="P110" s="49">
        <f t="shared" ref="P110:P111" si="20">N110-O110</f>
        <v>64294652.55</v>
      </c>
      <c r="Q110" s="34">
        <f t="shared" si="3"/>
        <v>0.5400777084</v>
      </c>
      <c r="R110" s="31"/>
      <c r="S110" s="31" t="s">
        <v>45</v>
      </c>
      <c r="T110" s="50">
        <v>1.13094688E8</v>
      </c>
      <c r="U110" s="51">
        <v>5.201476808E7</v>
      </c>
      <c r="V110" s="51">
        <f>T110-U110</f>
        <v>61079919.92</v>
      </c>
      <c r="W110" s="31"/>
      <c r="X110" s="52">
        <v>5.201476808E7</v>
      </c>
      <c r="Y110" s="54" t="s">
        <v>833</v>
      </c>
      <c r="Z110" s="54" t="s">
        <v>830</v>
      </c>
      <c r="AA110" s="74">
        <v>46296.0</v>
      </c>
      <c r="AB110" s="56"/>
      <c r="AC110" s="38" t="s">
        <v>49</v>
      </c>
      <c r="AD110" s="39">
        <v>119047.04</v>
      </c>
      <c r="AE110" s="39">
        <v>54752.38745</v>
      </c>
      <c r="AF110" s="40">
        <v>64294.65255</v>
      </c>
      <c r="AG110" s="57" t="s">
        <v>845</v>
      </c>
      <c r="AH110" s="42" t="s">
        <v>832</v>
      </c>
      <c r="AI110" s="42" t="str">
        <f>IFERROR(__xludf.DUMMYFUNCTION("vLOOKUP(A110,IMPORTRANGE(""https://docs.google.com/spreadsheets/d/1Rawwwdh8wntXGy8isdYNHxsNQS4n_rC8JSdPfj6vEq4"",""'500 объектов перенос на 2026'!A3:AB502""),13,0)"),"#REF!")</f>
        <v>#REF!</v>
      </c>
      <c r="AJ110" s="42" t="str">
        <f>IFERROR(__xludf.DUMMYFUNCTION("vLOOKUP(A110,IMPORTRANGE(""https://docs.google.com/spreadsheets/d/1Rawwwdh8wntXGy8isdYNHxsNQS4n_rC8JSdPfj6vEq4"",""'500 объектов перенос на 2026'!A3:AB502""),14,0)"),"#REF!")</f>
        <v>#REF!</v>
      </c>
      <c r="AK110" s="138" t="s">
        <v>833</v>
      </c>
      <c r="AL110" s="43"/>
      <c r="AM110" s="43"/>
      <c r="AN110" s="43"/>
      <c r="AO110" s="43"/>
    </row>
    <row r="111" hidden="1">
      <c r="A111" s="62" t="s">
        <v>846</v>
      </c>
      <c r="B111" s="63" t="s">
        <v>268</v>
      </c>
      <c r="C111" s="64" t="s">
        <v>847</v>
      </c>
      <c r="D111" s="47" t="s">
        <v>848</v>
      </c>
      <c r="E111" s="64" t="s">
        <v>85</v>
      </c>
      <c r="F111" s="31" t="s">
        <v>40</v>
      </c>
      <c r="G111" s="31" t="s">
        <v>41</v>
      </c>
      <c r="H111" s="31" t="s">
        <v>260</v>
      </c>
      <c r="I111" s="31" t="s">
        <v>40</v>
      </c>
      <c r="J111" s="31" t="s">
        <v>102</v>
      </c>
      <c r="K111" s="31"/>
      <c r="L111" s="32">
        <f>IFERROR(__xludf.DUMMYFUNCTION("VLOOKUP($A111,IMPORTRANGE(""1PQtfbQLqBUP-rjYRznmgNFBLOjvAnhGzpIx7BJWq8rk"",""'Worksheet'!$B$2:$H""),7,FALSE)"),0.15)</f>
        <v>0.15</v>
      </c>
      <c r="M111" s="31" t="s">
        <v>40</v>
      </c>
      <c r="N111" s="49">
        <v>1.25944E8</v>
      </c>
      <c r="O111" s="49">
        <v>6.171946131E7</v>
      </c>
      <c r="P111" s="49">
        <f t="shared" si="20"/>
        <v>64224538.69</v>
      </c>
      <c r="Q111" s="34">
        <f t="shared" si="3"/>
        <v>0.5099452033</v>
      </c>
      <c r="R111" s="31"/>
      <c r="S111" s="31" t="s">
        <v>40</v>
      </c>
      <c r="T111" s="91" t="s">
        <v>849</v>
      </c>
      <c r="U111" s="51">
        <v>0.0</v>
      </c>
      <c r="V111" s="117" t="s">
        <v>849</v>
      </c>
      <c r="W111" s="31"/>
      <c r="X111" s="52" t="s">
        <v>272</v>
      </c>
      <c r="Y111" s="54" t="s">
        <v>850</v>
      </c>
      <c r="Z111" s="54" t="s">
        <v>851</v>
      </c>
      <c r="AA111" s="74">
        <v>46280.0</v>
      </c>
      <c r="AB111" s="56"/>
      <c r="AC111" s="38" t="s">
        <v>852</v>
      </c>
      <c r="AD111" s="39">
        <v>125944.0</v>
      </c>
      <c r="AE111" s="39">
        <v>61719.46131</v>
      </c>
      <c r="AF111" s="40">
        <v>64224.53869</v>
      </c>
      <c r="AG111" s="57" t="s">
        <v>853</v>
      </c>
      <c r="AH111" s="42" t="s">
        <v>854</v>
      </c>
      <c r="AI111" s="42" t="str">
        <f>IFERROR(__xludf.DUMMYFUNCTION("vLOOKUP(A111,IMPORTRANGE(""https://docs.google.com/spreadsheets/d/1Rawwwdh8wntXGy8isdYNHxsNQS4n_rC8JSdPfj6vEq4"",""'500 объектов перенос на 2026'!A3:AB502""),13,0)"),"#REF!")</f>
        <v>#REF!</v>
      </c>
      <c r="AJ111" s="42" t="str">
        <f>IFERROR(__xludf.DUMMYFUNCTION("vLOOKUP(A111,IMPORTRANGE(""https://docs.google.com/spreadsheets/d/1Rawwwdh8wntXGy8isdYNHxsNQS4n_rC8JSdPfj6vEq4"",""'500 объектов перенос на 2026'!A3:AB502""),14,0)"),"#REF!")</f>
        <v>#REF!</v>
      </c>
      <c r="AK111" s="87" t="s">
        <v>855</v>
      </c>
      <c r="AL111" s="43"/>
      <c r="AM111" s="43"/>
      <c r="AN111" s="43"/>
      <c r="AO111" s="43"/>
    </row>
    <row r="112" hidden="1">
      <c r="A112" s="78" t="s">
        <v>856</v>
      </c>
      <c r="B112" s="63" t="s">
        <v>635</v>
      </c>
      <c r="C112" s="64" t="s">
        <v>857</v>
      </c>
      <c r="D112" s="47" t="s">
        <v>858</v>
      </c>
      <c r="E112" s="64" t="s">
        <v>85</v>
      </c>
      <c r="F112" s="31" t="s">
        <v>60</v>
      </c>
      <c r="G112" s="31"/>
      <c r="H112" s="31"/>
      <c r="I112" s="31" t="s">
        <v>60</v>
      </c>
      <c r="J112" s="31"/>
      <c r="K112" s="31"/>
      <c r="L112" s="32" t="str">
        <f>IFERROR(__xludf.DUMMYFUNCTION("VLOOKUP($A112,IMPORTRANGE(""1PQtfbQLqBUP-rjYRznmgNFBLOjvAnhGzpIx7BJWq8rk"",""'Worksheet'!$B$2:$H""),7,FALSE)"),"#N/A")</f>
        <v>#N/A</v>
      </c>
      <c r="M112" s="31" t="s">
        <v>60</v>
      </c>
      <c r="N112" s="49">
        <v>7761120.0</v>
      </c>
      <c r="O112" s="49">
        <v>2328336.0</v>
      </c>
      <c r="P112" s="49">
        <v>0.0</v>
      </c>
      <c r="Q112" s="34">
        <f t="shared" si="3"/>
        <v>0.7</v>
      </c>
      <c r="R112" s="31"/>
      <c r="S112" s="31" t="s">
        <v>60</v>
      </c>
      <c r="T112" s="91">
        <v>0.0</v>
      </c>
      <c r="U112" s="51">
        <v>0.0</v>
      </c>
      <c r="V112" s="51">
        <v>0.0</v>
      </c>
      <c r="W112" s="31"/>
      <c r="X112" s="52" t="s">
        <v>113</v>
      </c>
      <c r="Y112" s="54"/>
      <c r="Z112" s="54"/>
      <c r="AA112" s="54" t="s">
        <v>114</v>
      </c>
      <c r="AB112" s="38" t="s">
        <v>115</v>
      </c>
      <c r="AC112" s="38" t="s">
        <v>284</v>
      </c>
      <c r="AD112" s="39">
        <v>7761.12</v>
      </c>
      <c r="AE112" s="39">
        <v>2328.33476</v>
      </c>
      <c r="AF112" s="39">
        <v>5432.78524</v>
      </c>
      <c r="AG112" s="57" t="s">
        <v>859</v>
      </c>
      <c r="AH112" s="42"/>
      <c r="AI112" s="42" t="str">
        <f>IFERROR(__xludf.DUMMYFUNCTION("vLOOKUP(A112,IMPORTRANGE(""https://docs.google.com/spreadsheets/d/1Rawwwdh8wntXGy8isdYNHxsNQS4n_rC8JSdPfj6vEq4"",""'500 объектов перенос на 2026'!A3:AB502""),13,0)"),"#REF!")</f>
        <v>#REF!</v>
      </c>
      <c r="AJ112" s="42" t="str">
        <f>IFERROR(__xludf.DUMMYFUNCTION("vLOOKUP(A112,IMPORTRANGE(""https://docs.google.com/spreadsheets/d/1Rawwwdh8wntXGy8isdYNHxsNQS4n_rC8JSdPfj6vEq4"",""'500 объектов перенос на 2026'!A3:AB502""),14,0)"),"#REF!")</f>
        <v>#REF!</v>
      </c>
      <c r="AK112" s="76" t="s">
        <v>114</v>
      </c>
      <c r="AL112" s="43"/>
      <c r="AM112" s="43"/>
      <c r="AN112" s="43"/>
      <c r="AO112" s="43"/>
    </row>
    <row r="113" hidden="1">
      <c r="A113" s="62" t="s">
        <v>860</v>
      </c>
      <c r="B113" s="63" t="s">
        <v>56</v>
      </c>
      <c r="C113" s="64" t="s">
        <v>861</v>
      </c>
      <c r="D113" s="47" t="s">
        <v>862</v>
      </c>
      <c r="E113" s="64" t="s">
        <v>39</v>
      </c>
      <c r="F113" s="31" t="s">
        <v>40</v>
      </c>
      <c r="G113" s="31" t="s">
        <v>299</v>
      </c>
      <c r="H113" s="31" t="s">
        <v>260</v>
      </c>
      <c r="I113" s="31" t="s">
        <v>40</v>
      </c>
      <c r="J113" s="31" t="s">
        <v>43</v>
      </c>
      <c r="K113" s="31"/>
      <c r="L113" s="32">
        <f>IFERROR(__xludf.DUMMYFUNCTION("VLOOKUP($A113,IMPORTRANGE(""1PQtfbQLqBUP-rjYRznmgNFBLOjvAnhGzpIx7BJWq8rk"",""'Worksheet'!$B$2:$H""),7,FALSE)"),0.8)</f>
        <v>0.8</v>
      </c>
      <c r="M113" s="31" t="s">
        <v>40</v>
      </c>
      <c r="N113" s="49">
        <v>9.0E7</v>
      </c>
      <c r="O113" s="49">
        <v>2.7E7</v>
      </c>
      <c r="P113" s="49">
        <f t="shared" ref="P113:P115" si="21">N113-O113</f>
        <v>63000000</v>
      </c>
      <c r="Q113" s="34">
        <f t="shared" si="3"/>
        <v>0.7</v>
      </c>
      <c r="R113" s="31"/>
      <c r="S113" s="31" t="s">
        <v>45</v>
      </c>
      <c r="T113" s="72" t="s">
        <v>863</v>
      </c>
      <c r="U113" s="67" t="s">
        <v>864</v>
      </c>
      <c r="V113" s="67" t="s">
        <v>865</v>
      </c>
      <c r="W113" s="31"/>
      <c r="X113" s="52" t="s">
        <v>49</v>
      </c>
      <c r="Y113" s="54" t="s">
        <v>866</v>
      </c>
      <c r="Z113" s="68"/>
      <c r="AA113" s="68">
        <v>46356.0</v>
      </c>
      <c r="AB113" s="56"/>
      <c r="AC113" s="38"/>
      <c r="AD113" s="39">
        <v>90000.0</v>
      </c>
      <c r="AE113" s="39">
        <v>27000.0</v>
      </c>
      <c r="AF113" s="40">
        <v>63000.0</v>
      </c>
      <c r="AG113" s="57" t="s">
        <v>867</v>
      </c>
      <c r="AH113" s="42" t="s">
        <v>49</v>
      </c>
      <c r="AI113" s="42" t="str">
        <f>IFERROR(__xludf.DUMMYFUNCTION("vLOOKUP(A113,IMPORTRANGE(""https://docs.google.com/spreadsheets/d/1Rawwwdh8wntXGy8isdYNHxsNQS4n_rC8JSdPfj6vEq4"",""'500 объектов перенос на 2026'!A3:AB502""),13,0)"),"#REF!")</f>
        <v>#REF!</v>
      </c>
      <c r="AJ113" s="42" t="str">
        <f>IFERROR(__xludf.DUMMYFUNCTION("vLOOKUP(A113,IMPORTRANGE(""https://docs.google.com/spreadsheets/d/1Rawwwdh8wntXGy8isdYNHxsNQS4n_rC8JSdPfj6vEq4"",""'500 объектов перенос на 2026'!A3:AB502""),14,0)"),"#REF!")</f>
        <v>#REF!</v>
      </c>
      <c r="AK113" s="76" t="s">
        <v>868</v>
      </c>
      <c r="AL113" s="43"/>
      <c r="AM113" s="43"/>
      <c r="AN113" s="43"/>
      <c r="AO113" s="43"/>
    </row>
    <row r="114" hidden="1">
      <c r="A114" s="62" t="s">
        <v>869</v>
      </c>
      <c r="B114" s="63" t="s">
        <v>653</v>
      </c>
      <c r="C114" s="64" t="s">
        <v>870</v>
      </c>
      <c r="D114" s="47" t="s">
        <v>871</v>
      </c>
      <c r="E114" s="64" t="s">
        <v>85</v>
      </c>
      <c r="F114" s="31" t="s">
        <v>60</v>
      </c>
      <c r="G114" s="31"/>
      <c r="H114" s="31"/>
      <c r="I114" s="31" t="s">
        <v>60</v>
      </c>
      <c r="J114" s="31"/>
      <c r="K114" s="31"/>
      <c r="L114" s="32">
        <f>IFERROR(__xludf.DUMMYFUNCTION("VLOOKUP($A114,IMPORTRANGE(""1PQtfbQLqBUP-rjYRznmgNFBLOjvAnhGzpIx7BJWq8rk"",""'Worksheet'!$B$2:$H""),7,FALSE)"),0.98)</f>
        <v>0.98</v>
      </c>
      <c r="M114" s="31" t="s">
        <v>40</v>
      </c>
      <c r="N114" s="49">
        <v>1.256E8</v>
      </c>
      <c r="O114" s="49">
        <v>6.28E7</v>
      </c>
      <c r="P114" s="49">
        <f t="shared" si="21"/>
        <v>62800000</v>
      </c>
      <c r="Q114" s="34">
        <f t="shared" si="3"/>
        <v>0.5</v>
      </c>
      <c r="R114" s="31"/>
      <c r="S114" s="31" t="s">
        <v>40</v>
      </c>
      <c r="T114" s="91" t="s">
        <v>872</v>
      </c>
      <c r="U114" s="117">
        <v>0.0</v>
      </c>
      <c r="V114" s="51" t="s">
        <v>872</v>
      </c>
      <c r="W114" s="31" t="s">
        <v>148</v>
      </c>
      <c r="X114" s="52" t="s">
        <v>8</v>
      </c>
      <c r="Y114" s="73" t="s">
        <v>873</v>
      </c>
      <c r="Z114" s="74"/>
      <c r="AA114" s="74">
        <v>46199.0</v>
      </c>
      <c r="AB114" s="56"/>
      <c r="AC114" s="38" t="s">
        <v>874</v>
      </c>
      <c r="AD114" s="39">
        <v>125600.0</v>
      </c>
      <c r="AE114" s="39">
        <v>62800.0</v>
      </c>
      <c r="AF114" s="40">
        <v>62800.0</v>
      </c>
      <c r="AG114" s="57" t="s">
        <v>875</v>
      </c>
      <c r="AH114" s="42" t="s">
        <v>326</v>
      </c>
      <c r="AI114" s="42" t="str">
        <f>IFERROR(__xludf.DUMMYFUNCTION("vLOOKUP(A114,IMPORTRANGE(""https://docs.google.com/spreadsheets/d/1Rawwwdh8wntXGy8isdYNHxsNQS4n_rC8JSdPfj6vEq4"",""'500 объектов перенос на 2026'!A3:AB502""),13,0)"),"#REF!")</f>
        <v>#REF!</v>
      </c>
      <c r="AJ114" s="42" t="str">
        <f>IFERROR(__xludf.DUMMYFUNCTION("vLOOKUP(A114,IMPORTRANGE(""https://docs.google.com/spreadsheets/d/1Rawwwdh8wntXGy8isdYNHxsNQS4n_rC8JSdPfj6vEq4"",""'500 объектов перенос на 2026'!A3:AB502""),14,0)"),"#REF!")</f>
        <v>#REF!</v>
      </c>
      <c r="AK114" s="70" t="s">
        <v>3368</v>
      </c>
      <c r="AL114" s="43"/>
      <c r="AM114" s="43"/>
      <c r="AN114" s="43"/>
      <c r="AO114" s="43"/>
    </row>
    <row r="115" hidden="1">
      <c r="A115" s="62" t="s">
        <v>877</v>
      </c>
      <c r="B115" s="63" t="s">
        <v>826</v>
      </c>
      <c r="C115" s="64" t="s">
        <v>878</v>
      </c>
      <c r="D115" s="47" t="s">
        <v>727</v>
      </c>
      <c r="E115" s="64" t="s">
        <v>59</v>
      </c>
      <c r="F115" s="31" t="s">
        <v>40</v>
      </c>
      <c r="G115" s="31" t="s">
        <v>156</v>
      </c>
      <c r="H115" s="31" t="s">
        <v>301</v>
      </c>
      <c r="I115" s="31" t="s">
        <v>40</v>
      </c>
      <c r="J115" s="31" t="s">
        <v>102</v>
      </c>
      <c r="K115" s="31"/>
      <c r="L115" s="32">
        <f>IFERROR(__xludf.DUMMYFUNCTION("VLOOKUP($A115,IMPORTRANGE(""1PQtfbQLqBUP-rjYRznmgNFBLOjvAnhGzpIx7BJWq8rk"",""'Worksheet'!$B$2:$H""),7,FALSE)"),0.84)</f>
        <v>0.84</v>
      </c>
      <c r="M115" s="31" t="s">
        <v>40</v>
      </c>
      <c r="N115" s="49">
        <v>1.1507882E8</v>
      </c>
      <c r="O115" s="49">
        <v>5.292731462E7</v>
      </c>
      <c r="P115" s="49">
        <f t="shared" si="21"/>
        <v>62151505.38</v>
      </c>
      <c r="Q115" s="34">
        <f t="shared" si="3"/>
        <v>0.5400777083</v>
      </c>
      <c r="R115" s="31"/>
      <c r="S115" s="31" t="s">
        <v>45</v>
      </c>
      <c r="T115" s="50">
        <v>1.09324879E8</v>
      </c>
      <c r="U115" s="51">
        <v>5.028094889E7</v>
      </c>
      <c r="V115" s="51">
        <f>T115-U115</f>
        <v>59043930.11</v>
      </c>
      <c r="W115" s="31"/>
      <c r="X115" s="52">
        <v>5.028094889E7</v>
      </c>
      <c r="Y115" s="54" t="s">
        <v>879</v>
      </c>
      <c r="Z115" s="54" t="s">
        <v>830</v>
      </c>
      <c r="AA115" s="74">
        <v>46266.0</v>
      </c>
      <c r="AB115" s="56"/>
      <c r="AC115" s="38" t="s">
        <v>880</v>
      </c>
      <c r="AD115" s="39">
        <v>115078.82</v>
      </c>
      <c r="AE115" s="39">
        <v>52927.31462</v>
      </c>
      <c r="AF115" s="40">
        <v>62151.50538</v>
      </c>
      <c r="AG115" s="57" t="s">
        <v>881</v>
      </c>
      <c r="AH115" s="42" t="s">
        <v>49</v>
      </c>
      <c r="AI115" s="42" t="str">
        <f>IFERROR(__xludf.DUMMYFUNCTION("vLOOKUP(A115,IMPORTRANGE(""https://docs.google.com/spreadsheets/d/1Rawwwdh8wntXGy8isdYNHxsNQS4n_rC8JSdPfj6vEq4"",""'500 объектов перенос на 2026'!A3:AB502""),13,0)"),"#REF!")</f>
        <v>#REF!</v>
      </c>
      <c r="AJ115" s="42" t="str">
        <f>IFERROR(__xludf.DUMMYFUNCTION("vLOOKUP(A115,IMPORTRANGE(""https://docs.google.com/spreadsheets/d/1Rawwwdh8wntXGy8isdYNHxsNQS4n_rC8JSdPfj6vEq4"",""'500 объектов перенос на 2026'!A3:AB502""),14,0)"),"#REF!")</f>
        <v>#REF!</v>
      </c>
      <c r="AK115" s="76" t="s">
        <v>879</v>
      </c>
      <c r="AL115" s="43"/>
      <c r="AM115" s="43"/>
      <c r="AN115" s="43"/>
      <c r="AO115" s="43"/>
    </row>
    <row r="116" hidden="1">
      <c r="A116" s="78" t="s">
        <v>883</v>
      </c>
      <c r="B116" s="63" t="s">
        <v>503</v>
      </c>
      <c r="C116" s="64" t="s">
        <v>884</v>
      </c>
      <c r="D116" s="47" t="s">
        <v>885</v>
      </c>
      <c r="E116" s="64" t="s">
        <v>85</v>
      </c>
      <c r="F116" s="31" t="s">
        <v>60</v>
      </c>
      <c r="G116" s="31"/>
      <c r="H116" s="31"/>
      <c r="I116" s="31" t="s">
        <v>60</v>
      </c>
      <c r="J116" s="31"/>
      <c r="K116" s="31"/>
      <c r="L116" s="32" t="str">
        <f>IFERROR(__xludf.DUMMYFUNCTION("VLOOKUP($A116,IMPORTRANGE(""1PQtfbQLqBUP-rjYRznmgNFBLOjvAnhGzpIx7BJWq8rk"",""'Worksheet'!$B$2:$H""),7,FALSE)"),"#N/A")</f>
        <v>#N/A</v>
      </c>
      <c r="M116" s="31" t="s">
        <v>60</v>
      </c>
      <c r="N116" s="49">
        <v>1.56167391E8</v>
      </c>
      <c r="O116" s="49">
        <v>1.56167391E8</v>
      </c>
      <c r="P116" s="49">
        <v>0.0</v>
      </c>
      <c r="Q116" s="34">
        <f t="shared" si="3"/>
        <v>0</v>
      </c>
      <c r="R116" s="31"/>
      <c r="S116" s="31" t="s">
        <v>60</v>
      </c>
      <c r="T116" s="50"/>
      <c r="U116" s="51"/>
      <c r="V116" s="51"/>
      <c r="W116" s="31"/>
      <c r="X116" s="52" t="s">
        <v>113</v>
      </c>
      <c r="Y116" s="54"/>
      <c r="Z116" s="54"/>
      <c r="AA116" s="54" t="s">
        <v>114</v>
      </c>
      <c r="AB116" s="38" t="s">
        <v>115</v>
      </c>
      <c r="AC116" s="38"/>
      <c r="AD116" s="39">
        <v>156167.3911</v>
      </c>
      <c r="AE116" s="39">
        <v>156167.3911</v>
      </c>
      <c r="AF116" s="39">
        <v>0.0</v>
      </c>
      <c r="AG116" s="57" t="s">
        <v>886</v>
      </c>
      <c r="AH116" s="42" t="s">
        <v>887</v>
      </c>
      <c r="AI116" s="42" t="str">
        <f>IFERROR(__xludf.DUMMYFUNCTION("vLOOKUP(A116,IMPORTRANGE(""https://docs.google.com/spreadsheets/d/1Rawwwdh8wntXGy8isdYNHxsNQS4n_rC8JSdPfj6vEq4"",""'500 объектов перенос на 2026'!A3:AB502""),13,0)"),"#REF!")</f>
        <v>#REF!</v>
      </c>
      <c r="AJ116" s="42" t="str">
        <f>IFERROR(__xludf.DUMMYFUNCTION("vLOOKUP(A116,IMPORTRANGE(""https://docs.google.com/spreadsheets/d/1Rawwwdh8wntXGy8isdYNHxsNQS4n_rC8JSdPfj6vEq4"",""'500 объектов перенос на 2026'!A3:AB502""),14,0)"),"#REF!")</f>
        <v>#REF!</v>
      </c>
      <c r="AK116" s="76" t="s">
        <v>114</v>
      </c>
      <c r="AL116" s="43"/>
      <c r="AM116" s="43"/>
      <c r="AN116" s="43"/>
      <c r="AO116" s="43"/>
    </row>
    <row r="117" hidden="1">
      <c r="A117" s="78" t="s">
        <v>888</v>
      </c>
      <c r="B117" s="63" t="s">
        <v>503</v>
      </c>
      <c r="C117" s="64" t="s">
        <v>889</v>
      </c>
      <c r="D117" s="47" t="s">
        <v>890</v>
      </c>
      <c r="E117" s="64" t="s">
        <v>85</v>
      </c>
      <c r="F117" s="31" t="s">
        <v>60</v>
      </c>
      <c r="G117" s="31"/>
      <c r="H117" s="31"/>
      <c r="I117" s="31" t="s">
        <v>60</v>
      </c>
      <c r="J117" s="31"/>
      <c r="K117" s="31"/>
      <c r="L117" s="32" t="str">
        <f>IFERROR(__xludf.DUMMYFUNCTION("VLOOKUP($A117,IMPORTRANGE(""1PQtfbQLqBUP-rjYRznmgNFBLOjvAnhGzpIx7BJWq8rk"",""'Worksheet'!$B$2:$H""),7,FALSE)"),"#N/A")</f>
        <v>#N/A</v>
      </c>
      <c r="M117" s="31" t="s">
        <v>60</v>
      </c>
      <c r="N117" s="49">
        <v>1.281512E7</v>
      </c>
      <c r="O117" s="49">
        <v>1.163672603E7</v>
      </c>
      <c r="P117" s="49">
        <v>0.0</v>
      </c>
      <c r="Q117" s="34">
        <f t="shared" si="3"/>
        <v>0.09195340894</v>
      </c>
      <c r="R117" s="31"/>
      <c r="S117" s="31" t="s">
        <v>60</v>
      </c>
      <c r="T117" s="50"/>
      <c r="U117" s="51"/>
      <c r="V117" s="51"/>
      <c r="W117" s="31"/>
      <c r="X117" s="52" t="s">
        <v>113</v>
      </c>
      <c r="Y117" s="54"/>
      <c r="Z117" s="54"/>
      <c r="AA117" s="54" t="s">
        <v>114</v>
      </c>
      <c r="AB117" s="38" t="s">
        <v>115</v>
      </c>
      <c r="AC117" s="38"/>
      <c r="AD117" s="39">
        <v>12815.12</v>
      </c>
      <c r="AE117" s="39">
        <v>11636.72603</v>
      </c>
      <c r="AF117" s="139">
        <v>1178.39397</v>
      </c>
      <c r="AG117" s="57" t="s">
        <v>891</v>
      </c>
      <c r="AH117" s="42" t="s">
        <v>892</v>
      </c>
      <c r="AI117" s="42" t="str">
        <f>IFERROR(__xludf.DUMMYFUNCTION("vLOOKUP(A117,IMPORTRANGE(""https://docs.google.com/spreadsheets/d/1Rawwwdh8wntXGy8isdYNHxsNQS4n_rC8JSdPfj6vEq4"",""'500 объектов перенос на 2026'!A3:AB502""),13,0)"),"#REF!")</f>
        <v>#REF!</v>
      </c>
      <c r="AJ117" s="42" t="str">
        <f>IFERROR(__xludf.DUMMYFUNCTION("vLOOKUP(A117,IMPORTRANGE(""https://docs.google.com/spreadsheets/d/1Rawwwdh8wntXGy8isdYNHxsNQS4n_rC8JSdPfj6vEq4"",""'500 объектов перенос на 2026'!A3:AB502""),14,0)"),"#REF!")</f>
        <v>#REF!</v>
      </c>
      <c r="AK117" s="76" t="s">
        <v>114</v>
      </c>
      <c r="AL117" s="43"/>
      <c r="AM117" s="43"/>
      <c r="AN117" s="43"/>
      <c r="AO117" s="43"/>
    </row>
    <row r="118" hidden="1">
      <c r="A118" s="62" t="s">
        <v>893</v>
      </c>
      <c r="B118" s="63" t="s">
        <v>894</v>
      </c>
      <c r="C118" s="64" t="s">
        <v>895</v>
      </c>
      <c r="D118" s="47" t="s">
        <v>885</v>
      </c>
      <c r="E118" s="64" t="s">
        <v>85</v>
      </c>
      <c r="F118" s="31" t="s">
        <v>60</v>
      </c>
      <c r="G118" s="31"/>
      <c r="H118" s="31"/>
      <c r="I118" s="31" t="s">
        <v>40</v>
      </c>
      <c r="J118" s="31" t="s">
        <v>61</v>
      </c>
      <c r="K118" s="31" t="s">
        <v>72</v>
      </c>
      <c r="L118" s="32">
        <f>IFERROR(__xludf.DUMMYFUNCTION("VLOOKUP($A118,IMPORTRANGE(""1PQtfbQLqBUP-rjYRznmgNFBLOjvAnhGzpIx7BJWq8rk"",""'Worksheet'!$B$2:$H""),7,FALSE)"),0.87)</f>
        <v>0.87</v>
      </c>
      <c r="M118" s="31" t="s">
        <v>45</v>
      </c>
      <c r="N118" s="49">
        <v>1.0140446231E8</v>
      </c>
      <c r="O118" s="49">
        <v>3.935504061E7</v>
      </c>
      <c r="P118" s="49">
        <f t="shared" ref="P118:P122" si="22">N118-O118</f>
        <v>62049421.7</v>
      </c>
      <c r="Q118" s="34">
        <f t="shared" si="3"/>
        <v>0.6119003078</v>
      </c>
      <c r="R118" s="31"/>
      <c r="S118" s="31" t="s">
        <v>45</v>
      </c>
      <c r="T118" s="50" t="s">
        <v>896</v>
      </c>
      <c r="U118" s="51" t="s">
        <v>897</v>
      </c>
      <c r="V118" s="51" t="s">
        <v>898</v>
      </c>
      <c r="W118" s="31"/>
      <c r="X118" s="52" t="s">
        <v>899</v>
      </c>
      <c r="Y118" s="54" t="s">
        <v>900</v>
      </c>
      <c r="Z118" s="74"/>
      <c r="AA118" s="74">
        <v>46233.0</v>
      </c>
      <c r="AB118" s="56"/>
      <c r="AC118" s="38" t="s">
        <v>901</v>
      </c>
      <c r="AD118" s="39">
        <v>101404.46</v>
      </c>
      <c r="AE118" s="39">
        <v>30421.33869</v>
      </c>
      <c r="AF118" s="40">
        <v>70983.12131</v>
      </c>
      <c r="AG118" s="57" t="s">
        <v>902</v>
      </c>
      <c r="AH118" s="42" t="s">
        <v>903</v>
      </c>
      <c r="AI118" s="42" t="str">
        <f>IFERROR(__xludf.DUMMYFUNCTION("vLOOKUP(A118,IMPORTRANGE(""https://docs.google.com/spreadsheets/d/1Rawwwdh8wntXGy8isdYNHxsNQS4n_rC8JSdPfj6vEq4"",""'500 объектов перенос на 2026'!A3:AB502""),13,0)"),"#REF!")</f>
        <v>#REF!</v>
      </c>
      <c r="AJ118" s="42" t="str">
        <f>IFERROR(__xludf.DUMMYFUNCTION("vLOOKUP(A118,IMPORTRANGE(""https://docs.google.com/spreadsheets/d/1Rawwwdh8wntXGy8isdYNHxsNQS4n_rC8JSdPfj6vEq4"",""'500 объектов перенос на 2026'!A3:AB502""),14,0)"),"#REF!")</f>
        <v>#REF!</v>
      </c>
      <c r="AK118" s="70" t="s">
        <v>3369</v>
      </c>
      <c r="AL118" s="43"/>
      <c r="AM118" s="43"/>
      <c r="AN118" s="43"/>
      <c r="AO118" s="43"/>
    </row>
    <row r="119" hidden="1">
      <c r="A119" s="62" t="s">
        <v>905</v>
      </c>
      <c r="B119" s="63" t="s">
        <v>56</v>
      </c>
      <c r="C119" s="64" t="s">
        <v>906</v>
      </c>
      <c r="D119" s="47" t="s">
        <v>311</v>
      </c>
      <c r="E119" s="64" t="s">
        <v>85</v>
      </c>
      <c r="F119" s="31" t="s">
        <v>40</v>
      </c>
      <c r="G119" s="31" t="s">
        <v>156</v>
      </c>
      <c r="H119" s="31" t="s">
        <v>312</v>
      </c>
      <c r="I119" s="31" t="s">
        <v>40</v>
      </c>
      <c r="J119" s="31" t="s">
        <v>907</v>
      </c>
      <c r="K119" s="31"/>
      <c r="L119" s="32">
        <f>IFERROR(__xludf.DUMMYFUNCTION("VLOOKUP($A119,IMPORTRANGE(""1PQtfbQLqBUP-rjYRznmgNFBLOjvAnhGzpIx7BJWq8rk"",""'Worksheet'!$B$2:$H""),7,FALSE)"),0.88)</f>
        <v>0.88</v>
      </c>
      <c r="M119" s="31" t="s">
        <v>45</v>
      </c>
      <c r="N119" s="49">
        <v>8.74460272E7</v>
      </c>
      <c r="O119" s="49">
        <v>2.623380816E7</v>
      </c>
      <c r="P119" s="49">
        <f t="shared" si="22"/>
        <v>61212219.04</v>
      </c>
      <c r="Q119" s="34">
        <f t="shared" si="3"/>
        <v>0.7</v>
      </c>
      <c r="R119" s="31"/>
      <c r="S119" s="31" t="s">
        <v>45</v>
      </c>
      <c r="T119" s="72" t="s">
        <v>908</v>
      </c>
      <c r="U119" s="67" t="s">
        <v>909</v>
      </c>
      <c r="V119" s="67" t="s">
        <v>910</v>
      </c>
      <c r="W119" s="31"/>
      <c r="X119" s="52" t="s">
        <v>49</v>
      </c>
      <c r="Y119" s="54" t="s">
        <v>911</v>
      </c>
      <c r="Z119" s="68"/>
      <c r="AA119" s="68">
        <v>46295.0</v>
      </c>
      <c r="AB119" s="56"/>
      <c r="AC119" s="38"/>
      <c r="AD119" s="39">
        <v>87446.03</v>
      </c>
      <c r="AE119" s="39">
        <v>26233.80816</v>
      </c>
      <c r="AF119" s="40">
        <v>61212.22184</v>
      </c>
      <c r="AG119" s="57" t="s">
        <v>912</v>
      </c>
      <c r="AH119" s="69" t="s">
        <v>66</v>
      </c>
      <c r="AI119" s="42" t="str">
        <f>IFERROR(__xludf.DUMMYFUNCTION("vLOOKUP(A119,IMPORTRANGE(""https://docs.google.com/spreadsheets/d/1Rawwwdh8wntXGy8isdYNHxsNQS4n_rC8JSdPfj6vEq4"",""'500 объектов перенос на 2026'!A3:AB502""),13,0)"),"#REF!")</f>
        <v>#REF!</v>
      </c>
      <c r="AJ119" s="42" t="str">
        <f>IFERROR(__xludf.DUMMYFUNCTION("vLOOKUP(A119,IMPORTRANGE(""https://docs.google.com/spreadsheets/d/1Rawwwdh8wntXGy8isdYNHxsNQS4n_rC8JSdPfj6vEq4"",""'500 объектов перенос на 2026'!A3:AB502""),14,0)"),"#REF!")</f>
        <v>#REF!</v>
      </c>
      <c r="AK119" s="76" t="s">
        <v>911</v>
      </c>
      <c r="AL119" s="43"/>
      <c r="AM119" s="43"/>
      <c r="AN119" s="43"/>
      <c r="AO119" s="43"/>
    </row>
    <row r="120" hidden="1">
      <c r="A120" s="62" t="s">
        <v>916</v>
      </c>
      <c r="B120" s="63" t="s">
        <v>826</v>
      </c>
      <c r="C120" s="104" t="s">
        <v>917</v>
      </c>
      <c r="D120" s="47" t="s">
        <v>727</v>
      </c>
      <c r="E120" s="64" t="s">
        <v>59</v>
      </c>
      <c r="F120" s="31" t="s">
        <v>40</v>
      </c>
      <c r="G120" s="31" t="s">
        <v>156</v>
      </c>
      <c r="H120" s="31" t="s">
        <v>828</v>
      </c>
      <c r="I120" s="31" t="s">
        <v>40</v>
      </c>
      <c r="J120" s="31" t="s">
        <v>102</v>
      </c>
      <c r="K120" s="31"/>
      <c r="L120" s="32">
        <f>IFERROR(__xludf.DUMMYFUNCTION("VLOOKUP($A120,IMPORTRANGE(""1PQtfbQLqBUP-rjYRznmgNFBLOjvAnhGzpIx7BJWq8rk"",""'Worksheet'!$B$2:$H""),7,FALSE)"),0.76)</f>
        <v>0.76</v>
      </c>
      <c r="M120" s="31" t="s">
        <v>40</v>
      </c>
      <c r="N120" s="49">
        <v>7.936471E7</v>
      </c>
      <c r="O120" s="49">
        <v>2.190095958E7</v>
      </c>
      <c r="P120" s="49">
        <f t="shared" si="22"/>
        <v>57463750.42</v>
      </c>
      <c r="Q120" s="34">
        <f t="shared" si="3"/>
        <v>0.724046625</v>
      </c>
      <c r="R120" s="31"/>
      <c r="S120" s="31" t="s">
        <v>45</v>
      </c>
      <c r="T120" s="50">
        <v>7.53964745E7</v>
      </c>
      <c r="U120" s="51">
        <v>2.08059116E7</v>
      </c>
      <c r="V120" s="51">
        <f>T120-U120</f>
        <v>54590562.9</v>
      </c>
      <c r="W120" s="31"/>
      <c r="X120" s="52">
        <v>2.08059116E7</v>
      </c>
      <c r="Y120" s="54" t="s">
        <v>918</v>
      </c>
      <c r="Z120" s="54" t="s">
        <v>830</v>
      </c>
      <c r="AA120" s="74">
        <v>46296.0</v>
      </c>
      <c r="AB120" s="56"/>
      <c r="AC120" s="38" t="s">
        <v>49</v>
      </c>
      <c r="AD120" s="39">
        <v>79364.70168</v>
      </c>
      <c r="AE120" s="39">
        <v>21900.95958</v>
      </c>
      <c r="AF120" s="40">
        <v>57463.7421</v>
      </c>
      <c r="AG120" s="57" t="s">
        <v>919</v>
      </c>
      <c r="AH120" s="42" t="s">
        <v>920</v>
      </c>
      <c r="AI120" s="42" t="str">
        <f>IFERROR(__xludf.DUMMYFUNCTION("vLOOKUP(A120,IMPORTRANGE(""https://docs.google.com/spreadsheets/d/1Rawwwdh8wntXGy8isdYNHxsNQS4n_rC8JSdPfj6vEq4"",""'500 объектов перенос на 2026'!A3:AB502""),13,0)"),"#REF!")</f>
        <v>#REF!</v>
      </c>
      <c r="AJ120" s="42" t="str">
        <f>IFERROR(__xludf.DUMMYFUNCTION("vLOOKUP(A120,IMPORTRANGE(""https://docs.google.com/spreadsheets/d/1Rawwwdh8wntXGy8isdYNHxsNQS4n_rC8JSdPfj6vEq4"",""'500 объектов перенос на 2026'!A3:AB502""),14,0)"),"#REF!")</f>
        <v>#REF!</v>
      </c>
      <c r="AK120" s="76" t="s">
        <v>918</v>
      </c>
      <c r="AL120" s="43"/>
      <c r="AM120" s="43"/>
      <c r="AN120" s="43"/>
      <c r="AO120" s="43"/>
    </row>
    <row r="121" hidden="1">
      <c r="A121" s="62" t="s">
        <v>923</v>
      </c>
      <c r="B121" s="63" t="s">
        <v>142</v>
      </c>
      <c r="C121" s="64" t="s">
        <v>924</v>
      </c>
      <c r="D121" s="47" t="s">
        <v>476</v>
      </c>
      <c r="E121" s="64" t="s">
        <v>59</v>
      </c>
      <c r="F121" s="31" t="s">
        <v>60</v>
      </c>
      <c r="G121" s="31"/>
      <c r="H121" s="31"/>
      <c r="I121" s="31" t="s">
        <v>40</v>
      </c>
      <c r="J121" s="31" t="s">
        <v>102</v>
      </c>
      <c r="K121" s="31" t="s">
        <v>62</v>
      </c>
      <c r="L121" s="32">
        <f>IFERROR(__xludf.DUMMYFUNCTION("VLOOKUP($A121,IMPORTRANGE(""1PQtfbQLqBUP-rjYRznmgNFBLOjvAnhGzpIx7BJWq8rk"",""'Worksheet'!$B$2:$H""),7,FALSE)"),0.9)</f>
        <v>0.9</v>
      </c>
      <c r="M121" s="31" t="s">
        <v>40</v>
      </c>
      <c r="N121" s="49">
        <v>1.146638597E8</v>
      </c>
      <c r="O121" s="49">
        <v>5.721726599E7</v>
      </c>
      <c r="P121" s="49">
        <f t="shared" si="22"/>
        <v>57446593.71</v>
      </c>
      <c r="Q121" s="34">
        <f t="shared" si="3"/>
        <v>0.501</v>
      </c>
      <c r="R121" s="31"/>
      <c r="S121" s="31" t="s">
        <v>45</v>
      </c>
      <c r="T121" s="72" t="s">
        <v>688</v>
      </c>
      <c r="U121" s="67" t="s">
        <v>689</v>
      </c>
      <c r="V121" s="67" t="s">
        <v>690</v>
      </c>
      <c r="W121" s="31"/>
      <c r="X121" s="52" t="s">
        <v>46</v>
      </c>
      <c r="Y121" s="54" t="s">
        <v>925</v>
      </c>
      <c r="Z121" s="54" t="s">
        <v>431</v>
      </c>
      <c r="AA121" s="74">
        <v>46266.0</v>
      </c>
      <c r="AB121" s="56"/>
      <c r="AC121" s="38" t="s">
        <v>49</v>
      </c>
      <c r="AD121" s="39">
        <v>115240.06</v>
      </c>
      <c r="AE121" s="39">
        <v>57217.26599</v>
      </c>
      <c r="AF121" s="40">
        <v>58022.79401</v>
      </c>
      <c r="AG121" s="57" t="s">
        <v>926</v>
      </c>
      <c r="AH121" s="42"/>
      <c r="AI121" s="42" t="str">
        <f>IFERROR(__xludf.DUMMYFUNCTION("vLOOKUP(A121,IMPORTRANGE(""https://docs.google.com/spreadsheets/d/1Rawwwdh8wntXGy8isdYNHxsNQS4n_rC8JSdPfj6vEq4"",""'500 объектов перенос на 2026'!A3:AB502""),13,0)"),"#REF!")</f>
        <v>#REF!</v>
      </c>
      <c r="AJ121" s="42" t="str">
        <f>IFERROR(__xludf.DUMMYFUNCTION("vLOOKUP(A121,IMPORTRANGE(""https://docs.google.com/spreadsheets/d/1Rawwwdh8wntXGy8isdYNHxsNQS4n_rC8JSdPfj6vEq4"",""'500 объектов перенос на 2026'!A3:AB502""),14,0)"),"#REF!")</f>
        <v>#REF!</v>
      </c>
      <c r="AK121" s="138" t="s">
        <v>927</v>
      </c>
      <c r="AL121" s="43"/>
      <c r="AM121" s="43"/>
      <c r="AN121" s="43"/>
      <c r="AO121" s="43"/>
    </row>
    <row r="122" hidden="1">
      <c r="A122" s="62" t="s">
        <v>928</v>
      </c>
      <c r="B122" s="111" t="s">
        <v>503</v>
      </c>
      <c r="C122" s="64" t="s">
        <v>929</v>
      </c>
      <c r="D122" s="47" t="s">
        <v>930</v>
      </c>
      <c r="E122" s="64" t="s">
        <v>931</v>
      </c>
      <c r="F122" s="31"/>
      <c r="G122" s="31"/>
      <c r="H122" s="31"/>
      <c r="I122" s="31"/>
      <c r="J122" s="31"/>
      <c r="K122" s="31"/>
      <c r="L122" s="32" t="str">
        <f>IFERROR(__xludf.DUMMYFUNCTION("VLOOKUP($A122,IMPORTRANGE(""1PQtfbQLqBUP-rjYRznmgNFBLOjvAnhGzpIx7BJWq8rk"",""'Worksheet'!$B$2:$H""),7,FALSE)"),"#N/A")</f>
        <v>#N/A</v>
      </c>
      <c r="M122" s="31" t="s">
        <v>284</v>
      </c>
      <c r="N122" s="49">
        <v>1976808.0</v>
      </c>
      <c r="O122" s="49">
        <v>0.0</v>
      </c>
      <c r="P122" s="49">
        <f t="shared" si="22"/>
        <v>1976808</v>
      </c>
      <c r="Q122" s="34">
        <f t="shared" si="3"/>
        <v>1</v>
      </c>
      <c r="R122" s="31"/>
      <c r="S122" s="31" t="s">
        <v>40</v>
      </c>
      <c r="T122" s="50"/>
      <c r="U122" s="51"/>
      <c r="V122" s="51"/>
      <c r="W122" s="31"/>
      <c r="X122" s="52" t="s">
        <v>932</v>
      </c>
      <c r="Y122" s="54" t="s">
        <v>284</v>
      </c>
      <c r="Z122" s="54"/>
      <c r="AA122" s="54"/>
      <c r="AB122" s="56"/>
      <c r="AC122" s="38"/>
      <c r="AD122" s="39">
        <v>2618.29</v>
      </c>
      <c r="AE122" s="39">
        <v>0.0</v>
      </c>
      <c r="AF122" s="40">
        <v>2618.29</v>
      </c>
      <c r="AG122" s="57" t="s">
        <v>933</v>
      </c>
      <c r="AH122" s="42" t="s">
        <v>933</v>
      </c>
      <c r="AI122" s="42" t="s">
        <v>933</v>
      </c>
      <c r="AJ122" s="42" t="s">
        <v>933</v>
      </c>
      <c r="AK122" s="119"/>
      <c r="AL122" s="43"/>
      <c r="AM122" s="43"/>
      <c r="AN122" s="43"/>
      <c r="AO122" s="43"/>
    </row>
    <row r="123" hidden="1">
      <c r="A123" s="78" t="s">
        <v>934</v>
      </c>
      <c r="B123" s="63" t="s">
        <v>503</v>
      </c>
      <c r="C123" s="64" t="s">
        <v>935</v>
      </c>
      <c r="D123" s="47" t="s">
        <v>936</v>
      </c>
      <c r="E123" s="64" t="s">
        <v>85</v>
      </c>
      <c r="F123" s="31" t="s">
        <v>60</v>
      </c>
      <c r="G123" s="31"/>
      <c r="H123" s="31"/>
      <c r="I123" s="31" t="s">
        <v>60</v>
      </c>
      <c r="J123" s="31"/>
      <c r="K123" s="31"/>
      <c r="L123" s="32" t="str">
        <f>IFERROR(__xludf.DUMMYFUNCTION("VLOOKUP($A123,IMPORTRANGE(""1PQtfbQLqBUP-rjYRznmgNFBLOjvAnhGzpIx7BJWq8rk"",""'Worksheet'!$B$2:$H""),7,FALSE)"),"#N/A")</f>
        <v>#N/A</v>
      </c>
      <c r="M123" s="31" t="s">
        <v>60</v>
      </c>
      <c r="N123" s="49">
        <v>3.32E7</v>
      </c>
      <c r="O123" s="49">
        <v>2.433003122E7</v>
      </c>
      <c r="P123" s="49">
        <v>0.0</v>
      </c>
      <c r="Q123" s="34">
        <f t="shared" si="3"/>
        <v>0.2671677343</v>
      </c>
      <c r="R123" s="31"/>
      <c r="S123" s="31" t="s">
        <v>60</v>
      </c>
      <c r="T123" s="50"/>
      <c r="U123" s="51"/>
      <c r="V123" s="51"/>
      <c r="W123" s="31"/>
      <c r="X123" s="52" t="s">
        <v>113</v>
      </c>
      <c r="Y123" s="54"/>
      <c r="Z123" s="54"/>
      <c r="AA123" s="54" t="s">
        <v>114</v>
      </c>
      <c r="AB123" s="38" t="s">
        <v>115</v>
      </c>
      <c r="AC123" s="38"/>
      <c r="AD123" s="39">
        <v>33200.0</v>
      </c>
      <c r="AE123" s="39">
        <v>24330.03122</v>
      </c>
      <c r="AF123" s="39">
        <v>8869.96878</v>
      </c>
      <c r="AG123" s="57" t="s">
        <v>937</v>
      </c>
      <c r="AH123" s="42" t="s">
        <v>938</v>
      </c>
      <c r="AI123" s="42" t="str">
        <f>IFERROR(__xludf.DUMMYFUNCTION("vLOOKUP(A123,IMPORTRANGE(""https://docs.google.com/spreadsheets/d/1Rawwwdh8wntXGy8isdYNHxsNQS4n_rC8JSdPfj6vEq4"",""'500 объектов перенос на 2026'!A3:AB502""),13,0)"),"#REF!")</f>
        <v>#REF!</v>
      </c>
      <c r="AJ123" s="42" t="str">
        <f>IFERROR(__xludf.DUMMYFUNCTION("vLOOKUP(A123,IMPORTRANGE(""https://docs.google.com/spreadsheets/d/1Rawwwdh8wntXGy8isdYNHxsNQS4n_rC8JSdPfj6vEq4"",""'500 объектов перенос на 2026'!A3:AB502""),14,0)"),"#REF!")</f>
        <v>#REF!</v>
      </c>
      <c r="AK123" s="76" t="s">
        <v>114</v>
      </c>
      <c r="AL123" s="43"/>
      <c r="AM123" s="43"/>
      <c r="AN123" s="43"/>
      <c r="AO123" s="43"/>
    </row>
    <row r="124" hidden="1">
      <c r="A124" s="78" t="s">
        <v>939</v>
      </c>
      <c r="B124" s="111" t="s">
        <v>503</v>
      </c>
      <c r="C124" s="64" t="s">
        <v>940</v>
      </c>
      <c r="D124" s="47" t="s">
        <v>890</v>
      </c>
      <c r="E124" s="64" t="s">
        <v>85</v>
      </c>
      <c r="F124" s="31" t="s">
        <v>60</v>
      </c>
      <c r="G124" s="31"/>
      <c r="H124" s="31"/>
      <c r="I124" s="31" t="s">
        <v>60</v>
      </c>
      <c r="J124" s="31"/>
      <c r="K124" s="31"/>
      <c r="L124" s="32" t="str">
        <f>IFERROR(__xludf.DUMMYFUNCTION("VLOOKUP($A124,IMPORTRANGE(""1PQtfbQLqBUP-rjYRznmgNFBLOjvAnhGzpIx7BJWq8rk"",""'Worksheet'!$B$2:$H""),7,FALSE)"),"#N/A")</f>
        <v>#N/A</v>
      </c>
      <c r="M124" s="31" t="s">
        <v>60</v>
      </c>
      <c r="N124" s="49">
        <v>4.923096E7</v>
      </c>
      <c r="O124" s="49">
        <v>2.91958185E7</v>
      </c>
      <c r="P124" s="49">
        <v>0.0</v>
      </c>
      <c r="Q124" s="34">
        <f t="shared" si="3"/>
        <v>0.4069622347</v>
      </c>
      <c r="R124" s="31"/>
      <c r="S124" s="31" t="s">
        <v>60</v>
      </c>
      <c r="T124" s="50"/>
      <c r="U124" s="51"/>
      <c r="V124" s="51"/>
      <c r="W124" s="31"/>
      <c r="X124" s="52" t="s">
        <v>113</v>
      </c>
      <c r="Y124" s="54"/>
      <c r="Z124" s="54"/>
      <c r="AA124" s="54" t="s">
        <v>114</v>
      </c>
      <c r="AB124" s="38" t="s">
        <v>115</v>
      </c>
      <c r="AC124" s="38"/>
      <c r="AD124" s="39">
        <v>49230.96</v>
      </c>
      <c r="AE124" s="39">
        <v>20219.46576</v>
      </c>
      <c r="AF124" s="39">
        <v>29011.49424</v>
      </c>
      <c r="AG124" s="57" t="s">
        <v>941</v>
      </c>
      <c r="AH124" s="42" t="s">
        <v>938</v>
      </c>
      <c r="AI124" s="42" t="str">
        <f>IFERROR(__xludf.DUMMYFUNCTION("vLOOKUP(A124,IMPORTRANGE(""https://docs.google.com/spreadsheets/d/1Rawwwdh8wntXGy8isdYNHxsNQS4n_rC8JSdPfj6vEq4"",""'500 объектов перенос на 2026'!A3:AB502""),13,0)"),"#REF!")</f>
        <v>#REF!</v>
      </c>
      <c r="AJ124" s="42" t="str">
        <f>IFERROR(__xludf.DUMMYFUNCTION("vLOOKUP(A124,IMPORTRANGE(""https://docs.google.com/spreadsheets/d/1Rawwwdh8wntXGy8isdYNHxsNQS4n_rC8JSdPfj6vEq4"",""'500 объектов перенос на 2026'!A3:AB502""),14,0)"),"#REF!")</f>
        <v>#REF!</v>
      </c>
      <c r="AK124" s="76" t="s">
        <v>114</v>
      </c>
      <c r="AL124" s="43"/>
      <c r="AM124" s="43"/>
      <c r="AN124" s="43"/>
      <c r="AO124" s="43"/>
    </row>
    <row r="125" ht="257.25" hidden="1" customHeight="1">
      <c r="A125" s="62" t="s">
        <v>942</v>
      </c>
      <c r="B125" s="63" t="s">
        <v>82</v>
      </c>
      <c r="C125" s="64" t="s">
        <v>943</v>
      </c>
      <c r="D125" s="47" t="s">
        <v>227</v>
      </c>
      <c r="E125" s="64" t="s">
        <v>39</v>
      </c>
      <c r="F125" s="31" t="s">
        <v>40</v>
      </c>
      <c r="G125" s="31" t="s">
        <v>156</v>
      </c>
      <c r="H125" s="31" t="s">
        <v>325</v>
      </c>
      <c r="I125" s="31" t="s">
        <v>40</v>
      </c>
      <c r="J125" s="31" t="s">
        <v>43</v>
      </c>
      <c r="K125" s="31"/>
      <c r="L125" s="32">
        <f>IFERROR(__xludf.DUMMYFUNCTION("VLOOKUP($A125,IMPORTRANGE(""1PQtfbQLqBUP-rjYRznmgNFBLOjvAnhGzpIx7BJWq8rk"",""'Worksheet'!$B$2:$H""),7,FALSE)"),0.72)</f>
        <v>0.72</v>
      </c>
      <c r="M125" s="31" t="s">
        <v>40</v>
      </c>
      <c r="N125" s="49">
        <v>1.1423479E8</v>
      </c>
      <c r="O125" s="49">
        <v>5.7117395E7</v>
      </c>
      <c r="P125" s="49">
        <f t="shared" ref="P125:P127" si="23">N125-O125</f>
        <v>57117395</v>
      </c>
      <c r="Q125" s="34">
        <f t="shared" si="3"/>
        <v>0.5</v>
      </c>
      <c r="R125" s="31"/>
      <c r="S125" s="31" t="s">
        <v>40</v>
      </c>
      <c r="T125" s="50" t="s">
        <v>944</v>
      </c>
      <c r="U125" s="51">
        <v>0.0</v>
      </c>
      <c r="V125" s="51" t="s">
        <v>944</v>
      </c>
      <c r="W125" s="31"/>
      <c r="X125" s="52" t="s">
        <v>945</v>
      </c>
      <c r="Y125" s="54" t="s">
        <v>946</v>
      </c>
      <c r="AA125" s="100">
        <v>46244.0</v>
      </c>
      <c r="AB125" s="56"/>
      <c r="AC125" s="38" t="s">
        <v>103</v>
      </c>
      <c r="AD125" s="39">
        <v>114234.79</v>
      </c>
      <c r="AE125" s="39">
        <v>57117.395</v>
      </c>
      <c r="AF125" s="40">
        <v>57117.395</v>
      </c>
      <c r="AG125" s="57" t="s">
        <v>947</v>
      </c>
      <c r="AH125" s="42" t="s">
        <v>948</v>
      </c>
      <c r="AI125" s="42" t="str">
        <f>IFERROR(__xludf.DUMMYFUNCTION("vLOOKUP(A125,IMPORTRANGE(""https://docs.google.com/spreadsheets/d/1Rawwwdh8wntXGy8isdYNHxsNQS4n_rC8JSdPfj6vEq4"",""'500 объектов перенос на 2026'!A3:AB502""),13,0)"),"#REF!")</f>
        <v>#REF!</v>
      </c>
      <c r="AJ125" s="42" t="str">
        <f>IFERROR(__xludf.DUMMYFUNCTION("vLOOKUP(A125,IMPORTRANGE(""https://docs.google.com/spreadsheets/d/1Rawwwdh8wntXGy8isdYNHxsNQS4n_rC8JSdPfj6vEq4"",""'500 объектов перенос на 2026'!A3:AB502""),14,0)"),"#REF!")</f>
        <v>#REF!</v>
      </c>
      <c r="AK125" s="76" t="s">
        <v>3370</v>
      </c>
      <c r="AL125" s="43"/>
      <c r="AM125" s="43"/>
      <c r="AN125" s="43"/>
      <c r="AO125" s="43"/>
    </row>
    <row r="126" hidden="1">
      <c r="A126" s="78" t="s">
        <v>951</v>
      </c>
      <c r="B126" s="63" t="s">
        <v>503</v>
      </c>
      <c r="C126" s="64" t="s">
        <v>952</v>
      </c>
      <c r="D126" s="47" t="s">
        <v>953</v>
      </c>
      <c r="E126" s="64" t="s">
        <v>85</v>
      </c>
      <c r="F126" s="31" t="s">
        <v>60</v>
      </c>
      <c r="G126" s="31"/>
      <c r="H126" s="31"/>
      <c r="I126" s="31" t="s">
        <v>60</v>
      </c>
      <c r="J126" s="31"/>
      <c r="K126" s="31"/>
      <c r="L126" s="32" t="str">
        <f>IFERROR(__xludf.DUMMYFUNCTION("VLOOKUP($A126,IMPORTRANGE(""1PQtfbQLqBUP-rjYRznmgNFBLOjvAnhGzpIx7BJWq8rk"",""'Worksheet'!$B$2:$H""),7,FALSE)"),"#N/A")</f>
        <v>#N/A</v>
      </c>
      <c r="M126" s="31" t="s">
        <v>60</v>
      </c>
      <c r="N126" s="49">
        <v>3.357860029E7</v>
      </c>
      <c r="O126" s="49">
        <v>3.357860029E7</v>
      </c>
      <c r="P126" s="49">
        <f t="shared" si="23"/>
        <v>0</v>
      </c>
      <c r="Q126" s="34">
        <f t="shared" si="3"/>
        <v>0</v>
      </c>
      <c r="R126" s="31"/>
      <c r="S126" s="31" t="s">
        <v>60</v>
      </c>
      <c r="T126" s="91"/>
      <c r="U126" s="51"/>
      <c r="V126" s="51"/>
      <c r="W126" s="31"/>
      <c r="X126" s="52" t="s">
        <v>113</v>
      </c>
      <c r="Y126" s="54"/>
      <c r="Z126" s="54"/>
      <c r="AA126" s="54" t="s">
        <v>114</v>
      </c>
      <c r="AB126" s="38" t="s">
        <v>115</v>
      </c>
      <c r="AC126" s="38"/>
      <c r="AD126" s="39">
        <v>64500.0</v>
      </c>
      <c r="AE126" s="39">
        <v>33578.60029</v>
      </c>
      <c r="AF126" s="39">
        <v>30921.39971</v>
      </c>
      <c r="AG126" s="57" t="s">
        <v>954</v>
      </c>
      <c r="AH126" s="85" t="s">
        <v>11</v>
      </c>
      <c r="AI126" s="85" t="s">
        <v>11</v>
      </c>
      <c r="AJ126" s="85" t="s">
        <v>11</v>
      </c>
      <c r="AK126" s="76" t="s">
        <v>114</v>
      </c>
      <c r="AL126" s="43"/>
      <c r="AM126" s="43"/>
      <c r="AN126" s="43"/>
      <c r="AO126" s="43"/>
    </row>
    <row r="127" hidden="1">
      <c r="A127" s="62" t="s">
        <v>955</v>
      </c>
      <c r="B127" s="63" t="s">
        <v>56</v>
      </c>
      <c r="C127" s="64" t="s">
        <v>956</v>
      </c>
      <c r="D127" s="47" t="s">
        <v>957</v>
      </c>
      <c r="E127" s="64" t="s">
        <v>59</v>
      </c>
      <c r="F127" s="31" t="s">
        <v>60</v>
      </c>
      <c r="G127" s="31"/>
      <c r="H127" s="31"/>
      <c r="I127" s="31" t="s">
        <v>40</v>
      </c>
      <c r="J127" s="31" t="s">
        <v>43</v>
      </c>
      <c r="K127" s="31" t="s">
        <v>713</v>
      </c>
      <c r="L127" s="32">
        <f>IFERROR(__xludf.DUMMYFUNCTION("VLOOKUP($A127,IMPORTRANGE(""1PQtfbQLqBUP-rjYRznmgNFBLOjvAnhGzpIx7BJWq8rk"",""'Worksheet'!$B$2:$H""),7,FALSE)"),0.88)</f>
        <v>0.88</v>
      </c>
      <c r="M127" s="31" t="s">
        <v>45</v>
      </c>
      <c r="N127" s="49">
        <v>2.2714518E8</v>
      </c>
      <c r="O127" s="49">
        <v>1.7221920973E8</v>
      </c>
      <c r="P127" s="49">
        <f t="shared" si="23"/>
        <v>54925970.27</v>
      </c>
      <c r="Q127" s="34">
        <f t="shared" si="3"/>
        <v>0.2418099749</v>
      </c>
      <c r="R127" s="31"/>
      <c r="S127" s="31" t="s">
        <v>45</v>
      </c>
      <c r="T127" s="72" t="s">
        <v>958</v>
      </c>
      <c r="U127" s="67" t="s">
        <v>959</v>
      </c>
      <c r="V127" s="67" t="s">
        <v>960</v>
      </c>
      <c r="W127" s="31"/>
      <c r="X127" s="52" t="s">
        <v>961</v>
      </c>
      <c r="Y127" s="54" t="s">
        <v>962</v>
      </c>
      <c r="Z127" s="68"/>
      <c r="AA127" s="68">
        <v>46249.0</v>
      </c>
      <c r="AB127" s="56"/>
      <c r="AC127" s="38" t="s">
        <v>963</v>
      </c>
      <c r="AD127" s="39">
        <v>227145.18</v>
      </c>
      <c r="AE127" s="39">
        <v>117569.2097</v>
      </c>
      <c r="AF127" s="40">
        <v>109575.9703</v>
      </c>
      <c r="AG127" s="57" t="s">
        <v>964</v>
      </c>
      <c r="AH127" s="69" t="s">
        <v>66</v>
      </c>
      <c r="AI127" s="42" t="str">
        <f>IFERROR(__xludf.DUMMYFUNCTION("vLOOKUP(A127,IMPORTRANGE(""https://docs.google.com/spreadsheets/d/1Rawwwdh8wntXGy8isdYNHxsNQS4n_rC8JSdPfj6vEq4"",""'500 объектов перенос на 2026'!A3:AB502""),13,0)"),"#REF!")</f>
        <v>#REF!</v>
      </c>
      <c r="AJ127" s="42" t="str">
        <f>IFERROR(__xludf.DUMMYFUNCTION("vLOOKUP(A127,IMPORTRANGE(""https://docs.google.com/spreadsheets/d/1Rawwwdh8wntXGy8isdYNHxsNQS4n_rC8JSdPfj6vEq4"",""'500 объектов перенос на 2026'!A3:AB502""),14,0)"),"#REF!")</f>
        <v>#REF!</v>
      </c>
      <c r="AK127" s="76" t="s">
        <v>965</v>
      </c>
      <c r="AL127" s="43"/>
      <c r="AM127" s="43"/>
      <c r="AN127" s="43"/>
      <c r="AO127" s="43"/>
    </row>
    <row r="128" hidden="1">
      <c r="A128" s="78" t="s">
        <v>966</v>
      </c>
      <c r="B128" s="63" t="s">
        <v>967</v>
      </c>
      <c r="C128" s="64" t="s">
        <v>968</v>
      </c>
      <c r="D128" s="47" t="s">
        <v>969</v>
      </c>
      <c r="E128" s="64" t="s">
        <v>85</v>
      </c>
      <c r="F128" s="31" t="s">
        <v>60</v>
      </c>
      <c r="G128" s="31"/>
      <c r="H128" s="31"/>
      <c r="I128" s="31" t="s">
        <v>60</v>
      </c>
      <c r="J128" s="31"/>
      <c r="K128" s="31"/>
      <c r="L128" s="32" t="str">
        <f>IFERROR(__xludf.DUMMYFUNCTION("VLOOKUP($A128,IMPORTRANGE(""1PQtfbQLqBUP-rjYRznmgNFBLOjvAnhGzpIx7BJWq8rk"",""'Worksheet'!$B$2:$H""),7,FALSE)"),"#N/A")</f>
        <v>#N/A</v>
      </c>
      <c r="M128" s="31" t="s">
        <v>60</v>
      </c>
      <c r="N128" s="49">
        <v>2.2411893E8</v>
      </c>
      <c r="O128" s="49">
        <v>1.6318185252E8</v>
      </c>
      <c r="P128" s="49">
        <v>0.0</v>
      </c>
      <c r="Q128" s="34">
        <f t="shared" si="3"/>
        <v>0.2718961646</v>
      </c>
      <c r="R128" s="31"/>
      <c r="S128" s="31" t="s">
        <v>60</v>
      </c>
      <c r="T128" s="50"/>
      <c r="U128" s="51"/>
      <c r="V128" s="51"/>
      <c r="W128" s="31"/>
      <c r="X128" s="52" t="s">
        <v>113</v>
      </c>
      <c r="Y128" s="54"/>
      <c r="Z128" s="54"/>
      <c r="AA128" s="54" t="s">
        <v>114</v>
      </c>
      <c r="AB128" s="38" t="s">
        <v>115</v>
      </c>
      <c r="AC128" s="38"/>
      <c r="AD128" s="39">
        <v>114458.5</v>
      </c>
      <c r="AE128" s="39">
        <v>163181.8525</v>
      </c>
      <c r="AF128" s="39">
        <v>-48723.35252</v>
      </c>
      <c r="AG128" s="57" t="s">
        <v>970</v>
      </c>
      <c r="AH128" s="42" t="s">
        <v>971</v>
      </c>
      <c r="AI128" s="42" t="str">
        <f>IFERROR(__xludf.DUMMYFUNCTION("vLOOKUP(A128,IMPORTRANGE(""https://docs.google.com/spreadsheets/d/1Rawwwdh8wntXGy8isdYNHxsNQS4n_rC8JSdPfj6vEq4"",""'500 объектов перенос на 2026'!A3:AB502""),13,0)"),"#REF!")</f>
        <v>#REF!</v>
      </c>
      <c r="AJ128" s="42" t="str">
        <f>IFERROR(__xludf.DUMMYFUNCTION("vLOOKUP(A128,IMPORTRANGE(""https://docs.google.com/spreadsheets/d/1Rawwwdh8wntXGy8isdYNHxsNQS4n_rC8JSdPfj6vEq4"",""'500 объектов перенос на 2026'!A3:AB502""),14,0)"),"#REF!")</f>
        <v>#REF!</v>
      </c>
      <c r="AK128" s="76" t="s">
        <v>114</v>
      </c>
      <c r="AL128" s="43"/>
      <c r="AM128" s="43"/>
      <c r="AN128" s="43"/>
      <c r="AO128" s="43"/>
    </row>
    <row r="129" hidden="1">
      <c r="A129" s="62" t="s">
        <v>972</v>
      </c>
      <c r="B129" s="63" t="s">
        <v>653</v>
      </c>
      <c r="C129" s="64" t="s">
        <v>973</v>
      </c>
      <c r="D129" s="47" t="s">
        <v>848</v>
      </c>
      <c r="E129" s="64" t="s">
        <v>85</v>
      </c>
      <c r="F129" s="31" t="s">
        <v>40</v>
      </c>
      <c r="G129" s="31" t="s">
        <v>156</v>
      </c>
      <c r="H129" s="31" t="s">
        <v>974</v>
      </c>
      <c r="I129" s="31" t="s">
        <v>40</v>
      </c>
      <c r="J129" s="31" t="s">
        <v>102</v>
      </c>
      <c r="K129" s="31"/>
      <c r="L129" s="32">
        <f>IFERROR(__xludf.DUMMYFUNCTION("VLOOKUP($A129,IMPORTRANGE(""1PQtfbQLqBUP-rjYRznmgNFBLOjvAnhGzpIx7BJWq8rk"",""'Worksheet'!$B$2:$H""),7,FALSE)"),0.7)</f>
        <v>0.7</v>
      </c>
      <c r="M129" s="31" t="s">
        <v>40</v>
      </c>
      <c r="N129" s="49">
        <v>1.073149E8</v>
      </c>
      <c r="O129" s="49">
        <v>5.365745E7</v>
      </c>
      <c r="P129" s="49">
        <f t="shared" ref="P129:P131" si="24">N129-O129</f>
        <v>53657450</v>
      </c>
      <c r="Q129" s="34">
        <f t="shared" si="3"/>
        <v>0.5</v>
      </c>
      <c r="R129" s="31"/>
      <c r="S129" s="31" t="s">
        <v>40</v>
      </c>
      <c r="T129" s="91" t="s">
        <v>975</v>
      </c>
      <c r="U129" s="117">
        <v>0.0</v>
      </c>
      <c r="V129" s="51" t="s">
        <v>975</v>
      </c>
      <c r="W129" s="31"/>
      <c r="X129" s="52" t="s">
        <v>976</v>
      </c>
      <c r="Y129" s="54" t="s">
        <v>977</v>
      </c>
      <c r="Z129" s="74"/>
      <c r="AA129" s="74">
        <v>46295.0</v>
      </c>
      <c r="AB129" s="143"/>
      <c r="AC129" s="35" t="s">
        <v>978</v>
      </c>
      <c r="AD129" s="39">
        <v>107414.9</v>
      </c>
      <c r="AE129" s="39">
        <v>53657.45</v>
      </c>
      <c r="AF129" s="40">
        <v>53757.45</v>
      </c>
      <c r="AG129" s="57" t="s">
        <v>979</v>
      </c>
      <c r="AH129" s="42" t="s">
        <v>980</v>
      </c>
      <c r="AI129" s="42" t="str">
        <f>IFERROR(__xludf.DUMMYFUNCTION("vLOOKUP(A129,IMPORTRANGE(""https://docs.google.com/spreadsheets/d/1Rawwwdh8wntXGy8isdYNHxsNQS4n_rC8JSdPfj6vEq4"",""'500 объектов перенос на 2026'!A3:AB502""),13,0)"),"#REF!")</f>
        <v>#REF!</v>
      </c>
      <c r="AJ129" s="42" t="str">
        <f>IFERROR(__xludf.DUMMYFUNCTION("vLOOKUP(A129,IMPORTRANGE(""https://docs.google.com/spreadsheets/d/1Rawwwdh8wntXGy8isdYNHxsNQS4n_rC8JSdPfj6vEq4"",""'500 объектов перенос на 2026'!A3:AB502""),14,0)"),"#REF!")</f>
        <v>#REF!</v>
      </c>
      <c r="AK129" s="70" t="s">
        <v>981</v>
      </c>
      <c r="AL129" s="43"/>
      <c r="AM129" s="43"/>
      <c r="AN129" s="43"/>
      <c r="AO129" s="43"/>
    </row>
    <row r="130" hidden="1">
      <c r="A130" s="62" t="s">
        <v>982</v>
      </c>
      <c r="B130" s="63" t="s">
        <v>736</v>
      </c>
      <c r="C130" s="64" t="s">
        <v>983</v>
      </c>
      <c r="D130" s="47" t="s">
        <v>101</v>
      </c>
      <c r="E130" s="64" t="s">
        <v>59</v>
      </c>
      <c r="F130" s="31" t="s">
        <v>60</v>
      </c>
      <c r="G130" s="31"/>
      <c r="H130" s="31"/>
      <c r="I130" s="31" t="s">
        <v>60</v>
      </c>
      <c r="J130" s="31"/>
      <c r="K130" s="31"/>
      <c r="L130" s="32">
        <f>IFERROR(__xludf.DUMMYFUNCTION("VLOOKUP($A130,IMPORTRANGE(""1PQtfbQLqBUP-rjYRznmgNFBLOjvAnhGzpIx7BJWq8rk"",""'Worksheet'!$B$2:$H""),7,FALSE)"),0.94)</f>
        <v>0.94</v>
      </c>
      <c r="M130" s="31" t="s">
        <v>45</v>
      </c>
      <c r="N130" s="49">
        <v>9.312277772E7</v>
      </c>
      <c r="O130" s="49">
        <v>3.971907122E7</v>
      </c>
      <c r="P130" s="49">
        <f t="shared" si="24"/>
        <v>53403706.5</v>
      </c>
      <c r="Q130" s="34">
        <f t="shared" si="3"/>
        <v>0.5734763052</v>
      </c>
      <c r="R130" s="31"/>
      <c r="S130" s="31" t="s">
        <v>45</v>
      </c>
      <c r="T130" s="84" t="s">
        <v>984</v>
      </c>
      <c r="U130" s="51" t="s">
        <v>985</v>
      </c>
      <c r="V130" s="84" t="s">
        <v>986</v>
      </c>
      <c r="W130" s="31" t="s">
        <v>183</v>
      </c>
      <c r="X130" s="52" t="s">
        <v>507</v>
      </c>
      <c r="Y130" s="54" t="s">
        <v>987</v>
      </c>
      <c r="Z130" s="54" t="s">
        <v>774</v>
      </c>
      <c r="AA130" s="74">
        <v>46188.0</v>
      </c>
      <c r="AB130" s="56"/>
      <c r="AC130" s="38"/>
      <c r="AD130" s="39">
        <v>75419.38</v>
      </c>
      <c r="AE130" s="39">
        <v>39719.07122</v>
      </c>
      <c r="AF130" s="40">
        <v>35700.30878</v>
      </c>
      <c r="AG130" s="57" t="s">
        <v>988</v>
      </c>
      <c r="AH130" s="42" t="s">
        <v>776</v>
      </c>
      <c r="AI130" s="42" t="str">
        <f>IFERROR(__xludf.DUMMYFUNCTION("vLOOKUP(A130,IMPORTRANGE(""https://docs.google.com/spreadsheets/d/1Rawwwdh8wntXGy8isdYNHxsNQS4n_rC8JSdPfj6vEq4"",""'500 объектов перенос на 2026'!A3:AB502""),13,0)"),"#REF!")</f>
        <v>#REF!</v>
      </c>
      <c r="AJ130" s="42" t="str">
        <f>IFERROR(__xludf.DUMMYFUNCTION("vLOOKUP(A130,IMPORTRANGE(""https://docs.google.com/spreadsheets/d/1Rawwwdh8wntXGy8isdYNHxsNQS4n_rC8JSdPfj6vEq4"",""'500 объектов перенос на 2026'!A3:AB502""),14,0)"),"#REF!")</f>
        <v>#REF!</v>
      </c>
      <c r="AK130" s="70" t="s">
        <v>3371</v>
      </c>
      <c r="AL130" s="43"/>
      <c r="AM130" s="43"/>
      <c r="AN130" s="43"/>
      <c r="AO130" s="43"/>
    </row>
    <row r="131" hidden="1">
      <c r="A131" s="78" t="s">
        <v>991</v>
      </c>
      <c r="B131" s="63" t="s">
        <v>992</v>
      </c>
      <c r="C131" s="64" t="s">
        <v>993</v>
      </c>
      <c r="D131" s="47" t="s">
        <v>365</v>
      </c>
      <c r="E131" s="64" t="s">
        <v>85</v>
      </c>
      <c r="F131" s="31" t="s">
        <v>60</v>
      </c>
      <c r="G131" s="31"/>
      <c r="H131" s="31"/>
      <c r="I131" s="31" t="s">
        <v>60</v>
      </c>
      <c r="J131" s="31"/>
      <c r="K131" s="31"/>
      <c r="L131" s="32" t="str">
        <f>IFERROR(__xludf.DUMMYFUNCTION("VLOOKUP($A131,IMPORTRANGE(""1PQtfbQLqBUP-rjYRznmgNFBLOjvAnhGzpIx7BJWq8rk"",""'Worksheet'!$B$2:$H""),7,FALSE)"),"#N/A")</f>
        <v>#N/A</v>
      </c>
      <c r="M131" s="31" t="s">
        <v>60</v>
      </c>
      <c r="N131" s="49">
        <v>8.804401217E7</v>
      </c>
      <c r="O131" s="49">
        <v>8.804401217E7</v>
      </c>
      <c r="P131" s="49">
        <f t="shared" si="24"/>
        <v>0</v>
      </c>
      <c r="Q131" s="34">
        <f t="shared" si="3"/>
        <v>0</v>
      </c>
      <c r="R131" s="31"/>
      <c r="S131" s="31" t="s">
        <v>60</v>
      </c>
      <c r="T131" s="50" t="s">
        <v>994</v>
      </c>
      <c r="U131" s="50" t="s">
        <v>994</v>
      </c>
      <c r="V131" s="51">
        <v>0.0</v>
      </c>
      <c r="W131" s="31"/>
      <c r="X131" s="92" t="s">
        <v>113</v>
      </c>
      <c r="Y131" s="54"/>
      <c r="Z131" s="54"/>
      <c r="AA131" s="54" t="s">
        <v>114</v>
      </c>
      <c r="AB131" s="38" t="s">
        <v>115</v>
      </c>
      <c r="AC131" s="38"/>
      <c r="AD131" s="39">
        <v>233283.57</v>
      </c>
      <c r="AE131" s="39">
        <v>88044.01217</v>
      </c>
      <c r="AF131" s="39">
        <v>145239.5578</v>
      </c>
      <c r="AG131" s="57" t="s">
        <v>995</v>
      </c>
      <c r="AH131" s="42" t="s">
        <v>996</v>
      </c>
      <c r="AI131" s="42" t="str">
        <f>IFERROR(__xludf.DUMMYFUNCTION("vLOOKUP(A131,IMPORTRANGE(""https://docs.google.com/spreadsheets/d/1Rawwwdh8wntXGy8isdYNHxsNQS4n_rC8JSdPfj6vEq4"",""'500 объектов перенос на 2026'!A3:AB502""),13,0)"),"#REF!")</f>
        <v>#REF!</v>
      </c>
      <c r="AJ131" s="42" t="str">
        <f>IFERROR(__xludf.DUMMYFUNCTION("vLOOKUP(A131,IMPORTRANGE(""https://docs.google.com/spreadsheets/d/1Rawwwdh8wntXGy8isdYNHxsNQS4n_rC8JSdPfj6vEq4"",""'500 объектов перенос на 2026'!A3:AB502""),14,0)"),"#REF!")</f>
        <v>#REF!</v>
      </c>
      <c r="AK131" s="76" t="s">
        <v>114</v>
      </c>
      <c r="AL131" s="43"/>
      <c r="AM131" s="43"/>
      <c r="AN131" s="43"/>
      <c r="AO131" s="43"/>
    </row>
    <row r="132" hidden="1">
      <c r="A132" s="78" t="s">
        <v>997</v>
      </c>
      <c r="B132" s="63" t="s">
        <v>998</v>
      </c>
      <c r="C132" s="64" t="s">
        <v>999</v>
      </c>
      <c r="D132" s="47" t="s">
        <v>1000</v>
      </c>
      <c r="E132" s="64" t="s">
        <v>85</v>
      </c>
      <c r="F132" s="31" t="s">
        <v>60</v>
      </c>
      <c r="G132" s="31"/>
      <c r="H132" s="31"/>
      <c r="I132" s="31" t="s">
        <v>60</v>
      </c>
      <c r="J132" s="31"/>
      <c r="K132" s="31"/>
      <c r="L132" s="32" t="str">
        <f>IFERROR(__xludf.DUMMYFUNCTION("VLOOKUP($A132,IMPORTRANGE(""1PQtfbQLqBUP-rjYRznmgNFBLOjvAnhGzpIx7BJWq8rk"",""'Worksheet'!$B$2:$H""),7,FALSE)"),"#N/A")</f>
        <v>#N/A</v>
      </c>
      <c r="M132" s="31" t="s">
        <v>60</v>
      </c>
      <c r="N132" s="49">
        <v>2.1443612463E8</v>
      </c>
      <c r="O132" s="49">
        <v>2.1418317046E8</v>
      </c>
      <c r="P132" s="49">
        <v>0.0</v>
      </c>
      <c r="Q132" s="34">
        <f t="shared" si="3"/>
        <v>0.001179624797</v>
      </c>
      <c r="R132" s="31"/>
      <c r="S132" s="31" t="s">
        <v>60</v>
      </c>
      <c r="T132" s="91">
        <v>2.037143184E8</v>
      </c>
      <c r="U132" s="51">
        <v>2.0347401194E8</v>
      </c>
      <c r="V132" s="51">
        <v>240306.46</v>
      </c>
      <c r="W132" s="31"/>
      <c r="X132" s="52" t="s">
        <v>113</v>
      </c>
      <c r="Y132" s="54"/>
      <c r="Z132" s="54"/>
      <c r="AA132" s="54" t="s">
        <v>114</v>
      </c>
      <c r="AB132" s="38" t="s">
        <v>115</v>
      </c>
      <c r="AC132" s="38" t="s">
        <v>284</v>
      </c>
      <c r="AD132" s="39">
        <v>233912.2</v>
      </c>
      <c r="AE132" s="39">
        <v>214183.1705</v>
      </c>
      <c r="AF132" s="39">
        <v>19729.02954</v>
      </c>
      <c r="AG132" s="57" t="s">
        <v>1001</v>
      </c>
      <c r="AH132" s="42" t="s">
        <v>284</v>
      </c>
      <c r="AI132" s="42" t="str">
        <f>IFERROR(__xludf.DUMMYFUNCTION("vLOOKUP(A132,IMPORTRANGE(""https://docs.google.com/spreadsheets/d/1Rawwwdh8wntXGy8isdYNHxsNQS4n_rC8JSdPfj6vEq4"",""'500 объектов перенос на 2026'!A3:AB502""),13,0)"),"#REF!")</f>
        <v>#REF!</v>
      </c>
      <c r="AJ132" s="42" t="str">
        <f>IFERROR(__xludf.DUMMYFUNCTION("vLOOKUP(A132,IMPORTRANGE(""https://docs.google.com/spreadsheets/d/1Rawwwdh8wntXGy8isdYNHxsNQS4n_rC8JSdPfj6vEq4"",""'500 объектов перенос на 2026'!A3:AB502""),14,0)"),"#REF!")</f>
        <v>#REF!</v>
      </c>
      <c r="AK132" s="76" t="s">
        <v>114</v>
      </c>
      <c r="AL132" s="43"/>
      <c r="AM132" s="43"/>
      <c r="AN132" s="43"/>
      <c r="AO132" s="43"/>
    </row>
    <row r="133" hidden="1">
      <c r="A133" s="78" t="s">
        <v>1002</v>
      </c>
      <c r="B133" s="63" t="s">
        <v>998</v>
      </c>
      <c r="C133" s="64" t="s">
        <v>1003</v>
      </c>
      <c r="D133" s="47" t="s">
        <v>1000</v>
      </c>
      <c r="E133" s="64" t="s">
        <v>85</v>
      </c>
      <c r="F133" s="31" t="s">
        <v>60</v>
      </c>
      <c r="G133" s="31"/>
      <c r="H133" s="31"/>
      <c r="I133" s="31" t="s">
        <v>60</v>
      </c>
      <c r="J133" s="31"/>
      <c r="K133" s="31"/>
      <c r="L133" s="32" t="str">
        <f>IFERROR(__xludf.DUMMYFUNCTION("VLOOKUP($A133,IMPORTRANGE(""1PQtfbQLqBUP-rjYRznmgNFBLOjvAnhGzpIx7BJWq8rk"",""'Worksheet'!$B$2:$H""),7,FALSE)"),"#N/A")</f>
        <v>#N/A</v>
      </c>
      <c r="M133" s="31" t="s">
        <v>60</v>
      </c>
      <c r="N133" s="49">
        <v>1.0951812E8</v>
      </c>
      <c r="O133" s="49">
        <v>1.0951367772E8</v>
      </c>
      <c r="P133" s="49">
        <v>0.0</v>
      </c>
      <c r="Q133" s="34">
        <f t="shared" si="3"/>
        <v>0.00004056205494</v>
      </c>
      <c r="R133" s="31"/>
      <c r="S133" s="31" t="s">
        <v>60</v>
      </c>
      <c r="T133" s="50">
        <v>1.04042214E8</v>
      </c>
      <c r="U133" s="51">
        <v>1.0403799383E8</v>
      </c>
      <c r="V133" s="51">
        <v>4220.17</v>
      </c>
      <c r="W133" s="31"/>
      <c r="X133" s="52" t="s">
        <v>113</v>
      </c>
      <c r="Y133" s="54"/>
      <c r="Z133" s="54"/>
      <c r="AA133" s="54" t="s">
        <v>114</v>
      </c>
      <c r="AB133" s="38" t="s">
        <v>115</v>
      </c>
      <c r="AC133" s="38" t="s">
        <v>284</v>
      </c>
      <c r="AD133" s="39">
        <v>109518.12</v>
      </c>
      <c r="AE133" s="39">
        <v>109513.6777</v>
      </c>
      <c r="AF133" s="39">
        <v>4.44228</v>
      </c>
      <c r="AG133" s="57" t="s">
        <v>1004</v>
      </c>
      <c r="AH133" s="42" t="s">
        <v>284</v>
      </c>
      <c r="AI133" s="42" t="str">
        <f>IFERROR(__xludf.DUMMYFUNCTION("vLOOKUP(A133,IMPORTRANGE(""https://docs.google.com/spreadsheets/d/1Rawwwdh8wntXGy8isdYNHxsNQS4n_rC8JSdPfj6vEq4"",""'500 объектов перенос на 2026'!A3:AB502""),13,0)"),"#REF!")</f>
        <v>#REF!</v>
      </c>
      <c r="AJ133" s="42" t="str">
        <f>IFERROR(__xludf.DUMMYFUNCTION("vLOOKUP(A133,IMPORTRANGE(""https://docs.google.com/spreadsheets/d/1Rawwwdh8wntXGy8isdYNHxsNQS4n_rC8JSdPfj6vEq4"",""'500 объектов перенос на 2026'!A3:AB502""),14,0)"),"#REF!")</f>
        <v>#REF!</v>
      </c>
      <c r="AK133" s="76" t="s">
        <v>114</v>
      </c>
      <c r="AL133" s="43"/>
      <c r="AM133" s="43"/>
      <c r="AN133" s="43"/>
      <c r="AO133" s="43"/>
    </row>
    <row r="134" hidden="1">
      <c r="A134" s="122" t="s">
        <v>1005</v>
      </c>
      <c r="B134" s="63" t="s">
        <v>998</v>
      </c>
      <c r="C134" s="64" t="s">
        <v>1006</v>
      </c>
      <c r="D134" s="47" t="s">
        <v>1000</v>
      </c>
      <c r="E134" s="64" t="s">
        <v>85</v>
      </c>
      <c r="F134" s="31" t="s">
        <v>60</v>
      </c>
      <c r="G134" s="31"/>
      <c r="H134" s="31"/>
      <c r="I134" s="31" t="s">
        <v>60</v>
      </c>
      <c r="J134" s="31"/>
      <c r="K134" s="31"/>
      <c r="L134" s="32" t="str">
        <f>IFERROR(__xludf.DUMMYFUNCTION("VLOOKUP($A134,IMPORTRANGE(""1PQtfbQLqBUP-rjYRznmgNFBLOjvAnhGzpIx7BJWq8rk"",""'Worksheet'!$B$2:$H""),7,FALSE)"),"#N/A")</f>
        <v>#N/A</v>
      </c>
      <c r="M134" s="31" t="s">
        <v>60</v>
      </c>
      <c r="N134" s="49">
        <v>9.42528E7</v>
      </c>
      <c r="O134" s="49">
        <v>9.425148856E7</v>
      </c>
      <c r="P134" s="49">
        <v>0.0</v>
      </c>
      <c r="Q134" s="34">
        <f t="shared" si="3"/>
        <v>0.0000139140694</v>
      </c>
      <c r="R134" s="31"/>
      <c r="S134" s="31" t="s">
        <v>60</v>
      </c>
      <c r="T134" s="50">
        <v>8.954016E7</v>
      </c>
      <c r="U134" s="51">
        <v>8.953891413E7</v>
      </c>
      <c r="V134" s="51">
        <v>1245.87</v>
      </c>
      <c r="W134" s="31"/>
      <c r="X134" s="52" t="s">
        <v>113</v>
      </c>
      <c r="Y134" s="54"/>
      <c r="Z134" s="54"/>
      <c r="AA134" s="54" t="s">
        <v>114</v>
      </c>
      <c r="AB134" s="38" t="s">
        <v>115</v>
      </c>
      <c r="AC134" s="38" t="s">
        <v>284</v>
      </c>
      <c r="AD134" s="39">
        <v>177296.0</v>
      </c>
      <c r="AE134" s="39">
        <v>94251.48856</v>
      </c>
      <c r="AF134" s="39">
        <v>83044.51144</v>
      </c>
      <c r="AG134" s="57" t="s">
        <v>1007</v>
      </c>
      <c r="AH134" s="42" t="s">
        <v>284</v>
      </c>
      <c r="AI134" s="42" t="str">
        <f>IFERROR(__xludf.DUMMYFUNCTION("vLOOKUP(A134,IMPORTRANGE(""https://docs.google.com/spreadsheets/d/1Rawwwdh8wntXGy8isdYNHxsNQS4n_rC8JSdPfj6vEq4"",""'500 объектов перенос на 2026'!A3:AB502""),13,0)"),"#REF!")</f>
        <v>#REF!</v>
      </c>
      <c r="AJ134" s="42" t="str">
        <f>IFERROR(__xludf.DUMMYFUNCTION("vLOOKUP(A134,IMPORTRANGE(""https://docs.google.com/spreadsheets/d/1Rawwwdh8wntXGy8isdYNHxsNQS4n_rC8JSdPfj6vEq4"",""'500 объектов перенос на 2026'!A3:AB502""),14,0)"),"#REF!")</f>
        <v>#REF!</v>
      </c>
      <c r="AK134" s="76" t="s">
        <v>114</v>
      </c>
      <c r="AL134" s="43"/>
      <c r="AM134" s="43"/>
      <c r="AN134" s="43"/>
      <c r="AO134" s="43"/>
    </row>
    <row r="135" hidden="1">
      <c r="A135" s="78" t="s">
        <v>1008</v>
      </c>
      <c r="B135" s="63" t="s">
        <v>998</v>
      </c>
      <c r="C135" s="64" t="s">
        <v>1009</v>
      </c>
      <c r="D135" s="47" t="s">
        <v>1000</v>
      </c>
      <c r="E135" s="64" t="s">
        <v>85</v>
      </c>
      <c r="F135" s="31" t="s">
        <v>60</v>
      </c>
      <c r="G135" s="31"/>
      <c r="H135" s="31"/>
      <c r="I135" s="31" t="s">
        <v>60</v>
      </c>
      <c r="J135" s="31"/>
      <c r="K135" s="31"/>
      <c r="L135" s="32" t="str">
        <f>IFERROR(__xludf.DUMMYFUNCTION("VLOOKUP($A135,IMPORTRANGE(""1PQtfbQLqBUP-rjYRznmgNFBLOjvAnhGzpIx7BJWq8rk"",""'Worksheet'!$B$2:$H""),7,FALSE)"),"#N/A")</f>
        <v>#N/A</v>
      </c>
      <c r="M135" s="31" t="s">
        <v>60</v>
      </c>
      <c r="N135" s="49">
        <v>1.9543566E8</v>
      </c>
      <c r="O135" s="49">
        <v>1.9543566E8</v>
      </c>
      <c r="P135" s="49">
        <f>N135-O135</f>
        <v>0</v>
      </c>
      <c r="Q135" s="34">
        <f t="shared" si="3"/>
        <v>0</v>
      </c>
      <c r="R135" s="31"/>
      <c r="S135" s="31" t="s">
        <v>60</v>
      </c>
      <c r="T135" s="97">
        <v>2.4710867E8</v>
      </c>
      <c r="U135" s="88">
        <v>9.42880781E7</v>
      </c>
      <c r="V135" s="88">
        <v>1.528205919E8</v>
      </c>
      <c r="W135" s="31"/>
      <c r="X135" s="52" t="s">
        <v>113</v>
      </c>
      <c r="Y135" s="54"/>
      <c r="Z135" s="54"/>
      <c r="AA135" s="54" t="s">
        <v>114</v>
      </c>
      <c r="AB135" s="38" t="s">
        <v>115</v>
      </c>
      <c r="AC135" s="38" t="s">
        <v>1010</v>
      </c>
      <c r="AD135" s="39">
        <v>195435.66</v>
      </c>
      <c r="AE135" s="39">
        <v>195435.6545</v>
      </c>
      <c r="AF135" s="39">
        <v>0.00546</v>
      </c>
      <c r="AG135" s="57" t="s">
        <v>1011</v>
      </c>
      <c r="AH135" s="42" t="s">
        <v>1010</v>
      </c>
      <c r="AI135" s="42" t="str">
        <f>IFERROR(__xludf.DUMMYFUNCTION("vLOOKUP(A135,IMPORTRANGE(""https://docs.google.com/spreadsheets/d/1Rawwwdh8wntXGy8isdYNHxsNQS4n_rC8JSdPfj6vEq4"",""'500 объектов перенос на 2026'!A3:AB502""),13,0)"),"#REF!")</f>
        <v>#REF!</v>
      </c>
      <c r="AJ135" s="42" t="str">
        <f>IFERROR(__xludf.DUMMYFUNCTION("vLOOKUP(A135,IMPORTRANGE(""https://docs.google.com/spreadsheets/d/1Rawwwdh8wntXGy8isdYNHxsNQS4n_rC8JSdPfj6vEq4"",""'500 объектов перенос на 2026'!A3:AB502""),14,0)"),"#REF!")</f>
        <v>#REF!</v>
      </c>
      <c r="AK135" s="76" t="s">
        <v>114</v>
      </c>
      <c r="AL135" s="43"/>
      <c r="AM135" s="43"/>
      <c r="AN135" s="43"/>
      <c r="AO135" s="43"/>
    </row>
    <row r="136" hidden="1">
      <c r="A136" s="78" t="s">
        <v>1012</v>
      </c>
      <c r="B136" s="63" t="s">
        <v>998</v>
      </c>
      <c r="C136" s="64" t="s">
        <v>1013</v>
      </c>
      <c r="D136" s="47" t="s">
        <v>1014</v>
      </c>
      <c r="E136" s="64" t="s">
        <v>59</v>
      </c>
      <c r="F136" s="31" t="s">
        <v>60</v>
      </c>
      <c r="G136" s="31"/>
      <c r="H136" s="31"/>
      <c r="I136" s="31" t="s">
        <v>60</v>
      </c>
      <c r="J136" s="31"/>
      <c r="K136" s="31"/>
      <c r="L136" s="32" t="str">
        <f>IFERROR(__xludf.DUMMYFUNCTION("VLOOKUP($A136,IMPORTRANGE(""1PQtfbQLqBUP-rjYRznmgNFBLOjvAnhGzpIx7BJWq8rk"",""'Worksheet'!$B$2:$H""),7,FALSE)"),"#N/A")</f>
        <v>#N/A</v>
      </c>
      <c r="M136" s="31" t="s">
        <v>60</v>
      </c>
      <c r="N136" s="49">
        <v>1.11559023E8</v>
      </c>
      <c r="O136" s="49">
        <v>1.0647879557E8</v>
      </c>
      <c r="P136" s="49">
        <v>0.0</v>
      </c>
      <c r="Q136" s="34">
        <f t="shared" si="3"/>
        <v>0.04553847186</v>
      </c>
      <c r="R136" s="31"/>
      <c r="S136" s="31" t="s">
        <v>60</v>
      </c>
      <c r="T136" s="50">
        <v>1.0598107185E8</v>
      </c>
      <c r="U136" s="51">
        <v>1.0115485579E8</v>
      </c>
      <c r="V136" s="51">
        <v>4826216.11</v>
      </c>
      <c r="W136" s="31"/>
      <c r="X136" s="52" t="s">
        <v>113</v>
      </c>
      <c r="Y136" s="54"/>
      <c r="Z136" s="54"/>
      <c r="AA136" s="54" t="s">
        <v>114</v>
      </c>
      <c r="AB136" s="38" t="s">
        <v>115</v>
      </c>
      <c r="AC136" s="38" t="s">
        <v>284</v>
      </c>
      <c r="AD136" s="39">
        <v>111559.023</v>
      </c>
      <c r="AE136" s="39">
        <v>106478.7956</v>
      </c>
      <c r="AF136" s="39">
        <v>5080.22744</v>
      </c>
      <c r="AG136" s="57" t="s">
        <v>1015</v>
      </c>
      <c r="AH136" s="42" t="s">
        <v>284</v>
      </c>
      <c r="AI136" s="42" t="str">
        <f>IFERROR(__xludf.DUMMYFUNCTION("vLOOKUP(A136,IMPORTRANGE(""https://docs.google.com/spreadsheets/d/1Rawwwdh8wntXGy8isdYNHxsNQS4n_rC8JSdPfj6vEq4"",""'500 объектов перенос на 2026'!A3:AB502""),13,0)"),"#REF!")</f>
        <v>#REF!</v>
      </c>
      <c r="AJ136" s="42" t="str">
        <f>IFERROR(__xludf.DUMMYFUNCTION("vLOOKUP(A136,IMPORTRANGE(""https://docs.google.com/spreadsheets/d/1Rawwwdh8wntXGy8isdYNHxsNQS4n_rC8JSdPfj6vEq4"",""'500 объектов перенос на 2026'!A3:AB502""),14,0)"),"#REF!")</f>
        <v>#REF!</v>
      </c>
      <c r="AK136" s="76" t="s">
        <v>114</v>
      </c>
      <c r="AL136" s="43"/>
      <c r="AM136" s="43"/>
      <c r="AN136" s="43"/>
      <c r="AO136" s="43"/>
    </row>
    <row r="137" hidden="1">
      <c r="A137" s="62" t="s">
        <v>1016</v>
      </c>
      <c r="B137" s="63" t="s">
        <v>605</v>
      </c>
      <c r="C137" s="64" t="s">
        <v>1017</v>
      </c>
      <c r="D137" s="47" t="s">
        <v>38</v>
      </c>
      <c r="E137" s="64" t="s">
        <v>85</v>
      </c>
      <c r="F137" s="31" t="s">
        <v>60</v>
      </c>
      <c r="G137" s="31"/>
      <c r="H137" s="31"/>
      <c r="I137" s="31" t="s">
        <v>60</v>
      </c>
      <c r="J137" s="31"/>
      <c r="K137" s="31"/>
      <c r="L137" s="32">
        <f>IFERROR(__xludf.DUMMYFUNCTION("VLOOKUP($A137,IMPORTRANGE(""1PQtfbQLqBUP-rjYRznmgNFBLOjvAnhGzpIx7BJWq8rk"",""'Worksheet'!$B$2:$H""),7,FALSE)"),1.0)</f>
        <v>1</v>
      </c>
      <c r="M137" s="31" t="s">
        <v>60</v>
      </c>
      <c r="N137" s="49">
        <v>5.879569787E8</v>
      </c>
      <c r="O137" s="49">
        <v>5.7762662937E8</v>
      </c>
      <c r="P137" s="49">
        <v>0.0</v>
      </c>
      <c r="Q137" s="34">
        <f t="shared" si="3"/>
        <v>0.01756990682</v>
      </c>
      <c r="R137" s="31"/>
      <c r="S137" s="31" t="s">
        <v>60</v>
      </c>
      <c r="T137" s="88" t="s">
        <v>1018</v>
      </c>
      <c r="U137" s="88" t="s">
        <v>1019</v>
      </c>
      <c r="V137" s="88" t="s">
        <v>1020</v>
      </c>
      <c r="W137" s="31"/>
      <c r="X137" s="54" t="s">
        <v>114</v>
      </c>
      <c r="Y137" s="54" t="s">
        <v>114</v>
      </c>
      <c r="Z137" s="54"/>
      <c r="AA137" s="54" t="s">
        <v>114</v>
      </c>
      <c r="AB137" s="56"/>
      <c r="AC137" s="38" t="s">
        <v>8</v>
      </c>
      <c r="AD137" s="39">
        <v>640326.85</v>
      </c>
      <c r="AE137" s="39">
        <v>452023.6057</v>
      </c>
      <c r="AF137" s="40">
        <v>188303.2444</v>
      </c>
      <c r="AG137" s="99" t="s">
        <v>1021</v>
      </c>
      <c r="AH137" s="85"/>
      <c r="AI137" s="42" t="str">
        <f>IFERROR(__xludf.DUMMYFUNCTION("vLOOKUP(A137,IMPORTRANGE(""https://docs.google.com/spreadsheets/d/1Rawwwdh8wntXGy8isdYNHxsNQS4n_rC8JSdPfj6vEq4"",""'500 объектов перенос на 2026'!A3:AB502""),13,0)"),"#REF!")</f>
        <v>#REF!</v>
      </c>
      <c r="AJ137" s="42" t="str">
        <f>IFERROR(__xludf.DUMMYFUNCTION("vLOOKUP(A137,IMPORTRANGE(""https://docs.google.com/spreadsheets/d/1Rawwwdh8wntXGy8isdYNHxsNQS4n_rC8JSdPfj6vEq4"",""'500 объектов перенос на 2026'!A3:AB502""),14,0)"),"#REF!")</f>
        <v>#REF!</v>
      </c>
      <c r="AK137" s="76" t="s">
        <v>114</v>
      </c>
      <c r="AL137" s="43"/>
      <c r="AM137" s="43"/>
      <c r="AN137" s="43"/>
      <c r="AO137" s="43"/>
    </row>
    <row r="138" hidden="1">
      <c r="A138" s="62" t="s">
        <v>1022</v>
      </c>
      <c r="B138" s="63" t="s">
        <v>56</v>
      </c>
      <c r="C138" s="64" t="s">
        <v>1023</v>
      </c>
      <c r="D138" s="47" t="s">
        <v>492</v>
      </c>
      <c r="E138" s="64" t="s">
        <v>85</v>
      </c>
      <c r="F138" s="31" t="s">
        <v>60</v>
      </c>
      <c r="G138" s="31"/>
      <c r="H138" s="31"/>
      <c r="I138" s="31" t="s">
        <v>40</v>
      </c>
      <c r="J138" s="31" t="s">
        <v>102</v>
      </c>
      <c r="K138" s="31" t="s">
        <v>713</v>
      </c>
      <c r="L138" s="32">
        <f>IFERROR(__xludf.DUMMYFUNCTION("VLOOKUP($A138,IMPORTRANGE(""1PQtfbQLqBUP-rjYRznmgNFBLOjvAnhGzpIx7BJWq8rk"",""'Worksheet'!$B$2:$H""),7,FALSE)"),0.97)</f>
        <v>0.97</v>
      </c>
      <c r="M138" s="31" t="s">
        <v>45</v>
      </c>
      <c r="N138" s="49">
        <v>6.0285821E7</v>
      </c>
      <c r="O138" s="49">
        <v>7447641.0</v>
      </c>
      <c r="P138" s="49">
        <f t="shared" ref="P138:P150" si="25">N138-O138</f>
        <v>52838180</v>
      </c>
      <c r="Q138" s="34">
        <f t="shared" si="3"/>
        <v>0.87646115</v>
      </c>
      <c r="R138" s="31"/>
      <c r="S138" s="31" t="s">
        <v>45</v>
      </c>
      <c r="T138" s="88" t="s">
        <v>1024</v>
      </c>
      <c r="U138" s="88" t="s">
        <v>1025</v>
      </c>
      <c r="V138" s="88" t="s">
        <v>1026</v>
      </c>
      <c r="W138" s="31"/>
      <c r="X138" s="52"/>
      <c r="Y138" s="54" t="s">
        <v>1027</v>
      </c>
      <c r="Z138" s="68"/>
      <c r="AA138" s="68">
        <v>46233.0</v>
      </c>
      <c r="AB138" s="56"/>
      <c r="AC138" s="38"/>
      <c r="AD138" s="39">
        <v>24825.48</v>
      </c>
      <c r="AE138" s="39">
        <v>7447.641</v>
      </c>
      <c r="AF138" s="40">
        <v>17377.839</v>
      </c>
      <c r="AG138" s="57" t="s">
        <v>1028</v>
      </c>
      <c r="AH138" s="69" t="s">
        <v>66</v>
      </c>
      <c r="AI138" s="42" t="str">
        <f>IFERROR(__xludf.DUMMYFUNCTION("vLOOKUP(A138,IMPORTRANGE(""https://docs.google.com/spreadsheets/d/1Rawwwdh8wntXGy8isdYNHxsNQS4n_rC8JSdPfj6vEq4"",""'500 объектов перенос на 2026'!A3:AB502""),13,0)"),"#REF!")</f>
        <v>#REF!</v>
      </c>
      <c r="AJ138" s="42" t="str">
        <f>IFERROR(__xludf.DUMMYFUNCTION("vLOOKUP(A138,IMPORTRANGE(""https://docs.google.com/spreadsheets/d/1Rawwwdh8wntXGy8isdYNHxsNQS4n_rC8JSdPfj6vEq4"",""'500 объектов перенос на 2026'!A3:AB502""),14,0)"),"#REF!")</f>
        <v>#REF!</v>
      </c>
      <c r="AK138" s="76" t="s">
        <v>1027</v>
      </c>
      <c r="AL138" s="43"/>
      <c r="AM138" s="43"/>
      <c r="AN138" s="43"/>
      <c r="AO138" s="43"/>
    </row>
    <row r="139" hidden="1">
      <c r="A139" s="62" t="s">
        <v>1030</v>
      </c>
      <c r="B139" s="63" t="s">
        <v>133</v>
      </c>
      <c r="C139" s="144" t="s">
        <v>1031</v>
      </c>
      <c r="D139" s="47" t="s">
        <v>246</v>
      </c>
      <c r="E139" s="64" t="s">
        <v>59</v>
      </c>
      <c r="F139" s="31" t="s">
        <v>60</v>
      </c>
      <c r="G139" s="31"/>
      <c r="H139" s="31"/>
      <c r="I139" s="31" t="s">
        <v>60</v>
      </c>
      <c r="J139" s="31"/>
      <c r="K139" s="31"/>
      <c r="L139" s="32">
        <f>IFERROR(__xludf.DUMMYFUNCTION("VLOOKUP($A139,IMPORTRANGE(""1PQtfbQLqBUP-rjYRznmgNFBLOjvAnhGzpIx7BJWq8rk"",""'Worksheet'!$B$2:$H""),7,FALSE)"),0.97)</f>
        <v>0.97</v>
      </c>
      <c r="M139" s="31" t="s">
        <v>40</v>
      </c>
      <c r="N139" s="49">
        <v>6.299126714E7</v>
      </c>
      <c r="O139" s="49">
        <v>1.120050089E7</v>
      </c>
      <c r="P139" s="49">
        <f t="shared" si="25"/>
        <v>51790766.25</v>
      </c>
      <c r="Q139" s="34">
        <f t="shared" si="3"/>
        <v>0.8221896241</v>
      </c>
      <c r="R139" s="31" t="s">
        <v>1032</v>
      </c>
      <c r="S139" s="31" t="s">
        <v>45</v>
      </c>
      <c r="T139" s="84">
        <f>N139*0.95</f>
        <v>59841703.78</v>
      </c>
      <c r="U139" s="84">
        <v>0.0</v>
      </c>
      <c r="V139" s="84">
        <v>5.9841703783E7</v>
      </c>
      <c r="W139" s="31"/>
      <c r="X139" s="52" t="s">
        <v>507</v>
      </c>
      <c r="Y139" s="73" t="s">
        <v>1033</v>
      </c>
      <c r="Z139" s="54" t="s">
        <v>1034</v>
      </c>
      <c r="AA139" s="74">
        <v>46188.0</v>
      </c>
      <c r="AB139" s="56"/>
      <c r="AC139" s="38"/>
      <c r="AD139" s="39">
        <v>39300.0</v>
      </c>
      <c r="AE139" s="39">
        <v>11200.50089</v>
      </c>
      <c r="AF139" s="40">
        <v>28099.49911</v>
      </c>
      <c r="AG139" s="57" t="s">
        <v>1035</v>
      </c>
      <c r="AH139" s="42" t="s">
        <v>1036</v>
      </c>
      <c r="AI139" s="42" t="str">
        <f>IFERROR(__xludf.DUMMYFUNCTION("vLOOKUP(A139,IMPORTRANGE(""https://docs.google.com/spreadsheets/d/1Rawwwdh8wntXGy8isdYNHxsNQS4n_rC8JSdPfj6vEq4"",""'500 объектов перенос на 2026'!A3:AB502""),13,0)"),"#REF!")</f>
        <v>#REF!</v>
      </c>
      <c r="AJ139" s="42" t="str">
        <f>IFERROR(__xludf.DUMMYFUNCTION("vLOOKUP(A139,IMPORTRANGE(""https://docs.google.com/spreadsheets/d/1Rawwwdh8wntXGy8isdYNHxsNQS4n_rC8JSdPfj6vEq4"",""'500 объектов перенос на 2026'!A3:AB502""),14,0)"),"#REF!")</f>
        <v>#REF!</v>
      </c>
      <c r="AK139" s="76" t="s">
        <v>3372</v>
      </c>
      <c r="AL139" s="43"/>
      <c r="AM139" s="43"/>
      <c r="AN139" s="43"/>
      <c r="AO139" s="43"/>
    </row>
    <row r="140" hidden="1">
      <c r="A140" s="62" t="s">
        <v>1038</v>
      </c>
      <c r="B140" s="63" t="s">
        <v>1039</v>
      </c>
      <c r="C140" s="90" t="s">
        <v>1040</v>
      </c>
      <c r="D140" s="47" t="s">
        <v>1041</v>
      </c>
      <c r="E140" s="64" t="s">
        <v>85</v>
      </c>
      <c r="F140" s="31" t="s">
        <v>60</v>
      </c>
      <c r="G140" s="31"/>
      <c r="H140" s="31"/>
      <c r="I140" s="31" t="s">
        <v>40</v>
      </c>
      <c r="J140" s="31" t="s">
        <v>102</v>
      </c>
      <c r="K140" s="31" t="s">
        <v>72</v>
      </c>
      <c r="L140" s="32">
        <f>IFERROR(__xludf.DUMMYFUNCTION("VLOOKUP($A140,IMPORTRANGE(""1PQtfbQLqBUP-rjYRznmgNFBLOjvAnhGzpIx7BJWq8rk"",""'Worksheet'!$B$2:$H""),7,FALSE)"),0.15)</f>
        <v>0.15</v>
      </c>
      <c r="M140" s="31" t="s">
        <v>40</v>
      </c>
      <c r="N140" s="49">
        <v>7.632129298E7</v>
      </c>
      <c r="O140" s="49">
        <v>2.476501585E7</v>
      </c>
      <c r="P140" s="49">
        <f t="shared" si="25"/>
        <v>51556277.13</v>
      </c>
      <c r="Q140" s="34">
        <f t="shared" si="3"/>
        <v>0.6755162959</v>
      </c>
      <c r="R140" s="31"/>
      <c r="S140" s="31" t="s">
        <v>45</v>
      </c>
      <c r="T140" s="88">
        <v>7.250522833E7</v>
      </c>
      <c r="U140" s="88">
        <v>2.352676506E7</v>
      </c>
      <c r="V140" s="88">
        <f>T140-U140</f>
        <v>48978463.27</v>
      </c>
      <c r="W140" s="31"/>
      <c r="X140" s="52" t="s">
        <v>46</v>
      </c>
      <c r="Y140" s="54" t="s">
        <v>1042</v>
      </c>
      <c r="Z140" s="74"/>
      <c r="AA140" s="74">
        <v>46296.0</v>
      </c>
      <c r="AB140" s="56"/>
      <c r="AC140" s="38"/>
      <c r="AD140" s="39">
        <v>70757.19</v>
      </c>
      <c r="AE140" s="39">
        <v>24765.01585</v>
      </c>
      <c r="AF140" s="40">
        <v>45992.17415</v>
      </c>
      <c r="AG140" s="57" t="s">
        <v>1043</v>
      </c>
      <c r="AH140" s="42" t="s">
        <v>46</v>
      </c>
      <c r="AI140" s="42" t="str">
        <f>IFERROR(__xludf.DUMMYFUNCTION("vLOOKUP(A140,IMPORTRANGE(""https://docs.google.com/spreadsheets/d/1Rawwwdh8wntXGy8isdYNHxsNQS4n_rC8JSdPfj6vEq4"",""'500 объектов перенос на 2026'!A3:AB502""),13,0)"),"#REF!")</f>
        <v>#REF!</v>
      </c>
      <c r="AJ140" s="42" t="str">
        <f>IFERROR(__xludf.DUMMYFUNCTION("vLOOKUP(A140,IMPORTRANGE(""https://docs.google.com/spreadsheets/d/1Rawwwdh8wntXGy8isdYNHxsNQS4n_rC8JSdPfj6vEq4"",""'500 объектов перенос на 2026'!A3:AB502""),14,0)"),"#REF!")</f>
        <v>#REF!</v>
      </c>
      <c r="AK140" s="76" t="s">
        <v>3373</v>
      </c>
      <c r="AL140" s="43"/>
      <c r="AM140" s="43"/>
      <c r="AN140" s="43"/>
      <c r="AO140" s="43"/>
    </row>
    <row r="141" hidden="1">
      <c r="A141" s="62" t="s">
        <v>1046</v>
      </c>
      <c r="B141" s="63" t="s">
        <v>400</v>
      </c>
      <c r="C141" s="64" t="s">
        <v>1047</v>
      </c>
      <c r="D141" s="47" t="s">
        <v>1048</v>
      </c>
      <c r="E141" s="64" t="s">
        <v>324</v>
      </c>
      <c r="F141" s="31" t="s">
        <v>60</v>
      </c>
      <c r="G141" s="31"/>
      <c r="H141" s="31"/>
      <c r="I141" s="31" t="s">
        <v>40</v>
      </c>
      <c r="J141" s="31" t="s">
        <v>102</v>
      </c>
      <c r="K141" s="31" t="s">
        <v>72</v>
      </c>
      <c r="L141" s="32">
        <f>IFERROR(__xludf.DUMMYFUNCTION("VLOOKUP($A141,IMPORTRANGE(""1PQtfbQLqBUP-rjYRznmgNFBLOjvAnhGzpIx7BJWq8rk"",""'Worksheet'!$B$2:$H""),7,FALSE)"),0.74)</f>
        <v>0.74</v>
      </c>
      <c r="M141" s="31" t="s">
        <v>45</v>
      </c>
      <c r="N141" s="49">
        <v>7.2257526E7</v>
      </c>
      <c r="O141" s="49">
        <v>6.111680183E7</v>
      </c>
      <c r="P141" s="49">
        <f t="shared" si="25"/>
        <v>11140724.17</v>
      </c>
      <c r="Q141" s="34">
        <f t="shared" si="3"/>
        <v>0.1541808139</v>
      </c>
      <c r="R141" s="31"/>
      <c r="S141" s="31" t="s">
        <v>45</v>
      </c>
      <c r="T141" s="84"/>
      <c r="U141" s="84" t="s">
        <v>1049</v>
      </c>
      <c r="V141" s="84" t="s">
        <v>1050</v>
      </c>
      <c r="W141" s="31"/>
      <c r="X141" s="52" t="s">
        <v>803</v>
      </c>
      <c r="Y141" s="54" t="s">
        <v>1051</v>
      </c>
      <c r="Z141" s="54" t="s">
        <v>1052</v>
      </c>
      <c r="AA141" s="74">
        <v>46218.0</v>
      </c>
      <c r="AB141" s="56"/>
      <c r="AC141" s="38"/>
      <c r="AD141" s="39">
        <v>65688.66</v>
      </c>
      <c r="AE141" s="39">
        <v>20818.88094</v>
      </c>
      <c r="AF141" s="40">
        <v>44869.77906</v>
      </c>
      <c r="AG141" s="57" t="s">
        <v>1053</v>
      </c>
      <c r="AH141" s="42" t="s">
        <v>1054</v>
      </c>
      <c r="AI141" s="42" t="str">
        <f>IFERROR(__xludf.DUMMYFUNCTION("vLOOKUP(A141,IMPORTRANGE(""https://docs.google.com/spreadsheets/d/1Rawwwdh8wntXGy8isdYNHxsNQS4n_rC8JSdPfj6vEq4"",""'500 объектов перенос на 2026'!A3:AB502""),13,0)"),"#REF!")</f>
        <v>#REF!</v>
      </c>
      <c r="AJ141" s="42" t="str">
        <f>IFERROR(__xludf.DUMMYFUNCTION("vLOOKUP(A141,IMPORTRANGE(""https://docs.google.com/spreadsheets/d/1Rawwwdh8wntXGy8isdYNHxsNQS4n_rC8JSdPfj6vEq4"",""'500 объектов перенос на 2026'!A3:AB502""),14,0)"),"#REF!")</f>
        <v>#REF!</v>
      </c>
      <c r="AK141" s="76" t="s">
        <v>1055</v>
      </c>
      <c r="AL141" s="43"/>
      <c r="AM141" s="43"/>
      <c r="AN141" s="43"/>
      <c r="AO141" s="43"/>
    </row>
    <row r="142" hidden="1">
      <c r="A142" s="62" t="s">
        <v>1056</v>
      </c>
      <c r="B142" s="63" t="s">
        <v>653</v>
      </c>
      <c r="C142" s="64" t="s">
        <v>1057</v>
      </c>
      <c r="D142" s="47" t="s">
        <v>1058</v>
      </c>
      <c r="E142" s="64" t="s">
        <v>59</v>
      </c>
      <c r="F142" s="31" t="s">
        <v>60</v>
      </c>
      <c r="G142" s="31"/>
      <c r="H142" s="31"/>
      <c r="I142" s="31" t="s">
        <v>60</v>
      </c>
      <c r="J142" s="31"/>
      <c r="K142" s="31"/>
      <c r="L142" s="32">
        <f>IFERROR(__xludf.DUMMYFUNCTION("VLOOKUP($A142,IMPORTRANGE(""1PQtfbQLqBUP-rjYRznmgNFBLOjvAnhGzpIx7BJWq8rk"",""'Worksheet'!$B$2:$H""),7,FALSE)"),1.0)</f>
        <v>1</v>
      </c>
      <c r="M142" s="31" t="s">
        <v>40</v>
      </c>
      <c r="N142" s="49">
        <v>1.0287544E8</v>
      </c>
      <c r="O142" s="49">
        <v>5.143772E7</v>
      </c>
      <c r="P142" s="49">
        <f t="shared" si="25"/>
        <v>51437720</v>
      </c>
      <c r="Q142" s="34">
        <f t="shared" si="3"/>
        <v>0.5</v>
      </c>
      <c r="R142" s="31" t="s">
        <v>1059</v>
      </c>
      <c r="S142" s="31" t="s">
        <v>60</v>
      </c>
      <c r="T142" s="145" t="s">
        <v>1060</v>
      </c>
      <c r="U142" s="145">
        <v>0.0</v>
      </c>
      <c r="V142" s="84" t="s">
        <v>1060</v>
      </c>
      <c r="W142" s="31"/>
      <c r="X142" s="52" t="s">
        <v>8</v>
      </c>
      <c r="Y142" s="54" t="s">
        <v>1061</v>
      </c>
      <c r="Z142" s="74"/>
      <c r="AA142" s="74">
        <v>46188.0</v>
      </c>
      <c r="AB142" s="56"/>
      <c r="AC142" s="38" t="s">
        <v>1062</v>
      </c>
      <c r="AD142" s="39">
        <v>102875.44</v>
      </c>
      <c r="AE142" s="39">
        <v>51437.72</v>
      </c>
      <c r="AF142" s="40">
        <v>51437.72</v>
      </c>
      <c r="AG142" s="57" t="s">
        <v>1063</v>
      </c>
      <c r="AH142" s="42" t="s">
        <v>1064</v>
      </c>
      <c r="AI142" s="42" t="str">
        <f>IFERROR(__xludf.DUMMYFUNCTION("vLOOKUP(A142,IMPORTRANGE(""https://docs.google.com/spreadsheets/d/1Rawwwdh8wntXGy8isdYNHxsNQS4n_rC8JSdPfj6vEq4"",""'500 объектов перенос на 2026'!A3:AB502""),13,0)"),"#REF!")</f>
        <v>#REF!</v>
      </c>
      <c r="AJ142" s="42" t="str">
        <f>IFERROR(__xludf.DUMMYFUNCTION("vLOOKUP(A142,IMPORTRANGE(""https://docs.google.com/spreadsheets/d/1Rawwwdh8wntXGy8isdYNHxsNQS4n_rC8JSdPfj6vEq4"",""'500 объектов перенос на 2026'!A3:AB502""),14,0)"),"#REF!")</f>
        <v>#REF!</v>
      </c>
      <c r="AK142" s="70" t="s">
        <v>3374</v>
      </c>
      <c r="AL142" s="43"/>
      <c r="AM142" s="43"/>
      <c r="AN142" s="43"/>
      <c r="AO142" s="43"/>
    </row>
    <row r="143" hidden="1">
      <c r="A143" s="62" t="s">
        <v>1066</v>
      </c>
      <c r="B143" s="63" t="s">
        <v>70</v>
      </c>
      <c r="C143" s="64" t="s">
        <v>1067</v>
      </c>
      <c r="D143" s="47" t="s">
        <v>227</v>
      </c>
      <c r="E143" s="64" t="s">
        <v>59</v>
      </c>
      <c r="F143" s="31" t="s">
        <v>60</v>
      </c>
      <c r="G143" s="31"/>
      <c r="H143" s="31"/>
      <c r="I143" s="31" t="s">
        <v>40</v>
      </c>
      <c r="J143" s="31" t="s">
        <v>102</v>
      </c>
      <c r="K143" s="31" t="s">
        <v>586</v>
      </c>
      <c r="L143" s="32">
        <f>IFERROR(__xludf.DUMMYFUNCTION("VLOOKUP($A143,IMPORTRANGE(""1PQtfbQLqBUP-rjYRznmgNFBLOjvAnhGzpIx7BJWq8rk"",""'Worksheet'!$B$2:$H""),7,FALSE)"),0.78)</f>
        <v>0.78</v>
      </c>
      <c r="M143" s="31" t="s">
        <v>45</v>
      </c>
      <c r="N143" s="49">
        <v>1.9020036E8</v>
      </c>
      <c r="O143" s="49">
        <v>1.3900707415E8</v>
      </c>
      <c r="P143" s="49">
        <f t="shared" si="25"/>
        <v>51193285.85</v>
      </c>
      <c r="Q143" s="34">
        <f t="shared" si="3"/>
        <v>0.2691545161</v>
      </c>
      <c r="R143" s="31"/>
      <c r="S143" s="31" t="s">
        <v>45</v>
      </c>
      <c r="T143" s="88" t="s">
        <v>1068</v>
      </c>
      <c r="U143" s="88">
        <v>5.441274522E7</v>
      </c>
      <c r="V143" s="88">
        <v>1.0238657172E8</v>
      </c>
      <c r="W143" s="31"/>
      <c r="X143" s="52" t="s">
        <v>73</v>
      </c>
      <c r="Y143" s="73" t="s">
        <v>1069</v>
      </c>
      <c r="Z143" s="54" t="s">
        <v>75</v>
      </c>
      <c r="AA143" s="100">
        <v>46356.0</v>
      </c>
      <c r="AB143" s="56"/>
      <c r="AC143" s="38"/>
      <c r="AD143" s="39">
        <v>190200.36</v>
      </c>
      <c r="AE143" s="39">
        <v>139007.0742</v>
      </c>
      <c r="AF143" s="40">
        <v>51193.28585</v>
      </c>
      <c r="AG143" s="57" t="s">
        <v>1070</v>
      </c>
      <c r="AH143" s="42" t="s">
        <v>66</v>
      </c>
      <c r="AI143" s="42" t="str">
        <f>IFERROR(__xludf.DUMMYFUNCTION("vLOOKUP(A143,IMPORTRANGE(""https://docs.google.com/spreadsheets/d/1Rawwwdh8wntXGy8isdYNHxsNQS4n_rC8JSdPfj6vEq4"",""'500 объектов перенос на 2026'!A3:AB502""),13,0)"),"#REF!")</f>
        <v>#REF!</v>
      </c>
      <c r="AJ143" s="42" t="str">
        <f>IFERROR(__xludf.DUMMYFUNCTION("vLOOKUP(A143,IMPORTRANGE(""https://docs.google.com/spreadsheets/d/1Rawwwdh8wntXGy8isdYNHxsNQS4n_rC8JSdPfj6vEq4"",""'500 объектов перенос на 2026'!A3:AB502""),14,0)"),"#REF!")</f>
        <v>#REF!</v>
      </c>
      <c r="AK143" s="70" t="s">
        <v>3375</v>
      </c>
      <c r="AL143" s="43"/>
      <c r="AM143" s="43"/>
      <c r="AN143" s="43"/>
      <c r="AO143" s="43"/>
    </row>
    <row r="144" hidden="1">
      <c r="A144" s="62" t="s">
        <v>1073</v>
      </c>
      <c r="B144" s="63" t="s">
        <v>56</v>
      </c>
      <c r="C144" s="64" t="s">
        <v>1074</v>
      </c>
      <c r="D144" s="47" t="s">
        <v>957</v>
      </c>
      <c r="E144" s="64" t="s">
        <v>39</v>
      </c>
      <c r="F144" s="31" t="s">
        <v>40</v>
      </c>
      <c r="G144" s="31" t="s">
        <v>156</v>
      </c>
      <c r="H144" s="31" t="s">
        <v>343</v>
      </c>
      <c r="I144" s="31" t="s">
        <v>40</v>
      </c>
      <c r="J144" s="31" t="s">
        <v>1075</v>
      </c>
      <c r="K144" s="31"/>
      <c r="L144" s="32">
        <f>IFERROR(__xludf.DUMMYFUNCTION("VLOOKUP($A144,IMPORTRANGE(""1PQtfbQLqBUP-rjYRznmgNFBLOjvAnhGzpIx7BJWq8rk"",""'Worksheet'!$B$2:$H""),7,FALSE)"),0.68)</f>
        <v>0.68</v>
      </c>
      <c r="M144" s="31" t="s">
        <v>45</v>
      </c>
      <c r="N144" s="49">
        <v>7.15256047E7</v>
      </c>
      <c r="O144" s="49">
        <v>2.145768141E7</v>
      </c>
      <c r="P144" s="49">
        <f t="shared" si="25"/>
        <v>50067923.29</v>
      </c>
      <c r="Q144" s="34">
        <f t="shared" si="3"/>
        <v>0.7</v>
      </c>
      <c r="R144" s="31"/>
      <c r="S144" s="31" t="s">
        <v>40</v>
      </c>
      <c r="T144" s="88" t="s">
        <v>1076</v>
      </c>
      <c r="U144" s="88">
        <v>0.0</v>
      </c>
      <c r="V144" s="88" t="s">
        <v>1076</v>
      </c>
      <c r="W144" s="31"/>
      <c r="X144" s="52" t="s">
        <v>46</v>
      </c>
      <c r="Y144" s="54" t="s">
        <v>3376</v>
      </c>
      <c r="Z144" s="68"/>
      <c r="AA144" s="68">
        <v>46356.0</v>
      </c>
      <c r="AB144" s="56"/>
      <c r="AC144" s="38"/>
      <c r="AD144" s="39">
        <v>71525.6</v>
      </c>
      <c r="AE144" s="39">
        <v>21457.68141</v>
      </c>
      <c r="AF144" s="40">
        <v>50067.91859</v>
      </c>
      <c r="AG144" s="57" t="s">
        <v>1078</v>
      </c>
      <c r="AH144" s="42" t="s">
        <v>49</v>
      </c>
      <c r="AI144" s="42" t="str">
        <f>IFERROR(__xludf.DUMMYFUNCTION("vLOOKUP(A144,IMPORTRANGE(""https://docs.google.com/spreadsheets/d/1Rawwwdh8wntXGy8isdYNHxsNQS4n_rC8JSdPfj6vEq4"",""'500 объектов перенос на 2026'!A3:AB502""),13,0)"),"#REF!")</f>
        <v>#REF!</v>
      </c>
      <c r="AJ144" s="42" t="str">
        <f>IFERROR(__xludf.DUMMYFUNCTION("vLOOKUP(A144,IMPORTRANGE(""https://docs.google.com/spreadsheets/d/1Rawwwdh8wntXGy8isdYNHxsNQS4n_rC8JSdPfj6vEq4"",""'500 объектов перенос на 2026'!A3:AB502""),14,0)"),"#REF!")</f>
        <v>#REF!</v>
      </c>
      <c r="AK144" s="76" t="s">
        <v>3377</v>
      </c>
      <c r="AL144" s="43"/>
      <c r="AM144" s="43"/>
      <c r="AN144" s="43"/>
      <c r="AO144" s="43"/>
    </row>
    <row r="145" hidden="1">
      <c r="A145" s="62" t="s">
        <v>1080</v>
      </c>
      <c r="B145" s="63" t="s">
        <v>82</v>
      </c>
      <c r="C145" s="64" t="s">
        <v>1081</v>
      </c>
      <c r="D145" s="47" t="s">
        <v>227</v>
      </c>
      <c r="E145" s="64" t="s">
        <v>59</v>
      </c>
      <c r="F145" s="31" t="s">
        <v>40</v>
      </c>
      <c r="G145" s="31" t="s">
        <v>41</v>
      </c>
      <c r="H145" s="31" t="s">
        <v>343</v>
      </c>
      <c r="I145" s="31" t="s">
        <v>40</v>
      </c>
      <c r="J145" s="31" t="s">
        <v>102</v>
      </c>
      <c r="K145" s="31"/>
      <c r="L145" s="32">
        <f>IFERROR(__xludf.DUMMYFUNCTION("VLOOKUP($A145,IMPORTRANGE(""1PQtfbQLqBUP-rjYRznmgNFBLOjvAnhGzpIx7BJWq8rk"",""'Worksheet'!$B$2:$H""),7,FALSE)"),0.82)</f>
        <v>0.82</v>
      </c>
      <c r="M145" s="31" t="s">
        <v>40</v>
      </c>
      <c r="N145" s="49">
        <v>9.951865E7</v>
      </c>
      <c r="O145" s="49">
        <v>4.9759325E7</v>
      </c>
      <c r="P145" s="49">
        <f t="shared" si="25"/>
        <v>49759325</v>
      </c>
      <c r="Q145" s="34">
        <f t="shared" si="3"/>
        <v>0.5</v>
      </c>
      <c r="R145" s="31"/>
      <c r="S145" s="31" t="s">
        <v>40</v>
      </c>
      <c r="T145" s="84" t="s">
        <v>1082</v>
      </c>
      <c r="U145" s="84">
        <v>0.0</v>
      </c>
      <c r="V145" s="84" t="s">
        <v>1082</v>
      </c>
      <c r="W145" s="31"/>
      <c r="X145" s="52" t="s">
        <v>1083</v>
      </c>
      <c r="Y145" s="54" t="s">
        <v>1084</v>
      </c>
      <c r="Z145" s="54" t="s">
        <v>92</v>
      </c>
      <c r="AA145" s="74">
        <v>46249.0</v>
      </c>
      <c r="AB145" s="56"/>
      <c r="AC145" s="38" t="s">
        <v>103</v>
      </c>
      <c r="AD145" s="39">
        <v>99518.65</v>
      </c>
      <c r="AE145" s="39">
        <v>49759.325</v>
      </c>
      <c r="AF145" s="40">
        <v>49759.325</v>
      </c>
      <c r="AG145" s="57" t="s">
        <v>1085</v>
      </c>
      <c r="AH145" s="42" t="s">
        <v>948</v>
      </c>
      <c r="AI145" s="42" t="str">
        <f>IFERROR(__xludf.DUMMYFUNCTION("vLOOKUP(A145,IMPORTRANGE(""https://docs.google.com/spreadsheets/d/1Rawwwdh8wntXGy8isdYNHxsNQS4n_rC8JSdPfj6vEq4"",""'500 объектов перенос на 2026'!A3:AB502""),13,0)"),"#REF!")</f>
        <v>#REF!</v>
      </c>
      <c r="AJ145" s="42" t="str">
        <f>IFERROR(__xludf.DUMMYFUNCTION("vLOOKUP(A145,IMPORTRANGE(""https://docs.google.com/spreadsheets/d/1Rawwwdh8wntXGy8isdYNHxsNQS4n_rC8JSdPfj6vEq4"",""'500 объектов перенос на 2026'!A3:AB502""),14,0)"),"#REF!")</f>
        <v>#REF!</v>
      </c>
      <c r="AK145" s="76" t="s">
        <v>3378</v>
      </c>
      <c r="AL145" s="43"/>
      <c r="AM145" s="43"/>
      <c r="AN145" s="43"/>
      <c r="AO145" s="43"/>
    </row>
    <row r="146" hidden="1">
      <c r="A146" s="62" t="s">
        <v>1088</v>
      </c>
      <c r="B146" s="63" t="s">
        <v>967</v>
      </c>
      <c r="C146" s="64" t="s">
        <v>1089</v>
      </c>
      <c r="D146" s="47" t="s">
        <v>969</v>
      </c>
      <c r="E146" s="64" t="s">
        <v>59</v>
      </c>
      <c r="F146" s="31" t="s">
        <v>40</v>
      </c>
      <c r="G146" s="31" t="s">
        <v>156</v>
      </c>
      <c r="H146" s="31" t="s">
        <v>157</v>
      </c>
      <c r="I146" s="31" t="s">
        <v>40</v>
      </c>
      <c r="J146" s="31" t="s">
        <v>43</v>
      </c>
      <c r="K146" s="31"/>
      <c r="L146" s="32">
        <f>IFERROR(__xludf.DUMMYFUNCTION("VLOOKUP($A146,IMPORTRANGE(""1PQtfbQLqBUP-rjYRznmgNFBLOjvAnhGzpIx7BJWq8rk"",""'Worksheet'!$B$2:$H""),7,FALSE)"),0.9)</f>
        <v>0.9</v>
      </c>
      <c r="M146" s="31" t="s">
        <v>45</v>
      </c>
      <c r="N146" s="49">
        <v>9.85669312E7</v>
      </c>
      <c r="O146" s="49">
        <v>4.92834656E7</v>
      </c>
      <c r="P146" s="49">
        <f t="shared" si="25"/>
        <v>49283465.6</v>
      </c>
      <c r="Q146" s="34">
        <f t="shared" si="3"/>
        <v>0.5</v>
      </c>
      <c r="R146" s="31"/>
      <c r="S146" s="31" t="s">
        <v>40</v>
      </c>
      <c r="T146" s="84"/>
      <c r="U146" s="84"/>
      <c r="V146" s="84"/>
      <c r="W146" s="31"/>
      <c r="X146" s="52" t="s">
        <v>49</v>
      </c>
      <c r="Y146" s="89" t="s">
        <v>1090</v>
      </c>
      <c r="Z146" s="54" t="s">
        <v>1091</v>
      </c>
      <c r="AA146" s="74">
        <v>46235.0</v>
      </c>
      <c r="AB146" s="56"/>
      <c r="AC146" s="38"/>
      <c r="AD146" s="39">
        <v>95286.9312</v>
      </c>
      <c r="AE146" s="39">
        <v>47643.4656</v>
      </c>
      <c r="AF146" s="40">
        <v>47643.4656</v>
      </c>
      <c r="AG146" s="57" t="s">
        <v>1092</v>
      </c>
      <c r="AH146" s="85" t="s">
        <v>1093</v>
      </c>
      <c r="AI146" s="42" t="str">
        <f>IFERROR(__xludf.DUMMYFUNCTION("vLOOKUP(A146,IMPORTRANGE(""https://docs.google.com/spreadsheets/d/1Rawwwdh8wntXGy8isdYNHxsNQS4n_rC8JSdPfj6vEq4"",""'500 объектов перенос на 2026'!A3:AB502""),13,0)"),"#REF!")</f>
        <v>#REF!</v>
      </c>
      <c r="AJ146" s="42" t="str">
        <f>IFERROR(__xludf.DUMMYFUNCTION("vLOOKUP(A146,IMPORTRANGE(""https://docs.google.com/spreadsheets/d/1Rawwwdh8wntXGy8isdYNHxsNQS4n_rC8JSdPfj6vEq4"",""'500 объектов перенос на 2026'!A3:AB502""),14,0)"),"#REF!")</f>
        <v>#REF!</v>
      </c>
      <c r="AK146" s="138" t="s">
        <v>1090</v>
      </c>
      <c r="AL146" s="43"/>
      <c r="AM146" s="43"/>
      <c r="AN146" s="43"/>
      <c r="AO146" s="43"/>
    </row>
    <row r="147" hidden="1">
      <c r="A147" s="62" t="s">
        <v>1094</v>
      </c>
      <c r="B147" s="63" t="s">
        <v>110</v>
      </c>
      <c r="C147" s="144" t="s">
        <v>1095</v>
      </c>
      <c r="D147" s="47" t="s">
        <v>112</v>
      </c>
      <c r="E147" s="64" t="s">
        <v>85</v>
      </c>
      <c r="F147" s="31" t="s">
        <v>60</v>
      </c>
      <c r="G147" s="31"/>
      <c r="H147" s="31"/>
      <c r="I147" s="31" t="s">
        <v>60</v>
      </c>
      <c r="J147" s="31"/>
      <c r="K147" s="31"/>
      <c r="L147" s="32">
        <f>IFERROR(__xludf.DUMMYFUNCTION("VLOOKUP($A147,IMPORTRANGE(""1PQtfbQLqBUP-rjYRznmgNFBLOjvAnhGzpIx7BJWq8rk"",""'Worksheet'!$B$2:$H""),7,FALSE)"),1.0)</f>
        <v>1</v>
      </c>
      <c r="M147" s="31" t="s">
        <v>40</v>
      </c>
      <c r="N147" s="49">
        <v>5.811714472E7</v>
      </c>
      <c r="O147" s="49">
        <v>9684766.06</v>
      </c>
      <c r="P147" s="49">
        <f t="shared" si="25"/>
        <v>48432378.66</v>
      </c>
      <c r="Q147" s="34">
        <f t="shared" si="3"/>
        <v>0.8333578481</v>
      </c>
      <c r="R147" s="31"/>
      <c r="S147" s="31" t="s">
        <v>40</v>
      </c>
      <c r="T147" s="84">
        <v>1.878575027E7</v>
      </c>
      <c r="U147" s="84">
        <v>0.0</v>
      </c>
      <c r="V147" s="84">
        <v>1.878575027E7</v>
      </c>
      <c r="W147" s="31" t="s">
        <v>183</v>
      </c>
      <c r="X147" s="52" t="s">
        <v>1096</v>
      </c>
      <c r="Y147" s="54" t="s">
        <v>1097</v>
      </c>
      <c r="Z147" s="68"/>
      <c r="AA147" s="68">
        <v>46193.0</v>
      </c>
      <c r="AB147" s="56"/>
      <c r="AC147" s="38"/>
      <c r="AD147" s="39">
        <v>19758.72</v>
      </c>
      <c r="AE147" s="39">
        <v>9684.76606</v>
      </c>
      <c r="AF147" s="40">
        <v>10073.95394</v>
      </c>
      <c r="AG147" s="57"/>
      <c r="AH147" s="42" t="s">
        <v>1098</v>
      </c>
      <c r="AI147" s="42" t="str">
        <f>IFERROR(__xludf.DUMMYFUNCTION("vLOOKUP(A147,IMPORTRANGE(""https://docs.google.com/spreadsheets/d/1Rawwwdh8wntXGy8isdYNHxsNQS4n_rC8JSdPfj6vEq4"",""'500 объектов перенос на 2026'!A3:AB502""),13,0)"),"#REF!")</f>
        <v>#REF!</v>
      </c>
      <c r="AJ147" s="42" t="str">
        <f>IFERROR(__xludf.DUMMYFUNCTION("vLOOKUP(A147,IMPORTRANGE(""https://docs.google.com/spreadsheets/d/1Rawwwdh8wntXGy8isdYNHxsNQS4n_rC8JSdPfj6vEq4"",""'500 объектов перенос на 2026'!A3:AB502""),14,0)"),"#REF!")</f>
        <v>#REF!</v>
      </c>
      <c r="AK147" s="76" t="s">
        <v>3379</v>
      </c>
      <c r="AL147" s="43"/>
      <c r="AM147" s="43"/>
      <c r="AN147" s="43"/>
      <c r="AO147" s="43"/>
    </row>
    <row r="148" hidden="1">
      <c r="A148" s="62" t="s">
        <v>1101</v>
      </c>
      <c r="B148" s="63" t="s">
        <v>894</v>
      </c>
      <c r="C148" s="64" t="s">
        <v>1102</v>
      </c>
      <c r="D148" s="47" t="s">
        <v>885</v>
      </c>
      <c r="E148" s="64" t="s">
        <v>85</v>
      </c>
      <c r="F148" s="31" t="s">
        <v>60</v>
      </c>
      <c r="G148" s="31"/>
      <c r="H148" s="31"/>
      <c r="I148" s="31" t="s">
        <v>40</v>
      </c>
      <c r="J148" s="31" t="s">
        <v>61</v>
      </c>
      <c r="K148" s="31" t="s">
        <v>72</v>
      </c>
      <c r="L148" s="32">
        <f>IFERROR(__xludf.DUMMYFUNCTION("VLOOKUP($A148,IMPORTRANGE(""1PQtfbQLqBUP-rjYRznmgNFBLOjvAnhGzpIx7BJWq8rk"",""'Worksheet'!$B$2:$H""),7,FALSE)"),0.89)</f>
        <v>0.89</v>
      </c>
      <c r="M148" s="31" t="s">
        <v>45</v>
      </c>
      <c r="N148" s="49">
        <v>3.2566240714E8</v>
      </c>
      <c r="O148" s="49">
        <v>2.7839570898E8</v>
      </c>
      <c r="P148" s="49">
        <f t="shared" si="25"/>
        <v>47266698.16</v>
      </c>
      <c r="Q148" s="34">
        <f t="shared" si="3"/>
        <v>0.1451401731</v>
      </c>
      <c r="R148" s="31"/>
      <c r="S148" s="31" t="s">
        <v>45</v>
      </c>
      <c r="T148" s="84" t="s">
        <v>1103</v>
      </c>
      <c r="U148" s="84" t="s">
        <v>1104</v>
      </c>
      <c r="V148" s="84" t="s">
        <v>1105</v>
      </c>
      <c r="W148" s="31"/>
      <c r="X148" s="52" t="s">
        <v>899</v>
      </c>
      <c r="Y148" s="54" t="s">
        <v>900</v>
      </c>
      <c r="Z148" s="74"/>
      <c r="AA148" s="74">
        <v>46233.0</v>
      </c>
      <c r="AB148" s="56"/>
      <c r="AC148" s="38" t="s">
        <v>901</v>
      </c>
      <c r="AD148" s="39">
        <v>325662.41</v>
      </c>
      <c r="AE148" s="39">
        <v>279156.2548</v>
      </c>
      <c r="AF148" s="40">
        <v>46506.15522</v>
      </c>
      <c r="AG148" s="57" t="s">
        <v>1106</v>
      </c>
      <c r="AH148" s="42" t="s">
        <v>1107</v>
      </c>
      <c r="AI148" s="42" t="str">
        <f>IFERROR(__xludf.DUMMYFUNCTION("vLOOKUP(A148,IMPORTRANGE(""https://docs.google.com/spreadsheets/d/1Rawwwdh8wntXGy8isdYNHxsNQS4n_rC8JSdPfj6vEq4"",""'500 объектов перенос на 2026'!A3:AB502""),13,0)"),"#REF!")</f>
        <v>#REF!</v>
      </c>
      <c r="AJ148" s="42" t="str">
        <f>IFERROR(__xludf.DUMMYFUNCTION("vLOOKUP(A148,IMPORTRANGE(""https://docs.google.com/spreadsheets/d/1Rawwwdh8wntXGy8isdYNHxsNQS4n_rC8JSdPfj6vEq4"",""'500 объектов перенос на 2026'!A3:AB502""),14,0)"),"#REF!")</f>
        <v>#REF!</v>
      </c>
      <c r="AK148" s="70" t="s">
        <v>3369</v>
      </c>
      <c r="AL148" s="43"/>
      <c r="AM148" s="43"/>
      <c r="AN148" s="43"/>
      <c r="AO148" s="43"/>
    </row>
    <row r="149" hidden="1">
      <c r="A149" s="62" t="s">
        <v>1108</v>
      </c>
      <c r="B149" s="63" t="s">
        <v>126</v>
      </c>
      <c r="C149" s="90" t="s">
        <v>1109</v>
      </c>
      <c r="D149" s="47" t="s">
        <v>614</v>
      </c>
      <c r="E149" s="64" t="s">
        <v>39</v>
      </c>
      <c r="F149" s="31" t="s">
        <v>60</v>
      </c>
      <c r="G149" s="31"/>
      <c r="H149" s="31"/>
      <c r="I149" s="31" t="s">
        <v>60</v>
      </c>
      <c r="J149" s="31"/>
      <c r="K149" s="31"/>
      <c r="L149" s="32">
        <f>IFERROR(__xludf.DUMMYFUNCTION("VLOOKUP($A149,IMPORTRANGE(""1PQtfbQLqBUP-rjYRznmgNFBLOjvAnhGzpIx7BJWq8rk"",""'Worksheet'!$B$2:$H""),7,FALSE)"),1.0)</f>
        <v>1</v>
      </c>
      <c r="M149" s="31" t="s">
        <v>60</v>
      </c>
      <c r="N149" s="49">
        <v>8.595222587E7</v>
      </c>
      <c r="O149" s="49">
        <v>8.587039882E7</v>
      </c>
      <c r="P149" s="49">
        <f t="shared" si="25"/>
        <v>81827.05</v>
      </c>
      <c r="Q149" s="34">
        <f t="shared" si="3"/>
        <v>0.0009520061775</v>
      </c>
      <c r="R149" s="31"/>
      <c r="S149" s="31" t="s">
        <v>60</v>
      </c>
      <c r="T149" s="97" t="s">
        <v>1110</v>
      </c>
      <c r="U149" s="88" t="s">
        <v>1110</v>
      </c>
      <c r="V149" s="88">
        <v>0.0</v>
      </c>
      <c r="W149" s="31"/>
      <c r="X149" s="52" t="s">
        <v>1111</v>
      </c>
      <c r="Y149" s="125" t="s">
        <v>1112</v>
      </c>
      <c r="Z149" s="74"/>
      <c r="AA149" s="74"/>
      <c r="AB149" s="56"/>
      <c r="AC149" s="38" t="s">
        <v>620</v>
      </c>
      <c r="AD149" s="39">
        <v>66240.0</v>
      </c>
      <c r="AE149" s="39">
        <v>39052.04666</v>
      </c>
      <c r="AF149" s="40">
        <v>27187.95334</v>
      </c>
      <c r="AG149" s="57" t="s">
        <v>1113</v>
      </c>
      <c r="AH149" s="42" t="s">
        <v>1114</v>
      </c>
      <c r="AI149" s="42" t="str">
        <f>IFERROR(__xludf.DUMMYFUNCTION("vLOOKUP(A149,IMPORTRANGE(""https://docs.google.com/spreadsheets/d/1Rawwwdh8wntXGy8isdYNHxsNQS4n_rC8JSdPfj6vEq4"",""'500 объектов перенос на 2026'!A3:AB502""),13,0)"),"#REF!")</f>
        <v>#REF!</v>
      </c>
      <c r="AJ149" s="42" t="str">
        <f>IFERROR(__xludf.DUMMYFUNCTION("vLOOKUP(A149,IMPORTRANGE(""https://docs.google.com/spreadsheets/d/1Rawwwdh8wntXGy8isdYNHxsNQS4n_rC8JSdPfj6vEq4"",""'500 объектов перенос на 2026'!A3:AB502""),14,0)"),"#REF!")</f>
        <v>#REF!</v>
      </c>
      <c r="AK149" s="76" t="s">
        <v>3380</v>
      </c>
      <c r="AL149" s="43"/>
      <c r="AM149" s="43"/>
      <c r="AN149" s="43"/>
      <c r="AO149" s="43"/>
    </row>
    <row r="150" ht="253.5" hidden="1" customHeight="1">
      <c r="A150" s="62" t="s">
        <v>1116</v>
      </c>
      <c r="B150" s="63" t="s">
        <v>826</v>
      </c>
      <c r="C150" s="104" t="s">
        <v>1117</v>
      </c>
      <c r="D150" s="47" t="s">
        <v>727</v>
      </c>
      <c r="E150" s="64" t="s">
        <v>85</v>
      </c>
      <c r="F150" s="31" t="s">
        <v>60</v>
      </c>
      <c r="G150" s="31"/>
      <c r="H150" s="31"/>
      <c r="I150" s="31" t="s">
        <v>60</v>
      </c>
      <c r="J150" s="31"/>
      <c r="K150" s="31"/>
      <c r="L150" s="32">
        <f>IFERROR(__xludf.DUMMYFUNCTION("VLOOKUP($A150,IMPORTRANGE(""1PQtfbQLqBUP-rjYRznmgNFBLOjvAnhGzpIx7BJWq8rk"",""'Worksheet'!$B$2:$H""),7,FALSE)"),0.9)</f>
        <v>0.9</v>
      </c>
      <c r="M150" s="31" t="s">
        <v>40</v>
      </c>
      <c r="N150" s="49">
        <v>6.325717E7</v>
      </c>
      <c r="O150" s="49">
        <v>1.83356238E7</v>
      </c>
      <c r="P150" s="49">
        <f t="shared" si="25"/>
        <v>44921546.2</v>
      </c>
      <c r="Q150" s="34">
        <f t="shared" si="3"/>
        <v>0.7101415729</v>
      </c>
      <c r="R150" s="31"/>
      <c r="S150" s="31" t="s">
        <v>45</v>
      </c>
      <c r="T150" s="84">
        <v>6.00943115E7</v>
      </c>
      <c r="U150" s="84">
        <v>1.741884261E7</v>
      </c>
      <c r="V150" s="84">
        <f>T150-U150</f>
        <v>42675468.89</v>
      </c>
      <c r="W150" s="31" t="s">
        <v>183</v>
      </c>
      <c r="X150" s="52">
        <v>1.741884261E7</v>
      </c>
      <c r="Y150" s="54" t="s">
        <v>1118</v>
      </c>
      <c r="Z150" s="54" t="s">
        <v>830</v>
      </c>
      <c r="AA150" s="74">
        <v>46235.0</v>
      </c>
      <c r="AB150" s="56"/>
      <c r="AC150" s="38"/>
      <c r="AD150" s="39">
        <v>63257.17</v>
      </c>
      <c r="AE150" s="39">
        <v>18335.6238</v>
      </c>
      <c r="AF150" s="40">
        <v>44921.5462</v>
      </c>
      <c r="AG150" s="57" t="s">
        <v>1119</v>
      </c>
      <c r="AH150" s="42" t="s">
        <v>1120</v>
      </c>
      <c r="AI150" s="42" t="str">
        <f>IFERROR(__xludf.DUMMYFUNCTION("vLOOKUP(A150,IMPORTRANGE(""https://docs.google.com/spreadsheets/d/1Rawwwdh8wntXGy8isdYNHxsNQS4n_rC8JSdPfj6vEq4"",""'500 объектов перенос на 2026'!A3:AB502""),13,0)"),"#REF!")</f>
        <v>#REF!</v>
      </c>
      <c r="AJ150" s="42" t="str">
        <f>IFERROR(__xludf.DUMMYFUNCTION("vLOOKUP(A150,IMPORTRANGE(""https://docs.google.com/spreadsheets/d/1Rawwwdh8wntXGy8isdYNHxsNQS4n_rC8JSdPfj6vEq4"",""'500 объектов перенос на 2026'!A3:AB502""),14,0)"),"#REF!")</f>
        <v>#REF!</v>
      </c>
      <c r="AK150" s="76" t="s">
        <v>3381</v>
      </c>
      <c r="AL150" s="43"/>
      <c r="AM150" s="43"/>
      <c r="AN150" s="43"/>
      <c r="AO150" s="43"/>
    </row>
    <row r="151" hidden="1">
      <c r="A151" s="62" t="s">
        <v>1123</v>
      </c>
      <c r="B151" s="63" t="s">
        <v>605</v>
      </c>
      <c r="C151" s="90" t="s">
        <v>1124</v>
      </c>
      <c r="D151" s="47" t="s">
        <v>1125</v>
      </c>
      <c r="E151" s="64" t="s">
        <v>39</v>
      </c>
      <c r="F151" s="31" t="s">
        <v>60</v>
      </c>
      <c r="G151" s="31"/>
      <c r="H151" s="31"/>
      <c r="I151" s="31" t="s">
        <v>60</v>
      </c>
      <c r="J151" s="31"/>
      <c r="K151" s="31"/>
      <c r="L151" s="32">
        <f>IFERROR(__xludf.DUMMYFUNCTION("VLOOKUP($A151,IMPORTRANGE(""1PQtfbQLqBUP-rjYRznmgNFBLOjvAnhGzpIx7BJWq8rk"",""'Worksheet'!$B$2:$H""),7,FALSE)"),1.0)</f>
        <v>1</v>
      </c>
      <c r="M151" s="31" t="s">
        <v>60</v>
      </c>
      <c r="N151" s="49">
        <v>9.456559034E7</v>
      </c>
      <c r="O151" s="49">
        <v>9.230179089E7</v>
      </c>
      <c r="P151" s="49">
        <v>0.0</v>
      </c>
      <c r="Q151" s="34">
        <f t="shared" si="3"/>
        <v>0.02393893426</v>
      </c>
      <c r="R151" s="31"/>
      <c r="S151" s="31" t="s">
        <v>60</v>
      </c>
      <c r="T151" s="97" t="s">
        <v>1126</v>
      </c>
      <c r="U151" s="88" t="s">
        <v>1127</v>
      </c>
      <c r="V151" s="88" t="s">
        <v>1128</v>
      </c>
      <c r="W151" s="31"/>
      <c r="X151" s="52" t="s">
        <v>113</v>
      </c>
      <c r="Y151" s="54" t="s">
        <v>114</v>
      </c>
      <c r="Z151" s="54"/>
      <c r="AA151" s="54" t="s">
        <v>114</v>
      </c>
      <c r="AB151" s="56"/>
      <c r="AC151" s="38"/>
      <c r="AD151" s="39">
        <v>94565.59</v>
      </c>
      <c r="AE151" s="39">
        <v>92301.79089</v>
      </c>
      <c r="AF151" s="39">
        <v>2263.79911</v>
      </c>
      <c r="AG151" s="99" t="s">
        <v>1129</v>
      </c>
      <c r="AH151" s="85"/>
      <c r="AI151" s="42" t="str">
        <f>IFERROR(__xludf.DUMMYFUNCTION("vLOOKUP(A151,IMPORTRANGE(""https://docs.google.com/spreadsheets/d/1Rawwwdh8wntXGy8isdYNHxsNQS4n_rC8JSdPfj6vEq4"",""'500 объектов перенос на 2026'!A3:AB502""),13,0)"),"#REF!")</f>
        <v>#REF!</v>
      </c>
      <c r="AJ151" s="42" t="str">
        <f>IFERROR(__xludf.DUMMYFUNCTION("vLOOKUP(A151,IMPORTRANGE(""https://docs.google.com/spreadsheets/d/1Rawwwdh8wntXGy8isdYNHxsNQS4n_rC8JSdPfj6vEq4"",""'500 объектов перенос на 2026'!A3:AB502""),14,0)"),"#REF!")</f>
        <v>#REF!</v>
      </c>
      <c r="AK151" s="76" t="s">
        <v>114</v>
      </c>
      <c r="AL151" s="96"/>
      <c r="AM151" s="96"/>
      <c r="AN151" s="96"/>
      <c r="AO151" s="96"/>
    </row>
    <row r="152" hidden="1">
      <c r="A152" s="62" t="s">
        <v>1130</v>
      </c>
      <c r="B152" s="63" t="s">
        <v>296</v>
      </c>
      <c r="C152" s="64" t="s">
        <v>1131</v>
      </c>
      <c r="D152" s="47" t="s">
        <v>1132</v>
      </c>
      <c r="E152" s="64" t="s">
        <v>39</v>
      </c>
      <c r="F152" s="31" t="s">
        <v>40</v>
      </c>
      <c r="G152" s="31" t="s">
        <v>156</v>
      </c>
      <c r="H152" s="31" t="s">
        <v>325</v>
      </c>
      <c r="I152" s="31" t="s">
        <v>40</v>
      </c>
      <c r="J152" s="31" t="s">
        <v>102</v>
      </c>
      <c r="K152" s="31" t="s">
        <v>72</v>
      </c>
      <c r="L152" s="32">
        <f>IFERROR(__xludf.DUMMYFUNCTION("VLOOKUP($A152,IMPORTRANGE(""1PQtfbQLqBUP-rjYRznmgNFBLOjvAnhGzpIx7BJWq8rk"",""'Worksheet'!$B$2:$H""),7,FALSE)"),0.25)</f>
        <v>0.25</v>
      </c>
      <c r="M152" s="31" t="s">
        <v>40</v>
      </c>
      <c r="N152" s="49">
        <v>6.406675273E7</v>
      </c>
      <c r="O152" s="49">
        <v>1.922002582E7</v>
      </c>
      <c r="P152" s="49">
        <f t="shared" ref="P152:P156" si="26">N152-O152</f>
        <v>44846726.91</v>
      </c>
      <c r="Q152" s="34">
        <f t="shared" si="3"/>
        <v>0.7</v>
      </c>
      <c r="R152" s="31"/>
      <c r="S152" s="31" t="s">
        <v>40</v>
      </c>
      <c r="T152" s="107">
        <v>6.0863415093499996E7</v>
      </c>
      <c r="U152" s="84">
        <v>0.0</v>
      </c>
      <c r="V152" s="147">
        <f>P152-P152*0.05</f>
        <v>42604390.56</v>
      </c>
      <c r="W152" s="31"/>
      <c r="X152" s="52" t="s">
        <v>302</v>
      </c>
      <c r="Y152" s="73" t="s">
        <v>1133</v>
      </c>
      <c r="Z152" s="54" t="s">
        <v>1134</v>
      </c>
      <c r="AA152" s="100">
        <v>46384.0</v>
      </c>
      <c r="AB152" s="56"/>
      <c r="AC152" s="38" t="s">
        <v>1135</v>
      </c>
      <c r="AD152" s="39">
        <v>64066.75273</v>
      </c>
      <c r="AE152" s="39">
        <v>0.0</v>
      </c>
      <c r="AF152" s="40">
        <v>64066.75273</v>
      </c>
      <c r="AG152" s="57" t="s">
        <v>1136</v>
      </c>
      <c r="AH152" s="57" t="s">
        <v>880</v>
      </c>
      <c r="AI152" s="42" t="str">
        <f>IFERROR(__xludf.DUMMYFUNCTION("vLOOKUP(A152,IMPORTRANGE(""https://docs.google.com/spreadsheets/d/1Rawwwdh8wntXGy8isdYNHxsNQS4n_rC8JSdPfj6vEq4"",""'500 объектов перенос на 2026'!A3:AB502""),13,0)"),"#REF!")</f>
        <v>#REF!</v>
      </c>
      <c r="AJ152" s="42" t="str">
        <f>IFERROR(__xludf.DUMMYFUNCTION("vLOOKUP(A152,IMPORTRANGE(""https://docs.google.com/spreadsheets/d/1Rawwwdh8wntXGy8isdYNHxsNQS4n_rC8JSdPfj6vEq4"",""'500 объектов перенос на 2026'!A3:AB502""),14,0)"),"#REF!")</f>
        <v>#REF!</v>
      </c>
      <c r="AK152" s="76" t="s">
        <v>3382</v>
      </c>
      <c r="AL152" s="43"/>
      <c r="AM152" s="43"/>
      <c r="AN152" s="43"/>
      <c r="AO152" s="43"/>
    </row>
    <row r="153" hidden="1">
      <c r="A153" s="62" t="s">
        <v>1138</v>
      </c>
      <c r="B153" s="63" t="s">
        <v>250</v>
      </c>
      <c r="C153" s="64" t="s">
        <v>1139</v>
      </c>
      <c r="D153" s="47" t="s">
        <v>333</v>
      </c>
      <c r="E153" s="64" t="s">
        <v>85</v>
      </c>
      <c r="F153" s="31" t="s">
        <v>60</v>
      </c>
      <c r="G153" s="31"/>
      <c r="H153" s="31"/>
      <c r="I153" s="31" t="s">
        <v>60</v>
      </c>
      <c r="J153" s="31"/>
      <c r="K153" s="31"/>
      <c r="L153" s="32">
        <f>IFERROR(__xludf.DUMMYFUNCTION("VLOOKUP($A153,IMPORTRANGE(""1PQtfbQLqBUP-rjYRznmgNFBLOjvAnhGzpIx7BJWq8rk"",""'Worksheet'!$B$2:$H""),7,FALSE)"),0.89)</f>
        <v>0.89</v>
      </c>
      <c r="M153" s="31" t="s">
        <v>45</v>
      </c>
      <c r="N153" s="49">
        <v>9.175936198E7</v>
      </c>
      <c r="O153" s="49">
        <v>7.047001713E7</v>
      </c>
      <c r="P153" s="49">
        <f t="shared" si="26"/>
        <v>21289344.85</v>
      </c>
      <c r="Q153" s="34">
        <f t="shared" si="3"/>
        <v>0.232012782</v>
      </c>
      <c r="R153" s="31"/>
      <c r="S153" s="31" t="s">
        <v>45</v>
      </c>
      <c r="T153" s="72">
        <v>7.116317E7</v>
      </c>
      <c r="U153" s="51">
        <v>0.0</v>
      </c>
      <c r="V153" s="67">
        <v>7.116317E7</v>
      </c>
      <c r="W153" s="31" t="s">
        <v>183</v>
      </c>
      <c r="X153" s="52" t="s">
        <v>1141</v>
      </c>
      <c r="Y153" s="54" t="s">
        <v>1142</v>
      </c>
      <c r="Z153" s="54" t="s">
        <v>75</v>
      </c>
      <c r="AA153" s="74">
        <v>46203.0</v>
      </c>
      <c r="AB153" s="56"/>
      <c r="AC153" s="38" t="s">
        <v>1143</v>
      </c>
      <c r="AD153" s="39">
        <v>74908.6</v>
      </c>
      <c r="AE153" s="39">
        <v>37454.3</v>
      </c>
      <c r="AF153" s="40">
        <v>37454.3</v>
      </c>
      <c r="AG153" s="57" t="s">
        <v>1144</v>
      </c>
      <c r="AH153" s="85" t="s">
        <v>789</v>
      </c>
      <c r="AI153" s="42" t="str">
        <f>IFERROR(__xludf.DUMMYFUNCTION("vLOOKUP(A153,IMPORTRANGE(""https://docs.google.com/spreadsheets/d/1Rawwwdh8wntXGy8isdYNHxsNQS4n_rC8JSdPfj6vEq4"",""'500 объектов перенос на 2026'!A3:AB502""),13,0)"),"#REF!")</f>
        <v>#REF!</v>
      </c>
      <c r="AJ153" s="42" t="str">
        <f>IFERROR(__xludf.DUMMYFUNCTION("vLOOKUP(A153,IMPORTRANGE(""https://docs.google.com/spreadsheets/d/1Rawwwdh8wntXGy8isdYNHxsNQS4n_rC8JSdPfj6vEq4"",""'500 объектов перенос на 2026'!A3:AB502""),14,0)"),"#REF!")</f>
        <v>#REF!</v>
      </c>
      <c r="AK153" s="70" t="s">
        <v>1145</v>
      </c>
      <c r="AL153" s="43"/>
      <c r="AM153" s="43"/>
      <c r="AN153" s="43"/>
      <c r="AO153" s="43"/>
    </row>
    <row r="154" hidden="1">
      <c r="A154" s="62" t="s">
        <v>1147</v>
      </c>
      <c r="B154" s="63" t="s">
        <v>99</v>
      </c>
      <c r="C154" s="64" t="s">
        <v>1148</v>
      </c>
      <c r="D154" s="47" t="s">
        <v>1149</v>
      </c>
      <c r="E154" s="64" t="s">
        <v>59</v>
      </c>
      <c r="F154" s="31" t="s">
        <v>60</v>
      </c>
      <c r="G154" s="31"/>
      <c r="H154" s="31"/>
      <c r="I154" s="31" t="s">
        <v>60</v>
      </c>
      <c r="J154" s="31"/>
      <c r="K154" s="31"/>
      <c r="L154" s="32">
        <f>IFERROR(__xludf.DUMMYFUNCTION("VLOOKUP($A154,IMPORTRANGE(""1PQtfbQLqBUP-rjYRznmgNFBLOjvAnhGzpIx7BJWq8rk"",""'Worksheet'!$B$2:$H""),7,FALSE)"),1.0)</f>
        <v>1</v>
      </c>
      <c r="M154" s="31" t="s">
        <v>40</v>
      </c>
      <c r="N154" s="49">
        <v>6.24942E7</v>
      </c>
      <c r="O154" s="49">
        <v>1.874826E7</v>
      </c>
      <c r="P154" s="49">
        <f t="shared" si="26"/>
        <v>43745940</v>
      </c>
      <c r="Q154" s="34">
        <f t="shared" si="3"/>
        <v>0.7</v>
      </c>
      <c r="R154" s="31" t="s">
        <v>1059</v>
      </c>
      <c r="S154" s="31" t="s">
        <v>60</v>
      </c>
      <c r="T154" s="50">
        <f>N154*0.95</f>
        <v>59369490</v>
      </c>
      <c r="U154" s="51">
        <v>0.0</v>
      </c>
      <c r="V154" s="51">
        <v>5.936949E7</v>
      </c>
      <c r="W154" s="31"/>
      <c r="X154" s="52" t="s">
        <v>1150</v>
      </c>
      <c r="Y154" s="54" t="s">
        <v>1151</v>
      </c>
      <c r="Z154" s="54" t="s">
        <v>1152</v>
      </c>
      <c r="AA154" s="74">
        <v>46203.0</v>
      </c>
      <c r="AB154" s="56"/>
      <c r="AC154" s="38" t="s">
        <v>1153</v>
      </c>
      <c r="AD154" s="39">
        <v>62494.2</v>
      </c>
      <c r="AE154" s="39">
        <v>18748.26</v>
      </c>
      <c r="AF154" s="40">
        <v>43745.94</v>
      </c>
      <c r="AG154" s="57" t="s">
        <v>1154</v>
      </c>
      <c r="AH154" s="42" t="s">
        <v>1155</v>
      </c>
      <c r="AI154" s="42" t="str">
        <f>IFERROR(__xludf.DUMMYFUNCTION("vLOOKUP(A154,IMPORTRANGE(""https://docs.google.com/spreadsheets/d/1Rawwwdh8wntXGy8isdYNHxsNQS4n_rC8JSdPfj6vEq4"",""'500 объектов перенос на 2026'!A3:AB502""),13,0)"),"#REF!")</f>
        <v>#REF!</v>
      </c>
      <c r="AJ154" s="42" t="str">
        <f>IFERROR(__xludf.DUMMYFUNCTION("vLOOKUP(A154,IMPORTRANGE(""https://docs.google.com/spreadsheets/d/1Rawwwdh8wntXGy8isdYNHxsNQS4n_rC8JSdPfj6vEq4"",""'500 объектов перенос на 2026'!A3:AB502""),14,0)"),"#REF!")</f>
        <v>#REF!</v>
      </c>
      <c r="AK154" s="76" t="s">
        <v>1156</v>
      </c>
      <c r="AL154" s="43"/>
      <c r="AM154" s="43"/>
      <c r="AN154" s="43"/>
      <c r="AO154" s="43"/>
    </row>
    <row r="155" hidden="1">
      <c r="A155" s="62" t="s">
        <v>1157</v>
      </c>
      <c r="B155" s="63" t="s">
        <v>826</v>
      </c>
      <c r="C155" s="104" t="s">
        <v>1158</v>
      </c>
      <c r="D155" s="47" t="s">
        <v>727</v>
      </c>
      <c r="E155" s="64" t="s">
        <v>85</v>
      </c>
      <c r="F155" s="31" t="s">
        <v>60</v>
      </c>
      <c r="G155" s="31"/>
      <c r="H155" s="31"/>
      <c r="I155" s="31" t="s">
        <v>60</v>
      </c>
      <c r="J155" s="31"/>
      <c r="K155" s="31"/>
      <c r="L155" s="32">
        <f>IFERROR(__xludf.DUMMYFUNCTION("VLOOKUP($A155,IMPORTRANGE(""1PQtfbQLqBUP-rjYRznmgNFBLOjvAnhGzpIx7BJWq8rk"",""'Worksheet'!$B$2:$H""),7,FALSE)"),0.85)</f>
        <v>0.85</v>
      </c>
      <c r="M155" s="31" t="s">
        <v>40</v>
      </c>
      <c r="N155" s="49">
        <v>6.1135E7</v>
      </c>
      <c r="O155" s="49">
        <v>1.742040895E7</v>
      </c>
      <c r="P155" s="49">
        <f t="shared" si="26"/>
        <v>43714591.05</v>
      </c>
      <c r="Q155" s="34">
        <f t="shared" si="3"/>
        <v>0.7150501521</v>
      </c>
      <c r="R155" s="31"/>
      <c r="S155" s="31" t="s">
        <v>45</v>
      </c>
      <c r="T155" s="50">
        <v>5.807825E7</v>
      </c>
      <c r="U155" s="51">
        <v>1.65493885E7</v>
      </c>
      <c r="V155" s="51">
        <f>T155-U155</f>
        <v>41528861.5</v>
      </c>
      <c r="W155" s="31" t="s">
        <v>183</v>
      </c>
      <c r="X155" s="52">
        <v>1.65493885E7</v>
      </c>
      <c r="Y155" s="54" t="s">
        <v>1159</v>
      </c>
      <c r="Z155" s="54" t="s">
        <v>830</v>
      </c>
      <c r="AA155" s="74">
        <v>46235.0</v>
      </c>
      <c r="AB155" s="56"/>
      <c r="AC155" s="38"/>
      <c r="AD155" s="39">
        <v>61135.0</v>
      </c>
      <c r="AE155" s="39">
        <v>17420.40895</v>
      </c>
      <c r="AF155" s="40">
        <v>43714.59105</v>
      </c>
      <c r="AG155" s="57" t="s">
        <v>1160</v>
      </c>
      <c r="AH155" s="42" t="s">
        <v>1161</v>
      </c>
      <c r="AI155" s="42" t="str">
        <f>IFERROR(__xludf.DUMMYFUNCTION("vLOOKUP(A155,IMPORTRANGE(""https://docs.google.com/spreadsheets/d/1Rawwwdh8wntXGy8isdYNHxsNQS4n_rC8JSdPfj6vEq4"",""'500 объектов перенос на 2026'!A3:AB502""),13,0)"),"#REF!")</f>
        <v>#REF!</v>
      </c>
      <c r="AJ155" s="42" t="str">
        <f>IFERROR(__xludf.DUMMYFUNCTION("vLOOKUP(A155,IMPORTRANGE(""https://docs.google.com/spreadsheets/d/1Rawwwdh8wntXGy8isdYNHxsNQS4n_rC8JSdPfj6vEq4"",""'500 объектов перенос на 2026'!A3:AB502""),14,0)"),"#REF!")</f>
        <v>#REF!</v>
      </c>
      <c r="AK155" s="76" t="s">
        <v>3383</v>
      </c>
      <c r="AL155" s="43"/>
      <c r="AM155" s="43"/>
      <c r="AN155" s="43"/>
      <c r="AO155" s="43"/>
    </row>
    <row r="156" hidden="1">
      <c r="A156" s="62" t="s">
        <v>1164</v>
      </c>
      <c r="B156" s="63" t="s">
        <v>56</v>
      </c>
      <c r="C156" s="149" t="s">
        <v>1165</v>
      </c>
      <c r="D156" s="47" t="s">
        <v>311</v>
      </c>
      <c r="E156" s="64" t="s">
        <v>85</v>
      </c>
      <c r="F156" s="31" t="s">
        <v>60</v>
      </c>
      <c r="G156" s="31"/>
      <c r="H156" s="31"/>
      <c r="I156" s="31" t="s">
        <v>40</v>
      </c>
      <c r="J156" s="31" t="s">
        <v>61</v>
      </c>
      <c r="K156" s="31" t="s">
        <v>72</v>
      </c>
      <c r="L156" s="32">
        <f>IFERROR(__xludf.DUMMYFUNCTION("VLOOKUP($A156,IMPORTRANGE(""1PQtfbQLqBUP-rjYRznmgNFBLOjvAnhGzpIx7BJWq8rk"",""'Worksheet'!$B$2:$H""),7,FALSE)"),0.76)</f>
        <v>0.76</v>
      </c>
      <c r="M156" s="31" t="s">
        <v>45</v>
      </c>
      <c r="N156" s="49">
        <v>1.2349323824E8</v>
      </c>
      <c r="O156" s="49">
        <v>9.131876847E7</v>
      </c>
      <c r="P156" s="49">
        <f t="shared" si="26"/>
        <v>32174469.77</v>
      </c>
      <c r="Q156" s="34">
        <f t="shared" si="3"/>
        <v>0.2605362871</v>
      </c>
      <c r="R156" s="31"/>
      <c r="S156" s="31" t="s">
        <v>45</v>
      </c>
      <c r="T156" s="72" t="s">
        <v>1166</v>
      </c>
      <c r="U156" s="67" t="s">
        <v>1167</v>
      </c>
      <c r="V156" s="67" t="s">
        <v>1168</v>
      </c>
      <c r="W156" s="31"/>
      <c r="X156" s="52" t="s">
        <v>1169</v>
      </c>
      <c r="Y156" s="54" t="s">
        <v>1170</v>
      </c>
      <c r="Z156" s="74"/>
      <c r="AA156" s="68">
        <v>46233.0</v>
      </c>
      <c r="AB156" s="56"/>
      <c r="AC156" s="38"/>
      <c r="AD156" s="39">
        <v>99210.26</v>
      </c>
      <c r="AE156" s="39">
        <v>29763.07824</v>
      </c>
      <c r="AF156" s="40">
        <v>69447.18176</v>
      </c>
      <c r="AG156" s="99" t="s">
        <v>1171</v>
      </c>
      <c r="AH156" s="69" t="s">
        <v>66</v>
      </c>
      <c r="AI156" s="42" t="str">
        <f>IFERROR(__xludf.DUMMYFUNCTION("vLOOKUP(A156,IMPORTRANGE(""https://docs.google.com/spreadsheets/d/1Rawwwdh8wntXGy8isdYNHxsNQS4n_rC8JSdPfj6vEq4"",""'500 объектов перенос на 2026'!A3:AB502""),13,0)"),"#REF!")</f>
        <v>#REF!</v>
      </c>
      <c r="AJ156" s="42" t="str">
        <f>IFERROR(__xludf.DUMMYFUNCTION("vLOOKUP(A156,IMPORTRANGE(""https://docs.google.com/spreadsheets/d/1Rawwwdh8wntXGy8isdYNHxsNQS4n_rC8JSdPfj6vEq4"",""'500 объектов перенос на 2026'!A3:AB502""),14,0)"),"#REF!")</f>
        <v>#REF!</v>
      </c>
      <c r="AK156" s="76" t="s">
        <v>2009</v>
      </c>
      <c r="AL156" s="43"/>
      <c r="AM156" s="43"/>
      <c r="AN156" s="43"/>
      <c r="AO156" s="43"/>
    </row>
    <row r="157" hidden="1">
      <c r="A157" s="78" t="s">
        <v>1174</v>
      </c>
      <c r="B157" s="63" t="s">
        <v>133</v>
      </c>
      <c r="C157" s="150" t="s">
        <v>1175</v>
      </c>
      <c r="D157" s="47" t="s">
        <v>953</v>
      </c>
      <c r="E157" s="64" t="s">
        <v>85</v>
      </c>
      <c r="F157" s="31" t="s">
        <v>60</v>
      </c>
      <c r="G157" s="31"/>
      <c r="H157" s="31"/>
      <c r="I157" s="31" t="s">
        <v>60</v>
      </c>
      <c r="J157" s="31"/>
      <c r="K157" s="31"/>
      <c r="L157" s="32" t="str">
        <f>IFERROR(__xludf.DUMMYFUNCTION("VLOOKUP($A157,IMPORTRANGE(""1PQtfbQLqBUP-rjYRznmgNFBLOjvAnhGzpIx7BJWq8rk"",""'Worksheet'!$B$2:$H""),7,FALSE)"),"#N/A")</f>
        <v>#N/A</v>
      </c>
      <c r="M157" s="31" t="s">
        <v>60</v>
      </c>
      <c r="N157" s="49">
        <v>2.526384877E7</v>
      </c>
      <c r="O157" s="49">
        <v>1.42570496E7</v>
      </c>
      <c r="P157" s="49">
        <v>0.0</v>
      </c>
      <c r="Q157" s="34">
        <f t="shared" si="3"/>
        <v>0.435673886</v>
      </c>
      <c r="R157" s="31"/>
      <c r="S157" s="31" t="s">
        <v>60</v>
      </c>
      <c r="T157" s="50">
        <v>2.138686829E7</v>
      </c>
      <c r="U157" s="51">
        <v>2.138686829E7</v>
      </c>
      <c r="V157" s="51">
        <v>0.0</v>
      </c>
      <c r="W157" s="31"/>
      <c r="X157" s="52" t="s">
        <v>113</v>
      </c>
      <c r="Y157" s="54"/>
      <c r="Z157" s="54"/>
      <c r="AA157" s="54" t="s">
        <v>114</v>
      </c>
      <c r="AB157" s="38" t="s">
        <v>115</v>
      </c>
      <c r="AC157" s="38"/>
      <c r="AD157" s="39">
        <v>34675.76</v>
      </c>
      <c r="AE157" s="39">
        <v>22088.84271</v>
      </c>
      <c r="AF157" s="39">
        <v>12586.91729</v>
      </c>
      <c r="AG157" s="57" t="s">
        <v>1176</v>
      </c>
      <c r="AH157" s="42" t="s">
        <v>1177</v>
      </c>
      <c r="AI157" s="42" t="str">
        <f>IFERROR(__xludf.DUMMYFUNCTION("vLOOKUP(A157,IMPORTRANGE(""https://docs.google.com/spreadsheets/d/1Rawwwdh8wntXGy8isdYNHxsNQS4n_rC8JSdPfj6vEq4"",""'500 объектов перенос на 2026'!A3:AB502""),13,0)"),"#REF!")</f>
        <v>#REF!</v>
      </c>
      <c r="AJ157" s="42" t="str">
        <f>IFERROR(__xludf.DUMMYFUNCTION("vLOOKUP(A157,IMPORTRANGE(""https://docs.google.com/spreadsheets/d/1Rawwwdh8wntXGy8isdYNHxsNQS4n_rC8JSdPfj6vEq4"",""'500 объектов перенос на 2026'!A3:AB502""),14,0)"),"#REF!")</f>
        <v>#REF!</v>
      </c>
      <c r="AK157" s="76" t="s">
        <v>114</v>
      </c>
      <c r="AL157" s="43"/>
      <c r="AM157" s="43"/>
      <c r="AN157" s="43"/>
      <c r="AO157" s="43"/>
    </row>
    <row r="158" hidden="1">
      <c r="A158" s="78" t="s">
        <v>1178</v>
      </c>
      <c r="B158" s="63" t="s">
        <v>133</v>
      </c>
      <c r="C158" s="150" t="s">
        <v>1179</v>
      </c>
      <c r="D158" s="47" t="s">
        <v>1180</v>
      </c>
      <c r="E158" s="64" t="s">
        <v>85</v>
      </c>
      <c r="F158" s="31" t="s">
        <v>60</v>
      </c>
      <c r="G158" s="31"/>
      <c r="H158" s="31"/>
      <c r="I158" s="31" t="s">
        <v>60</v>
      </c>
      <c r="J158" s="31"/>
      <c r="K158" s="31"/>
      <c r="L158" s="32" t="str">
        <f>IFERROR(__xludf.DUMMYFUNCTION("VLOOKUP($A158,IMPORTRANGE(""1PQtfbQLqBUP-rjYRznmgNFBLOjvAnhGzpIx7BJWq8rk"",""'Worksheet'!$B$2:$H""),7,FALSE)"),"#N/A")</f>
        <v>#N/A</v>
      </c>
      <c r="M158" s="31" t="s">
        <v>60</v>
      </c>
      <c r="N158" s="49">
        <v>3.699478212E7</v>
      </c>
      <c r="O158" s="49">
        <v>3.400147483E7</v>
      </c>
      <c r="P158" s="49">
        <v>0.0</v>
      </c>
      <c r="Q158" s="34">
        <f t="shared" si="3"/>
        <v>0.08091160749</v>
      </c>
      <c r="R158" s="31"/>
      <c r="S158" s="31" t="s">
        <v>60</v>
      </c>
      <c r="T158" s="50">
        <f>N158*0.95</f>
        <v>35145043.01</v>
      </c>
      <c r="U158" s="50">
        <v>3.5145043014E7</v>
      </c>
      <c r="V158" s="51">
        <v>0.0</v>
      </c>
      <c r="W158" s="31"/>
      <c r="X158" s="52" t="s">
        <v>113</v>
      </c>
      <c r="Y158" s="54"/>
      <c r="Z158" s="54"/>
      <c r="AA158" s="54" t="s">
        <v>114</v>
      </c>
      <c r="AB158" s="38" t="s">
        <v>115</v>
      </c>
      <c r="AC158" s="38"/>
      <c r="AD158" s="39">
        <v>34001.47</v>
      </c>
      <c r="AE158" s="39">
        <v>34001.47483</v>
      </c>
      <c r="AF158" s="39">
        <v>-0.00483</v>
      </c>
      <c r="AG158" s="57" t="s">
        <v>1181</v>
      </c>
      <c r="AH158" s="42" t="s">
        <v>1177</v>
      </c>
      <c r="AI158" s="42" t="str">
        <f>IFERROR(__xludf.DUMMYFUNCTION("vLOOKUP(A158,IMPORTRANGE(""https://docs.google.com/spreadsheets/d/1Rawwwdh8wntXGy8isdYNHxsNQS4n_rC8JSdPfj6vEq4"",""'500 объектов перенос на 2026'!A3:AB502""),13,0)"),"#REF!")</f>
        <v>#REF!</v>
      </c>
      <c r="AJ158" s="42" t="str">
        <f>IFERROR(__xludf.DUMMYFUNCTION("vLOOKUP(A158,IMPORTRANGE(""https://docs.google.com/spreadsheets/d/1Rawwwdh8wntXGy8isdYNHxsNQS4n_rC8JSdPfj6vEq4"",""'500 объектов перенос на 2026'!A3:AB502""),14,0)"),"#REF!")</f>
        <v>#REF!</v>
      </c>
      <c r="AK158" s="76" t="s">
        <v>114</v>
      </c>
      <c r="AL158" s="43"/>
      <c r="AM158" s="43"/>
      <c r="AN158" s="43"/>
      <c r="AO158" s="43"/>
    </row>
    <row r="159" hidden="1">
      <c r="A159" s="78" t="s">
        <v>1182</v>
      </c>
      <c r="B159" s="63" t="s">
        <v>133</v>
      </c>
      <c r="C159" s="150" t="s">
        <v>1183</v>
      </c>
      <c r="D159" s="47" t="s">
        <v>1184</v>
      </c>
      <c r="E159" s="64" t="s">
        <v>85</v>
      </c>
      <c r="F159" s="31" t="s">
        <v>60</v>
      </c>
      <c r="G159" s="31"/>
      <c r="H159" s="31"/>
      <c r="I159" s="31" t="s">
        <v>60</v>
      </c>
      <c r="J159" s="31"/>
      <c r="K159" s="31"/>
      <c r="L159" s="32" t="str">
        <f>IFERROR(__xludf.DUMMYFUNCTION("VLOOKUP($A159,IMPORTRANGE(""1PQtfbQLqBUP-rjYRznmgNFBLOjvAnhGzpIx7BJWq8rk"",""'Worksheet'!$B$2:$H""),7,FALSE)"),"#N/A")</f>
        <v>#N/A</v>
      </c>
      <c r="M159" s="31" t="s">
        <v>60</v>
      </c>
      <c r="N159" s="49">
        <v>6.97536E7</v>
      </c>
      <c r="O159" s="49">
        <v>4.738180963E7</v>
      </c>
      <c r="P159" s="49">
        <v>0.0</v>
      </c>
      <c r="Q159" s="34">
        <f t="shared" si="3"/>
        <v>0.3207259607</v>
      </c>
      <c r="R159" s="31"/>
      <c r="S159" s="31" t="s">
        <v>60</v>
      </c>
      <c r="T159" s="50">
        <v>4.420000782E7</v>
      </c>
      <c r="U159" s="50">
        <v>4.420000782E7</v>
      </c>
      <c r="V159" s="51">
        <v>0.0</v>
      </c>
      <c r="W159" s="31"/>
      <c r="X159" s="52" t="s">
        <v>113</v>
      </c>
      <c r="Y159" s="54"/>
      <c r="Z159" s="54"/>
      <c r="AA159" s="54" t="s">
        <v>114</v>
      </c>
      <c r="AB159" s="38" t="s">
        <v>115</v>
      </c>
      <c r="AC159" s="38"/>
      <c r="AD159" s="39">
        <v>69753.6</v>
      </c>
      <c r="AE159" s="39">
        <v>47381.80963</v>
      </c>
      <c r="AF159" s="39">
        <v>22371.79037</v>
      </c>
      <c r="AG159" s="57" t="s">
        <v>1185</v>
      </c>
      <c r="AH159" s="42" t="s">
        <v>1177</v>
      </c>
      <c r="AI159" s="42" t="str">
        <f>IFERROR(__xludf.DUMMYFUNCTION("vLOOKUP(A159,IMPORTRANGE(""https://docs.google.com/spreadsheets/d/1Rawwwdh8wntXGy8isdYNHxsNQS4n_rC8JSdPfj6vEq4"",""'500 объектов перенос на 2026'!A3:AB502""),13,0)"),"#REF!")</f>
        <v>#REF!</v>
      </c>
      <c r="AJ159" s="42" t="str">
        <f>IFERROR(__xludf.DUMMYFUNCTION("vLOOKUP(A159,IMPORTRANGE(""https://docs.google.com/spreadsheets/d/1Rawwwdh8wntXGy8isdYNHxsNQS4n_rC8JSdPfj6vEq4"",""'500 объектов перенос на 2026'!A3:AB502""),14,0)"),"#REF!")</f>
        <v>#REF!</v>
      </c>
      <c r="AK159" s="76" t="s">
        <v>114</v>
      </c>
      <c r="AL159" s="43"/>
      <c r="AM159" s="43"/>
      <c r="AN159" s="43"/>
      <c r="AO159" s="43"/>
    </row>
    <row r="160" hidden="1">
      <c r="A160" s="78" t="s">
        <v>1186</v>
      </c>
      <c r="B160" s="63" t="s">
        <v>1187</v>
      </c>
      <c r="C160" s="64" t="s">
        <v>1188</v>
      </c>
      <c r="D160" s="47" t="s">
        <v>1189</v>
      </c>
      <c r="E160" s="64" t="s">
        <v>85</v>
      </c>
      <c r="F160" s="31" t="s">
        <v>60</v>
      </c>
      <c r="G160" s="31"/>
      <c r="H160" s="31"/>
      <c r="I160" s="31" t="s">
        <v>60</v>
      </c>
      <c r="J160" s="31"/>
      <c r="K160" s="31"/>
      <c r="L160" s="32" t="str">
        <f>IFERROR(__xludf.DUMMYFUNCTION("VLOOKUP($A160,IMPORTRANGE(""1PQtfbQLqBUP-rjYRznmgNFBLOjvAnhGzpIx7BJWq8rk"",""'Worksheet'!$B$2:$H""),7,FALSE)"),"#N/A")</f>
        <v>#N/A</v>
      </c>
      <c r="M160" s="31" t="s">
        <v>60</v>
      </c>
      <c r="N160" s="49">
        <v>4.33459656E8</v>
      </c>
      <c r="O160" s="49">
        <v>4.33459656E8</v>
      </c>
      <c r="P160" s="49">
        <v>0.0</v>
      </c>
      <c r="Q160" s="34">
        <f t="shared" si="3"/>
        <v>0</v>
      </c>
      <c r="R160" s="31"/>
      <c r="S160" s="31" t="s">
        <v>60</v>
      </c>
      <c r="T160" s="50">
        <f>0.95*N160</f>
        <v>411786673.2</v>
      </c>
      <c r="U160" s="51">
        <f>T160</f>
        <v>411786673.2</v>
      </c>
      <c r="V160" s="51">
        <v>0.0</v>
      </c>
      <c r="W160" s="31"/>
      <c r="X160" s="52" t="s">
        <v>113</v>
      </c>
      <c r="Y160" s="54"/>
      <c r="Z160" s="54"/>
      <c r="AA160" s="54" t="s">
        <v>114</v>
      </c>
      <c r="AB160" s="38" t="s">
        <v>115</v>
      </c>
      <c r="AC160" s="38"/>
      <c r="AD160" s="39">
        <v>433459.66</v>
      </c>
      <c r="AE160" s="39">
        <v>433459.656</v>
      </c>
      <c r="AF160" s="39">
        <v>0.004</v>
      </c>
      <c r="AG160" s="57" t="s">
        <v>1190</v>
      </c>
      <c r="AH160" s="42" t="s">
        <v>1191</v>
      </c>
      <c r="AI160" s="42" t="s">
        <v>1191</v>
      </c>
      <c r="AJ160" s="42" t="s">
        <v>1191</v>
      </c>
      <c r="AK160" s="76" t="s">
        <v>114</v>
      </c>
      <c r="AL160" s="43"/>
      <c r="AM160" s="43"/>
      <c r="AN160" s="43"/>
      <c r="AO160" s="43"/>
    </row>
    <row r="161" hidden="1">
      <c r="A161" s="62" t="s">
        <v>1192</v>
      </c>
      <c r="B161" s="63" t="s">
        <v>126</v>
      </c>
      <c r="C161" s="64" t="s">
        <v>1193</v>
      </c>
      <c r="D161" s="47" t="s">
        <v>166</v>
      </c>
      <c r="E161" s="64" t="s">
        <v>85</v>
      </c>
      <c r="F161" s="31" t="s">
        <v>60</v>
      </c>
      <c r="G161" s="31"/>
      <c r="H161" s="31"/>
      <c r="I161" s="31" t="s">
        <v>60</v>
      </c>
      <c r="J161" s="31"/>
      <c r="K161" s="31"/>
      <c r="L161" s="32">
        <f>IFERROR(__xludf.DUMMYFUNCTION("VLOOKUP($A161,IMPORTRANGE(""1PQtfbQLqBUP-rjYRznmgNFBLOjvAnhGzpIx7BJWq8rk"",""'Worksheet'!$B$2:$H""),7,FALSE)"),0.96)</f>
        <v>0.96</v>
      </c>
      <c r="M161" s="31" t="s">
        <v>40</v>
      </c>
      <c r="N161" s="49">
        <v>8.599336E7</v>
      </c>
      <c r="O161" s="49">
        <v>4.299668E7</v>
      </c>
      <c r="P161" s="49">
        <f t="shared" ref="P161:P163" si="27">N161-O161</f>
        <v>42996680</v>
      </c>
      <c r="Q161" s="34">
        <f t="shared" si="3"/>
        <v>0.5</v>
      </c>
      <c r="R161" s="31"/>
      <c r="S161" s="31" t="s">
        <v>40</v>
      </c>
      <c r="T161" s="72" t="s">
        <v>1194</v>
      </c>
      <c r="U161" s="50">
        <v>0.0</v>
      </c>
      <c r="V161" s="67" t="s">
        <v>1194</v>
      </c>
      <c r="W161" s="31" t="s">
        <v>1195</v>
      </c>
      <c r="X161" s="36" t="s">
        <v>1196</v>
      </c>
      <c r="Y161" s="54" t="s">
        <v>3384</v>
      </c>
      <c r="Z161" s="74"/>
      <c r="AA161" s="74">
        <v>46295.0</v>
      </c>
      <c r="AB161" s="56"/>
      <c r="AC161" s="38" t="s">
        <v>1198</v>
      </c>
      <c r="AD161" s="39">
        <v>85993.36</v>
      </c>
      <c r="AE161" s="39">
        <v>42996.68</v>
      </c>
      <c r="AF161" s="40">
        <v>42996.68</v>
      </c>
      <c r="AG161" s="57" t="s">
        <v>1199</v>
      </c>
      <c r="AH161" s="42" t="s">
        <v>1200</v>
      </c>
      <c r="AI161" s="42" t="str">
        <f>IFERROR(__xludf.DUMMYFUNCTION("vLOOKUP(A161,IMPORTRANGE(""https://docs.google.com/spreadsheets/d/1Rawwwdh8wntXGy8isdYNHxsNQS4n_rC8JSdPfj6vEq4"",""'500 объектов перенос на 2026'!A3:AB502""),13,0)"),"#REF!")</f>
        <v>#REF!</v>
      </c>
      <c r="AJ161" s="42" t="str">
        <f>IFERROR(__xludf.DUMMYFUNCTION("vLOOKUP(A161,IMPORTRANGE(""https://docs.google.com/spreadsheets/d/1Rawwwdh8wntXGy8isdYNHxsNQS4n_rC8JSdPfj6vEq4"",""'500 объектов перенос на 2026'!A3:AB502""),14,0)"),"#REF!")</f>
        <v>#REF!</v>
      </c>
      <c r="AK161" s="76" t="s">
        <v>3384</v>
      </c>
      <c r="AL161" s="43"/>
      <c r="AM161" s="43"/>
      <c r="AN161" s="43"/>
      <c r="AO161" s="43"/>
    </row>
    <row r="162" hidden="1">
      <c r="A162" s="62" t="s">
        <v>1202</v>
      </c>
      <c r="B162" s="111" t="s">
        <v>133</v>
      </c>
      <c r="C162" s="64" t="s">
        <v>1203</v>
      </c>
      <c r="D162" s="47" t="s">
        <v>1204</v>
      </c>
      <c r="E162" s="64" t="s">
        <v>39</v>
      </c>
      <c r="F162" s="31" t="s">
        <v>60</v>
      </c>
      <c r="G162" s="31"/>
      <c r="H162" s="31"/>
      <c r="I162" s="31" t="s">
        <v>40</v>
      </c>
      <c r="J162" s="31" t="s">
        <v>102</v>
      </c>
      <c r="K162" s="31" t="s">
        <v>280</v>
      </c>
      <c r="L162" s="32">
        <f>IFERROR(__xludf.DUMMYFUNCTION("VLOOKUP($A162,IMPORTRANGE(""1PQtfbQLqBUP-rjYRznmgNFBLOjvAnhGzpIx7BJWq8rk"",""'Worksheet'!$B$2:$H""),7,FALSE)"),0.29)</f>
        <v>0.29</v>
      </c>
      <c r="M162" s="31" t="s">
        <v>40</v>
      </c>
      <c r="N162" s="49">
        <v>5.32894756E7</v>
      </c>
      <c r="O162" s="49">
        <v>0.0</v>
      </c>
      <c r="P162" s="49">
        <f t="shared" si="27"/>
        <v>53289475.6</v>
      </c>
      <c r="Q162" s="34">
        <f t="shared" si="3"/>
        <v>1</v>
      </c>
      <c r="R162" s="31"/>
      <c r="S162" s="31" t="s">
        <v>40</v>
      </c>
      <c r="T162" s="50">
        <f>N162*0.95</f>
        <v>50625001.82</v>
      </c>
      <c r="U162" s="51">
        <v>0.0</v>
      </c>
      <c r="V162" s="51">
        <v>5.062500182E7</v>
      </c>
      <c r="W162" s="31"/>
      <c r="X162" s="52" t="s">
        <v>409</v>
      </c>
      <c r="Y162" s="54" t="s">
        <v>284</v>
      </c>
      <c r="Z162" s="54"/>
      <c r="AA162" s="54" t="s">
        <v>114</v>
      </c>
      <c r="AB162" s="56"/>
      <c r="AC162" s="38" t="s">
        <v>1205</v>
      </c>
      <c r="AD162" s="39">
        <v>154740.1178</v>
      </c>
      <c r="AE162" s="39">
        <v>82435.32444</v>
      </c>
      <c r="AF162" s="40">
        <v>72304.79336</v>
      </c>
      <c r="AG162" s="57" t="s">
        <v>1206</v>
      </c>
      <c r="AH162" s="42" t="s">
        <v>284</v>
      </c>
      <c r="AI162" s="42" t="str">
        <f>IFERROR(__xludf.DUMMYFUNCTION("vLOOKUP(A162,IMPORTRANGE(""https://docs.google.com/spreadsheets/d/1Rawwwdh8wntXGy8isdYNHxsNQS4n_rC8JSdPfj6vEq4"",""'500 объектов перенос на 2026'!A3:AB502""),13,0)"),"#REF!")</f>
        <v>#REF!</v>
      </c>
      <c r="AJ162" s="42" t="str">
        <f>IFERROR(__xludf.DUMMYFUNCTION("vLOOKUP(A162,IMPORTRANGE(""https://docs.google.com/spreadsheets/d/1Rawwwdh8wntXGy8isdYNHxsNQS4n_rC8JSdPfj6vEq4"",""'500 объектов перенос на 2026'!A3:AB502""),14,0)"),"#REF!")</f>
        <v>#REF!</v>
      </c>
      <c r="AK162" s="76" t="s">
        <v>1207</v>
      </c>
      <c r="AL162" s="43"/>
      <c r="AM162" s="43"/>
      <c r="AN162" s="43"/>
      <c r="AO162" s="43"/>
    </row>
    <row r="163" hidden="1">
      <c r="A163" s="62" t="s">
        <v>1208</v>
      </c>
      <c r="B163" s="63" t="s">
        <v>605</v>
      </c>
      <c r="C163" s="64" t="s">
        <v>1209</v>
      </c>
      <c r="D163" s="47" t="s">
        <v>1210</v>
      </c>
      <c r="E163" s="64" t="s">
        <v>85</v>
      </c>
      <c r="F163" s="31" t="s">
        <v>40</v>
      </c>
      <c r="G163" s="31" t="s">
        <v>156</v>
      </c>
      <c r="H163" s="31" t="s">
        <v>260</v>
      </c>
      <c r="I163" s="31" t="s">
        <v>40</v>
      </c>
      <c r="J163" s="31" t="s">
        <v>61</v>
      </c>
      <c r="K163" s="31"/>
      <c r="L163" s="32">
        <f>IFERROR(__xludf.DUMMYFUNCTION("VLOOKUP($A163,IMPORTRANGE(""1PQtfbQLqBUP-rjYRznmgNFBLOjvAnhGzpIx7BJWq8rk"",""'Worksheet'!$B$2:$H""),7,FALSE)"),0.97)</f>
        <v>0.97</v>
      </c>
      <c r="M163" s="31" t="s">
        <v>40</v>
      </c>
      <c r="N163" s="49">
        <v>5.955E7</v>
      </c>
      <c r="O163" s="49">
        <v>1.7865E7</v>
      </c>
      <c r="P163" s="49">
        <f t="shared" si="27"/>
        <v>41685000</v>
      </c>
      <c r="Q163" s="34">
        <f t="shared" si="3"/>
        <v>0.7</v>
      </c>
      <c r="R163" s="31"/>
      <c r="S163" s="31" t="s">
        <v>40</v>
      </c>
      <c r="T163" s="72" t="s">
        <v>1211</v>
      </c>
      <c r="U163" s="67">
        <v>0.0</v>
      </c>
      <c r="V163" s="67" t="s">
        <v>1211</v>
      </c>
      <c r="W163" s="31"/>
      <c r="X163" s="52" t="s">
        <v>49</v>
      </c>
      <c r="Y163" s="124" t="s">
        <v>1212</v>
      </c>
      <c r="Z163" s="54" t="s">
        <v>1213</v>
      </c>
      <c r="AA163" s="74">
        <v>46280.0</v>
      </c>
      <c r="AB163" s="56"/>
      <c r="AC163" s="38" t="s">
        <v>1214</v>
      </c>
      <c r="AD163" s="39">
        <v>59550.0</v>
      </c>
      <c r="AE163" s="39">
        <v>17865.0</v>
      </c>
      <c r="AF163" s="40">
        <v>41685.0</v>
      </c>
      <c r="AG163" s="99" t="s">
        <v>1215</v>
      </c>
      <c r="AH163" s="85"/>
      <c r="AI163" s="42" t="str">
        <f>IFERROR(__xludf.DUMMYFUNCTION("vLOOKUP(A163,IMPORTRANGE(""https://docs.google.com/spreadsheets/d/1Rawwwdh8wntXGy8isdYNHxsNQS4n_rC8JSdPfj6vEq4"",""'500 объектов перенос на 2026'!A3:AB502""),13,0)"),"#REF!")</f>
        <v>#REF!</v>
      </c>
      <c r="AJ163" s="42" t="str">
        <f>IFERROR(__xludf.DUMMYFUNCTION("vLOOKUP(A163,IMPORTRANGE(""https://docs.google.com/spreadsheets/d/1Rawwwdh8wntXGy8isdYNHxsNQS4n_rC8JSdPfj6vEq4"",""'500 объектов перенос на 2026'!A3:AB502""),14,0)"),"#REF!")</f>
        <v>#REF!</v>
      </c>
      <c r="AK163" s="76" t="s">
        <v>3385</v>
      </c>
      <c r="AL163" s="152"/>
      <c r="AM163" s="152"/>
      <c r="AN163" s="152"/>
      <c r="AO163" s="152"/>
    </row>
    <row r="164" hidden="1">
      <c r="A164" s="62" t="s">
        <v>1217</v>
      </c>
      <c r="B164" s="63" t="s">
        <v>757</v>
      </c>
      <c r="C164" s="64" t="s">
        <v>1218</v>
      </c>
      <c r="D164" s="47" t="s">
        <v>812</v>
      </c>
      <c r="E164" s="64" t="s">
        <v>85</v>
      </c>
      <c r="F164" s="31" t="s">
        <v>60</v>
      </c>
      <c r="G164" s="31"/>
      <c r="H164" s="31"/>
      <c r="I164" s="31" t="s">
        <v>60</v>
      </c>
      <c r="J164" s="31"/>
      <c r="K164" s="31"/>
      <c r="L164" s="32" t="str">
        <f>IFERROR(__xludf.DUMMYFUNCTION("VLOOKUP($A164,IMPORTRANGE(""1PQtfbQLqBUP-rjYRznmgNFBLOjvAnhGzpIx7BJWq8rk"",""'Worksheet'!$B$2:$H""),7,FALSE)"),"#N/A")</f>
        <v>#N/A</v>
      </c>
      <c r="M164" s="31" t="s">
        <v>60</v>
      </c>
      <c r="N164" s="49">
        <v>1.7340380691E8</v>
      </c>
      <c r="O164" s="49">
        <v>1.5243748544E8</v>
      </c>
      <c r="P164" s="49">
        <v>0.0</v>
      </c>
      <c r="Q164" s="34">
        <f t="shared" si="3"/>
        <v>0.1209103874</v>
      </c>
      <c r="R164" s="31"/>
      <c r="S164" s="31" t="s">
        <v>60</v>
      </c>
      <c r="T164" s="50">
        <v>1.486183792E8</v>
      </c>
      <c r="U164" s="51">
        <v>1.486183792E8</v>
      </c>
      <c r="V164" s="51"/>
      <c r="W164" s="31"/>
      <c r="X164" s="52" t="s">
        <v>1219</v>
      </c>
      <c r="Y164" s="54"/>
      <c r="Z164" s="74"/>
      <c r="AA164" s="54" t="s">
        <v>114</v>
      </c>
      <c r="AB164" s="38" t="s">
        <v>115</v>
      </c>
      <c r="AC164" s="38"/>
      <c r="AD164" s="39">
        <v>142969.66</v>
      </c>
      <c r="AE164" s="39">
        <v>152437.4854</v>
      </c>
      <c r="AF164" s="40">
        <v>-9467.82544</v>
      </c>
      <c r="AG164" s="57" t="s">
        <v>1220</v>
      </c>
      <c r="AH164" s="85" t="s">
        <v>762</v>
      </c>
      <c r="AI164" s="42" t="str">
        <f>IFERROR(__xludf.DUMMYFUNCTION("vLOOKUP(A164,IMPORTRANGE(""https://docs.google.com/spreadsheets/d/1Rawwwdh8wntXGy8isdYNHxsNQS4n_rC8JSdPfj6vEq4"",""'500 объектов перенос на 2026'!A3:AB502""),13,0)"),"#REF!")</f>
        <v>#REF!</v>
      </c>
      <c r="AJ164" s="42" t="str">
        <f>IFERROR(__xludf.DUMMYFUNCTION("vLOOKUP(A164,IMPORTRANGE(""https://docs.google.com/spreadsheets/d/1Rawwwdh8wntXGy8isdYNHxsNQS4n_rC8JSdPfj6vEq4"",""'500 объектов перенос на 2026'!A3:AB502""),14,0)"),"#REF!")</f>
        <v>#REF!</v>
      </c>
      <c r="AK164" s="76" t="s">
        <v>114</v>
      </c>
      <c r="AL164" s="43"/>
      <c r="AM164" s="43"/>
      <c r="AN164" s="43"/>
      <c r="AO164" s="43"/>
    </row>
    <row r="165" hidden="1">
      <c r="A165" s="62" t="s">
        <v>1221</v>
      </c>
      <c r="B165" s="63" t="s">
        <v>126</v>
      </c>
      <c r="C165" s="64" t="s">
        <v>1222</v>
      </c>
      <c r="D165" s="47" t="s">
        <v>585</v>
      </c>
      <c r="E165" s="64" t="s">
        <v>85</v>
      </c>
      <c r="F165" s="31" t="s">
        <v>60</v>
      </c>
      <c r="G165" s="31"/>
      <c r="H165" s="31"/>
      <c r="I165" s="31" t="s">
        <v>40</v>
      </c>
      <c r="J165" s="31" t="s">
        <v>61</v>
      </c>
      <c r="K165" s="31" t="s">
        <v>586</v>
      </c>
      <c r="L165" s="32">
        <f>IFERROR(__xludf.DUMMYFUNCTION("VLOOKUP($A165,IMPORTRANGE(""1PQtfbQLqBUP-rjYRznmgNFBLOjvAnhGzpIx7BJWq8rk"",""'Worksheet'!$B$2:$H""),7,FALSE)"),0.6)</f>
        <v>0.6</v>
      </c>
      <c r="M165" s="31" t="s">
        <v>45</v>
      </c>
      <c r="N165" s="49">
        <v>6.615295214E7</v>
      </c>
      <c r="O165" s="49">
        <v>2.120355857E7</v>
      </c>
      <c r="P165" s="49">
        <f>N165-O165</f>
        <v>44949393.57</v>
      </c>
      <c r="Q165" s="34">
        <f t="shared" si="3"/>
        <v>0.6794767598</v>
      </c>
      <c r="R165" s="31"/>
      <c r="S165" s="31" t="s">
        <v>45</v>
      </c>
      <c r="T165" s="72" t="s">
        <v>1223</v>
      </c>
      <c r="U165" s="67" t="s">
        <v>1224</v>
      </c>
      <c r="V165" s="67" t="s">
        <v>1225</v>
      </c>
      <c r="W165" s="31"/>
      <c r="X165" s="52" t="s">
        <v>1226</v>
      </c>
      <c r="Y165" s="125" t="s">
        <v>1227</v>
      </c>
      <c r="Z165" s="74"/>
      <c r="AA165" s="74">
        <v>46264.0</v>
      </c>
      <c r="AB165" s="56"/>
      <c r="AC165" s="38" t="s">
        <v>1228</v>
      </c>
      <c r="AD165" s="39">
        <v>66152.95</v>
      </c>
      <c r="AE165" s="39">
        <v>22526.26017</v>
      </c>
      <c r="AF165" s="40">
        <v>43626.68983</v>
      </c>
      <c r="AG165" s="57" t="s">
        <v>1229</v>
      </c>
      <c r="AH165" s="42" t="s">
        <v>1230</v>
      </c>
      <c r="AI165" s="42" t="str">
        <f>IFERROR(__xludf.DUMMYFUNCTION("vLOOKUP(A165,IMPORTRANGE(""https://docs.google.com/spreadsheets/d/1Rawwwdh8wntXGy8isdYNHxsNQS4n_rC8JSdPfj6vEq4"",""'500 объектов перенос на 2026'!A3:AB502""),13,0)"),"#REF!")</f>
        <v>#REF!</v>
      </c>
      <c r="AJ165" s="42" t="str">
        <f>IFERROR(__xludf.DUMMYFUNCTION("vLOOKUP(A165,IMPORTRANGE(""https://docs.google.com/spreadsheets/d/1Rawwwdh8wntXGy8isdYNHxsNQS4n_rC8JSdPfj6vEq4"",""'500 объектов перенос на 2026'!A3:AB502""),14,0)"),"#REF!")</f>
        <v>#REF!</v>
      </c>
      <c r="AK165" s="76" t="s">
        <v>1227</v>
      </c>
      <c r="AL165" s="43"/>
      <c r="AM165" s="43"/>
      <c r="AN165" s="43"/>
      <c r="AO165" s="43"/>
    </row>
    <row r="166" hidden="1">
      <c r="A166" s="62" t="s">
        <v>1231</v>
      </c>
      <c r="B166" s="63" t="s">
        <v>1039</v>
      </c>
      <c r="C166" s="104" t="s">
        <v>1232</v>
      </c>
      <c r="D166" s="47" t="s">
        <v>1233</v>
      </c>
      <c r="E166" s="64" t="s">
        <v>59</v>
      </c>
      <c r="F166" s="31" t="s">
        <v>60</v>
      </c>
      <c r="G166" s="31"/>
      <c r="H166" s="31"/>
      <c r="I166" s="31" t="s">
        <v>60</v>
      </c>
      <c r="J166" s="31"/>
      <c r="K166" s="31"/>
      <c r="L166" s="32">
        <f>IFERROR(__xludf.DUMMYFUNCTION("VLOOKUP($A166,IMPORTRANGE(""1PQtfbQLqBUP-rjYRznmgNFBLOjvAnhGzpIx7BJWq8rk"",""'Worksheet'!$B$2:$H""),7,FALSE)"),0.98)</f>
        <v>0.98</v>
      </c>
      <c r="M166" s="31" t="s">
        <v>60</v>
      </c>
      <c r="N166" s="49">
        <v>2.6595931092E8</v>
      </c>
      <c r="O166" s="49">
        <v>2.5570705668E8</v>
      </c>
      <c r="P166" s="49">
        <v>0.0</v>
      </c>
      <c r="Q166" s="34">
        <f t="shared" si="3"/>
        <v>0.03854820576</v>
      </c>
      <c r="R166" s="31"/>
      <c r="S166" s="31" t="s">
        <v>60</v>
      </c>
      <c r="T166" s="88">
        <v>2.5266134537E8</v>
      </c>
      <c r="U166" s="88">
        <v>2.4292170385E8</v>
      </c>
      <c r="V166" s="88">
        <f>T166-U166</f>
        <v>9739641.52</v>
      </c>
      <c r="W166" s="31"/>
      <c r="X166" s="52" t="s">
        <v>209</v>
      </c>
      <c r="Y166" s="54"/>
      <c r="Z166" s="54"/>
      <c r="AA166" s="54" t="s">
        <v>114</v>
      </c>
      <c r="AB166" s="38" t="s">
        <v>1234</v>
      </c>
      <c r="AC166" s="38"/>
      <c r="AD166" s="39">
        <v>265959.3109</v>
      </c>
      <c r="AE166" s="39">
        <v>41525.18973</v>
      </c>
      <c r="AF166" s="39">
        <v>224434.1212</v>
      </c>
      <c r="AG166" s="57" t="s">
        <v>1235</v>
      </c>
      <c r="AH166" s="42" t="s">
        <v>362</v>
      </c>
      <c r="AI166" s="42" t="str">
        <f>IFERROR(__xludf.DUMMYFUNCTION("vLOOKUP(A166,IMPORTRANGE(""https://docs.google.com/spreadsheets/d/1Rawwwdh8wntXGy8isdYNHxsNQS4n_rC8JSdPfj6vEq4"",""'500 объектов перенос на 2026'!A3:AB502""),13,0)"),"#REF!")</f>
        <v>#REF!</v>
      </c>
      <c r="AJ166" s="42" t="str">
        <f>IFERROR(__xludf.DUMMYFUNCTION("vLOOKUP(A166,IMPORTRANGE(""https://docs.google.com/spreadsheets/d/1Rawwwdh8wntXGy8isdYNHxsNQS4n_rC8JSdPfj6vEq4"",""'500 объектов перенос на 2026'!A3:AB502""),14,0)"),"#REF!")</f>
        <v>#REF!</v>
      </c>
      <c r="AK166" s="76" t="s">
        <v>114</v>
      </c>
      <c r="AL166" s="96"/>
      <c r="AM166" s="96"/>
      <c r="AN166" s="96"/>
      <c r="AO166" s="96"/>
    </row>
    <row r="167" hidden="1">
      <c r="A167" s="78" t="s">
        <v>1236</v>
      </c>
      <c r="B167" s="63" t="s">
        <v>1039</v>
      </c>
      <c r="C167" s="64" t="s">
        <v>1237</v>
      </c>
      <c r="D167" s="47" t="s">
        <v>1041</v>
      </c>
      <c r="E167" s="64" t="s">
        <v>85</v>
      </c>
      <c r="F167" s="31" t="s">
        <v>60</v>
      </c>
      <c r="G167" s="31"/>
      <c r="H167" s="31"/>
      <c r="I167" s="31" t="s">
        <v>60</v>
      </c>
      <c r="J167" s="31"/>
      <c r="K167" s="31"/>
      <c r="L167" s="32" t="str">
        <f>IFERROR(__xludf.DUMMYFUNCTION("VLOOKUP($A167,IMPORTRANGE(""1PQtfbQLqBUP-rjYRznmgNFBLOjvAnhGzpIx7BJWq8rk"",""'Worksheet'!$B$2:$H""),7,FALSE)"),"#N/A")</f>
        <v>#N/A</v>
      </c>
      <c r="M167" s="31" t="s">
        <v>60</v>
      </c>
      <c r="N167" s="49">
        <v>8.86444E7</v>
      </c>
      <c r="O167" s="49">
        <v>8.404780399E7</v>
      </c>
      <c r="P167" s="49">
        <v>0.0</v>
      </c>
      <c r="Q167" s="34">
        <f t="shared" si="3"/>
        <v>0.05185433045</v>
      </c>
      <c r="R167" s="31"/>
      <c r="S167" s="31" t="s">
        <v>60</v>
      </c>
      <c r="T167" s="88">
        <v>7.913456622E7</v>
      </c>
      <c r="U167" s="88">
        <v>7.913456622E7</v>
      </c>
      <c r="V167" s="88">
        <v>0.0</v>
      </c>
      <c r="W167" s="31"/>
      <c r="X167" s="52" t="s">
        <v>113</v>
      </c>
      <c r="Y167" s="54"/>
      <c r="Z167" s="54"/>
      <c r="AA167" s="54" t="s">
        <v>114</v>
      </c>
      <c r="AB167" s="38" t="s">
        <v>115</v>
      </c>
      <c r="AC167" s="38"/>
      <c r="AD167" s="39">
        <v>88644.4</v>
      </c>
      <c r="AE167" s="39">
        <v>84047.80399</v>
      </c>
      <c r="AF167" s="39">
        <v>4596.59601</v>
      </c>
      <c r="AG167" s="57" t="s">
        <v>1238</v>
      </c>
      <c r="AH167" s="42" t="s">
        <v>362</v>
      </c>
      <c r="AI167" s="42" t="str">
        <f>IFERROR(__xludf.DUMMYFUNCTION("vLOOKUP(A167,IMPORTRANGE(""https://docs.google.com/spreadsheets/d/1Rawwwdh8wntXGy8isdYNHxsNQS4n_rC8JSdPfj6vEq4"",""'500 объектов перенос на 2026'!A3:AB502""),13,0)"),"#REF!")</f>
        <v>#REF!</v>
      </c>
      <c r="AJ167" s="42" t="str">
        <f>IFERROR(__xludf.DUMMYFUNCTION("vLOOKUP(A167,IMPORTRANGE(""https://docs.google.com/spreadsheets/d/1Rawwwdh8wntXGy8isdYNHxsNQS4n_rC8JSdPfj6vEq4"",""'500 объектов перенос на 2026'!A3:AB502""),14,0)"),"#REF!")</f>
        <v>#REF!</v>
      </c>
      <c r="AK167" s="76" t="s">
        <v>114</v>
      </c>
      <c r="AL167" s="43"/>
      <c r="AM167" s="43"/>
      <c r="AN167" s="43"/>
      <c r="AO167" s="43"/>
    </row>
    <row r="168" hidden="1">
      <c r="A168" s="62" t="s">
        <v>1239</v>
      </c>
      <c r="B168" s="63" t="s">
        <v>635</v>
      </c>
      <c r="C168" s="144" t="s">
        <v>1240</v>
      </c>
      <c r="D168" s="47" t="s">
        <v>1210</v>
      </c>
      <c r="E168" s="64" t="s">
        <v>85</v>
      </c>
      <c r="F168" s="31" t="s">
        <v>60</v>
      </c>
      <c r="G168" s="31"/>
      <c r="H168" s="31"/>
      <c r="I168" s="31" t="s">
        <v>60</v>
      </c>
      <c r="J168" s="31"/>
      <c r="K168" s="31"/>
      <c r="L168" s="32">
        <f>IFERROR(__xludf.DUMMYFUNCTION("VLOOKUP($A168,IMPORTRANGE(""1PQtfbQLqBUP-rjYRznmgNFBLOjvAnhGzpIx7BJWq8rk"",""'Worksheet'!$B$2:$H""),7,FALSE)"),0.99)</f>
        <v>0.99</v>
      </c>
      <c r="M168" s="31" t="s">
        <v>45</v>
      </c>
      <c r="N168" s="49">
        <v>5.777215E7</v>
      </c>
      <c r="O168" s="49">
        <v>1.662183269E7</v>
      </c>
      <c r="P168" s="49">
        <f t="shared" ref="P168:P171" si="28">N168-O168</f>
        <v>41150317.31</v>
      </c>
      <c r="Q168" s="34">
        <f t="shared" si="3"/>
        <v>0.7122864098</v>
      </c>
      <c r="R168" s="31" t="s">
        <v>1678</v>
      </c>
      <c r="S168" s="31" t="s">
        <v>60</v>
      </c>
      <c r="T168" s="84" t="s">
        <v>3386</v>
      </c>
      <c r="U168" s="84" t="s">
        <v>3386</v>
      </c>
      <c r="V168" s="84">
        <v>0.0</v>
      </c>
      <c r="W168" s="31"/>
      <c r="X168" s="52" t="s">
        <v>1243</v>
      </c>
      <c r="Y168" s="54" t="s">
        <v>1244</v>
      </c>
      <c r="Z168" s="54" t="s">
        <v>1245</v>
      </c>
      <c r="AA168" s="68">
        <v>46185.0</v>
      </c>
      <c r="AB168" s="56"/>
      <c r="AC168" s="38" t="s">
        <v>1246</v>
      </c>
      <c r="AD168" s="39">
        <v>57772.15</v>
      </c>
      <c r="AE168" s="39">
        <v>16970.69925</v>
      </c>
      <c r="AF168" s="40">
        <v>40801.45075</v>
      </c>
      <c r="AG168" s="57" t="s">
        <v>3387</v>
      </c>
      <c r="AH168" s="42" t="s">
        <v>1693</v>
      </c>
      <c r="AI168" s="42" t="str">
        <f>IFERROR(__xludf.DUMMYFUNCTION("vLOOKUP(A168,IMPORTRANGE(""https://docs.google.com/spreadsheets/d/1Rawwwdh8wntXGy8isdYNHxsNQS4n_rC8JSdPfj6vEq4"",""'500 объектов перенос на 2026'!A3:AB502""),13,0)"),"#REF!")</f>
        <v>#REF!</v>
      </c>
      <c r="AJ168" s="42" t="str">
        <f>IFERROR(__xludf.DUMMYFUNCTION("vLOOKUP(A168,IMPORTRANGE(""https://docs.google.com/spreadsheets/d/1Rawwwdh8wntXGy8isdYNHxsNQS4n_rC8JSdPfj6vEq4"",""'500 объектов перенос на 2026'!A3:AB502""),14,0)"),"#REF!")</f>
        <v>#REF!</v>
      </c>
      <c r="AK168" s="119"/>
      <c r="AL168" s="43"/>
      <c r="AM168" s="43"/>
      <c r="AN168" s="43"/>
      <c r="AO168" s="43"/>
    </row>
    <row r="169" hidden="1">
      <c r="A169" s="78" t="s">
        <v>1251</v>
      </c>
      <c r="B169" s="63" t="s">
        <v>1039</v>
      </c>
      <c r="C169" s="64" t="s">
        <v>1252</v>
      </c>
      <c r="D169" s="47" t="s">
        <v>1253</v>
      </c>
      <c r="E169" s="64" t="s">
        <v>59</v>
      </c>
      <c r="F169" s="31" t="s">
        <v>60</v>
      </c>
      <c r="G169" s="31"/>
      <c r="H169" s="31"/>
      <c r="I169" s="31" t="s">
        <v>60</v>
      </c>
      <c r="J169" s="31"/>
      <c r="K169" s="31"/>
      <c r="L169" s="32" t="str">
        <f>IFERROR(__xludf.DUMMYFUNCTION("VLOOKUP($A169,IMPORTRANGE(""1PQtfbQLqBUP-rjYRznmgNFBLOjvAnhGzpIx7BJWq8rk"",""'Worksheet'!$B$2:$H""),7,FALSE)"),"#N/A")</f>
        <v>#N/A</v>
      </c>
      <c r="M169" s="31" t="s">
        <v>60</v>
      </c>
      <c r="N169" s="49">
        <v>1.543347854E7</v>
      </c>
      <c r="O169" s="49">
        <v>1.543347854E7</v>
      </c>
      <c r="P169" s="49">
        <f t="shared" si="28"/>
        <v>0</v>
      </c>
      <c r="Q169" s="34">
        <f t="shared" si="3"/>
        <v>0</v>
      </c>
      <c r="R169" s="31"/>
      <c r="S169" s="31" t="s">
        <v>60</v>
      </c>
      <c r="T169" s="88">
        <v>1.466180461E7</v>
      </c>
      <c r="U169" s="88">
        <v>1.466180461E7</v>
      </c>
      <c r="V169" s="88">
        <f>T169-U169</f>
        <v>0</v>
      </c>
      <c r="W169" s="31"/>
      <c r="X169" s="52" t="s">
        <v>113</v>
      </c>
      <c r="Y169" s="54"/>
      <c r="Z169" s="54"/>
      <c r="AA169" s="54" t="s">
        <v>114</v>
      </c>
      <c r="AB169" s="38" t="s">
        <v>115</v>
      </c>
      <c r="AC169" s="38"/>
      <c r="AD169" s="39">
        <v>15600.0</v>
      </c>
      <c r="AE169" s="39">
        <v>15433.47854</v>
      </c>
      <c r="AF169" s="39">
        <v>166.52146</v>
      </c>
      <c r="AG169" s="57" t="s">
        <v>1254</v>
      </c>
      <c r="AH169" s="42" t="s">
        <v>1191</v>
      </c>
      <c r="AI169" s="42" t="str">
        <f>IFERROR(__xludf.DUMMYFUNCTION("vLOOKUP(A169,IMPORTRANGE(""https://docs.google.com/spreadsheets/d/1Rawwwdh8wntXGy8isdYNHxsNQS4n_rC8JSdPfj6vEq4"",""'500 объектов перенос на 2026'!A3:AB502""),13,0)"),"#REF!")</f>
        <v>#REF!</v>
      </c>
      <c r="AJ169" s="42" t="str">
        <f>IFERROR(__xludf.DUMMYFUNCTION("vLOOKUP(A169,IMPORTRANGE(""https://docs.google.com/spreadsheets/d/1Rawwwdh8wntXGy8isdYNHxsNQS4n_rC8JSdPfj6vEq4"",""'500 объектов перенос на 2026'!A3:AB502""),14,0)"),"#REF!")</f>
        <v>#REF!</v>
      </c>
      <c r="AK169" s="76" t="s">
        <v>114</v>
      </c>
      <c r="AL169" s="43"/>
      <c r="AM169" s="43"/>
      <c r="AN169" s="43"/>
      <c r="AO169" s="43"/>
    </row>
    <row r="170" hidden="1">
      <c r="A170" s="62" t="s">
        <v>1255</v>
      </c>
      <c r="B170" s="63" t="s">
        <v>736</v>
      </c>
      <c r="C170" s="64" t="s">
        <v>1256</v>
      </c>
      <c r="D170" s="47" t="s">
        <v>101</v>
      </c>
      <c r="E170" s="64" t="s">
        <v>59</v>
      </c>
      <c r="F170" s="31" t="s">
        <v>60</v>
      </c>
      <c r="G170" s="31"/>
      <c r="H170" s="31"/>
      <c r="I170" s="31" t="s">
        <v>60</v>
      </c>
      <c r="J170" s="31"/>
      <c r="K170" s="31"/>
      <c r="L170" s="32">
        <f>IFERROR(__xludf.DUMMYFUNCTION("VLOOKUP($A170,IMPORTRANGE(""1PQtfbQLqBUP-rjYRznmgNFBLOjvAnhGzpIx7BJWq8rk"",""'Worksheet'!$B$2:$H""),7,FALSE)"),1.0)</f>
        <v>1</v>
      </c>
      <c r="M170" s="31" t="s">
        <v>45</v>
      </c>
      <c r="N170" s="49">
        <v>1.9233486089E8</v>
      </c>
      <c r="O170" s="49">
        <v>1.2158925844E8</v>
      </c>
      <c r="P170" s="49">
        <f t="shared" si="28"/>
        <v>70745602.45</v>
      </c>
      <c r="Q170" s="34">
        <f t="shared" si="3"/>
        <v>0.3678251676</v>
      </c>
      <c r="R170" s="31"/>
      <c r="S170" s="31" t="s">
        <v>45</v>
      </c>
      <c r="T170" s="84" t="s">
        <v>1257</v>
      </c>
      <c r="U170" s="84" t="s">
        <v>1258</v>
      </c>
      <c r="V170" s="84" t="s">
        <v>1259</v>
      </c>
      <c r="W170" s="31" t="s">
        <v>148</v>
      </c>
      <c r="X170" s="52" t="s">
        <v>741</v>
      </c>
      <c r="Y170" s="54" t="s">
        <v>1260</v>
      </c>
      <c r="Z170" s="54" t="s">
        <v>774</v>
      </c>
      <c r="AA170" s="68">
        <v>46185.0</v>
      </c>
      <c r="AB170" s="56"/>
      <c r="AC170" s="38"/>
      <c r="AD170" s="39">
        <v>303726.38</v>
      </c>
      <c r="AE170" s="39">
        <v>151863.0</v>
      </c>
      <c r="AF170" s="40">
        <v>151863.38</v>
      </c>
      <c r="AG170" s="57" t="s">
        <v>1261</v>
      </c>
      <c r="AH170" s="42" t="s">
        <v>1262</v>
      </c>
      <c r="AI170" s="42" t="str">
        <f>IFERROR(__xludf.DUMMYFUNCTION("vLOOKUP(A170,IMPORTRANGE(""https://docs.google.com/spreadsheets/d/1Rawwwdh8wntXGy8isdYNHxsNQS4n_rC8JSdPfj6vEq4"",""'500 объектов перенос на 2026'!A3:AB502""),13,0)"),"#REF!")</f>
        <v>#REF!</v>
      </c>
      <c r="AJ170" s="42" t="str">
        <f>IFERROR(__xludf.DUMMYFUNCTION("vLOOKUP(A170,IMPORTRANGE(""https://docs.google.com/spreadsheets/d/1Rawwwdh8wntXGy8isdYNHxsNQS4n_rC8JSdPfj6vEq4"",""'500 объектов перенос на 2026'!A3:AB502""),14,0)"),"#REF!")</f>
        <v>#REF!</v>
      </c>
      <c r="AK170" s="70" t="s">
        <v>3388</v>
      </c>
      <c r="AL170" s="43"/>
      <c r="AM170" s="43"/>
      <c r="AN170" s="43"/>
      <c r="AO170" s="43"/>
    </row>
    <row r="171" hidden="1">
      <c r="A171" s="62" t="s">
        <v>1265</v>
      </c>
      <c r="B171" s="63" t="s">
        <v>268</v>
      </c>
      <c r="C171" s="64" t="s">
        <v>1266</v>
      </c>
      <c r="D171" s="47" t="s">
        <v>1041</v>
      </c>
      <c r="E171" s="64" t="s">
        <v>85</v>
      </c>
      <c r="F171" s="31" t="s">
        <v>60</v>
      </c>
      <c r="G171" s="31"/>
      <c r="H171" s="31"/>
      <c r="I171" s="31" t="s">
        <v>40</v>
      </c>
      <c r="J171" s="31" t="s">
        <v>61</v>
      </c>
      <c r="K171" s="31" t="s">
        <v>72</v>
      </c>
      <c r="L171" s="32">
        <f>IFERROR(__xludf.DUMMYFUNCTION("VLOOKUP($A171,IMPORTRANGE(""1PQtfbQLqBUP-rjYRznmgNFBLOjvAnhGzpIx7BJWq8rk"",""'Worksheet'!$B$2:$H""),7,FALSE)"),0.98)</f>
        <v>0.98</v>
      </c>
      <c r="M171" s="31" t="s">
        <v>40</v>
      </c>
      <c r="N171" s="49">
        <v>5.7067164E7</v>
      </c>
      <c r="O171" s="49">
        <v>1.71201492E7</v>
      </c>
      <c r="P171" s="49">
        <f t="shared" si="28"/>
        <v>39947014.8</v>
      </c>
      <c r="Q171" s="34">
        <f t="shared" si="3"/>
        <v>0.7</v>
      </c>
      <c r="R171" s="31"/>
      <c r="S171" s="31" t="s">
        <v>40</v>
      </c>
      <c r="T171" s="84" t="s">
        <v>1267</v>
      </c>
      <c r="U171" s="84">
        <v>0.0</v>
      </c>
      <c r="V171" s="84" t="s">
        <v>1267</v>
      </c>
      <c r="W171" s="31"/>
      <c r="X171" s="52" t="s">
        <v>1268</v>
      </c>
      <c r="Y171" s="54" t="s">
        <v>1269</v>
      </c>
      <c r="Z171" s="54" t="s">
        <v>851</v>
      </c>
      <c r="AA171" s="68">
        <v>46251.0</v>
      </c>
      <c r="AB171" s="56"/>
      <c r="AC171" s="38"/>
      <c r="AD171" s="39">
        <v>57067.16</v>
      </c>
      <c r="AE171" s="39">
        <v>17120.1492</v>
      </c>
      <c r="AF171" s="40">
        <v>39947.0108</v>
      </c>
      <c r="AG171" s="57" t="s">
        <v>1270</v>
      </c>
      <c r="AH171" s="42" t="s">
        <v>49</v>
      </c>
      <c r="AI171" s="42" t="str">
        <f>IFERROR(__xludf.DUMMYFUNCTION("vLOOKUP(A171,IMPORTRANGE(""https://docs.google.com/spreadsheets/d/1Rawwwdh8wntXGy8isdYNHxsNQS4n_rC8JSdPfj6vEq4"",""'500 объектов перенос на 2026'!A3:AB502""),13,0)"),"#REF!")</f>
        <v>#REF!</v>
      </c>
      <c r="AJ171" s="42" t="str">
        <f>IFERROR(__xludf.DUMMYFUNCTION("vLOOKUP(A171,IMPORTRANGE(""https://docs.google.com/spreadsheets/d/1Rawwwdh8wntXGy8isdYNHxsNQS4n_rC8JSdPfj6vEq4"",""'500 объектов перенос на 2026'!A3:AB502""),14,0)"),"#REF!")</f>
        <v>#REF!</v>
      </c>
      <c r="AK171" s="70" t="s">
        <v>3389</v>
      </c>
      <c r="AL171" s="43"/>
      <c r="AM171" s="43"/>
      <c r="AN171" s="43"/>
      <c r="AO171" s="43"/>
    </row>
    <row r="172" hidden="1">
      <c r="A172" s="78" t="s">
        <v>1273</v>
      </c>
      <c r="B172" s="63" t="s">
        <v>1274</v>
      </c>
      <c r="C172" s="64" t="s">
        <v>1275</v>
      </c>
      <c r="D172" s="47" t="s">
        <v>1276</v>
      </c>
      <c r="E172" s="64" t="s">
        <v>85</v>
      </c>
      <c r="F172" s="31" t="s">
        <v>60</v>
      </c>
      <c r="G172" s="31"/>
      <c r="H172" s="31"/>
      <c r="I172" s="31" t="s">
        <v>60</v>
      </c>
      <c r="J172" s="31"/>
      <c r="K172" s="31"/>
      <c r="L172" s="32" t="str">
        <f>IFERROR(__xludf.DUMMYFUNCTION("VLOOKUP($A172,IMPORTRANGE(""1PQtfbQLqBUP-rjYRznmgNFBLOjvAnhGzpIx7BJWq8rk"",""'Worksheet'!$B$2:$H""),7,FALSE)"),"#N/A")</f>
        <v>#N/A</v>
      </c>
      <c r="M172" s="31" t="s">
        <v>60</v>
      </c>
      <c r="N172" s="49">
        <v>6.0686698E7</v>
      </c>
      <c r="O172" s="49">
        <v>4.763543801E7</v>
      </c>
      <c r="P172" s="49">
        <v>0.0</v>
      </c>
      <c r="Q172" s="34">
        <f t="shared" si="3"/>
        <v>0.2150596493</v>
      </c>
      <c r="R172" s="31"/>
      <c r="S172" s="31" t="s">
        <v>60</v>
      </c>
      <c r="T172" s="91">
        <v>0.0</v>
      </c>
      <c r="U172" s="91">
        <v>0.0</v>
      </c>
      <c r="V172" s="91">
        <v>0.0</v>
      </c>
      <c r="W172" s="31"/>
      <c r="X172" s="52" t="s">
        <v>113</v>
      </c>
      <c r="Y172" s="54" t="s">
        <v>114</v>
      </c>
      <c r="Z172" s="54"/>
      <c r="AA172" s="54" t="s">
        <v>114</v>
      </c>
      <c r="AB172" s="38" t="s">
        <v>115</v>
      </c>
      <c r="AC172" s="38"/>
      <c r="AD172" s="39">
        <v>60686.6983</v>
      </c>
      <c r="AE172" s="39">
        <v>47635.43801</v>
      </c>
      <c r="AF172" s="39">
        <v>13051.26029</v>
      </c>
      <c r="AG172" s="57" t="s">
        <v>1277</v>
      </c>
      <c r="AH172" s="42" t="s">
        <v>1278</v>
      </c>
      <c r="AI172" s="42" t="str">
        <f>IFERROR(__xludf.DUMMYFUNCTION("vLOOKUP(A172,IMPORTRANGE(""https://docs.google.com/spreadsheets/d/1Rawwwdh8wntXGy8isdYNHxsNQS4n_rC8JSdPfj6vEq4"",""'500 объектов перенос на 2026'!A3:AB502""),13,0)"),"#REF!")</f>
        <v>#REF!</v>
      </c>
      <c r="AJ172" s="42" t="str">
        <f>IFERROR(__xludf.DUMMYFUNCTION("vLOOKUP(A172,IMPORTRANGE(""https://docs.google.com/spreadsheets/d/1Rawwwdh8wntXGy8isdYNHxsNQS4n_rC8JSdPfj6vEq4"",""'500 объектов перенос на 2026'!A3:AB502""),14,0)"),"#REF!")</f>
        <v>#REF!</v>
      </c>
      <c r="AK172" s="76" t="s">
        <v>114</v>
      </c>
      <c r="AL172" s="43"/>
      <c r="AM172" s="43"/>
      <c r="AN172" s="43"/>
      <c r="AO172" s="43"/>
    </row>
    <row r="173" hidden="1">
      <c r="A173" s="78" t="s">
        <v>1279</v>
      </c>
      <c r="B173" s="63" t="s">
        <v>1274</v>
      </c>
      <c r="C173" s="150" t="s">
        <v>1280</v>
      </c>
      <c r="D173" s="47" t="s">
        <v>1276</v>
      </c>
      <c r="E173" s="64" t="s">
        <v>85</v>
      </c>
      <c r="F173" s="31" t="s">
        <v>60</v>
      </c>
      <c r="G173" s="31"/>
      <c r="H173" s="31"/>
      <c r="I173" s="31" t="s">
        <v>60</v>
      </c>
      <c r="J173" s="31"/>
      <c r="K173" s="31"/>
      <c r="L173" s="32">
        <f>IFERROR(__xludf.DUMMYFUNCTION("VLOOKUP($A173,IMPORTRANGE(""1PQtfbQLqBUP-rjYRznmgNFBLOjvAnhGzpIx7BJWq8rk"",""'Worksheet'!$B$2:$H""),7,FALSE)"),1.0)</f>
        <v>1</v>
      </c>
      <c r="M173" s="31" t="s">
        <v>60</v>
      </c>
      <c r="N173" s="49">
        <v>3.657120722E7</v>
      </c>
      <c r="O173" s="49">
        <v>2.882576682E7</v>
      </c>
      <c r="P173" s="49">
        <v>0.0</v>
      </c>
      <c r="Q173" s="34">
        <f t="shared" si="3"/>
        <v>0.2117906678</v>
      </c>
      <c r="R173" s="31"/>
      <c r="S173" s="31" t="s">
        <v>60</v>
      </c>
      <c r="T173" s="50" t="s">
        <v>1281</v>
      </c>
      <c r="U173" s="51" t="s">
        <v>1282</v>
      </c>
      <c r="V173" s="51" t="s">
        <v>1283</v>
      </c>
      <c r="W173" s="31"/>
      <c r="X173" s="52" t="s">
        <v>113</v>
      </c>
      <c r="Y173" s="54" t="s">
        <v>114</v>
      </c>
      <c r="Z173" s="54"/>
      <c r="AA173" s="54" t="s">
        <v>114</v>
      </c>
      <c r="AB173" s="38" t="s">
        <v>115</v>
      </c>
      <c r="AC173" s="38"/>
      <c r="AD173" s="39">
        <v>36571.21</v>
      </c>
      <c r="AE173" s="39">
        <v>28825.56983</v>
      </c>
      <c r="AF173" s="39">
        <v>7745.64017</v>
      </c>
      <c r="AG173" s="57" t="s">
        <v>1284</v>
      </c>
      <c r="AH173" s="42" t="s">
        <v>1285</v>
      </c>
      <c r="AI173" s="42" t="str">
        <f>IFERROR(__xludf.DUMMYFUNCTION("vLOOKUP(A173,IMPORTRANGE(""https://docs.google.com/spreadsheets/d/1Rawwwdh8wntXGy8isdYNHxsNQS4n_rC8JSdPfj6vEq4"",""'500 объектов перенос на 2026'!A3:AB502""),13,0)"),"#REF!")</f>
        <v>#REF!</v>
      </c>
      <c r="AJ173" s="42" t="str">
        <f>IFERROR(__xludf.DUMMYFUNCTION("vLOOKUP(A173,IMPORTRANGE(""https://docs.google.com/spreadsheets/d/1Rawwwdh8wntXGy8isdYNHxsNQS4n_rC8JSdPfj6vEq4"",""'500 объектов перенос на 2026'!A3:AB502""),14,0)"),"#REF!")</f>
        <v>#REF!</v>
      </c>
      <c r="AK173" s="76" t="s">
        <v>114</v>
      </c>
      <c r="AL173" s="43"/>
      <c r="AM173" s="43"/>
      <c r="AN173" s="43"/>
      <c r="AO173" s="43"/>
    </row>
    <row r="174" hidden="1">
      <c r="A174" s="62" t="s">
        <v>1286</v>
      </c>
      <c r="B174" s="63" t="s">
        <v>1287</v>
      </c>
      <c r="C174" s="64" t="s">
        <v>1288</v>
      </c>
      <c r="D174" s="47" t="s">
        <v>1210</v>
      </c>
      <c r="E174" s="64" t="s">
        <v>85</v>
      </c>
      <c r="F174" s="31" t="s">
        <v>60</v>
      </c>
      <c r="G174" s="31"/>
      <c r="H174" s="31"/>
      <c r="I174" s="31" t="s">
        <v>40</v>
      </c>
      <c r="J174" s="31" t="s">
        <v>61</v>
      </c>
      <c r="K174" s="31" t="s">
        <v>62</v>
      </c>
      <c r="L174" s="32">
        <f>IFERROR(__xludf.DUMMYFUNCTION("VLOOKUP($A174,IMPORTRANGE(""1PQtfbQLqBUP-rjYRznmgNFBLOjvAnhGzpIx7BJWq8rk"",""'Worksheet'!$B$2:$H""),7,FALSE)"),0.95)</f>
        <v>0.95</v>
      </c>
      <c r="M174" s="31" t="s">
        <v>40</v>
      </c>
      <c r="N174" s="49">
        <v>5.6856463E7</v>
      </c>
      <c r="O174" s="49">
        <v>1.70569389E7</v>
      </c>
      <c r="P174" s="49">
        <f t="shared" ref="P174:P178" si="29">N174-O174</f>
        <v>39799524.1</v>
      </c>
      <c r="Q174" s="34">
        <f t="shared" si="3"/>
        <v>0.7</v>
      </c>
      <c r="R174" s="31"/>
      <c r="S174" s="31" t="s">
        <v>40</v>
      </c>
      <c r="T174" s="50" t="s">
        <v>1289</v>
      </c>
      <c r="U174" s="51">
        <v>0.0</v>
      </c>
      <c r="V174" s="51" t="s">
        <v>1289</v>
      </c>
      <c r="W174" s="31"/>
      <c r="X174" s="52" t="s">
        <v>1290</v>
      </c>
      <c r="Y174" s="54" t="s">
        <v>1291</v>
      </c>
      <c r="Z174" s="54" t="s">
        <v>1292</v>
      </c>
      <c r="AA174" s="74">
        <v>46192.0</v>
      </c>
      <c r="AB174" s="56"/>
      <c r="AC174" s="38" t="s">
        <v>1293</v>
      </c>
      <c r="AD174" s="39">
        <v>56856.46</v>
      </c>
      <c r="AE174" s="39">
        <v>17056.9389</v>
      </c>
      <c r="AF174" s="40">
        <v>39799.5211</v>
      </c>
      <c r="AG174" s="57" t="s">
        <v>1294</v>
      </c>
      <c r="AH174" s="42" t="s">
        <v>1295</v>
      </c>
      <c r="AI174" s="42" t="str">
        <f>IFERROR(__xludf.DUMMYFUNCTION("vLOOKUP(A174,IMPORTRANGE(""https://docs.google.com/spreadsheets/d/1Rawwwdh8wntXGy8isdYNHxsNQS4n_rC8JSdPfj6vEq4"",""'500 объектов перенос на 2026'!A3:AB502""),13,0)"),"#REF!")</f>
        <v>#REF!</v>
      </c>
      <c r="AJ174" s="42" t="str">
        <f>IFERROR(__xludf.DUMMYFUNCTION("vLOOKUP(A174,IMPORTRANGE(""https://docs.google.com/spreadsheets/d/1Rawwwdh8wntXGy8isdYNHxsNQS4n_rC8JSdPfj6vEq4"",""'500 объектов перенос на 2026'!A3:AB502""),14,0)"),"#REF!")</f>
        <v>#REF!</v>
      </c>
      <c r="AK174" s="70" t="s">
        <v>3390</v>
      </c>
      <c r="AL174" s="43"/>
      <c r="AM174" s="43"/>
      <c r="AN174" s="43"/>
      <c r="AO174" s="43"/>
    </row>
    <row r="175" hidden="1">
      <c r="A175" s="62" t="s">
        <v>1298</v>
      </c>
      <c r="B175" s="63" t="s">
        <v>1299</v>
      </c>
      <c r="C175" s="64" t="s">
        <v>1300</v>
      </c>
      <c r="D175" s="47" t="s">
        <v>585</v>
      </c>
      <c r="E175" s="64" t="s">
        <v>85</v>
      </c>
      <c r="F175" s="31" t="s">
        <v>60</v>
      </c>
      <c r="G175" s="31"/>
      <c r="H175" s="31"/>
      <c r="I175" s="31" t="s">
        <v>40</v>
      </c>
      <c r="J175" s="31" t="s">
        <v>102</v>
      </c>
      <c r="K175" s="31" t="s">
        <v>62</v>
      </c>
      <c r="L175" s="32">
        <f>IFERROR(__xludf.DUMMYFUNCTION("VLOOKUP($A175,IMPORTRANGE(""1PQtfbQLqBUP-rjYRznmgNFBLOjvAnhGzpIx7BJWq8rk"",""'Worksheet'!$B$2:$H""),7,FALSE)"),0.71)</f>
        <v>0.71</v>
      </c>
      <c r="M175" s="31" t="s">
        <v>45</v>
      </c>
      <c r="N175" s="49">
        <v>5.89E7</v>
      </c>
      <c r="O175" s="49">
        <v>2.005998027E7</v>
      </c>
      <c r="P175" s="49">
        <f t="shared" si="29"/>
        <v>38840019.73</v>
      </c>
      <c r="Q175" s="34">
        <f t="shared" si="3"/>
        <v>0.6594230854</v>
      </c>
      <c r="R175" s="31"/>
      <c r="S175" s="31" t="s">
        <v>45</v>
      </c>
      <c r="T175" s="72" t="s">
        <v>1301</v>
      </c>
      <c r="U175" s="67" t="s">
        <v>1302</v>
      </c>
      <c r="V175" s="67" t="s">
        <v>1303</v>
      </c>
      <c r="W175" s="31"/>
      <c r="X175" s="52" t="s">
        <v>1304</v>
      </c>
      <c r="Y175" s="54" t="s">
        <v>1305</v>
      </c>
      <c r="Z175" s="54" t="s">
        <v>1306</v>
      </c>
      <c r="AA175" s="74">
        <v>46203.0</v>
      </c>
      <c r="AB175" s="56"/>
      <c r="AC175" s="38"/>
      <c r="AD175" s="39">
        <v>58900.0</v>
      </c>
      <c r="AE175" s="39">
        <v>20059.98027</v>
      </c>
      <c r="AF175" s="40">
        <v>38840.01973</v>
      </c>
      <c r="AG175" s="57" t="s">
        <v>1307</v>
      </c>
      <c r="AH175" s="42" t="s">
        <v>1308</v>
      </c>
      <c r="AI175" s="42" t="str">
        <f>IFERROR(__xludf.DUMMYFUNCTION("vLOOKUP(A175,IMPORTRANGE(""https://docs.google.com/spreadsheets/d/1Rawwwdh8wntXGy8isdYNHxsNQS4n_rC8JSdPfj6vEq4"",""'500 объектов перенос на 2026'!A3:AB502""),13,0)"),"#REF!")</f>
        <v>#REF!</v>
      </c>
      <c r="AJ175" s="42" t="str">
        <f>IFERROR(__xludf.DUMMYFUNCTION("vLOOKUP(A175,IMPORTRANGE(""https://docs.google.com/spreadsheets/d/1Rawwwdh8wntXGy8isdYNHxsNQS4n_rC8JSdPfj6vEq4"",""'500 объектов перенос на 2026'!A3:AB502""),14,0)"),"#REF!")</f>
        <v>#REF!</v>
      </c>
      <c r="AK175" s="76" t="s">
        <v>1309</v>
      </c>
      <c r="AL175" s="43"/>
      <c r="AM175" s="43"/>
      <c r="AN175" s="43"/>
      <c r="AO175" s="43"/>
    </row>
    <row r="176" hidden="1">
      <c r="A176" s="62" t="s">
        <v>1310</v>
      </c>
      <c r="B176" s="63" t="s">
        <v>392</v>
      </c>
      <c r="C176" s="104" t="s">
        <v>1311</v>
      </c>
      <c r="D176" s="47" t="s">
        <v>727</v>
      </c>
      <c r="E176" s="64" t="s">
        <v>39</v>
      </c>
      <c r="F176" s="31" t="s">
        <v>60</v>
      </c>
      <c r="G176" s="31"/>
      <c r="H176" s="31"/>
      <c r="I176" s="31" t="s">
        <v>40</v>
      </c>
      <c r="J176" s="31" t="s">
        <v>61</v>
      </c>
      <c r="K176" s="31" t="s">
        <v>72</v>
      </c>
      <c r="L176" s="32">
        <f>IFERROR(__xludf.DUMMYFUNCTION("VLOOKUP($A176,IMPORTRANGE(""1PQtfbQLqBUP-rjYRznmgNFBLOjvAnhGzpIx7BJWq8rk"",""'Worksheet'!$B$2:$H""),7,FALSE)"),0.95)</f>
        <v>0.95</v>
      </c>
      <c r="M176" s="31" t="s">
        <v>45</v>
      </c>
      <c r="N176" s="49">
        <v>9.107843348E7</v>
      </c>
      <c r="O176" s="49">
        <v>5.247305399E7</v>
      </c>
      <c r="P176" s="49">
        <f t="shared" si="29"/>
        <v>38605379.49</v>
      </c>
      <c r="Q176" s="34">
        <f t="shared" si="3"/>
        <v>0.4238696035</v>
      </c>
      <c r="R176" s="31"/>
      <c r="S176" s="31" t="s">
        <v>40</v>
      </c>
      <c r="T176" s="50">
        <f>N176*0.95</f>
        <v>86524511.81</v>
      </c>
      <c r="U176" s="51">
        <v>0.0</v>
      </c>
      <c r="V176" s="51">
        <v>8.6524511806E7</v>
      </c>
      <c r="W176" s="31"/>
      <c r="X176" s="52" t="s">
        <v>46</v>
      </c>
      <c r="Y176" s="73" t="s">
        <v>46</v>
      </c>
      <c r="Z176" s="68"/>
      <c r="AA176" s="68">
        <v>46244.0</v>
      </c>
      <c r="AB176" s="56"/>
      <c r="AC176" s="38" t="s">
        <v>1312</v>
      </c>
      <c r="AD176" s="39" t="s">
        <v>1313</v>
      </c>
      <c r="AE176" s="39">
        <v>3078.8</v>
      </c>
      <c r="AF176" s="40">
        <v>89913.71</v>
      </c>
      <c r="AG176" s="57" t="s">
        <v>1314</v>
      </c>
      <c r="AH176" s="42" t="s">
        <v>1315</v>
      </c>
      <c r="AI176" s="42" t="str">
        <f>IFERROR(__xludf.DUMMYFUNCTION("vLOOKUP(A176,IMPORTRANGE(""https://docs.google.com/spreadsheets/d/1Rawwwdh8wntXGy8isdYNHxsNQS4n_rC8JSdPfj6vEq4"",""'500 объектов перенос на 2026'!A3:AB502""),13,0)"),"#REF!")</f>
        <v>#REF!</v>
      </c>
      <c r="AJ176" s="42" t="str">
        <f>IFERROR(__xludf.DUMMYFUNCTION("vLOOKUP(A176,IMPORTRANGE(""https://docs.google.com/spreadsheets/d/1Rawwwdh8wntXGy8isdYNHxsNQS4n_rC8JSdPfj6vEq4"",""'500 объектов перенос на 2026'!A3:AB502""),14,0)"),"#REF!")</f>
        <v>#REF!</v>
      </c>
      <c r="AK176" s="76" t="s">
        <v>3391</v>
      </c>
      <c r="AL176" s="43"/>
      <c r="AM176" s="43"/>
      <c r="AN176" s="43"/>
      <c r="AO176" s="43"/>
    </row>
    <row r="177" hidden="1">
      <c r="A177" s="62" t="s">
        <v>1318</v>
      </c>
      <c r="B177" s="63" t="s">
        <v>56</v>
      </c>
      <c r="C177" s="90" t="s">
        <v>1319</v>
      </c>
      <c r="D177" s="105" t="s">
        <v>1320</v>
      </c>
      <c r="E177" s="64" t="s">
        <v>324</v>
      </c>
      <c r="F177" s="31" t="s">
        <v>60</v>
      </c>
      <c r="G177" s="31"/>
      <c r="H177" s="31"/>
      <c r="I177" s="31" t="s">
        <v>40</v>
      </c>
      <c r="J177" s="31" t="s">
        <v>61</v>
      </c>
      <c r="K177" s="31" t="s">
        <v>72</v>
      </c>
      <c r="L177" s="32">
        <f>IFERROR(__xludf.DUMMYFUNCTION("VLOOKUP($A177,IMPORTRANGE(""1PQtfbQLqBUP-rjYRznmgNFBLOjvAnhGzpIx7BJWq8rk"",""'Worksheet'!$B$2:$H""),7,FALSE)"),0.8)</f>
        <v>0.8</v>
      </c>
      <c r="M177" s="31" t="s">
        <v>40</v>
      </c>
      <c r="N177" s="49">
        <v>5.455015E7</v>
      </c>
      <c r="O177" s="49">
        <v>1.6365045E7</v>
      </c>
      <c r="P177" s="49">
        <f t="shared" si="29"/>
        <v>38185105</v>
      </c>
      <c r="Q177" s="34">
        <f t="shared" si="3"/>
        <v>0.7</v>
      </c>
      <c r="R177" s="31"/>
      <c r="S177" s="31" t="s">
        <v>45</v>
      </c>
      <c r="T177" s="72" t="s">
        <v>1321</v>
      </c>
      <c r="U177" s="67" t="s">
        <v>1322</v>
      </c>
      <c r="V177" s="67" t="s">
        <v>1323</v>
      </c>
      <c r="W177" s="31"/>
      <c r="X177" s="52" t="s">
        <v>1324</v>
      </c>
      <c r="Y177" s="54" t="s">
        <v>1325</v>
      </c>
      <c r="Z177" s="54"/>
      <c r="AA177" s="74">
        <v>46264.0</v>
      </c>
      <c r="AB177" s="56"/>
      <c r="AC177" s="38"/>
      <c r="AD177" s="39">
        <v>54550.15</v>
      </c>
      <c r="AE177" s="39">
        <v>16365.045</v>
      </c>
      <c r="AF177" s="40">
        <v>38185.105</v>
      </c>
      <c r="AG177" s="57" t="s">
        <v>1326</v>
      </c>
      <c r="AH177" s="69" t="s">
        <v>49</v>
      </c>
      <c r="AI177" s="42" t="str">
        <f>IFERROR(__xludf.DUMMYFUNCTION("vLOOKUP(A177,IMPORTRANGE(""https://docs.google.com/spreadsheets/d/1Rawwwdh8wntXGy8isdYNHxsNQS4n_rC8JSdPfj6vEq4"",""'500 объектов перенос на 2026'!A3:AB502""),13,0)"),"#REF!")</f>
        <v>#REF!</v>
      </c>
      <c r="AJ177" s="42" t="str">
        <f>IFERROR(__xludf.DUMMYFUNCTION("vLOOKUP(A177,IMPORTRANGE(""https://docs.google.com/spreadsheets/d/1Rawwwdh8wntXGy8isdYNHxsNQS4n_rC8JSdPfj6vEq4"",""'500 объектов перенос на 2026'!A3:AB502""),14,0)"),"#REF!")</f>
        <v>#REF!</v>
      </c>
      <c r="AK177" s="76" t="s">
        <v>1327</v>
      </c>
      <c r="AL177" s="43"/>
      <c r="AM177" s="43"/>
      <c r="AN177" s="43"/>
      <c r="AO177" s="43"/>
    </row>
    <row r="178" hidden="1">
      <c r="A178" s="62" t="s">
        <v>1328</v>
      </c>
      <c r="B178" s="63" t="s">
        <v>1329</v>
      </c>
      <c r="C178" s="64" t="s">
        <v>1330</v>
      </c>
      <c r="D178" s="47" t="s">
        <v>1331</v>
      </c>
      <c r="E178" s="64" t="s">
        <v>39</v>
      </c>
      <c r="F178" s="31" t="s">
        <v>60</v>
      </c>
      <c r="G178" s="31"/>
      <c r="H178" s="31"/>
      <c r="I178" s="31" t="s">
        <v>40</v>
      </c>
      <c r="J178" s="31" t="s">
        <v>61</v>
      </c>
      <c r="K178" s="31" t="s">
        <v>72</v>
      </c>
      <c r="L178" s="32">
        <f>IFERROR(__xludf.DUMMYFUNCTION("VLOOKUP($A178,IMPORTRANGE(""1PQtfbQLqBUP-rjYRznmgNFBLOjvAnhGzpIx7BJWq8rk"",""'Worksheet'!$B$2:$H""),7,FALSE)"),0.87)</f>
        <v>0.87</v>
      </c>
      <c r="M178" s="31" t="s">
        <v>40</v>
      </c>
      <c r="N178" s="49">
        <v>7.332625478E7</v>
      </c>
      <c r="O178" s="49">
        <v>3.573666844E7</v>
      </c>
      <c r="P178" s="49">
        <f t="shared" si="29"/>
        <v>37589586.34</v>
      </c>
      <c r="Q178" s="34">
        <f t="shared" si="3"/>
        <v>0.5126347507</v>
      </c>
      <c r="R178" s="31"/>
      <c r="S178" s="31" t="s">
        <v>45</v>
      </c>
      <c r="T178" s="50" t="s">
        <v>1332</v>
      </c>
      <c r="U178" s="51" t="s">
        <v>1333</v>
      </c>
      <c r="V178" s="51" t="s">
        <v>1334</v>
      </c>
      <c r="W178" s="31"/>
      <c r="X178" s="52" t="s">
        <v>507</v>
      </c>
      <c r="Y178" s="54" t="s">
        <v>1335</v>
      </c>
      <c r="Z178" s="54" t="s">
        <v>1336</v>
      </c>
      <c r="AA178" s="74">
        <v>46223.0</v>
      </c>
      <c r="AB178" s="56"/>
      <c r="AC178" s="38"/>
      <c r="AD178" s="39">
        <v>73326.25</v>
      </c>
      <c r="AE178" s="39">
        <v>35736.66844</v>
      </c>
      <c r="AF178" s="40">
        <v>37589.58156</v>
      </c>
      <c r="AG178" s="57" t="s">
        <v>1337</v>
      </c>
      <c r="AH178" s="42" t="s">
        <v>1338</v>
      </c>
      <c r="AI178" s="42" t="str">
        <f>IFERROR(__xludf.DUMMYFUNCTION("vLOOKUP(A178,IMPORTRANGE(""https://docs.google.com/spreadsheets/d/1Rawwwdh8wntXGy8isdYNHxsNQS4n_rC8JSdPfj6vEq4"",""'500 объектов перенос на 2026'!A3:AB502""),13,0)"),"#REF!")</f>
        <v>#REF!</v>
      </c>
      <c r="AJ178" s="42" t="str">
        <f>IFERROR(__xludf.DUMMYFUNCTION("vLOOKUP(A178,IMPORTRANGE(""https://docs.google.com/spreadsheets/d/1Rawwwdh8wntXGy8isdYNHxsNQS4n_rC8JSdPfj6vEq4"",""'500 объектов перенос на 2026'!A3:AB502""),14,0)"),"#REF!")</f>
        <v>#REF!</v>
      </c>
      <c r="AK178" s="76" t="s">
        <v>1339</v>
      </c>
      <c r="AL178" s="43"/>
      <c r="AM178" s="43"/>
      <c r="AN178" s="43"/>
      <c r="AO178" s="43"/>
    </row>
    <row r="179" hidden="1">
      <c r="A179" s="78" t="s">
        <v>1340</v>
      </c>
      <c r="B179" s="63" t="s">
        <v>1274</v>
      </c>
      <c r="C179" s="90" t="s">
        <v>1341</v>
      </c>
      <c r="D179" s="47" t="s">
        <v>112</v>
      </c>
      <c r="E179" s="64" t="s">
        <v>85</v>
      </c>
      <c r="F179" s="31" t="s">
        <v>60</v>
      </c>
      <c r="G179" s="31"/>
      <c r="H179" s="31"/>
      <c r="I179" s="31" t="s">
        <v>60</v>
      </c>
      <c r="J179" s="31"/>
      <c r="K179" s="31"/>
      <c r="L179" s="32">
        <f>IFERROR(__xludf.DUMMYFUNCTION("VLOOKUP($A179,IMPORTRANGE(""1PQtfbQLqBUP-rjYRznmgNFBLOjvAnhGzpIx7BJWq8rk"",""'Worksheet'!$B$2:$H""),7,FALSE)"),1.0)</f>
        <v>1</v>
      </c>
      <c r="M179" s="31" t="s">
        <v>60</v>
      </c>
      <c r="N179" s="49">
        <v>3.384570226E7</v>
      </c>
      <c r="O179" s="49">
        <v>2.98115417E7</v>
      </c>
      <c r="P179" s="49">
        <v>0.0</v>
      </c>
      <c r="Q179" s="34">
        <f t="shared" si="3"/>
        <v>0.1191926978</v>
      </c>
      <c r="R179" s="31"/>
      <c r="S179" s="31" t="s">
        <v>60</v>
      </c>
      <c r="T179" s="91">
        <v>2.739828722E7</v>
      </c>
      <c r="U179" s="91">
        <v>2.739828722E7</v>
      </c>
      <c r="V179" s="91">
        <v>0.0</v>
      </c>
      <c r="W179" s="31"/>
      <c r="X179" s="52" t="s">
        <v>113</v>
      </c>
      <c r="Y179" s="54" t="s">
        <v>114</v>
      </c>
      <c r="Z179" s="54"/>
      <c r="AA179" s="54" t="s">
        <v>114</v>
      </c>
      <c r="AB179" s="38" t="s">
        <v>115</v>
      </c>
      <c r="AC179" s="38"/>
      <c r="AD179" s="39">
        <v>36859.18</v>
      </c>
      <c r="AE179" s="39">
        <v>29811.54448</v>
      </c>
      <c r="AF179" s="39">
        <v>7047.63552</v>
      </c>
      <c r="AG179" s="57" t="s">
        <v>1342</v>
      </c>
      <c r="AH179" s="42"/>
      <c r="AI179" s="42" t="str">
        <f>IFERROR(__xludf.DUMMYFUNCTION("vLOOKUP(A179,IMPORTRANGE(""https://docs.google.com/spreadsheets/d/1Rawwwdh8wntXGy8isdYNHxsNQS4n_rC8JSdPfj6vEq4"",""'500 объектов перенос на 2026'!A3:AB502""),13,0)"),"#REF!")</f>
        <v>#REF!</v>
      </c>
      <c r="AJ179" s="42" t="str">
        <f>IFERROR(__xludf.DUMMYFUNCTION("vLOOKUP(A179,IMPORTRANGE(""https://docs.google.com/spreadsheets/d/1Rawwwdh8wntXGy8isdYNHxsNQS4n_rC8JSdPfj6vEq4"",""'500 объектов перенос на 2026'!A3:AB502""),14,0)"),"#REF!")</f>
        <v>#REF!</v>
      </c>
      <c r="AK179" s="76" t="s">
        <v>114</v>
      </c>
      <c r="AL179" s="43"/>
      <c r="AM179" s="43"/>
      <c r="AN179" s="43"/>
      <c r="AO179" s="43"/>
    </row>
    <row r="180" hidden="1">
      <c r="A180" s="78" t="s">
        <v>1343</v>
      </c>
      <c r="B180" s="63" t="s">
        <v>1274</v>
      </c>
      <c r="C180" s="150" t="s">
        <v>1344</v>
      </c>
      <c r="D180" s="47" t="s">
        <v>112</v>
      </c>
      <c r="E180" s="64" t="s">
        <v>85</v>
      </c>
      <c r="F180" s="31" t="s">
        <v>60</v>
      </c>
      <c r="G180" s="31"/>
      <c r="H180" s="31"/>
      <c r="I180" s="31" t="s">
        <v>60</v>
      </c>
      <c r="J180" s="31"/>
      <c r="K180" s="31"/>
      <c r="L180" s="32">
        <f>IFERROR(__xludf.DUMMYFUNCTION("VLOOKUP($A180,IMPORTRANGE(""1PQtfbQLqBUP-rjYRznmgNFBLOjvAnhGzpIx7BJWq8rk"",""'Worksheet'!$B$2:$H""),7,FALSE)"),1.0)</f>
        <v>1</v>
      </c>
      <c r="M180" s="31" t="s">
        <v>60</v>
      </c>
      <c r="N180" s="49">
        <v>4.235725141E7</v>
      </c>
      <c r="O180" s="49">
        <v>2.85876201E7</v>
      </c>
      <c r="P180" s="49">
        <v>0.0</v>
      </c>
      <c r="Q180" s="34">
        <f t="shared" si="3"/>
        <v>0.3250832113</v>
      </c>
      <c r="R180" s="31"/>
      <c r="S180" s="31" t="s">
        <v>60</v>
      </c>
      <c r="T180" s="91">
        <v>2.611722431E7</v>
      </c>
      <c r="U180" s="91">
        <v>2.611722431E7</v>
      </c>
      <c r="V180" s="91">
        <v>0.0</v>
      </c>
      <c r="W180" s="31"/>
      <c r="X180" s="52" t="s">
        <v>113</v>
      </c>
      <c r="Y180" s="54" t="s">
        <v>114</v>
      </c>
      <c r="Z180" s="54"/>
      <c r="AA180" s="54" t="s">
        <v>114</v>
      </c>
      <c r="AB180" s="38" t="s">
        <v>115</v>
      </c>
      <c r="AC180" s="38"/>
      <c r="AD180" s="39">
        <v>36763.2</v>
      </c>
      <c r="AE180" s="39">
        <v>28587.61579</v>
      </c>
      <c r="AF180" s="39">
        <v>8175.58421</v>
      </c>
      <c r="AG180" s="154"/>
      <c r="AH180" s="42"/>
      <c r="AI180" s="42" t="str">
        <f>IFERROR(__xludf.DUMMYFUNCTION("vLOOKUP(A180,IMPORTRANGE(""https://docs.google.com/spreadsheets/d/1Rawwwdh8wntXGy8isdYNHxsNQS4n_rC8JSdPfj6vEq4"",""'500 объектов перенос на 2026'!A3:AB502""),13,0)"),"#REF!")</f>
        <v>#REF!</v>
      </c>
      <c r="AJ180" s="42" t="str">
        <f>IFERROR(__xludf.DUMMYFUNCTION("vLOOKUP(A180,IMPORTRANGE(""https://docs.google.com/spreadsheets/d/1Rawwwdh8wntXGy8isdYNHxsNQS4n_rC8JSdPfj6vEq4"",""'500 объектов перенос на 2026'!A3:AB502""),14,0)"),"#REF!")</f>
        <v>#REF!</v>
      </c>
      <c r="AK180" s="76" t="s">
        <v>114</v>
      </c>
      <c r="AL180" s="43"/>
      <c r="AM180" s="43"/>
      <c r="AN180" s="43"/>
      <c r="AO180" s="43"/>
    </row>
    <row r="181" hidden="1">
      <c r="A181" s="78" t="s">
        <v>1345</v>
      </c>
      <c r="B181" s="63" t="s">
        <v>1274</v>
      </c>
      <c r="C181" s="64" t="s">
        <v>1346</v>
      </c>
      <c r="D181" s="47" t="s">
        <v>112</v>
      </c>
      <c r="E181" s="64" t="s">
        <v>85</v>
      </c>
      <c r="F181" s="31" t="s">
        <v>60</v>
      </c>
      <c r="G181" s="31"/>
      <c r="H181" s="31"/>
      <c r="I181" s="31" t="s">
        <v>60</v>
      </c>
      <c r="J181" s="31"/>
      <c r="K181" s="31"/>
      <c r="L181" s="32">
        <f>IFERROR(__xludf.DUMMYFUNCTION("VLOOKUP($A181,IMPORTRANGE(""1PQtfbQLqBUP-rjYRznmgNFBLOjvAnhGzpIx7BJWq8rk"",""'Worksheet'!$B$2:$H""),7,FALSE)"),0.98)</f>
        <v>0.98</v>
      </c>
      <c r="M181" s="31" t="s">
        <v>60</v>
      </c>
      <c r="N181" s="49">
        <v>3.379705794E7</v>
      </c>
      <c r="O181" s="49">
        <v>2.959301944E7</v>
      </c>
      <c r="P181" s="49">
        <v>0.0</v>
      </c>
      <c r="Q181" s="34">
        <f t="shared" si="3"/>
        <v>0.1243906646</v>
      </c>
      <c r="R181" s="31"/>
      <c r="S181" s="31" t="s">
        <v>60</v>
      </c>
      <c r="T181" s="50">
        <v>2.786430566E7</v>
      </c>
      <c r="U181" s="51" t="s">
        <v>1347</v>
      </c>
      <c r="V181" s="91">
        <v>0.0</v>
      </c>
      <c r="W181" s="31"/>
      <c r="X181" s="52" t="s">
        <v>1348</v>
      </c>
      <c r="Y181" s="54" t="s">
        <v>114</v>
      </c>
      <c r="Z181" s="74"/>
      <c r="AA181" s="54" t="s">
        <v>114</v>
      </c>
      <c r="AB181" s="38" t="s">
        <v>115</v>
      </c>
      <c r="AC181" s="38" t="s">
        <v>1349</v>
      </c>
      <c r="AD181" s="39">
        <v>33797.06</v>
      </c>
      <c r="AE181" s="39">
        <v>29900.97149</v>
      </c>
      <c r="AF181" s="40">
        <v>3896.08851</v>
      </c>
      <c r="AG181" s="154"/>
      <c r="AH181" s="42"/>
      <c r="AI181" s="42" t="str">
        <f>IFERROR(__xludf.DUMMYFUNCTION("vLOOKUP(A181,IMPORTRANGE(""https://docs.google.com/spreadsheets/d/1Rawwwdh8wntXGy8isdYNHxsNQS4n_rC8JSdPfj6vEq4"",""'500 объектов перенос на 2026'!A3:AB502""),13,0)"),"#REF!")</f>
        <v>#REF!</v>
      </c>
      <c r="AJ181" s="42" t="str">
        <f>IFERROR(__xludf.DUMMYFUNCTION("vLOOKUP(A181,IMPORTRANGE(""https://docs.google.com/spreadsheets/d/1Rawwwdh8wntXGy8isdYNHxsNQS4n_rC8JSdPfj6vEq4"",""'500 объектов перенос на 2026'!A3:AB502""),14,0)"),"#REF!")</f>
        <v>#REF!</v>
      </c>
      <c r="AK181" s="76" t="s">
        <v>114</v>
      </c>
      <c r="AL181" s="43"/>
      <c r="AM181" s="43"/>
      <c r="AN181" s="43"/>
      <c r="AO181" s="43"/>
    </row>
    <row r="182" hidden="1">
      <c r="A182" s="62" t="s">
        <v>1350</v>
      </c>
      <c r="B182" s="63" t="s">
        <v>296</v>
      </c>
      <c r="C182" s="64" t="s">
        <v>1351</v>
      </c>
      <c r="D182" s="47" t="s">
        <v>1132</v>
      </c>
      <c r="E182" s="64" t="s">
        <v>39</v>
      </c>
      <c r="F182" s="31" t="s">
        <v>40</v>
      </c>
      <c r="G182" s="31" t="s">
        <v>156</v>
      </c>
      <c r="H182" s="31" t="s">
        <v>325</v>
      </c>
      <c r="I182" s="31" t="s">
        <v>40</v>
      </c>
      <c r="J182" s="31" t="s">
        <v>102</v>
      </c>
      <c r="K182" s="31" t="s">
        <v>72</v>
      </c>
      <c r="L182" s="32">
        <f>IFERROR(__xludf.DUMMYFUNCTION("VLOOKUP($A182,IMPORTRANGE(""1PQtfbQLqBUP-rjYRznmgNFBLOjvAnhGzpIx7BJWq8rk"",""'Worksheet'!$B$2:$H""),7,FALSE)"),0.75)</f>
        <v>0.75</v>
      </c>
      <c r="M182" s="31" t="s">
        <v>40</v>
      </c>
      <c r="N182" s="49">
        <v>5.319098759E7</v>
      </c>
      <c r="O182" s="49">
        <v>1.595729628E7</v>
      </c>
      <c r="P182" s="49">
        <f t="shared" ref="P182:P186" si="30">N182-O182</f>
        <v>37233691.31</v>
      </c>
      <c r="Q182" s="34">
        <f t="shared" si="3"/>
        <v>0.6999999999</v>
      </c>
      <c r="R182" s="31"/>
      <c r="S182" s="31" t="s">
        <v>40</v>
      </c>
      <c r="T182" s="155">
        <v>5.05314382105E7</v>
      </c>
      <c r="U182" s="51">
        <v>0.0</v>
      </c>
      <c r="V182" s="156">
        <f>P182-P182*0.05</f>
        <v>35372006.74</v>
      </c>
      <c r="W182" s="31"/>
      <c r="X182" s="52" t="s">
        <v>302</v>
      </c>
      <c r="Y182" s="54" t="s">
        <v>1352</v>
      </c>
      <c r="Z182" s="54" t="s">
        <v>1353</v>
      </c>
      <c r="AA182" s="100">
        <v>46384.0</v>
      </c>
      <c r="AB182" s="56"/>
      <c r="AC182" s="38" t="s">
        <v>1135</v>
      </c>
      <c r="AD182" s="39">
        <v>53190.99</v>
      </c>
      <c r="AE182" s="39">
        <v>0.0</v>
      </c>
      <c r="AF182" s="40">
        <v>53190.99</v>
      </c>
      <c r="AG182" s="57" t="s">
        <v>1354</v>
      </c>
      <c r="AH182" s="57" t="s">
        <v>880</v>
      </c>
      <c r="AI182" s="42" t="str">
        <f>IFERROR(__xludf.DUMMYFUNCTION("vLOOKUP(A182,IMPORTRANGE(""https://docs.google.com/spreadsheets/d/1Rawwwdh8wntXGy8isdYNHxsNQS4n_rC8JSdPfj6vEq4"",""'500 объектов перенос на 2026'!A3:AB502""),13,0)"),"#REF!")</f>
        <v>#REF!</v>
      </c>
      <c r="AJ182" s="42" t="str">
        <f>IFERROR(__xludf.DUMMYFUNCTION("vLOOKUP(A182,IMPORTRANGE(""https://docs.google.com/spreadsheets/d/1Rawwwdh8wntXGy8isdYNHxsNQS4n_rC8JSdPfj6vEq4"",""'500 объектов перенос на 2026'!A3:AB502""),14,0)"),"#REF!")</f>
        <v>#REF!</v>
      </c>
      <c r="AK182" s="76" t="s">
        <v>3392</v>
      </c>
      <c r="AL182" s="43"/>
      <c r="AM182" s="43"/>
      <c r="AN182" s="43"/>
      <c r="AO182" s="43"/>
    </row>
    <row r="183" hidden="1">
      <c r="A183" s="62" t="s">
        <v>1356</v>
      </c>
      <c r="B183" s="63" t="s">
        <v>653</v>
      </c>
      <c r="C183" s="157" t="s">
        <v>1357</v>
      </c>
      <c r="D183" s="47" t="s">
        <v>1358</v>
      </c>
      <c r="E183" s="64" t="s">
        <v>59</v>
      </c>
      <c r="F183" s="31" t="s">
        <v>40</v>
      </c>
      <c r="G183" s="31" t="s">
        <v>156</v>
      </c>
      <c r="H183" s="31" t="s">
        <v>828</v>
      </c>
      <c r="I183" s="31" t="s">
        <v>40</v>
      </c>
      <c r="J183" s="31" t="s">
        <v>102</v>
      </c>
      <c r="K183" s="31" t="s">
        <v>44</v>
      </c>
      <c r="L183" s="32">
        <f>IFERROR(__xludf.DUMMYFUNCTION("VLOOKUP($A183,IMPORTRANGE(""1PQtfbQLqBUP-rjYRznmgNFBLOjvAnhGzpIx7BJWq8rk"",""'Worksheet'!$B$2:$H""),7,FALSE)"),0.94)</f>
        <v>0.94</v>
      </c>
      <c r="M183" s="31" t="s">
        <v>40</v>
      </c>
      <c r="N183" s="49">
        <v>7.403731E7</v>
      </c>
      <c r="O183" s="49">
        <v>3.7018655E7</v>
      </c>
      <c r="P183" s="49">
        <f t="shared" si="30"/>
        <v>37018655</v>
      </c>
      <c r="Q183" s="34">
        <f t="shared" si="3"/>
        <v>0.5</v>
      </c>
      <c r="R183" s="31"/>
      <c r="S183" s="31" t="s">
        <v>40</v>
      </c>
      <c r="T183" s="91" t="s">
        <v>1359</v>
      </c>
      <c r="U183" s="91">
        <v>0.0</v>
      </c>
      <c r="V183" s="51" t="s">
        <v>1359</v>
      </c>
      <c r="W183" s="31"/>
      <c r="X183" s="52" t="s">
        <v>49</v>
      </c>
      <c r="Y183" s="54" t="s">
        <v>1360</v>
      </c>
      <c r="Z183" s="74"/>
      <c r="AA183" s="74">
        <v>46353.0</v>
      </c>
      <c r="AB183" s="56"/>
      <c r="AC183" s="38" t="s">
        <v>46</v>
      </c>
      <c r="AD183" s="39">
        <v>74037.0</v>
      </c>
      <c r="AE183" s="39">
        <v>37018.655</v>
      </c>
      <c r="AF183" s="40">
        <v>37018.345</v>
      </c>
      <c r="AG183" s="57" t="s">
        <v>1361</v>
      </c>
      <c r="AH183" s="42" t="s">
        <v>980</v>
      </c>
      <c r="AI183" s="42" t="str">
        <f>IFERROR(__xludf.DUMMYFUNCTION("vLOOKUP(A183,IMPORTRANGE(""https://docs.google.com/spreadsheets/d/1Rawwwdh8wntXGy8isdYNHxsNQS4n_rC8JSdPfj6vEq4"",""'500 объектов перенос на 2026'!A3:AB502""),13,0)"),"#REF!")</f>
        <v>#REF!</v>
      </c>
      <c r="AJ183" s="42" t="str">
        <f>IFERROR(__xludf.DUMMYFUNCTION("vLOOKUP(A183,IMPORTRANGE(""https://docs.google.com/spreadsheets/d/1Rawwwdh8wntXGy8isdYNHxsNQS4n_rC8JSdPfj6vEq4"",""'500 объектов перенос на 2026'!A3:AB502""),14,0)"),"#REF!")</f>
        <v>#REF!</v>
      </c>
      <c r="AK183" s="70" t="s">
        <v>3393</v>
      </c>
      <c r="AL183" s="43"/>
      <c r="AM183" s="43"/>
      <c r="AN183" s="43"/>
      <c r="AO183" s="43"/>
    </row>
    <row r="184" hidden="1">
      <c r="A184" s="62" t="s">
        <v>1363</v>
      </c>
      <c r="B184" s="63" t="s">
        <v>268</v>
      </c>
      <c r="C184" s="64" t="s">
        <v>1364</v>
      </c>
      <c r="D184" s="47" t="s">
        <v>1041</v>
      </c>
      <c r="E184" s="64" t="s">
        <v>85</v>
      </c>
      <c r="F184" s="31" t="s">
        <v>40</v>
      </c>
      <c r="G184" s="31" t="s">
        <v>41</v>
      </c>
      <c r="H184" s="31" t="s">
        <v>343</v>
      </c>
      <c r="I184" s="31" t="s">
        <v>40</v>
      </c>
      <c r="J184" s="31" t="s">
        <v>61</v>
      </c>
      <c r="K184" s="31"/>
      <c r="L184" s="32">
        <f>IFERROR(__xludf.DUMMYFUNCTION("VLOOKUP($A184,IMPORTRANGE(""1PQtfbQLqBUP-rjYRznmgNFBLOjvAnhGzpIx7BJWq8rk"",""'Worksheet'!$B$2:$H""),7,FALSE)"),0.96)</f>
        <v>0.96</v>
      </c>
      <c r="M184" s="31" t="s">
        <v>40</v>
      </c>
      <c r="N184" s="49">
        <v>5.2593156E7</v>
      </c>
      <c r="O184" s="49">
        <v>1.57779468E7</v>
      </c>
      <c r="P184" s="49">
        <f t="shared" si="30"/>
        <v>36815209.2</v>
      </c>
      <c r="Q184" s="34">
        <f t="shared" si="3"/>
        <v>0.7</v>
      </c>
      <c r="R184" s="31"/>
      <c r="S184" s="31" t="s">
        <v>40</v>
      </c>
      <c r="T184" s="50" t="s">
        <v>1365</v>
      </c>
      <c r="U184" s="50">
        <v>0.0</v>
      </c>
      <c r="V184" s="50" t="s">
        <v>1365</v>
      </c>
      <c r="W184" s="31"/>
      <c r="X184" s="52" t="s">
        <v>49</v>
      </c>
      <c r="Y184" s="54" t="s">
        <v>1366</v>
      </c>
      <c r="Z184" s="54" t="s">
        <v>851</v>
      </c>
      <c r="AA184" s="68">
        <v>46280.0</v>
      </c>
      <c r="AB184" s="56"/>
      <c r="AC184" s="38" t="s">
        <v>46</v>
      </c>
      <c r="AD184" s="39">
        <v>53124.4</v>
      </c>
      <c r="AE184" s="39">
        <v>15777.9468</v>
      </c>
      <c r="AF184" s="40">
        <v>37346.4532</v>
      </c>
      <c r="AG184" s="57" t="s">
        <v>1367</v>
      </c>
      <c r="AH184" s="42" t="s">
        <v>49</v>
      </c>
      <c r="AI184" s="42" t="str">
        <f>IFERROR(__xludf.DUMMYFUNCTION("vLOOKUP(A184,IMPORTRANGE(""https://docs.google.com/spreadsheets/d/1Rawwwdh8wntXGy8isdYNHxsNQS4n_rC8JSdPfj6vEq4"",""'500 объектов перенос на 2026'!A3:AB502""),13,0)"),"#REF!")</f>
        <v>#REF!</v>
      </c>
      <c r="AJ184" s="42" t="str">
        <f>IFERROR(__xludf.DUMMYFUNCTION("vLOOKUP(A184,IMPORTRANGE(""https://docs.google.com/spreadsheets/d/1Rawwwdh8wntXGy8isdYNHxsNQS4n_rC8JSdPfj6vEq4"",""'500 объектов перенос на 2026'!A3:AB502""),14,0)"),"#REF!")</f>
        <v>#REF!</v>
      </c>
      <c r="AK184" s="87" t="s">
        <v>3394</v>
      </c>
      <c r="AL184" s="43"/>
      <c r="AM184" s="43"/>
      <c r="AN184" s="43"/>
      <c r="AO184" s="43"/>
    </row>
    <row r="185" hidden="1">
      <c r="A185" s="62" t="s">
        <v>1370</v>
      </c>
      <c r="B185" s="63" t="s">
        <v>296</v>
      </c>
      <c r="C185" s="64" t="s">
        <v>1371</v>
      </c>
      <c r="D185" s="47" t="s">
        <v>1132</v>
      </c>
      <c r="E185" s="64" t="s">
        <v>39</v>
      </c>
      <c r="F185" s="31" t="s">
        <v>40</v>
      </c>
      <c r="G185" s="31" t="s">
        <v>156</v>
      </c>
      <c r="H185" s="31" t="s">
        <v>325</v>
      </c>
      <c r="I185" s="31" t="s">
        <v>40</v>
      </c>
      <c r="J185" s="31" t="s">
        <v>102</v>
      </c>
      <c r="K185" s="31" t="s">
        <v>72</v>
      </c>
      <c r="L185" s="32">
        <f>IFERROR(__xludf.DUMMYFUNCTION("VLOOKUP($A185,IMPORTRANGE(""1PQtfbQLqBUP-rjYRznmgNFBLOjvAnhGzpIx7BJWq8rk"",""'Worksheet'!$B$2:$H""),7,FALSE)"),0.21)</f>
        <v>0.21</v>
      </c>
      <c r="M185" s="31" t="s">
        <v>40</v>
      </c>
      <c r="N185" s="49">
        <v>5.180076784E7</v>
      </c>
      <c r="O185" s="49">
        <v>1.554023035E7</v>
      </c>
      <c r="P185" s="49">
        <f t="shared" si="30"/>
        <v>36260537.49</v>
      </c>
      <c r="Q185" s="34">
        <f t="shared" si="3"/>
        <v>0.7</v>
      </c>
      <c r="R185" s="31"/>
      <c r="S185" s="31" t="s">
        <v>40</v>
      </c>
      <c r="T185" s="155">
        <v>4.921072944800001E7</v>
      </c>
      <c r="U185" s="50">
        <v>0.0</v>
      </c>
      <c r="V185" s="158">
        <f>P185-P185*0.05</f>
        <v>34447510.62</v>
      </c>
      <c r="W185" s="31"/>
      <c r="X185" s="52" t="s">
        <v>302</v>
      </c>
      <c r="Y185" s="73" t="s">
        <v>1133</v>
      </c>
      <c r="Z185" s="54" t="s">
        <v>1353</v>
      </c>
      <c r="AA185" s="100">
        <v>46384.0</v>
      </c>
      <c r="AB185" s="56"/>
      <c r="AC185" s="38" t="s">
        <v>1135</v>
      </c>
      <c r="AD185" s="39">
        <v>51800.76784</v>
      </c>
      <c r="AE185" s="39">
        <v>0.0</v>
      </c>
      <c r="AF185" s="40">
        <v>51800.76784</v>
      </c>
      <c r="AG185" s="57" t="s">
        <v>1372</v>
      </c>
      <c r="AH185" s="57" t="s">
        <v>880</v>
      </c>
      <c r="AI185" s="42" t="str">
        <f>IFERROR(__xludf.DUMMYFUNCTION("vLOOKUP(A185,IMPORTRANGE(""https://docs.google.com/spreadsheets/d/1Rawwwdh8wntXGy8isdYNHxsNQS4n_rC8JSdPfj6vEq4"",""'500 объектов перенос на 2026'!A3:AB502""),13,0)"),"#REF!")</f>
        <v>#REF!</v>
      </c>
      <c r="AJ185" s="42" t="str">
        <f>IFERROR(__xludf.DUMMYFUNCTION("vLOOKUP(A185,IMPORTRANGE(""https://docs.google.com/spreadsheets/d/1Rawwwdh8wntXGy8isdYNHxsNQS4n_rC8JSdPfj6vEq4"",""'500 объектов перенос на 2026'!A3:AB502""),14,0)"),"#REF!")</f>
        <v>#REF!</v>
      </c>
      <c r="AK185" s="76" t="s">
        <v>3395</v>
      </c>
      <c r="AL185" s="43"/>
      <c r="AM185" s="43"/>
      <c r="AN185" s="43"/>
      <c r="AO185" s="43"/>
    </row>
    <row r="186" hidden="1">
      <c r="A186" s="62" t="s">
        <v>1374</v>
      </c>
      <c r="B186" s="63" t="s">
        <v>503</v>
      </c>
      <c r="C186" s="64" t="s">
        <v>1375</v>
      </c>
      <c r="D186" s="47" t="s">
        <v>323</v>
      </c>
      <c r="E186" s="64" t="s">
        <v>59</v>
      </c>
      <c r="F186" s="31" t="s">
        <v>40</v>
      </c>
      <c r="G186" s="31" t="s">
        <v>299</v>
      </c>
      <c r="H186" s="31" t="s">
        <v>343</v>
      </c>
      <c r="I186" s="31" t="s">
        <v>40</v>
      </c>
      <c r="J186" s="31" t="s">
        <v>102</v>
      </c>
      <c r="K186" s="31"/>
      <c r="L186" s="32">
        <f>IFERROR(__xludf.DUMMYFUNCTION("VLOOKUP($A186,IMPORTRANGE(""1PQtfbQLqBUP-rjYRznmgNFBLOjvAnhGzpIx7BJWq8rk"",""'Worksheet'!$B$2:$H""),7,FALSE)"),0.85)</f>
        <v>0.85</v>
      </c>
      <c r="M186" s="31" t="s">
        <v>40</v>
      </c>
      <c r="N186" s="49">
        <v>5.0900652E7</v>
      </c>
      <c r="O186" s="49">
        <v>1.52701956E7</v>
      </c>
      <c r="P186" s="49">
        <f t="shared" si="30"/>
        <v>35630456.4</v>
      </c>
      <c r="Q186" s="34">
        <f t="shared" si="3"/>
        <v>0.7</v>
      </c>
      <c r="R186" s="31"/>
      <c r="S186" s="31" t="s">
        <v>40</v>
      </c>
      <c r="T186" s="50"/>
      <c r="U186" s="50"/>
      <c r="V186" s="51"/>
      <c r="W186" s="31"/>
      <c r="X186" s="52" t="s">
        <v>46</v>
      </c>
      <c r="Y186" s="54" t="s">
        <v>1376</v>
      </c>
      <c r="Z186" s="54" t="s">
        <v>1377</v>
      </c>
      <c r="AA186" s="74">
        <v>46262.0</v>
      </c>
      <c r="AB186" s="56"/>
      <c r="AC186" s="38"/>
      <c r="AD186" s="39">
        <v>50900.65</v>
      </c>
      <c r="AE186" s="39">
        <v>15270.1956</v>
      </c>
      <c r="AF186" s="40">
        <v>35630.4544</v>
      </c>
      <c r="AG186" s="57" t="s">
        <v>1378</v>
      </c>
      <c r="AH186" s="85" t="s">
        <v>1379</v>
      </c>
      <c r="AI186" s="42" t="str">
        <f>IFERROR(__xludf.DUMMYFUNCTION("vLOOKUP(A186,IMPORTRANGE(""https://docs.google.com/spreadsheets/d/1Rawwwdh8wntXGy8isdYNHxsNQS4n_rC8JSdPfj6vEq4"",""'500 объектов перенос на 2026'!A3:AB502""),13,0)"),"#REF!")</f>
        <v>#REF!</v>
      </c>
      <c r="AJ186" s="42" t="str">
        <f>IFERROR(__xludf.DUMMYFUNCTION("vLOOKUP(A186,IMPORTRANGE(""https://docs.google.com/spreadsheets/d/1Rawwwdh8wntXGy8isdYNHxsNQS4n_rC8JSdPfj6vEq4"",""'500 объектов перенос на 2026'!A3:AB502""),14,0)"),"#REF!")</f>
        <v>#REF!</v>
      </c>
      <c r="AK186" s="76" t="s">
        <v>3396</v>
      </c>
      <c r="AL186" s="43"/>
      <c r="AM186" s="43"/>
      <c r="AN186" s="43"/>
      <c r="AO186" s="43"/>
    </row>
    <row r="187" hidden="1">
      <c r="A187" s="78" t="s">
        <v>1382</v>
      </c>
      <c r="B187" s="63" t="s">
        <v>711</v>
      </c>
      <c r="C187" s="64" t="s">
        <v>1383</v>
      </c>
      <c r="D187" s="47" t="s">
        <v>166</v>
      </c>
      <c r="E187" s="64" t="s">
        <v>85</v>
      </c>
      <c r="F187" s="31" t="s">
        <v>60</v>
      </c>
      <c r="G187" s="31"/>
      <c r="H187" s="31"/>
      <c r="I187" s="31" t="s">
        <v>60</v>
      </c>
      <c r="J187" s="31"/>
      <c r="K187" s="31"/>
      <c r="L187" s="32" t="str">
        <f>IFERROR(__xludf.DUMMYFUNCTION("VLOOKUP($A187,IMPORTRANGE(""1PQtfbQLqBUP-rjYRznmgNFBLOjvAnhGzpIx7BJWq8rk"",""'Worksheet'!$B$2:$H""),7,FALSE)"),"#N/A")</f>
        <v>#N/A</v>
      </c>
      <c r="M187" s="31" t="s">
        <v>60</v>
      </c>
      <c r="N187" s="49">
        <v>2.0182254617E8</v>
      </c>
      <c r="O187" s="49">
        <v>1.8980230969E8</v>
      </c>
      <c r="P187" s="49">
        <v>0.0</v>
      </c>
      <c r="Q187" s="34">
        <f t="shared" si="3"/>
        <v>0.05955844235</v>
      </c>
      <c r="R187" s="31"/>
      <c r="S187" s="31" t="s">
        <v>60</v>
      </c>
      <c r="T187" s="50"/>
      <c r="U187" s="51"/>
      <c r="V187" s="51"/>
      <c r="W187" s="31"/>
      <c r="X187" s="52" t="s">
        <v>113</v>
      </c>
      <c r="Y187" s="54"/>
      <c r="Z187" s="54"/>
      <c r="AA187" s="54" t="s">
        <v>114</v>
      </c>
      <c r="AB187" s="38" t="s">
        <v>115</v>
      </c>
      <c r="AC187" s="38"/>
      <c r="AD187" s="39">
        <v>201822.56</v>
      </c>
      <c r="AE187" s="39">
        <v>189802.3097</v>
      </c>
      <c r="AF187" s="39">
        <v>12020.25031</v>
      </c>
      <c r="AG187" s="57" t="s">
        <v>1384</v>
      </c>
      <c r="AH187" s="42" t="s">
        <v>1385</v>
      </c>
      <c r="AI187" s="42" t="str">
        <f>IFERROR(__xludf.DUMMYFUNCTION("vLOOKUP(A187,IMPORTRANGE(""https://docs.google.com/spreadsheets/d/1Rawwwdh8wntXGy8isdYNHxsNQS4n_rC8JSdPfj6vEq4"",""'500 объектов перенос на 2026'!A3:AB502""),13,0)"),"#REF!")</f>
        <v>#REF!</v>
      </c>
      <c r="AJ187" s="42" t="str">
        <f>IFERROR(__xludf.DUMMYFUNCTION("vLOOKUP(A187,IMPORTRANGE(""https://docs.google.com/spreadsheets/d/1Rawwwdh8wntXGy8isdYNHxsNQS4n_rC8JSdPfj6vEq4"",""'500 объектов перенос на 2026'!A3:AB502""),14,0)"),"#REF!")</f>
        <v>#REF!</v>
      </c>
      <c r="AK187" s="76" t="s">
        <v>114</v>
      </c>
      <c r="AL187" s="43"/>
      <c r="AM187" s="43"/>
      <c r="AN187" s="43"/>
      <c r="AO187" s="43"/>
    </row>
    <row r="188" hidden="1">
      <c r="A188" s="62" t="s">
        <v>1386</v>
      </c>
      <c r="B188" s="63" t="s">
        <v>653</v>
      </c>
      <c r="C188" s="64" t="s">
        <v>1387</v>
      </c>
      <c r="D188" s="47" t="s">
        <v>848</v>
      </c>
      <c r="E188" s="64" t="s">
        <v>85</v>
      </c>
      <c r="F188" s="31" t="s">
        <v>60</v>
      </c>
      <c r="G188" s="31"/>
      <c r="H188" s="31"/>
      <c r="I188" s="31" t="s">
        <v>60</v>
      </c>
      <c r="J188" s="31"/>
      <c r="K188" s="31"/>
      <c r="L188" s="32">
        <f>IFERROR(__xludf.DUMMYFUNCTION("VLOOKUP($A188,IMPORTRANGE(""1PQtfbQLqBUP-rjYRznmgNFBLOjvAnhGzpIx7BJWq8rk"",""'Worksheet'!$B$2:$H""),7,FALSE)"),0.7)</f>
        <v>0.7</v>
      </c>
      <c r="M188" s="31" t="s">
        <v>45</v>
      </c>
      <c r="N188" s="49">
        <v>3.992012389E7</v>
      </c>
      <c r="O188" s="49">
        <v>5746333.54</v>
      </c>
      <c r="P188" s="49">
        <f t="shared" ref="P188:P190" si="31">N188-O188</f>
        <v>34173790.35</v>
      </c>
      <c r="Q188" s="34">
        <f t="shared" si="3"/>
        <v>0.8560542158</v>
      </c>
      <c r="R188" s="31"/>
      <c r="S188" s="31" t="s">
        <v>40</v>
      </c>
      <c r="T188" s="91" t="s">
        <v>1388</v>
      </c>
      <c r="U188" s="51">
        <v>0.0</v>
      </c>
      <c r="V188" s="51" t="s">
        <v>1388</v>
      </c>
      <c r="W188" s="31"/>
      <c r="X188" s="52" t="s">
        <v>46</v>
      </c>
      <c r="Y188" s="54" t="s">
        <v>1389</v>
      </c>
      <c r="Z188" s="54" t="s">
        <v>1390</v>
      </c>
      <c r="AA188" s="74">
        <v>46266.0</v>
      </c>
      <c r="AB188" s="56"/>
      <c r="AC188" s="38" t="s">
        <v>1391</v>
      </c>
      <c r="AD188" s="39">
        <v>32644.36</v>
      </c>
      <c r="AE188" s="39">
        <v>0.0</v>
      </c>
      <c r="AF188" s="40">
        <v>32644.36</v>
      </c>
      <c r="AG188" s="57" t="s">
        <v>1392</v>
      </c>
      <c r="AH188" s="42" t="s">
        <v>1393</v>
      </c>
      <c r="AI188" s="85" t="s">
        <v>1394</v>
      </c>
      <c r="AJ188" s="85" t="s">
        <v>1394</v>
      </c>
      <c r="AK188" s="70" t="s">
        <v>3397</v>
      </c>
      <c r="AL188" s="43"/>
      <c r="AM188" s="43"/>
      <c r="AN188" s="43"/>
      <c r="AO188" s="43"/>
    </row>
    <row r="189" hidden="1">
      <c r="A189" s="78" t="s">
        <v>1396</v>
      </c>
      <c r="B189" s="63" t="s">
        <v>711</v>
      </c>
      <c r="C189" s="64" t="s">
        <v>1397</v>
      </c>
      <c r="D189" s="47" t="s">
        <v>166</v>
      </c>
      <c r="E189" s="64" t="s">
        <v>85</v>
      </c>
      <c r="F189" s="31" t="s">
        <v>60</v>
      </c>
      <c r="G189" s="31"/>
      <c r="H189" s="31"/>
      <c r="I189" s="31" t="s">
        <v>60</v>
      </c>
      <c r="J189" s="31"/>
      <c r="K189" s="31"/>
      <c r="L189" s="32" t="str">
        <f>IFERROR(__xludf.DUMMYFUNCTION("VLOOKUP($A189,IMPORTRANGE(""1PQtfbQLqBUP-rjYRznmgNFBLOjvAnhGzpIx7BJWq8rk"",""'Worksheet'!$B$2:$H""),7,FALSE)"),"#N/A")</f>
        <v>#N/A</v>
      </c>
      <c r="M189" s="31" t="s">
        <v>60</v>
      </c>
      <c r="N189" s="49">
        <v>1.8416693527E8</v>
      </c>
      <c r="O189" s="49">
        <v>1.8416693527E8</v>
      </c>
      <c r="P189" s="49">
        <f t="shared" si="31"/>
        <v>0</v>
      </c>
      <c r="Q189" s="34">
        <f t="shared" si="3"/>
        <v>0</v>
      </c>
      <c r="R189" s="31"/>
      <c r="S189" s="31" t="s">
        <v>60</v>
      </c>
      <c r="T189" s="50"/>
      <c r="U189" s="51"/>
      <c r="V189" s="51"/>
      <c r="W189" s="31"/>
      <c r="X189" s="52" t="s">
        <v>113</v>
      </c>
      <c r="Y189" s="54"/>
      <c r="Z189" s="54"/>
      <c r="AA189" s="54" t="s">
        <v>114</v>
      </c>
      <c r="AB189" s="38" t="s">
        <v>115</v>
      </c>
      <c r="AC189" s="38"/>
      <c r="AD189" s="39">
        <v>114458.5</v>
      </c>
      <c r="AE189" s="39">
        <v>184166.9353</v>
      </c>
      <c r="AF189" s="39">
        <v>-69708.43527</v>
      </c>
      <c r="AG189" s="57" t="s">
        <v>1398</v>
      </c>
      <c r="AH189" s="42" t="s">
        <v>1385</v>
      </c>
      <c r="AI189" s="42" t="str">
        <f>IFERROR(__xludf.DUMMYFUNCTION("vLOOKUP(A189,IMPORTRANGE(""https://docs.google.com/spreadsheets/d/1Rawwwdh8wntXGy8isdYNHxsNQS4n_rC8JSdPfj6vEq4"",""'500 объектов перенос на 2026'!A3:AB502""),13,0)"),"#REF!")</f>
        <v>#REF!</v>
      </c>
      <c r="AJ189" s="42" t="str">
        <f>IFERROR(__xludf.DUMMYFUNCTION("vLOOKUP(A189,IMPORTRANGE(""https://docs.google.com/spreadsheets/d/1Rawwwdh8wntXGy8isdYNHxsNQS4n_rC8JSdPfj6vEq4"",""'500 объектов перенос на 2026'!A3:AB502""),14,0)"),"#REF!")</f>
        <v>#REF!</v>
      </c>
      <c r="AK189" s="76" t="s">
        <v>114</v>
      </c>
      <c r="AL189" s="43"/>
      <c r="AM189" s="43"/>
      <c r="AN189" s="43"/>
      <c r="AO189" s="43"/>
    </row>
    <row r="190" hidden="1">
      <c r="A190" s="78" t="s">
        <v>1399</v>
      </c>
      <c r="B190" s="63" t="s">
        <v>711</v>
      </c>
      <c r="C190" s="64" t="s">
        <v>1400</v>
      </c>
      <c r="D190" s="47" t="s">
        <v>1058</v>
      </c>
      <c r="E190" s="64" t="s">
        <v>85</v>
      </c>
      <c r="F190" s="31" t="s">
        <v>60</v>
      </c>
      <c r="G190" s="31"/>
      <c r="H190" s="31"/>
      <c r="I190" s="31" t="s">
        <v>60</v>
      </c>
      <c r="J190" s="31"/>
      <c r="K190" s="31"/>
      <c r="L190" s="32" t="str">
        <f>IFERROR(__xludf.DUMMYFUNCTION("VLOOKUP($A190,IMPORTRANGE(""1PQtfbQLqBUP-rjYRznmgNFBLOjvAnhGzpIx7BJWq8rk"",""'Worksheet'!$B$2:$H""),7,FALSE)"),"#N/A")</f>
        <v>#N/A</v>
      </c>
      <c r="M190" s="31" t="s">
        <v>60</v>
      </c>
      <c r="N190" s="49">
        <v>6.583773642E7</v>
      </c>
      <c r="O190" s="49">
        <v>6.583773642E7</v>
      </c>
      <c r="P190" s="49">
        <f t="shared" si="31"/>
        <v>0</v>
      </c>
      <c r="Q190" s="34">
        <f t="shared" si="3"/>
        <v>0</v>
      </c>
      <c r="R190" s="31"/>
      <c r="S190" s="31" t="s">
        <v>60</v>
      </c>
      <c r="T190" s="50"/>
      <c r="U190" s="51"/>
      <c r="V190" s="51"/>
      <c r="W190" s="31"/>
      <c r="X190" s="52" t="s">
        <v>113</v>
      </c>
      <c r="Y190" s="54"/>
      <c r="Z190" s="54"/>
      <c r="AA190" s="54" t="s">
        <v>114</v>
      </c>
      <c r="AB190" s="38" t="s">
        <v>115</v>
      </c>
      <c r="AC190" s="38"/>
      <c r="AD190" s="39">
        <v>65837.74</v>
      </c>
      <c r="AE190" s="39">
        <v>65837.73642</v>
      </c>
      <c r="AF190" s="39">
        <v>0.00358</v>
      </c>
      <c r="AG190" s="57" t="s">
        <v>1401</v>
      </c>
      <c r="AH190" s="42" t="s">
        <v>1402</v>
      </c>
      <c r="AI190" s="42" t="str">
        <f>IFERROR(__xludf.DUMMYFUNCTION("vLOOKUP(A190,IMPORTRANGE(""https://docs.google.com/spreadsheets/d/1Rawwwdh8wntXGy8isdYNHxsNQS4n_rC8JSdPfj6vEq4"",""'500 объектов перенос на 2026'!A3:AB502""),13,0)"),"#REF!")</f>
        <v>#REF!</v>
      </c>
      <c r="AJ190" s="42" t="str">
        <f>IFERROR(__xludf.DUMMYFUNCTION("vLOOKUP(A190,IMPORTRANGE(""https://docs.google.com/spreadsheets/d/1Rawwwdh8wntXGy8isdYNHxsNQS4n_rC8JSdPfj6vEq4"",""'500 объектов перенос на 2026'!A3:AB502""),14,0)"),"#REF!")</f>
        <v>#REF!</v>
      </c>
      <c r="AK190" s="76" t="s">
        <v>114</v>
      </c>
      <c r="AL190" s="43"/>
      <c r="AM190" s="43"/>
      <c r="AN190" s="43"/>
      <c r="AO190" s="43"/>
    </row>
    <row r="191" hidden="1">
      <c r="A191" s="78" t="s">
        <v>1403</v>
      </c>
      <c r="B191" s="63" t="s">
        <v>711</v>
      </c>
      <c r="C191" s="64" t="s">
        <v>1404</v>
      </c>
      <c r="D191" s="47" t="s">
        <v>1058</v>
      </c>
      <c r="E191" s="64" t="s">
        <v>85</v>
      </c>
      <c r="F191" s="31" t="s">
        <v>60</v>
      </c>
      <c r="G191" s="31"/>
      <c r="H191" s="31"/>
      <c r="I191" s="31" t="s">
        <v>60</v>
      </c>
      <c r="J191" s="31"/>
      <c r="K191" s="31"/>
      <c r="L191" s="32" t="str">
        <f>IFERROR(__xludf.DUMMYFUNCTION("VLOOKUP($A191,IMPORTRANGE(""1PQtfbQLqBUP-rjYRznmgNFBLOjvAnhGzpIx7BJWq8rk"",""'Worksheet'!$B$2:$H""),7,FALSE)"),"#N/A")</f>
        <v>#N/A</v>
      </c>
      <c r="M191" s="31" t="s">
        <v>60</v>
      </c>
      <c r="N191" s="49">
        <v>4.351010392E7</v>
      </c>
      <c r="O191" s="49">
        <v>3.235449104E7</v>
      </c>
      <c r="P191" s="49">
        <v>0.0</v>
      </c>
      <c r="Q191" s="34">
        <f t="shared" si="3"/>
        <v>0.2563913178</v>
      </c>
      <c r="R191" s="31"/>
      <c r="S191" s="31" t="s">
        <v>60</v>
      </c>
      <c r="T191" s="50"/>
      <c r="U191" s="51"/>
      <c r="V191" s="51"/>
      <c r="W191" s="31"/>
      <c r="X191" s="52" t="s">
        <v>113</v>
      </c>
      <c r="Y191" s="54"/>
      <c r="Z191" s="54"/>
      <c r="AA191" s="54" t="s">
        <v>114</v>
      </c>
      <c r="AB191" s="38" t="s">
        <v>115</v>
      </c>
      <c r="AC191" s="38"/>
      <c r="AD191" s="39">
        <v>43510.1</v>
      </c>
      <c r="AE191" s="39">
        <v>32354.49104</v>
      </c>
      <c r="AF191" s="39">
        <v>11155.60896</v>
      </c>
      <c r="AG191" s="57" t="s">
        <v>1405</v>
      </c>
      <c r="AH191" s="42" t="s">
        <v>1385</v>
      </c>
      <c r="AI191" s="42" t="str">
        <f>IFERROR(__xludf.DUMMYFUNCTION("vLOOKUP(A191,IMPORTRANGE(""https://docs.google.com/spreadsheets/d/1Rawwwdh8wntXGy8isdYNHxsNQS4n_rC8JSdPfj6vEq4"",""'500 объектов перенос на 2026'!A3:AB502""),13,0)"),"#REF!")</f>
        <v>#REF!</v>
      </c>
      <c r="AJ191" s="42" t="str">
        <f>IFERROR(__xludf.DUMMYFUNCTION("vLOOKUP(A191,IMPORTRANGE(""https://docs.google.com/spreadsheets/d/1Rawwwdh8wntXGy8isdYNHxsNQS4n_rC8JSdPfj6vEq4"",""'500 объектов перенос на 2026'!A3:AB502""),14,0)"),"#REF!")</f>
        <v>#REF!</v>
      </c>
      <c r="AK191" s="76" t="s">
        <v>114</v>
      </c>
      <c r="AL191" s="43"/>
      <c r="AM191" s="43"/>
      <c r="AN191" s="43"/>
      <c r="AO191" s="43"/>
    </row>
    <row r="192" hidden="1">
      <c r="A192" s="78" t="s">
        <v>1406</v>
      </c>
      <c r="B192" s="63" t="s">
        <v>711</v>
      </c>
      <c r="C192" s="64" t="s">
        <v>1407</v>
      </c>
      <c r="D192" s="47" t="s">
        <v>1408</v>
      </c>
      <c r="E192" s="64" t="s">
        <v>85</v>
      </c>
      <c r="F192" s="31" t="s">
        <v>60</v>
      </c>
      <c r="G192" s="31"/>
      <c r="H192" s="31"/>
      <c r="I192" s="31" t="s">
        <v>60</v>
      </c>
      <c r="J192" s="31"/>
      <c r="K192" s="31"/>
      <c r="L192" s="32" t="str">
        <f>IFERROR(__xludf.DUMMYFUNCTION("VLOOKUP($A192,IMPORTRANGE(""1PQtfbQLqBUP-rjYRznmgNFBLOjvAnhGzpIx7BJWq8rk"",""'Worksheet'!$B$2:$H""),7,FALSE)"),"#N/A")</f>
        <v>#N/A</v>
      </c>
      <c r="M192" s="31" t="s">
        <v>60</v>
      </c>
      <c r="N192" s="49">
        <v>7.120892E7</v>
      </c>
      <c r="O192" s="49">
        <v>7.016645386E7</v>
      </c>
      <c r="P192" s="49">
        <v>0.0</v>
      </c>
      <c r="Q192" s="34">
        <f t="shared" si="3"/>
        <v>0.01463954432</v>
      </c>
      <c r="R192" s="31"/>
      <c r="S192" s="31" t="s">
        <v>60</v>
      </c>
      <c r="T192" s="91"/>
      <c r="U192" s="51"/>
      <c r="V192" s="51"/>
      <c r="W192" s="31"/>
      <c r="X192" s="52" t="s">
        <v>113</v>
      </c>
      <c r="Y192" s="54"/>
      <c r="Z192" s="54"/>
      <c r="AA192" s="54" t="s">
        <v>114</v>
      </c>
      <c r="AB192" s="38" t="s">
        <v>115</v>
      </c>
      <c r="AC192" s="38"/>
      <c r="AD192" s="39">
        <v>71208.92</v>
      </c>
      <c r="AE192" s="39">
        <v>70166.45386</v>
      </c>
      <c r="AF192" s="39">
        <v>1042.46614</v>
      </c>
      <c r="AG192" s="57" t="s">
        <v>1409</v>
      </c>
      <c r="AH192" s="42" t="s">
        <v>1385</v>
      </c>
      <c r="AI192" s="42" t="str">
        <f>IFERROR(__xludf.DUMMYFUNCTION("vLOOKUP(A192,IMPORTRANGE(""https://docs.google.com/spreadsheets/d/1Rawwwdh8wntXGy8isdYNHxsNQS4n_rC8JSdPfj6vEq4"",""'500 объектов перенос на 2026'!A3:AB502""),13,0)"),"#REF!")</f>
        <v>#REF!</v>
      </c>
      <c r="AJ192" s="42" t="str">
        <f>IFERROR(__xludf.DUMMYFUNCTION("vLOOKUP(A192,IMPORTRANGE(""https://docs.google.com/spreadsheets/d/1Rawwwdh8wntXGy8isdYNHxsNQS4n_rC8JSdPfj6vEq4"",""'500 объектов перенос на 2026'!A3:AB502""),14,0)"),"#REF!")</f>
        <v>#REF!</v>
      </c>
      <c r="AK192" s="76" t="s">
        <v>114</v>
      </c>
      <c r="AL192" s="43"/>
      <c r="AM192" s="43"/>
      <c r="AN192" s="43"/>
      <c r="AO192" s="43"/>
    </row>
    <row r="193" hidden="1">
      <c r="A193" s="78" t="s">
        <v>1410</v>
      </c>
      <c r="B193" s="63" t="s">
        <v>711</v>
      </c>
      <c r="C193" s="64" t="s">
        <v>1411</v>
      </c>
      <c r="D193" s="47" t="s">
        <v>1408</v>
      </c>
      <c r="E193" s="64" t="s">
        <v>85</v>
      </c>
      <c r="F193" s="31" t="s">
        <v>60</v>
      </c>
      <c r="G193" s="31"/>
      <c r="H193" s="31"/>
      <c r="I193" s="31" t="s">
        <v>60</v>
      </c>
      <c r="J193" s="31"/>
      <c r="K193" s="31"/>
      <c r="L193" s="32" t="str">
        <f>IFERROR(__xludf.DUMMYFUNCTION("VLOOKUP($A193,IMPORTRANGE(""1PQtfbQLqBUP-rjYRznmgNFBLOjvAnhGzpIx7BJWq8rk"",""'Worksheet'!$B$2:$H""),7,FALSE)"),"#N/A")</f>
        <v>#N/A</v>
      </c>
      <c r="M193" s="31" t="s">
        <v>60</v>
      </c>
      <c r="N193" s="49">
        <v>5.994063E7</v>
      </c>
      <c r="O193" s="49">
        <v>5.994063E7</v>
      </c>
      <c r="P193" s="49">
        <f>N193-O193</f>
        <v>0</v>
      </c>
      <c r="Q193" s="34">
        <f t="shared" si="3"/>
        <v>0</v>
      </c>
      <c r="R193" s="31"/>
      <c r="S193" s="31" t="s">
        <v>60</v>
      </c>
      <c r="T193" s="91"/>
      <c r="U193" s="51"/>
      <c r="V193" s="51"/>
      <c r="W193" s="31"/>
      <c r="X193" s="52" t="s">
        <v>113</v>
      </c>
      <c r="Y193" s="54"/>
      <c r="Z193" s="54"/>
      <c r="AA193" s="54" t="s">
        <v>114</v>
      </c>
      <c r="AB193" s="38" t="s">
        <v>115</v>
      </c>
      <c r="AC193" s="38"/>
      <c r="AD193" s="39">
        <v>59940.63</v>
      </c>
      <c r="AE193" s="39">
        <v>59940.63</v>
      </c>
      <c r="AF193" s="39">
        <v>0.0</v>
      </c>
      <c r="AG193" s="57" t="s">
        <v>1412</v>
      </c>
      <c r="AH193" s="42" t="s">
        <v>8</v>
      </c>
      <c r="AI193" s="42" t="str">
        <f>IFERROR(__xludf.DUMMYFUNCTION("vLOOKUP(A193,IMPORTRANGE(""https://docs.google.com/spreadsheets/d/1Rawwwdh8wntXGy8isdYNHxsNQS4n_rC8JSdPfj6vEq4"",""'500 объектов перенос на 2026'!A3:AB502""),13,0)"),"#REF!")</f>
        <v>#REF!</v>
      </c>
      <c r="AJ193" s="42" t="str">
        <f>IFERROR(__xludf.DUMMYFUNCTION("vLOOKUP(A193,IMPORTRANGE(""https://docs.google.com/spreadsheets/d/1Rawwwdh8wntXGy8isdYNHxsNQS4n_rC8JSdPfj6vEq4"",""'500 объектов перенос на 2026'!A3:AB502""),14,0)"),"#REF!")</f>
        <v>#REF!</v>
      </c>
      <c r="AK193" s="76" t="s">
        <v>114</v>
      </c>
      <c r="AL193" s="43"/>
      <c r="AM193" s="43"/>
      <c r="AN193" s="43"/>
      <c r="AO193" s="43"/>
    </row>
    <row r="194" hidden="1">
      <c r="A194" s="78" t="s">
        <v>1413</v>
      </c>
      <c r="B194" s="63" t="s">
        <v>711</v>
      </c>
      <c r="C194" s="64" t="s">
        <v>1414</v>
      </c>
      <c r="D194" s="47" t="s">
        <v>1058</v>
      </c>
      <c r="E194" s="64" t="s">
        <v>85</v>
      </c>
      <c r="F194" s="31" t="s">
        <v>60</v>
      </c>
      <c r="G194" s="31"/>
      <c r="H194" s="31"/>
      <c r="I194" s="31" t="s">
        <v>60</v>
      </c>
      <c r="J194" s="31"/>
      <c r="K194" s="31"/>
      <c r="L194" s="32" t="str">
        <f>IFERROR(__xludf.DUMMYFUNCTION("VLOOKUP($A194,IMPORTRANGE(""1PQtfbQLqBUP-rjYRznmgNFBLOjvAnhGzpIx7BJWq8rk"",""'Worksheet'!$B$2:$H""),7,FALSE)"),"#N/A")</f>
        <v>#N/A</v>
      </c>
      <c r="M194" s="31" t="s">
        <v>60</v>
      </c>
      <c r="N194" s="49">
        <v>3.856038E7</v>
      </c>
      <c r="O194" s="49">
        <v>3.823627751E7</v>
      </c>
      <c r="P194" s="49">
        <v>0.0</v>
      </c>
      <c r="Q194" s="34">
        <f t="shared" si="3"/>
        <v>0.008405064732</v>
      </c>
      <c r="R194" s="31"/>
      <c r="S194" s="31" t="s">
        <v>60</v>
      </c>
      <c r="T194" s="50"/>
      <c r="U194" s="51"/>
      <c r="V194" s="51"/>
      <c r="W194" s="31"/>
      <c r="X194" s="52" t="s">
        <v>113</v>
      </c>
      <c r="Y194" s="54"/>
      <c r="Z194" s="54"/>
      <c r="AA194" s="54" t="s">
        <v>114</v>
      </c>
      <c r="AB194" s="38" t="s">
        <v>115</v>
      </c>
      <c r="AC194" s="38"/>
      <c r="AD194" s="39">
        <v>38560.38</v>
      </c>
      <c r="AE194" s="39">
        <v>38236.27751</v>
      </c>
      <c r="AF194" s="39">
        <v>324.10249</v>
      </c>
      <c r="AG194" s="57" t="s">
        <v>1415</v>
      </c>
      <c r="AH194" s="42" t="s">
        <v>1385</v>
      </c>
      <c r="AI194" s="42" t="str">
        <f>IFERROR(__xludf.DUMMYFUNCTION("vLOOKUP(A194,IMPORTRANGE(""https://docs.google.com/spreadsheets/d/1Rawwwdh8wntXGy8isdYNHxsNQS4n_rC8JSdPfj6vEq4"",""'500 объектов перенос на 2026'!A3:AB502""),13,0)"),"#REF!")</f>
        <v>#REF!</v>
      </c>
      <c r="AJ194" s="42" t="str">
        <f>IFERROR(__xludf.DUMMYFUNCTION("vLOOKUP(A194,IMPORTRANGE(""https://docs.google.com/spreadsheets/d/1Rawwwdh8wntXGy8isdYNHxsNQS4n_rC8JSdPfj6vEq4"",""'500 объектов перенос на 2026'!A3:AB502""),14,0)"),"#REF!")</f>
        <v>#REF!</v>
      </c>
      <c r="AK194" s="76" t="s">
        <v>114</v>
      </c>
      <c r="AL194" s="43"/>
      <c r="AM194" s="43"/>
      <c r="AN194" s="43"/>
      <c r="AO194" s="43"/>
    </row>
    <row r="195" hidden="1">
      <c r="A195" s="62" t="s">
        <v>1416</v>
      </c>
      <c r="B195" s="63" t="s">
        <v>110</v>
      </c>
      <c r="C195" s="64" t="s">
        <v>1417</v>
      </c>
      <c r="D195" s="47" t="s">
        <v>112</v>
      </c>
      <c r="E195" s="64" t="s">
        <v>85</v>
      </c>
      <c r="F195" s="31" t="s">
        <v>40</v>
      </c>
      <c r="G195" s="31" t="s">
        <v>156</v>
      </c>
      <c r="H195" s="31" t="s">
        <v>157</v>
      </c>
      <c r="I195" s="31" t="s">
        <v>40</v>
      </c>
      <c r="J195" s="31" t="s">
        <v>61</v>
      </c>
      <c r="K195" s="31"/>
      <c r="L195" s="32">
        <f>IFERROR(__xludf.DUMMYFUNCTION("VLOOKUP($A195,IMPORTRANGE(""1PQtfbQLqBUP-rjYRznmgNFBLOjvAnhGzpIx7BJWq8rk"",""'Worksheet'!$B$2:$H""),7,FALSE)"),0.9)</f>
        <v>0.9</v>
      </c>
      <c r="M195" s="31" t="s">
        <v>40</v>
      </c>
      <c r="N195" s="49">
        <v>6.821616E7</v>
      </c>
      <c r="O195" s="49">
        <v>3.410808E7</v>
      </c>
      <c r="P195" s="49">
        <f t="shared" ref="P195:P207" si="32">N195-O195</f>
        <v>34108080</v>
      </c>
      <c r="Q195" s="34">
        <f t="shared" si="3"/>
        <v>0.5</v>
      </c>
      <c r="R195" s="31"/>
      <c r="S195" s="31" t="s">
        <v>40</v>
      </c>
      <c r="T195" s="50">
        <v>6.48573801E7</v>
      </c>
      <c r="U195" s="50">
        <v>0.0</v>
      </c>
      <c r="V195" s="50">
        <v>6.48573801E7</v>
      </c>
      <c r="W195" s="31"/>
      <c r="X195" s="159" t="s">
        <v>1418</v>
      </c>
      <c r="Y195" s="54" t="s">
        <v>1419</v>
      </c>
      <c r="Z195" s="68"/>
      <c r="AA195" s="68">
        <v>46235.0</v>
      </c>
      <c r="AB195" s="56"/>
      <c r="AC195" s="38"/>
      <c r="AD195" s="39">
        <v>68216.16</v>
      </c>
      <c r="AE195" s="39">
        <v>34108.08</v>
      </c>
      <c r="AF195" s="40">
        <v>34108.08</v>
      </c>
      <c r="AG195" s="57"/>
      <c r="AH195" s="42" t="s">
        <v>1420</v>
      </c>
      <c r="AI195" s="42" t="str">
        <f>IFERROR(__xludf.DUMMYFUNCTION("vLOOKUP(A195,IMPORTRANGE(""https://docs.google.com/spreadsheets/d/1Rawwwdh8wntXGy8isdYNHxsNQS4n_rC8JSdPfj6vEq4"",""'500 объектов перенос на 2026'!A3:AB502""),13,0)"),"#REF!")</f>
        <v>#REF!</v>
      </c>
      <c r="AJ195" s="42" t="str">
        <f>IFERROR(__xludf.DUMMYFUNCTION("vLOOKUP(A195,IMPORTRANGE(""https://docs.google.com/spreadsheets/d/1Rawwwdh8wntXGy8isdYNHxsNQS4n_rC8JSdPfj6vEq4"",""'500 объектов перенос на 2026'!A3:AB502""),14,0)"),"#REF!")</f>
        <v>#REF!</v>
      </c>
      <c r="AK195" s="76" t="s">
        <v>3398</v>
      </c>
      <c r="AL195" s="43"/>
      <c r="AM195" s="43"/>
      <c r="AN195" s="43"/>
      <c r="AO195" s="43"/>
    </row>
    <row r="196" hidden="1">
      <c r="A196" s="62" t="s">
        <v>1423</v>
      </c>
      <c r="B196" s="63" t="s">
        <v>250</v>
      </c>
      <c r="C196" s="64" t="s">
        <v>1424</v>
      </c>
      <c r="D196" s="47" t="s">
        <v>1425</v>
      </c>
      <c r="E196" s="64" t="s">
        <v>324</v>
      </c>
      <c r="F196" s="31" t="s">
        <v>60</v>
      </c>
      <c r="G196" s="31"/>
      <c r="H196" s="31"/>
      <c r="I196" s="31" t="s">
        <v>40</v>
      </c>
      <c r="J196" s="31" t="s">
        <v>61</v>
      </c>
      <c r="K196" s="31" t="s">
        <v>72</v>
      </c>
      <c r="L196" s="32">
        <f>IFERROR(__xludf.DUMMYFUNCTION("VLOOKUP($A196,IMPORTRANGE(""1PQtfbQLqBUP-rjYRznmgNFBLOjvAnhGzpIx7BJWq8rk"",""'Worksheet'!$B$2:$H""),7,FALSE)"),0.8)</f>
        <v>0.8</v>
      </c>
      <c r="M196" s="31" t="s">
        <v>45</v>
      </c>
      <c r="N196" s="49">
        <v>7.27217966E7</v>
      </c>
      <c r="O196" s="49">
        <v>3.890700237E7</v>
      </c>
      <c r="P196" s="49">
        <f t="shared" si="32"/>
        <v>33814794.23</v>
      </c>
      <c r="Q196" s="34">
        <f t="shared" si="3"/>
        <v>0.4649884328</v>
      </c>
      <c r="R196" s="31"/>
      <c r="S196" s="31" t="s">
        <v>45</v>
      </c>
      <c r="T196" s="72">
        <v>6.762958848E7</v>
      </c>
      <c r="U196" s="50">
        <v>0.0</v>
      </c>
      <c r="V196" s="72">
        <v>6.762958848E7</v>
      </c>
      <c r="W196" s="31"/>
      <c r="X196" s="159" t="s">
        <v>803</v>
      </c>
      <c r="Y196" s="54" t="s">
        <v>1426</v>
      </c>
      <c r="Z196" s="54" t="s">
        <v>75</v>
      </c>
      <c r="AA196" s="74">
        <v>46266.0</v>
      </c>
      <c r="AB196" s="56"/>
      <c r="AC196" s="38" t="s">
        <v>1143</v>
      </c>
      <c r="AD196" s="39">
        <v>72721.8</v>
      </c>
      <c r="AE196" s="39">
        <v>38907.00237</v>
      </c>
      <c r="AF196" s="40">
        <v>33814.79763</v>
      </c>
      <c r="AG196" s="57" t="s">
        <v>1427</v>
      </c>
      <c r="AH196" s="42" t="s">
        <v>66</v>
      </c>
      <c r="AI196" s="42" t="str">
        <f>IFERROR(__xludf.DUMMYFUNCTION("vLOOKUP(A196,IMPORTRANGE(""https://docs.google.com/spreadsheets/d/1Rawwwdh8wntXGy8isdYNHxsNQS4n_rC8JSdPfj6vEq4"",""'500 объектов перенос на 2026'!A3:AB502""),13,0)"),"#REF!")</f>
        <v>#REF!</v>
      </c>
      <c r="AJ196" s="42" t="str">
        <f>IFERROR(__xludf.DUMMYFUNCTION("vLOOKUP(A196,IMPORTRANGE(""https://docs.google.com/spreadsheets/d/1Rawwwdh8wntXGy8isdYNHxsNQS4n_rC8JSdPfj6vEq4"",""'500 объектов перенос на 2026'!A3:AB502""),14,0)"),"#REF!")</f>
        <v>#REF!</v>
      </c>
      <c r="AK196" s="76" t="s">
        <v>1428</v>
      </c>
      <c r="AL196" s="43"/>
      <c r="AM196" s="43"/>
      <c r="AN196" s="43"/>
      <c r="AO196" s="43"/>
    </row>
    <row r="197" hidden="1">
      <c r="A197" s="62" t="s">
        <v>1429</v>
      </c>
      <c r="B197" s="63" t="s">
        <v>133</v>
      </c>
      <c r="C197" s="64" t="s">
        <v>1430</v>
      </c>
      <c r="D197" s="47" t="s">
        <v>727</v>
      </c>
      <c r="E197" s="64" t="s">
        <v>39</v>
      </c>
      <c r="F197" s="31" t="s">
        <v>40</v>
      </c>
      <c r="G197" s="31" t="s">
        <v>299</v>
      </c>
      <c r="H197" s="31" t="s">
        <v>260</v>
      </c>
      <c r="I197" s="31" t="s">
        <v>40</v>
      </c>
      <c r="J197" s="31" t="s">
        <v>102</v>
      </c>
      <c r="K197" s="31"/>
      <c r="L197" s="32">
        <f>IFERROR(__xludf.DUMMYFUNCTION("VLOOKUP($A197,IMPORTRANGE(""1PQtfbQLqBUP-rjYRznmgNFBLOjvAnhGzpIx7BJWq8rk"",""'Worksheet'!$B$2:$H""),7,FALSE)"),0.08)</f>
        <v>0.08</v>
      </c>
      <c r="M197" s="31" t="s">
        <v>40</v>
      </c>
      <c r="N197" s="49">
        <v>3.781745691E7</v>
      </c>
      <c r="O197" s="49">
        <v>4140270.0</v>
      </c>
      <c r="P197" s="49">
        <f t="shared" si="32"/>
        <v>33677186.91</v>
      </c>
      <c r="Q197" s="34">
        <f t="shared" si="3"/>
        <v>0.8905196082</v>
      </c>
      <c r="R197" s="31"/>
      <c r="S197" s="31" t="s">
        <v>40</v>
      </c>
      <c r="T197" s="50">
        <f>N197*0.95</f>
        <v>35926584.06</v>
      </c>
      <c r="U197" s="50">
        <v>0.0</v>
      </c>
      <c r="V197" s="50">
        <v>3.59265840645E7</v>
      </c>
      <c r="W197" s="31"/>
      <c r="X197" s="159" t="s">
        <v>46</v>
      </c>
      <c r="Y197" s="54" t="s">
        <v>1431</v>
      </c>
      <c r="Z197" s="54" t="s">
        <v>1432</v>
      </c>
      <c r="AA197" s="100">
        <v>46305.0</v>
      </c>
      <c r="AB197" s="56"/>
      <c r="AC197" s="38"/>
      <c r="AD197" s="39">
        <v>37817.45</v>
      </c>
      <c r="AE197" s="39">
        <v>4140.27</v>
      </c>
      <c r="AF197" s="40">
        <v>33677.18</v>
      </c>
      <c r="AG197" s="57" t="s">
        <v>1433</v>
      </c>
      <c r="AH197" s="42" t="s">
        <v>1434</v>
      </c>
      <c r="AI197" s="42" t="str">
        <f>IFERROR(__xludf.DUMMYFUNCTION("vLOOKUP(A197,IMPORTRANGE(""https://docs.google.com/spreadsheets/d/1Rawwwdh8wntXGy8isdYNHxsNQS4n_rC8JSdPfj6vEq4"",""'500 объектов перенос на 2026'!A3:AB502""),13,0)"),"#REF!")</f>
        <v>#REF!</v>
      </c>
      <c r="AJ197" s="42" t="str">
        <f>IFERROR(__xludf.DUMMYFUNCTION("vLOOKUP(A197,IMPORTRANGE(""https://docs.google.com/spreadsheets/d/1Rawwwdh8wntXGy8isdYNHxsNQS4n_rC8JSdPfj6vEq4"",""'500 объектов перенос на 2026'!A3:AB502""),14,0)"),"#REF!")</f>
        <v>#REF!</v>
      </c>
      <c r="AK197" s="76" t="s">
        <v>3399</v>
      </c>
      <c r="AL197" s="43"/>
      <c r="AM197" s="43"/>
      <c r="AN197" s="43"/>
      <c r="AO197" s="43"/>
    </row>
    <row r="198" hidden="1">
      <c r="A198" s="62" t="s">
        <v>1437</v>
      </c>
      <c r="B198" s="63" t="s">
        <v>177</v>
      </c>
      <c r="C198" s="64" t="s">
        <v>1438</v>
      </c>
      <c r="D198" s="47" t="s">
        <v>179</v>
      </c>
      <c r="E198" s="64" t="s">
        <v>39</v>
      </c>
      <c r="F198" s="31" t="s">
        <v>60</v>
      </c>
      <c r="G198" s="31"/>
      <c r="H198" s="31"/>
      <c r="I198" s="31" t="s">
        <v>40</v>
      </c>
      <c r="J198" s="31" t="s">
        <v>102</v>
      </c>
      <c r="K198" s="31" t="s">
        <v>713</v>
      </c>
      <c r="L198" s="32">
        <f>IFERROR(__xludf.DUMMYFUNCTION("VLOOKUP($A198,IMPORTRANGE(""1PQtfbQLqBUP-rjYRznmgNFBLOjvAnhGzpIx7BJWq8rk"",""'Worksheet'!$B$2:$H""),7,FALSE)"),0.86)</f>
        <v>0.86</v>
      </c>
      <c r="M198" s="31" t="s">
        <v>40</v>
      </c>
      <c r="N198" s="49">
        <v>4.7199154E7</v>
      </c>
      <c r="O198" s="49">
        <v>1.41597462E7</v>
      </c>
      <c r="P198" s="49">
        <f t="shared" si="32"/>
        <v>33039407.8</v>
      </c>
      <c r="Q198" s="34">
        <f t="shared" si="3"/>
        <v>0.7</v>
      </c>
      <c r="R198" s="31"/>
      <c r="S198" s="31" t="s">
        <v>40</v>
      </c>
      <c r="T198" s="72" t="s">
        <v>1439</v>
      </c>
      <c r="U198" s="72">
        <v>0.0</v>
      </c>
      <c r="V198" s="72" t="s">
        <v>1439</v>
      </c>
      <c r="W198" s="31"/>
      <c r="X198" s="159" t="s">
        <v>46</v>
      </c>
      <c r="Y198" s="54" t="s">
        <v>1440</v>
      </c>
      <c r="Z198" s="54" t="s">
        <v>75</v>
      </c>
      <c r="AA198" s="74">
        <v>46265.0</v>
      </c>
      <c r="AB198" s="56"/>
      <c r="AC198" s="38"/>
      <c r="AD198" s="39">
        <v>47199.15</v>
      </c>
      <c r="AE198" s="39">
        <v>14159.75</v>
      </c>
      <c r="AF198" s="40">
        <v>33039.4</v>
      </c>
      <c r="AG198" s="99" t="s">
        <v>1441</v>
      </c>
      <c r="AH198" s="85"/>
      <c r="AI198" s="42" t="str">
        <f>IFERROR(__xludf.DUMMYFUNCTION("vLOOKUP(A198,IMPORTRANGE(""https://docs.google.com/spreadsheets/d/1Rawwwdh8wntXGy8isdYNHxsNQS4n_rC8JSdPfj6vEq4"",""'500 объектов перенос на 2026'!A3:AB502""),13,0)"),"#REF!")</f>
        <v>#REF!</v>
      </c>
      <c r="AJ198" s="42" t="str">
        <f>IFERROR(__xludf.DUMMYFUNCTION("vLOOKUP(A198,IMPORTRANGE(""https://docs.google.com/spreadsheets/d/1Rawwwdh8wntXGy8isdYNHxsNQS4n_rC8JSdPfj6vEq4"",""'500 объектов перенос на 2026'!A3:AB502""),14,0)"),"#REF!")</f>
        <v>#REF!</v>
      </c>
      <c r="AK198" s="70" t="s">
        <v>3400</v>
      </c>
      <c r="AL198" s="43"/>
      <c r="AM198" s="43"/>
      <c r="AN198" s="43"/>
      <c r="AO198" s="43"/>
    </row>
    <row r="199" hidden="1">
      <c r="A199" s="62" t="s">
        <v>1444</v>
      </c>
      <c r="B199" s="63" t="s">
        <v>653</v>
      </c>
      <c r="C199" s="90" t="s">
        <v>1445</v>
      </c>
      <c r="D199" s="47" t="s">
        <v>848</v>
      </c>
      <c r="E199" s="64" t="s">
        <v>85</v>
      </c>
      <c r="F199" s="31" t="s">
        <v>40</v>
      </c>
      <c r="G199" s="31" t="s">
        <v>41</v>
      </c>
      <c r="H199" s="31" t="s">
        <v>974</v>
      </c>
      <c r="I199" s="31" t="s">
        <v>40</v>
      </c>
      <c r="J199" s="31" t="s">
        <v>102</v>
      </c>
      <c r="K199" s="31"/>
      <c r="L199" s="32">
        <f>IFERROR(__xludf.DUMMYFUNCTION("VLOOKUP($A199,IMPORTRANGE(""1PQtfbQLqBUP-rjYRznmgNFBLOjvAnhGzpIx7BJWq8rk"",""'Worksheet'!$B$2:$H""),7,FALSE)"),0.71)</f>
        <v>0.71</v>
      </c>
      <c r="M199" s="31" t="s">
        <v>40</v>
      </c>
      <c r="N199" s="49">
        <v>6.412909E7</v>
      </c>
      <c r="O199" s="49">
        <v>3.2064545E7</v>
      </c>
      <c r="P199" s="49">
        <f t="shared" si="32"/>
        <v>32064545</v>
      </c>
      <c r="Q199" s="34">
        <f t="shared" si="3"/>
        <v>0.5</v>
      </c>
      <c r="R199" s="31"/>
      <c r="S199" s="31" t="s">
        <v>40</v>
      </c>
      <c r="T199" s="91" t="s">
        <v>1446</v>
      </c>
      <c r="U199" s="91">
        <v>0.0</v>
      </c>
      <c r="V199" s="50" t="s">
        <v>1446</v>
      </c>
      <c r="W199" s="31"/>
      <c r="X199" s="159" t="s">
        <v>976</v>
      </c>
      <c r="Y199" s="73" t="s">
        <v>1447</v>
      </c>
      <c r="Z199" s="74"/>
      <c r="AA199" s="74">
        <v>46325.0</v>
      </c>
      <c r="AB199" s="56"/>
      <c r="AC199" s="38" t="s">
        <v>978</v>
      </c>
      <c r="AD199" s="39">
        <v>64139.1</v>
      </c>
      <c r="AE199" s="39">
        <v>32064.545</v>
      </c>
      <c r="AF199" s="40">
        <v>32074.555</v>
      </c>
      <c r="AG199" s="57" t="s">
        <v>1448</v>
      </c>
      <c r="AH199" s="42" t="s">
        <v>980</v>
      </c>
      <c r="AI199" s="42" t="str">
        <f>IFERROR(__xludf.DUMMYFUNCTION("vLOOKUP(A199,IMPORTRANGE(""https://docs.google.com/spreadsheets/d/1Rawwwdh8wntXGy8isdYNHxsNQS4n_rC8JSdPfj6vEq4"",""'500 объектов перенос на 2026'!A3:AB502""),13,0)"),"#REF!")</f>
        <v>#REF!</v>
      </c>
      <c r="AJ199" s="42" t="str">
        <f>IFERROR(__xludf.DUMMYFUNCTION("vLOOKUP(A199,IMPORTRANGE(""https://docs.google.com/spreadsheets/d/1Rawwwdh8wntXGy8isdYNHxsNQS4n_rC8JSdPfj6vEq4"",""'500 объектов перенос на 2026'!A3:AB502""),14,0)"),"#REF!")</f>
        <v>#REF!</v>
      </c>
      <c r="AK199" s="70" t="s">
        <v>3401</v>
      </c>
      <c r="AL199" s="43"/>
      <c r="AM199" s="43"/>
      <c r="AN199" s="43"/>
      <c r="AO199" s="43"/>
    </row>
    <row r="200" hidden="1">
      <c r="A200" s="62" t="s">
        <v>1450</v>
      </c>
      <c r="B200" s="63" t="s">
        <v>1274</v>
      </c>
      <c r="C200" s="64" t="s">
        <v>1451</v>
      </c>
      <c r="D200" s="47" t="s">
        <v>112</v>
      </c>
      <c r="E200" s="64" t="s">
        <v>85</v>
      </c>
      <c r="F200" s="31" t="s">
        <v>60</v>
      </c>
      <c r="G200" s="31"/>
      <c r="H200" s="31"/>
      <c r="I200" s="31" t="s">
        <v>40</v>
      </c>
      <c r="J200" s="31" t="s">
        <v>61</v>
      </c>
      <c r="K200" s="31" t="s">
        <v>72</v>
      </c>
      <c r="L200" s="32">
        <f>IFERROR(__xludf.DUMMYFUNCTION("VLOOKUP($A200,IMPORTRANGE(""1PQtfbQLqBUP-rjYRznmgNFBLOjvAnhGzpIx7BJWq8rk"",""'Worksheet'!$B$2:$H""),7,FALSE)"),0.73)</f>
        <v>0.73</v>
      </c>
      <c r="M200" s="31" t="s">
        <v>45</v>
      </c>
      <c r="N200" s="49">
        <v>5.740083E7</v>
      </c>
      <c r="O200" s="49">
        <v>2.558545571E7</v>
      </c>
      <c r="P200" s="49">
        <f t="shared" si="32"/>
        <v>31815374.29</v>
      </c>
      <c r="Q200" s="34">
        <f t="shared" si="3"/>
        <v>0.5542667988</v>
      </c>
      <c r="R200" s="31"/>
      <c r="S200" s="31" t="s">
        <v>40</v>
      </c>
      <c r="T200" s="91" t="s">
        <v>1452</v>
      </c>
      <c r="U200" s="91">
        <v>0.0</v>
      </c>
      <c r="V200" s="91" t="s">
        <v>1452</v>
      </c>
      <c r="W200" s="31"/>
      <c r="X200" s="159" t="s">
        <v>1453</v>
      </c>
      <c r="Y200" s="54" t="s">
        <v>1454</v>
      </c>
      <c r="Z200" s="54" t="s">
        <v>1455</v>
      </c>
      <c r="AA200" s="74">
        <v>46235.0</v>
      </c>
      <c r="AB200" s="56"/>
      <c r="AC200" s="38" t="s">
        <v>1456</v>
      </c>
      <c r="AD200" s="39">
        <v>57400.83</v>
      </c>
      <c r="AE200" s="39">
        <v>25585.45571</v>
      </c>
      <c r="AF200" s="40">
        <v>31815.37429</v>
      </c>
      <c r="AG200" s="99" t="s">
        <v>1457</v>
      </c>
      <c r="AH200" s="42"/>
      <c r="AI200" s="42" t="str">
        <f>IFERROR(__xludf.DUMMYFUNCTION("vLOOKUP(A200,IMPORTRANGE(""https://docs.google.com/spreadsheets/d/1Rawwwdh8wntXGy8isdYNHxsNQS4n_rC8JSdPfj6vEq4"",""'500 объектов перенос на 2026'!A3:AB502""),13,0)"),"#REF!")</f>
        <v>#REF!</v>
      </c>
      <c r="AJ200" s="42" t="str">
        <f>IFERROR(__xludf.DUMMYFUNCTION("vLOOKUP(A200,IMPORTRANGE(""https://docs.google.com/spreadsheets/d/1Rawwwdh8wntXGy8isdYNHxsNQS4n_rC8JSdPfj6vEq4"",""'500 объектов перенос на 2026'!A3:AB502""),14,0)"),"#REF!")</f>
        <v>#REF!</v>
      </c>
      <c r="AK200" s="76" t="s">
        <v>3402</v>
      </c>
      <c r="AL200" s="96"/>
      <c r="AM200" s="96"/>
      <c r="AN200" s="96"/>
      <c r="AO200" s="96"/>
    </row>
    <row r="201" hidden="1">
      <c r="A201" s="62" t="s">
        <v>1460</v>
      </c>
      <c r="B201" s="63" t="s">
        <v>110</v>
      </c>
      <c r="C201" s="64" t="s">
        <v>1461</v>
      </c>
      <c r="D201" s="47" t="s">
        <v>112</v>
      </c>
      <c r="E201" s="64" t="s">
        <v>85</v>
      </c>
      <c r="F201" s="31" t="s">
        <v>60</v>
      </c>
      <c r="G201" s="31"/>
      <c r="H201" s="31"/>
      <c r="I201" s="31" t="s">
        <v>40</v>
      </c>
      <c r="J201" s="31" t="s">
        <v>61</v>
      </c>
      <c r="K201" s="31" t="s">
        <v>72</v>
      </c>
      <c r="L201" s="32">
        <f>IFERROR(__xludf.DUMMYFUNCTION("VLOOKUP($A201,IMPORTRANGE(""1PQtfbQLqBUP-rjYRznmgNFBLOjvAnhGzpIx7BJWq8rk"",""'Worksheet'!$B$2:$H""),7,FALSE)"),0.89)</f>
        <v>0.89</v>
      </c>
      <c r="M201" s="31" t="s">
        <v>45</v>
      </c>
      <c r="N201" s="49">
        <v>1.2566123159E8</v>
      </c>
      <c r="O201" s="49">
        <v>9.385757086E7</v>
      </c>
      <c r="P201" s="49">
        <f t="shared" si="32"/>
        <v>31803660.73</v>
      </c>
      <c r="Q201" s="34">
        <f t="shared" si="3"/>
        <v>0.2530904745</v>
      </c>
      <c r="R201" s="31"/>
      <c r="S201" s="31" t="s">
        <v>45</v>
      </c>
      <c r="T201" s="50">
        <v>1.2195733903E8</v>
      </c>
      <c r="U201" s="50">
        <v>8.934754065E7</v>
      </c>
      <c r="V201" s="50">
        <v>3.260979838E7</v>
      </c>
      <c r="W201" s="31"/>
      <c r="X201" s="159" t="s">
        <v>557</v>
      </c>
      <c r="Y201" s="54" t="s">
        <v>558</v>
      </c>
      <c r="Z201" s="54"/>
      <c r="AA201" s="74">
        <v>46223.0</v>
      </c>
      <c r="AB201" s="37">
        <v>46132.0</v>
      </c>
      <c r="AC201" s="38" t="s">
        <v>559</v>
      </c>
      <c r="AD201" s="39">
        <v>125661.6</v>
      </c>
      <c r="AE201" s="39">
        <v>78704.36028</v>
      </c>
      <c r="AF201" s="40">
        <v>46957.23972</v>
      </c>
      <c r="AG201" s="57" t="s">
        <v>1462</v>
      </c>
      <c r="AH201" s="42" t="s">
        <v>187</v>
      </c>
      <c r="AI201" s="42" t="str">
        <f>IFERROR(__xludf.DUMMYFUNCTION("vLOOKUP(A201,IMPORTRANGE(""https://docs.google.com/spreadsheets/d/1Rawwwdh8wntXGy8isdYNHxsNQS4n_rC8JSdPfj6vEq4"",""'500 объектов перенос на 2026'!A3:AB502""),13,0)"),"#REF!")</f>
        <v>#REF!</v>
      </c>
      <c r="AJ201" s="42" t="str">
        <f>IFERROR(__xludf.DUMMYFUNCTION("vLOOKUP(A201,IMPORTRANGE(""https://docs.google.com/spreadsheets/d/1Rawwwdh8wntXGy8isdYNHxsNQS4n_rC8JSdPfj6vEq4"",""'500 объектов перенос на 2026'!A3:AB502""),14,0)"),"#REF!")</f>
        <v>#REF!</v>
      </c>
      <c r="AK201" s="76" t="s">
        <v>3403</v>
      </c>
      <c r="AL201" s="43"/>
      <c r="AM201" s="43"/>
      <c r="AN201" s="43"/>
      <c r="AO201" s="43"/>
    </row>
    <row r="202" hidden="1">
      <c r="A202" s="62" t="s">
        <v>1465</v>
      </c>
      <c r="B202" s="63" t="s">
        <v>653</v>
      </c>
      <c r="C202" s="64" t="s">
        <v>1466</v>
      </c>
      <c r="D202" s="47" t="s">
        <v>1467</v>
      </c>
      <c r="E202" s="64" t="s">
        <v>59</v>
      </c>
      <c r="F202" s="31" t="s">
        <v>40</v>
      </c>
      <c r="G202" s="31" t="s">
        <v>41</v>
      </c>
      <c r="H202" s="31" t="s">
        <v>260</v>
      </c>
      <c r="I202" s="31" t="s">
        <v>40</v>
      </c>
      <c r="J202" s="31" t="s">
        <v>102</v>
      </c>
      <c r="K202" s="31" t="s">
        <v>72</v>
      </c>
      <c r="L202" s="32">
        <f>IFERROR(__xludf.DUMMYFUNCTION("VLOOKUP($A202,IMPORTRANGE(""1PQtfbQLqBUP-rjYRznmgNFBLOjvAnhGzpIx7BJWq8rk"",""'Worksheet'!$B$2:$H""),7,FALSE)"),0.5)</f>
        <v>0.5</v>
      </c>
      <c r="M202" s="31" t="s">
        <v>40</v>
      </c>
      <c r="N202" s="49">
        <v>6.034040928E7</v>
      </c>
      <c r="O202" s="49">
        <v>2.866169441E7</v>
      </c>
      <c r="P202" s="49">
        <f t="shared" si="32"/>
        <v>31678714.87</v>
      </c>
      <c r="Q202" s="34">
        <f t="shared" si="3"/>
        <v>0.525</v>
      </c>
      <c r="R202" s="31"/>
      <c r="S202" s="31" t="s">
        <v>40</v>
      </c>
      <c r="T202" s="91" t="s">
        <v>1468</v>
      </c>
      <c r="U202" s="50">
        <v>0.0</v>
      </c>
      <c r="V202" s="50" t="s">
        <v>1468</v>
      </c>
      <c r="W202" s="31"/>
      <c r="X202" s="159" t="s">
        <v>1469</v>
      </c>
      <c r="Y202" s="54" t="s">
        <v>1470</v>
      </c>
      <c r="Z202" s="54"/>
      <c r="AA202" s="74">
        <v>46290.0</v>
      </c>
      <c r="AB202" s="56"/>
      <c r="AC202" s="38"/>
      <c r="AD202" s="39">
        <v>60340.40928</v>
      </c>
      <c r="AE202" s="39">
        <v>28661.69441</v>
      </c>
      <c r="AF202" s="40">
        <v>31678.71487</v>
      </c>
      <c r="AG202" s="57" t="s">
        <v>1471</v>
      </c>
      <c r="AH202" s="42" t="s">
        <v>980</v>
      </c>
      <c r="AI202" s="42" t="str">
        <f>IFERROR(__xludf.DUMMYFUNCTION("vLOOKUP(A202,IMPORTRANGE(""https://docs.google.com/spreadsheets/d/1Rawwwdh8wntXGy8isdYNHxsNQS4n_rC8JSdPfj6vEq4"",""'500 объектов перенос на 2026'!A3:AB502""),13,0)"),"#REF!")</f>
        <v>#REF!</v>
      </c>
      <c r="AJ202" s="42" t="str">
        <f>IFERROR(__xludf.DUMMYFUNCTION("vLOOKUP(A202,IMPORTRANGE(""https://docs.google.com/spreadsheets/d/1Rawwwdh8wntXGy8isdYNHxsNQS4n_rC8JSdPfj6vEq4"",""'500 объектов перенос на 2026'!A3:AB502""),14,0)"),"#REF!")</f>
        <v>#REF!</v>
      </c>
      <c r="AK202" s="70" t="s">
        <v>3404</v>
      </c>
      <c r="AL202" s="43"/>
      <c r="AM202" s="43"/>
      <c r="AN202" s="43"/>
      <c r="AO202" s="43"/>
    </row>
    <row r="203" hidden="1">
      <c r="A203" s="62" t="s">
        <v>1473</v>
      </c>
      <c r="B203" s="63" t="s">
        <v>268</v>
      </c>
      <c r="C203" s="64" t="s">
        <v>1474</v>
      </c>
      <c r="D203" s="47" t="s">
        <v>1475</v>
      </c>
      <c r="E203" s="64" t="s">
        <v>324</v>
      </c>
      <c r="F203" s="31" t="s">
        <v>60</v>
      </c>
      <c r="G203" s="31"/>
      <c r="H203" s="31"/>
      <c r="I203" s="31" t="s">
        <v>40</v>
      </c>
      <c r="J203" s="31" t="s">
        <v>102</v>
      </c>
      <c r="K203" s="31" t="s">
        <v>62</v>
      </c>
      <c r="L203" s="32">
        <f>IFERROR(__xludf.DUMMYFUNCTION("VLOOKUP($A203,IMPORTRANGE(""1PQtfbQLqBUP-rjYRznmgNFBLOjvAnhGzpIx7BJWq8rk"",""'Worksheet'!$B$2:$H""),7,FALSE)"),0.21)</f>
        <v>0.21</v>
      </c>
      <c r="M203" s="31" t="s">
        <v>40</v>
      </c>
      <c r="N203" s="49">
        <v>4.5E7</v>
      </c>
      <c r="O203" s="49">
        <v>1.35E7</v>
      </c>
      <c r="P203" s="49">
        <f t="shared" si="32"/>
        <v>31500000</v>
      </c>
      <c r="Q203" s="34">
        <f t="shared" si="3"/>
        <v>0.7</v>
      </c>
      <c r="R203" s="31"/>
      <c r="S203" s="31" t="s">
        <v>40</v>
      </c>
      <c r="T203" s="50" t="s">
        <v>1476</v>
      </c>
      <c r="U203" s="50">
        <v>0.0</v>
      </c>
      <c r="V203" s="50" t="s">
        <v>1476</v>
      </c>
      <c r="W203" s="31"/>
      <c r="X203" s="159" t="s">
        <v>507</v>
      </c>
      <c r="Y203" s="54" t="s">
        <v>1477</v>
      </c>
      <c r="Z203" s="54" t="s">
        <v>1478</v>
      </c>
      <c r="AA203" s="74">
        <v>46280.0</v>
      </c>
      <c r="AB203" s="56"/>
      <c r="AC203" s="38" t="s">
        <v>1479</v>
      </c>
      <c r="AD203" s="39">
        <v>45000.0</v>
      </c>
      <c r="AE203" s="39">
        <v>13500.0</v>
      </c>
      <c r="AF203" s="40">
        <v>31500.0</v>
      </c>
      <c r="AG203" s="57" t="s">
        <v>1480</v>
      </c>
      <c r="AH203" s="42" t="s">
        <v>1481</v>
      </c>
      <c r="AI203" s="42" t="str">
        <f>IFERROR(__xludf.DUMMYFUNCTION("vLOOKUP(A203,IMPORTRANGE(""https://docs.google.com/spreadsheets/d/1Rawwwdh8wntXGy8isdYNHxsNQS4n_rC8JSdPfj6vEq4"",""'500 объектов перенос на 2026'!A3:AB502""),13,0)"),"#REF!")</f>
        <v>#REF!</v>
      </c>
      <c r="AJ203" s="42" t="str">
        <f>IFERROR(__xludf.DUMMYFUNCTION("vLOOKUP(A203,IMPORTRANGE(""https://docs.google.com/spreadsheets/d/1Rawwwdh8wntXGy8isdYNHxsNQS4n_rC8JSdPfj6vEq4"",""'500 объектов перенос на 2026'!A3:AB502""),14,0)"),"#REF!")</f>
        <v>#REF!</v>
      </c>
      <c r="AK203" s="70" t="s">
        <v>3405</v>
      </c>
      <c r="AL203" s="43"/>
      <c r="AM203" s="43"/>
      <c r="AN203" s="43"/>
      <c r="AO203" s="43"/>
    </row>
    <row r="204" hidden="1">
      <c r="A204" s="62" t="s">
        <v>1483</v>
      </c>
      <c r="B204" s="63" t="s">
        <v>268</v>
      </c>
      <c r="C204" s="64" t="s">
        <v>1484</v>
      </c>
      <c r="D204" s="47" t="s">
        <v>505</v>
      </c>
      <c r="E204" s="64" t="s">
        <v>59</v>
      </c>
      <c r="F204" s="31" t="s">
        <v>60</v>
      </c>
      <c r="G204" s="31"/>
      <c r="H204" s="31"/>
      <c r="I204" s="31" t="s">
        <v>60</v>
      </c>
      <c r="J204" s="31"/>
      <c r="K204" s="31"/>
      <c r="L204" s="32">
        <f>IFERROR(__xludf.DUMMYFUNCTION("VLOOKUP($A204,IMPORTRANGE(""1PQtfbQLqBUP-rjYRznmgNFBLOjvAnhGzpIx7BJWq8rk"",""'Worksheet'!$B$2:$H""),7,FALSE)"),1.0)</f>
        <v>1</v>
      </c>
      <c r="M204" s="31" t="s">
        <v>40</v>
      </c>
      <c r="N204" s="49">
        <v>4.472381E7</v>
      </c>
      <c r="O204" s="49">
        <v>1.3417143E7</v>
      </c>
      <c r="P204" s="49">
        <f t="shared" si="32"/>
        <v>31306667</v>
      </c>
      <c r="Q204" s="34">
        <f t="shared" si="3"/>
        <v>0.7</v>
      </c>
      <c r="R204" s="31" t="s">
        <v>1485</v>
      </c>
      <c r="S204" s="31" t="s">
        <v>60</v>
      </c>
      <c r="T204" s="91" t="s">
        <v>1486</v>
      </c>
      <c r="U204" s="50" t="s">
        <v>1486</v>
      </c>
      <c r="V204" s="50">
        <v>0.0</v>
      </c>
      <c r="W204" s="31"/>
      <c r="X204" s="159" t="s">
        <v>600</v>
      </c>
      <c r="Y204" s="160" t="s">
        <v>1487</v>
      </c>
      <c r="Z204" s="54" t="s">
        <v>1488</v>
      </c>
      <c r="AA204" s="74">
        <v>46204.0</v>
      </c>
      <c r="AB204" s="38" t="s">
        <v>1489</v>
      </c>
      <c r="AC204" s="38" t="s">
        <v>438</v>
      </c>
      <c r="AD204" s="39">
        <v>44723.81</v>
      </c>
      <c r="AE204" s="39">
        <v>13417.143</v>
      </c>
      <c r="AF204" s="40">
        <v>31306.667</v>
      </c>
      <c r="AG204" s="57" t="s">
        <v>1490</v>
      </c>
      <c r="AH204" s="42" t="s">
        <v>3406</v>
      </c>
      <c r="AI204" s="42" t="str">
        <f>IFERROR(__xludf.DUMMYFUNCTION("vLOOKUP(A204,IMPORTRANGE(""https://docs.google.com/spreadsheets/d/1Rawwwdh8wntXGy8isdYNHxsNQS4n_rC8JSdPfj6vEq4"",""'500 объектов перенос на 2026'!A3:AB502""),13,0)"),"#REF!")</f>
        <v>#REF!</v>
      </c>
      <c r="AJ204" s="42" t="str">
        <f>IFERROR(__xludf.DUMMYFUNCTION("vLOOKUP(A204,IMPORTRANGE(""https://docs.google.com/spreadsheets/d/1Rawwwdh8wntXGy8isdYNHxsNQS4n_rC8JSdPfj6vEq4"",""'500 объектов перенос на 2026'!A3:AB502""),14,0)"),"#REF!")</f>
        <v>#REF!</v>
      </c>
      <c r="AK204" s="151" t="s">
        <v>3407</v>
      </c>
      <c r="AL204" s="43"/>
      <c r="AM204" s="43"/>
      <c r="AN204" s="43"/>
      <c r="AO204" s="43"/>
    </row>
    <row r="205" hidden="1">
      <c r="A205" s="62" t="s">
        <v>1493</v>
      </c>
      <c r="B205" s="63" t="s">
        <v>605</v>
      </c>
      <c r="C205" s="64" t="s">
        <v>1494</v>
      </c>
      <c r="D205" s="47" t="s">
        <v>1210</v>
      </c>
      <c r="E205" s="64" t="s">
        <v>85</v>
      </c>
      <c r="F205" s="31" t="s">
        <v>40</v>
      </c>
      <c r="G205" s="31" t="s">
        <v>299</v>
      </c>
      <c r="H205" s="31" t="s">
        <v>260</v>
      </c>
      <c r="I205" s="31" t="s">
        <v>40</v>
      </c>
      <c r="J205" s="31" t="s">
        <v>102</v>
      </c>
      <c r="K205" s="31"/>
      <c r="L205" s="32">
        <f>IFERROR(__xludf.DUMMYFUNCTION("VLOOKUP($A205,IMPORTRANGE(""1PQtfbQLqBUP-rjYRznmgNFBLOjvAnhGzpIx7BJWq8rk"",""'Worksheet'!$B$2:$H""),7,FALSE)"),0.85)</f>
        <v>0.85</v>
      </c>
      <c r="M205" s="31" t="s">
        <v>40</v>
      </c>
      <c r="N205" s="49">
        <v>4.298478E7</v>
      </c>
      <c r="O205" s="49">
        <v>1.20983004E7</v>
      </c>
      <c r="P205" s="49">
        <f t="shared" si="32"/>
        <v>30886479.6</v>
      </c>
      <c r="Q205" s="34">
        <f t="shared" si="3"/>
        <v>0.7185445546</v>
      </c>
      <c r="R205" s="31"/>
      <c r="S205" s="31" t="s">
        <v>40</v>
      </c>
      <c r="T205" s="72" t="s">
        <v>1495</v>
      </c>
      <c r="U205" s="72">
        <v>0.0</v>
      </c>
      <c r="V205" s="72" t="s">
        <v>1495</v>
      </c>
      <c r="W205" s="31"/>
      <c r="X205" s="159" t="s">
        <v>46</v>
      </c>
      <c r="Y205" s="124" t="s">
        <v>1496</v>
      </c>
      <c r="Z205" s="54" t="s">
        <v>1497</v>
      </c>
      <c r="AA205" s="74">
        <v>46265.0</v>
      </c>
      <c r="AB205" s="56"/>
      <c r="AC205" s="38" t="s">
        <v>49</v>
      </c>
      <c r="AD205" s="39">
        <v>42984.78</v>
      </c>
      <c r="AE205" s="39">
        <v>12098.3004</v>
      </c>
      <c r="AF205" s="40">
        <v>30886.4796</v>
      </c>
      <c r="AG205" s="162" t="s">
        <v>1498</v>
      </c>
      <c r="AH205" s="85"/>
      <c r="AI205" s="42" t="str">
        <f>IFERROR(__xludf.DUMMYFUNCTION("vLOOKUP(A205,IMPORTRANGE(""https://docs.google.com/spreadsheets/d/1Rawwwdh8wntXGy8isdYNHxsNQS4n_rC8JSdPfj6vEq4"",""'500 объектов перенос на 2026'!A3:AB502""),13,0)"),"#REF!")</f>
        <v>#REF!</v>
      </c>
      <c r="AJ205" s="42" t="str">
        <f>IFERROR(__xludf.DUMMYFUNCTION("vLOOKUP(A205,IMPORTRANGE(""https://docs.google.com/spreadsheets/d/1Rawwwdh8wntXGy8isdYNHxsNQS4n_rC8JSdPfj6vEq4"",""'500 объектов перенос на 2026'!A3:AB502""),14,0)"),"#REF!")</f>
        <v>#REF!</v>
      </c>
      <c r="AK205" s="76" t="s">
        <v>1499</v>
      </c>
      <c r="AL205" s="43"/>
      <c r="AM205" s="43"/>
      <c r="AN205" s="43"/>
      <c r="AO205" s="43"/>
    </row>
    <row r="206" hidden="1">
      <c r="A206" s="62" t="s">
        <v>1500</v>
      </c>
      <c r="B206" s="63" t="s">
        <v>653</v>
      </c>
      <c r="C206" s="64" t="s">
        <v>1501</v>
      </c>
      <c r="D206" s="47" t="s">
        <v>1210</v>
      </c>
      <c r="E206" s="64" t="s">
        <v>85</v>
      </c>
      <c r="F206" s="31" t="s">
        <v>60</v>
      </c>
      <c r="G206" s="31"/>
      <c r="H206" s="31"/>
      <c r="I206" s="31" t="s">
        <v>40</v>
      </c>
      <c r="J206" s="31" t="s">
        <v>61</v>
      </c>
      <c r="K206" s="31" t="s">
        <v>62</v>
      </c>
      <c r="L206" s="32">
        <f>IFERROR(__xludf.DUMMYFUNCTION("VLOOKUP($A206,IMPORTRANGE(""1PQtfbQLqBUP-rjYRznmgNFBLOjvAnhGzpIx7BJWq8rk"",""'Worksheet'!$B$2:$H""),7,FALSE)"),0.88)</f>
        <v>0.88</v>
      </c>
      <c r="M206" s="31" t="s">
        <v>40</v>
      </c>
      <c r="N206" s="49">
        <v>4.295E7</v>
      </c>
      <c r="O206" s="49">
        <v>1.224075E7</v>
      </c>
      <c r="P206" s="49">
        <f t="shared" si="32"/>
        <v>30709250</v>
      </c>
      <c r="Q206" s="34">
        <f t="shared" si="3"/>
        <v>0.715</v>
      </c>
      <c r="R206" s="31"/>
      <c r="S206" s="31" t="s">
        <v>40</v>
      </c>
      <c r="T206" s="91" t="s">
        <v>1502</v>
      </c>
      <c r="U206" s="91">
        <v>0.0</v>
      </c>
      <c r="V206" s="51" t="s">
        <v>1502</v>
      </c>
      <c r="W206" s="31"/>
      <c r="X206" s="159" t="s">
        <v>46</v>
      </c>
      <c r="Y206" s="54" t="s">
        <v>1504</v>
      </c>
      <c r="Z206" s="74"/>
      <c r="AA206" s="74">
        <v>46218.0</v>
      </c>
      <c r="AB206" s="56"/>
      <c r="AC206" s="38" t="s">
        <v>1505</v>
      </c>
      <c r="AD206" s="39">
        <v>42950.0</v>
      </c>
      <c r="AE206" s="39">
        <v>12240.75</v>
      </c>
      <c r="AF206" s="40">
        <v>30709.25</v>
      </c>
      <c r="AG206" s="57" t="s">
        <v>1506</v>
      </c>
      <c r="AH206" s="42" t="s">
        <v>903</v>
      </c>
      <c r="AI206" s="42" t="str">
        <f>IFERROR(__xludf.DUMMYFUNCTION("vLOOKUP(A206,IMPORTRANGE(""https://docs.google.com/spreadsheets/d/1Rawwwdh8wntXGy8isdYNHxsNQS4n_rC8JSdPfj6vEq4"",""'500 объектов перенос на 2026'!A3:AB502""),13,0)"),"#REF!")</f>
        <v>#REF!</v>
      </c>
      <c r="AJ206" s="42" t="str">
        <f>IFERROR(__xludf.DUMMYFUNCTION("vLOOKUP(A206,IMPORTRANGE(""https://docs.google.com/spreadsheets/d/1Rawwwdh8wntXGy8isdYNHxsNQS4n_rC8JSdPfj6vEq4"",""'500 объектов перенос на 2026'!A3:AB502""),14,0)"),"#REF!")</f>
        <v>#REF!</v>
      </c>
      <c r="AK206" s="70" t="s">
        <v>1504</v>
      </c>
      <c r="AL206" s="43"/>
      <c r="AM206" s="43"/>
      <c r="AN206" s="43"/>
      <c r="AO206" s="43"/>
    </row>
    <row r="207" hidden="1">
      <c r="A207" s="62" t="s">
        <v>1509</v>
      </c>
      <c r="B207" s="63" t="s">
        <v>296</v>
      </c>
      <c r="C207" s="64" t="s">
        <v>1510</v>
      </c>
      <c r="D207" s="47" t="s">
        <v>246</v>
      </c>
      <c r="E207" s="64" t="s">
        <v>59</v>
      </c>
      <c r="F207" s="31" t="s">
        <v>60</v>
      </c>
      <c r="G207" s="31"/>
      <c r="H207" s="31"/>
      <c r="I207" s="31" t="s">
        <v>60</v>
      </c>
      <c r="J207" s="31"/>
      <c r="K207" s="31"/>
      <c r="L207" s="32" t="str">
        <f>IFERROR(__xludf.DUMMYFUNCTION("VLOOKUP($A207,IMPORTRANGE(""1PQtfbQLqBUP-rjYRznmgNFBLOjvAnhGzpIx7BJWq8rk"",""'Worksheet'!$B$2:$H""),7,FALSE)"),"#N/A")</f>
        <v>#N/A</v>
      </c>
      <c r="M207" s="31" t="s">
        <v>45</v>
      </c>
      <c r="N207" s="49">
        <v>4.50322278E7</v>
      </c>
      <c r="O207" s="49">
        <v>1.489975173E7</v>
      </c>
      <c r="P207" s="49">
        <f t="shared" si="32"/>
        <v>30132476.07</v>
      </c>
      <c r="Q207" s="34">
        <f t="shared" si="3"/>
        <v>0.6691313653</v>
      </c>
      <c r="R207" s="31" t="s">
        <v>1059</v>
      </c>
      <c r="S207" s="31" t="s">
        <v>40</v>
      </c>
      <c r="T207" s="155">
        <v>4.278061641E7</v>
      </c>
      <c r="U207" s="50">
        <v>0.0</v>
      </c>
      <c r="V207" s="158">
        <f>P207-P207*0.05</f>
        <v>28625852.27</v>
      </c>
      <c r="W207" s="31" t="s">
        <v>1511</v>
      </c>
      <c r="X207" s="159" t="s">
        <v>73</v>
      </c>
      <c r="Y207" s="73" t="s">
        <v>3408</v>
      </c>
      <c r="Z207" s="54" t="s">
        <v>1513</v>
      </c>
      <c r="AA207" s="68">
        <v>46225.0</v>
      </c>
      <c r="AB207" s="56"/>
      <c r="AC207" s="38"/>
      <c r="AD207" s="39">
        <v>46202.96</v>
      </c>
      <c r="AE207" s="39">
        <v>0.0</v>
      </c>
      <c r="AF207" s="40">
        <v>46202.96</v>
      </c>
      <c r="AG207" s="57" t="s">
        <v>1514</v>
      </c>
      <c r="AH207" s="57" t="s">
        <v>1515</v>
      </c>
      <c r="AI207" s="42" t="str">
        <f>IFERROR(__xludf.DUMMYFUNCTION("vLOOKUP(A207,IMPORTRANGE(""https://docs.google.com/spreadsheets/d/1Rawwwdh8wntXGy8isdYNHxsNQS4n_rC8JSdPfj6vEq4"",""'500 объектов перенос на 2026'!A3:AB502""),13,0)"),"#REF!")</f>
        <v>#REF!</v>
      </c>
      <c r="AJ207" s="42" t="str">
        <f>IFERROR(__xludf.DUMMYFUNCTION("vLOOKUP(A207,IMPORTRANGE(""https://docs.google.com/spreadsheets/d/1Rawwwdh8wntXGy8isdYNHxsNQS4n_rC8JSdPfj6vEq4"",""'500 объектов перенос на 2026'!A3:AB502""),14,0)"),"#REF!")</f>
        <v>#REF!</v>
      </c>
      <c r="AK207" s="76" t="s">
        <v>3409</v>
      </c>
      <c r="AL207" s="43"/>
      <c r="AM207" s="43"/>
      <c r="AN207" s="43"/>
      <c r="AO207" s="43"/>
    </row>
    <row r="208" hidden="1">
      <c r="A208" s="122" t="s">
        <v>1517</v>
      </c>
      <c r="B208" s="63" t="s">
        <v>826</v>
      </c>
      <c r="C208" s="64" t="s">
        <v>1518</v>
      </c>
      <c r="D208" s="47" t="s">
        <v>1519</v>
      </c>
      <c r="E208" s="64" t="s">
        <v>85</v>
      </c>
      <c r="F208" s="31" t="s">
        <v>60</v>
      </c>
      <c r="G208" s="31"/>
      <c r="H208" s="31"/>
      <c r="I208" s="31" t="s">
        <v>60</v>
      </c>
      <c r="J208" s="31"/>
      <c r="K208" s="31"/>
      <c r="L208" s="32" t="str">
        <f>IFERROR(__xludf.DUMMYFUNCTION("VLOOKUP($A208,IMPORTRANGE(""1PQtfbQLqBUP-rjYRznmgNFBLOjvAnhGzpIx7BJWq8rk"",""'Worksheet'!$B$2:$H""),7,FALSE)"),"#N/A")</f>
        <v>#N/A</v>
      </c>
      <c r="M208" s="31" t="s">
        <v>60</v>
      </c>
      <c r="N208" s="49">
        <v>1.228977E7</v>
      </c>
      <c r="O208" s="49">
        <v>5978074.45</v>
      </c>
      <c r="P208" s="49">
        <v>0.0</v>
      </c>
      <c r="Q208" s="34">
        <f t="shared" si="3"/>
        <v>0.5135731222</v>
      </c>
      <c r="R208" s="31"/>
      <c r="S208" s="31" t="s">
        <v>60</v>
      </c>
      <c r="T208" s="50">
        <v>5641278.89</v>
      </c>
      <c r="U208" s="50">
        <v>5641278.89</v>
      </c>
      <c r="V208" s="50">
        <f>T208-U208</f>
        <v>0</v>
      </c>
      <c r="W208" s="31"/>
      <c r="X208" s="159">
        <v>5679170.73</v>
      </c>
      <c r="Y208" s="54"/>
      <c r="Z208" s="54"/>
      <c r="AA208" s="54" t="s">
        <v>114</v>
      </c>
      <c r="AB208" s="38" t="s">
        <v>115</v>
      </c>
      <c r="AC208" s="38"/>
      <c r="AD208" s="39">
        <v>10258.15</v>
      </c>
      <c r="AE208" s="39">
        <v>5978.07445</v>
      </c>
      <c r="AF208" s="39">
        <v>4280.07555</v>
      </c>
      <c r="AG208" s="57" t="s">
        <v>1520</v>
      </c>
      <c r="AH208" s="42" t="s">
        <v>362</v>
      </c>
      <c r="AI208" s="42" t="str">
        <f>IFERROR(__xludf.DUMMYFUNCTION("vLOOKUP(A208,IMPORTRANGE(""https://docs.google.com/spreadsheets/d/1Rawwwdh8wntXGy8isdYNHxsNQS4n_rC8JSdPfj6vEq4"",""'500 объектов перенос на 2026'!A3:AB502""),13,0)"),"#REF!")</f>
        <v>#REF!</v>
      </c>
      <c r="AJ208" s="42" t="str">
        <f>IFERROR(__xludf.DUMMYFUNCTION("vLOOKUP(A208,IMPORTRANGE(""https://docs.google.com/spreadsheets/d/1Rawwwdh8wntXGy8isdYNHxsNQS4n_rC8JSdPfj6vEq4"",""'500 объектов перенос на 2026'!A3:AB502""),14,0)"),"#REF!")</f>
        <v>#REF!</v>
      </c>
      <c r="AK208" s="76" t="s">
        <v>114</v>
      </c>
      <c r="AL208" s="43"/>
      <c r="AM208" s="43"/>
      <c r="AN208" s="43"/>
      <c r="AO208" s="43"/>
    </row>
    <row r="209" hidden="1">
      <c r="A209" s="62" t="s">
        <v>1521</v>
      </c>
      <c r="B209" s="63" t="s">
        <v>703</v>
      </c>
      <c r="C209" s="64" t="s">
        <v>1522</v>
      </c>
      <c r="D209" s="47" t="s">
        <v>1523</v>
      </c>
      <c r="E209" s="64" t="s">
        <v>85</v>
      </c>
      <c r="F209" s="31" t="s">
        <v>40</v>
      </c>
      <c r="G209" s="31" t="s">
        <v>41</v>
      </c>
      <c r="H209" s="31" t="s">
        <v>779</v>
      </c>
      <c r="I209" s="31" t="s">
        <v>60</v>
      </c>
      <c r="J209" s="31"/>
      <c r="K209" s="31"/>
      <c r="L209" s="32">
        <f>IFERROR(__xludf.DUMMYFUNCTION("VLOOKUP($A209,IMPORTRANGE(""1PQtfbQLqBUP-rjYRznmgNFBLOjvAnhGzpIx7BJWq8rk"",""'Worksheet'!$B$2:$H""),7,FALSE)"),0.98)</f>
        <v>0.98</v>
      </c>
      <c r="M209" s="31" t="s">
        <v>45</v>
      </c>
      <c r="N209" s="49">
        <v>7.218918349E7</v>
      </c>
      <c r="O209" s="49">
        <v>4.275233469E7</v>
      </c>
      <c r="P209" s="49">
        <f t="shared" ref="P209:P227" si="33">N209-O209</f>
        <v>29436848.8</v>
      </c>
      <c r="Q209" s="34">
        <f t="shared" si="3"/>
        <v>0.4077736771</v>
      </c>
      <c r="R209" s="31"/>
      <c r="S209" s="31" t="s">
        <v>45</v>
      </c>
      <c r="T209" s="145"/>
      <c r="U209" s="51"/>
      <c r="V209" s="51"/>
      <c r="W209" s="31"/>
      <c r="X209" s="52" t="s">
        <v>507</v>
      </c>
      <c r="Y209" s="128" t="s">
        <v>1524</v>
      </c>
      <c r="Z209" s="54" t="s">
        <v>707</v>
      </c>
      <c r="AA209" s="74">
        <v>46204.0</v>
      </c>
      <c r="AB209" s="38" t="s">
        <v>3359</v>
      </c>
      <c r="AC209" s="38"/>
      <c r="AD209" s="39">
        <v>72189.18</v>
      </c>
      <c r="AE209" s="39">
        <v>44357.90589</v>
      </c>
      <c r="AF209" s="40">
        <v>27831.27411</v>
      </c>
      <c r="AG209" s="99" t="s">
        <v>3410</v>
      </c>
      <c r="AH209" s="42"/>
      <c r="AI209" s="42" t="str">
        <f>IFERROR(__xludf.DUMMYFUNCTION("vLOOKUP(A209,IMPORTRANGE(""https://docs.google.com/spreadsheets/d/1Rawwwdh8wntXGy8isdYNHxsNQS4n_rC8JSdPfj6vEq4"",""'500 объектов перенос на 2026'!A3:AB502""),13,0)"),"#REF!")</f>
        <v>#REF!</v>
      </c>
      <c r="AJ209" s="42" t="str">
        <f>IFERROR(__xludf.DUMMYFUNCTION("vLOOKUP(A209,IMPORTRANGE(""https://docs.google.com/spreadsheets/d/1Rawwwdh8wntXGy8isdYNHxsNQS4n_rC8JSdPfj6vEq4"",""'500 объектов перенос на 2026'!A3:AB502""),14,0)"),"#REF!")</f>
        <v>#REF!</v>
      </c>
      <c r="AK209" s="138" t="s">
        <v>2951</v>
      </c>
      <c r="AL209" s="43"/>
      <c r="AM209" s="43"/>
      <c r="AN209" s="43"/>
      <c r="AO209" s="43"/>
    </row>
    <row r="210" hidden="1">
      <c r="A210" s="62" t="s">
        <v>1526</v>
      </c>
      <c r="B210" s="63" t="s">
        <v>1329</v>
      </c>
      <c r="C210" s="64" t="s">
        <v>1527</v>
      </c>
      <c r="D210" s="47" t="s">
        <v>1331</v>
      </c>
      <c r="E210" s="64" t="s">
        <v>39</v>
      </c>
      <c r="F210" s="31" t="s">
        <v>60</v>
      </c>
      <c r="G210" s="31"/>
      <c r="H210" s="31"/>
      <c r="I210" s="31" t="s">
        <v>40</v>
      </c>
      <c r="J210" s="31" t="s">
        <v>61</v>
      </c>
      <c r="K210" s="31" t="s">
        <v>72</v>
      </c>
      <c r="L210" s="32">
        <f>IFERROR(__xludf.DUMMYFUNCTION("VLOOKUP($A210,IMPORTRANGE(""1PQtfbQLqBUP-rjYRznmgNFBLOjvAnhGzpIx7BJWq8rk"",""'Worksheet'!$B$2:$H""),7,FALSE)"),0.69)</f>
        <v>0.69</v>
      </c>
      <c r="M210" s="31" t="s">
        <v>40</v>
      </c>
      <c r="N210" s="49">
        <v>5.369353024E7</v>
      </c>
      <c r="O210" s="49">
        <v>2.435521638E7</v>
      </c>
      <c r="P210" s="49">
        <f t="shared" si="33"/>
        <v>29338313.86</v>
      </c>
      <c r="Q210" s="34">
        <f t="shared" si="3"/>
        <v>0.5464031463</v>
      </c>
      <c r="R210" s="31"/>
      <c r="S210" s="31" t="s">
        <v>45</v>
      </c>
      <c r="T210" s="50" t="s">
        <v>1528</v>
      </c>
      <c r="U210" s="51" t="s">
        <v>1529</v>
      </c>
      <c r="V210" s="51" t="s">
        <v>1530</v>
      </c>
      <c r="W210" s="31"/>
      <c r="X210" s="52" t="s">
        <v>46</v>
      </c>
      <c r="Y210" s="54" t="s">
        <v>1531</v>
      </c>
      <c r="Z210" s="54" t="s">
        <v>1532</v>
      </c>
      <c r="AA210" s="74">
        <v>46223.0</v>
      </c>
      <c r="AB210" s="56"/>
      <c r="AC210" s="38"/>
      <c r="AD210" s="39">
        <v>53679.03167</v>
      </c>
      <c r="AE210" s="39">
        <v>24355.21638</v>
      </c>
      <c r="AF210" s="40">
        <v>29323.81529</v>
      </c>
      <c r="AG210" s="57" t="s">
        <v>1533</v>
      </c>
      <c r="AH210" s="42" t="s">
        <v>1338</v>
      </c>
      <c r="AI210" s="42" t="str">
        <f>IFERROR(__xludf.DUMMYFUNCTION("vLOOKUP(A210,IMPORTRANGE(""https://docs.google.com/spreadsheets/d/1Rawwwdh8wntXGy8isdYNHxsNQS4n_rC8JSdPfj6vEq4"",""'500 объектов перенос на 2026'!A3:AB502""),13,0)"),"#REF!")</f>
        <v>#REF!</v>
      </c>
      <c r="AJ210" s="42" t="str">
        <f>IFERROR(__xludf.DUMMYFUNCTION("vLOOKUP(A210,IMPORTRANGE(""https://docs.google.com/spreadsheets/d/1Rawwwdh8wntXGy8isdYNHxsNQS4n_rC8JSdPfj6vEq4"",""'500 объектов перенос на 2026'!A3:AB502""),14,0)"),"#REF!")</f>
        <v>#REF!</v>
      </c>
      <c r="AK210" s="76" t="s">
        <v>1534</v>
      </c>
      <c r="AL210" s="43"/>
      <c r="AM210" s="43"/>
      <c r="AN210" s="43"/>
      <c r="AO210" s="43"/>
    </row>
    <row r="211" hidden="1">
      <c r="A211" s="62" t="s">
        <v>1535</v>
      </c>
      <c r="B211" s="63" t="s">
        <v>1274</v>
      </c>
      <c r="C211" s="90" t="s">
        <v>1536</v>
      </c>
      <c r="D211" s="47" t="s">
        <v>1276</v>
      </c>
      <c r="E211" s="64" t="s">
        <v>85</v>
      </c>
      <c r="F211" s="31" t="s">
        <v>60</v>
      </c>
      <c r="G211" s="31"/>
      <c r="H211" s="31"/>
      <c r="I211" s="31" t="s">
        <v>60</v>
      </c>
      <c r="J211" s="31"/>
      <c r="K211" s="31"/>
      <c r="L211" s="32">
        <f>IFERROR(__xludf.DUMMYFUNCTION("VLOOKUP($A211,IMPORTRANGE(""1PQtfbQLqBUP-rjYRznmgNFBLOjvAnhGzpIx7BJWq8rk"",""'Worksheet'!$B$2:$H""),7,FALSE)"),0.91)</f>
        <v>0.91</v>
      </c>
      <c r="M211" s="31" t="s">
        <v>45</v>
      </c>
      <c r="N211" s="49">
        <v>9.760695511E7</v>
      </c>
      <c r="O211" s="49">
        <v>6.870694511E7</v>
      </c>
      <c r="P211" s="49">
        <f t="shared" si="33"/>
        <v>28900010</v>
      </c>
      <c r="Q211" s="34">
        <f t="shared" si="3"/>
        <v>0.2960855604</v>
      </c>
      <c r="R211" s="31"/>
      <c r="S211" s="31" t="s">
        <v>45</v>
      </c>
      <c r="T211" s="84" t="s">
        <v>1537</v>
      </c>
      <c r="U211" s="84" t="s">
        <v>1538</v>
      </c>
      <c r="V211" s="84" t="s">
        <v>1539</v>
      </c>
      <c r="W211" s="31" t="s">
        <v>506</v>
      </c>
      <c r="X211" s="52" t="s">
        <v>1540</v>
      </c>
      <c r="Y211" s="54" t="s">
        <v>1541</v>
      </c>
      <c r="Z211" s="54" t="s">
        <v>1455</v>
      </c>
      <c r="AA211" s="68">
        <v>46266.0</v>
      </c>
      <c r="AB211" s="56"/>
      <c r="AC211" s="38" t="s">
        <v>1349</v>
      </c>
      <c r="AD211" s="39">
        <v>101364.18</v>
      </c>
      <c r="AE211" s="39">
        <v>68706.94511</v>
      </c>
      <c r="AF211" s="40">
        <v>32657.23489</v>
      </c>
      <c r="AG211" s="99" t="s">
        <v>1542</v>
      </c>
      <c r="AH211" s="42"/>
      <c r="AI211" s="42" t="str">
        <f>IFERROR(__xludf.DUMMYFUNCTION("vLOOKUP(A211,IMPORTRANGE(""https://docs.google.com/spreadsheets/d/1Rawwwdh8wntXGy8isdYNHxsNQS4n_rC8JSdPfj6vEq4"",""'500 объектов перенос на 2026'!A3:AB502""),13,0)"),"#REF!")</f>
        <v>#REF!</v>
      </c>
      <c r="AJ211" s="42" t="str">
        <f>IFERROR(__xludf.DUMMYFUNCTION("vLOOKUP(A211,IMPORTRANGE(""https://docs.google.com/spreadsheets/d/1Rawwwdh8wntXGy8isdYNHxsNQS4n_rC8JSdPfj6vEq4"",""'500 объектов перенос на 2026'!A3:AB502""),14,0)"),"#REF!")</f>
        <v>#REF!</v>
      </c>
      <c r="AK211" s="76" t="s">
        <v>1543</v>
      </c>
      <c r="AL211" s="96"/>
      <c r="AM211" s="96"/>
      <c r="AN211" s="96"/>
      <c r="AO211" s="96"/>
    </row>
    <row r="212" hidden="1">
      <c r="A212" s="62" t="s">
        <v>1544</v>
      </c>
      <c r="B212" s="63" t="s">
        <v>1299</v>
      </c>
      <c r="C212" s="90" t="s">
        <v>1545</v>
      </c>
      <c r="D212" s="47" t="s">
        <v>1546</v>
      </c>
      <c r="E212" s="64" t="s">
        <v>85</v>
      </c>
      <c r="F212" s="31" t="s">
        <v>60</v>
      </c>
      <c r="G212" s="31"/>
      <c r="H212" s="31"/>
      <c r="I212" s="31" t="s">
        <v>60</v>
      </c>
      <c r="J212" s="31"/>
      <c r="K212" s="31"/>
      <c r="L212" s="32">
        <f>IFERROR(__xludf.DUMMYFUNCTION("VLOOKUP($A212,IMPORTRANGE(""1PQtfbQLqBUP-rjYRznmgNFBLOjvAnhGzpIx7BJWq8rk"",""'Worksheet'!$B$2:$H""),7,FALSE)"),0.98)</f>
        <v>0.98</v>
      </c>
      <c r="M212" s="31" t="s">
        <v>40</v>
      </c>
      <c r="N212" s="49">
        <v>5.460733E7</v>
      </c>
      <c r="O212" s="49">
        <v>2.6351855E7</v>
      </c>
      <c r="P212" s="49">
        <f t="shared" si="33"/>
        <v>28255475</v>
      </c>
      <c r="Q212" s="34">
        <f t="shared" si="3"/>
        <v>0.5174300776</v>
      </c>
      <c r="R212" s="31"/>
      <c r="S212" s="31" t="s">
        <v>45</v>
      </c>
      <c r="T212" s="88" t="s">
        <v>1547</v>
      </c>
      <c r="U212" s="84">
        <v>0.0</v>
      </c>
      <c r="V212" s="88" t="s">
        <v>1547</v>
      </c>
      <c r="W212" s="31" t="s">
        <v>183</v>
      </c>
      <c r="X212" s="52" t="s">
        <v>1548</v>
      </c>
      <c r="Y212" s="54" t="s">
        <v>1549</v>
      </c>
      <c r="Z212" s="74"/>
      <c r="AA212" s="74">
        <v>46203.0</v>
      </c>
      <c r="AB212" s="56"/>
      <c r="AC212" s="38"/>
      <c r="AD212" s="39">
        <v>54607.0</v>
      </c>
      <c r="AE212" s="39">
        <v>26351.855</v>
      </c>
      <c r="AF212" s="40">
        <v>28255.145</v>
      </c>
      <c r="AG212" s="57" t="s">
        <v>1550</v>
      </c>
      <c r="AH212" s="42" t="s">
        <v>1551</v>
      </c>
      <c r="AI212" s="42" t="str">
        <f>IFERROR(__xludf.DUMMYFUNCTION("vLOOKUP(A212,IMPORTRANGE(""https://docs.google.com/spreadsheets/d/1Rawwwdh8wntXGy8isdYNHxsNQS4n_rC8JSdPfj6vEq4"",""'500 объектов перенос на 2026'!A3:AB502""),13,0)"),"#REF!")</f>
        <v>#REF!</v>
      </c>
      <c r="AJ212" s="42" t="str">
        <f>IFERROR(__xludf.DUMMYFUNCTION("vLOOKUP(A212,IMPORTRANGE(""https://docs.google.com/spreadsheets/d/1Rawwwdh8wntXGy8isdYNHxsNQS4n_rC8JSdPfj6vEq4"",""'500 объектов перенос на 2026'!A3:AB502""),14,0)"),"#REF!")</f>
        <v>#REF!</v>
      </c>
      <c r="AK212" s="76" t="s">
        <v>1549</v>
      </c>
      <c r="AL212" s="43"/>
      <c r="AM212" s="43"/>
      <c r="AN212" s="43"/>
      <c r="AO212" s="43"/>
    </row>
    <row r="213" hidden="1">
      <c r="A213" s="62" t="s">
        <v>1553</v>
      </c>
      <c r="B213" s="63" t="s">
        <v>605</v>
      </c>
      <c r="C213" s="64" t="s">
        <v>1554</v>
      </c>
      <c r="D213" s="47" t="s">
        <v>1210</v>
      </c>
      <c r="E213" s="64" t="s">
        <v>85</v>
      </c>
      <c r="F213" s="31" t="s">
        <v>40</v>
      </c>
      <c r="G213" s="31" t="s">
        <v>299</v>
      </c>
      <c r="H213" s="31" t="s">
        <v>260</v>
      </c>
      <c r="I213" s="31" t="s">
        <v>40</v>
      </c>
      <c r="J213" s="31" t="s">
        <v>61</v>
      </c>
      <c r="K213" s="31"/>
      <c r="L213" s="32">
        <f>IFERROR(__xludf.DUMMYFUNCTION("VLOOKUP($A213,IMPORTRANGE(""1PQtfbQLqBUP-rjYRznmgNFBLOjvAnhGzpIx7BJWq8rk"",""'Worksheet'!$B$2:$H""),7,FALSE)"),0.9)</f>
        <v>0.9</v>
      </c>
      <c r="M213" s="31" t="s">
        <v>40</v>
      </c>
      <c r="N213" s="49">
        <v>3.906428426E7</v>
      </c>
      <c r="O213" s="49">
        <v>1.113332E7</v>
      </c>
      <c r="P213" s="49">
        <f t="shared" si="33"/>
        <v>27930964.26</v>
      </c>
      <c r="Q213" s="34">
        <f t="shared" si="3"/>
        <v>0.715000026</v>
      </c>
      <c r="R213" s="31"/>
      <c r="S213" s="31" t="s">
        <v>40</v>
      </c>
      <c r="T213" s="88" t="s">
        <v>1555</v>
      </c>
      <c r="U213" s="88">
        <v>0.0</v>
      </c>
      <c r="V213" s="88" t="s">
        <v>1555</v>
      </c>
      <c r="W213" s="31"/>
      <c r="X213" s="52" t="s">
        <v>49</v>
      </c>
      <c r="Y213" s="54" t="s">
        <v>1556</v>
      </c>
      <c r="Z213" s="54" t="s">
        <v>75</v>
      </c>
      <c r="AA213" s="74">
        <v>46280.0</v>
      </c>
      <c r="AB213" s="56"/>
      <c r="AC213" s="38" t="s">
        <v>1557</v>
      </c>
      <c r="AD213" s="39">
        <v>39064.28</v>
      </c>
      <c r="AE213" s="39">
        <v>11133.32</v>
      </c>
      <c r="AF213" s="40">
        <v>27930.96</v>
      </c>
      <c r="AG213" s="99" t="s">
        <v>1558</v>
      </c>
      <c r="AH213" s="85"/>
      <c r="AI213" s="42" t="str">
        <f>IFERROR(__xludf.DUMMYFUNCTION("vLOOKUP(A213,IMPORTRANGE(""https://docs.google.com/spreadsheets/d/1Rawwwdh8wntXGy8isdYNHxsNQS4n_rC8JSdPfj6vEq4"",""'500 объектов перенос на 2026'!A3:AB502""),13,0)"),"#REF!")</f>
        <v>#REF!</v>
      </c>
      <c r="AJ213" s="42" t="str">
        <f>IFERROR(__xludf.DUMMYFUNCTION("vLOOKUP(A213,IMPORTRANGE(""https://docs.google.com/spreadsheets/d/1Rawwwdh8wntXGy8isdYNHxsNQS4n_rC8JSdPfj6vEq4"",""'500 объектов перенос на 2026'!A3:AB502""),14,0)"),"#REF!")</f>
        <v>#REF!</v>
      </c>
      <c r="AK213" s="76" t="s">
        <v>3411</v>
      </c>
      <c r="AL213" s="43"/>
      <c r="AM213" s="43"/>
      <c r="AN213" s="43"/>
      <c r="AO213" s="43"/>
    </row>
    <row r="214" hidden="1">
      <c r="A214" s="62" t="s">
        <v>1560</v>
      </c>
      <c r="B214" s="63" t="s">
        <v>1274</v>
      </c>
      <c r="C214" s="64" t="s">
        <v>1561</v>
      </c>
      <c r="D214" s="47" t="s">
        <v>1276</v>
      </c>
      <c r="E214" s="64" t="s">
        <v>85</v>
      </c>
      <c r="F214" s="31" t="s">
        <v>60</v>
      </c>
      <c r="G214" s="31"/>
      <c r="H214" s="31"/>
      <c r="I214" s="31" t="s">
        <v>40</v>
      </c>
      <c r="J214" s="31" t="s">
        <v>61</v>
      </c>
      <c r="K214" s="31" t="s">
        <v>72</v>
      </c>
      <c r="L214" s="32">
        <f>IFERROR(__xludf.DUMMYFUNCTION("VLOOKUP($A214,IMPORTRANGE(""1PQtfbQLqBUP-rjYRznmgNFBLOjvAnhGzpIx7BJWq8rk"",""'Worksheet'!$B$2:$H""),7,FALSE)"),0.95)</f>
        <v>0.95</v>
      </c>
      <c r="M214" s="31" t="s">
        <v>45</v>
      </c>
      <c r="N214" s="49">
        <v>8.315098894E7</v>
      </c>
      <c r="O214" s="49">
        <v>5.555234064E7</v>
      </c>
      <c r="P214" s="49">
        <f t="shared" si="33"/>
        <v>27598648.3</v>
      </c>
      <c r="Q214" s="34">
        <f t="shared" si="3"/>
        <v>0.3319100428</v>
      </c>
      <c r="R214" s="31"/>
      <c r="S214" s="31" t="s">
        <v>40</v>
      </c>
      <c r="T214" s="84" t="s">
        <v>1562</v>
      </c>
      <c r="U214" s="145">
        <v>0.0</v>
      </c>
      <c r="V214" s="84" t="s">
        <v>1562</v>
      </c>
      <c r="W214" s="31"/>
      <c r="X214" s="52" t="s">
        <v>1453</v>
      </c>
      <c r="Y214" s="54" t="s">
        <v>1563</v>
      </c>
      <c r="Z214" s="54" t="s">
        <v>1455</v>
      </c>
      <c r="AA214" s="74">
        <v>46235.0</v>
      </c>
      <c r="AB214" s="56"/>
      <c r="AC214" s="38" t="s">
        <v>1349</v>
      </c>
      <c r="AD214" s="39">
        <v>95774.56</v>
      </c>
      <c r="AE214" s="39">
        <v>55552.34064</v>
      </c>
      <c r="AF214" s="40">
        <v>40222.21936</v>
      </c>
      <c r="AG214" s="99" t="s">
        <v>1564</v>
      </c>
      <c r="AH214" s="42"/>
      <c r="AI214" s="42" t="str">
        <f>IFERROR(__xludf.DUMMYFUNCTION("vLOOKUP(A214,IMPORTRANGE(""https://docs.google.com/spreadsheets/d/1Rawwwdh8wntXGy8isdYNHxsNQS4n_rC8JSdPfj6vEq4"",""'500 объектов перенос на 2026'!A3:AB502""),13,0)"),"#REF!")</f>
        <v>#REF!</v>
      </c>
      <c r="AJ214" s="42" t="str">
        <f>IFERROR(__xludf.DUMMYFUNCTION("vLOOKUP(A214,IMPORTRANGE(""https://docs.google.com/spreadsheets/d/1Rawwwdh8wntXGy8isdYNHxsNQS4n_rC8JSdPfj6vEq4"",""'500 объектов перенос на 2026'!A3:AB502""),14,0)"),"#REF!")</f>
        <v>#REF!</v>
      </c>
      <c r="AK214" s="76" t="s">
        <v>1565</v>
      </c>
      <c r="AL214" s="96"/>
      <c r="AM214" s="96"/>
      <c r="AN214" s="96"/>
      <c r="AO214" s="96"/>
    </row>
    <row r="215" hidden="1">
      <c r="A215" s="62" t="s">
        <v>1566</v>
      </c>
      <c r="B215" s="63" t="s">
        <v>268</v>
      </c>
      <c r="C215" s="64" t="s">
        <v>1567</v>
      </c>
      <c r="D215" s="47" t="s">
        <v>1041</v>
      </c>
      <c r="E215" s="64" t="s">
        <v>85</v>
      </c>
      <c r="F215" s="31" t="s">
        <v>60</v>
      </c>
      <c r="G215" s="31"/>
      <c r="H215" s="31"/>
      <c r="I215" s="31" t="s">
        <v>40</v>
      </c>
      <c r="J215" s="31" t="s">
        <v>61</v>
      </c>
      <c r="K215" s="31" t="s">
        <v>72</v>
      </c>
      <c r="L215" s="32">
        <f>IFERROR(__xludf.DUMMYFUNCTION("VLOOKUP($A215,IMPORTRANGE(""1PQtfbQLqBUP-rjYRznmgNFBLOjvAnhGzpIx7BJWq8rk"",""'Worksheet'!$B$2:$H""),7,FALSE)"),0.95)</f>
        <v>0.95</v>
      </c>
      <c r="M215" s="31" t="s">
        <v>40</v>
      </c>
      <c r="N215" s="49">
        <v>4.597198215E7</v>
      </c>
      <c r="O215" s="49">
        <v>1.903179214E7</v>
      </c>
      <c r="P215" s="49">
        <f t="shared" si="33"/>
        <v>26940190.01</v>
      </c>
      <c r="Q215" s="34">
        <f t="shared" si="3"/>
        <v>0.5860132357</v>
      </c>
      <c r="R215" s="31"/>
      <c r="S215" s="31" t="s">
        <v>40</v>
      </c>
      <c r="T215" s="84" t="s">
        <v>1568</v>
      </c>
      <c r="U215" s="84">
        <v>0.0</v>
      </c>
      <c r="V215" s="84" t="s">
        <v>1568</v>
      </c>
      <c r="W215" s="31"/>
      <c r="X215" s="52" t="s">
        <v>1268</v>
      </c>
      <c r="Y215" s="54" t="s">
        <v>1569</v>
      </c>
      <c r="Z215" s="54" t="s">
        <v>851</v>
      </c>
      <c r="AA215" s="68">
        <v>46280.0</v>
      </c>
      <c r="AB215" s="56"/>
      <c r="AC215" s="38" t="s">
        <v>187</v>
      </c>
      <c r="AD215" s="39">
        <v>45917.0</v>
      </c>
      <c r="AE215" s="39">
        <v>19031.79214</v>
      </c>
      <c r="AF215" s="40">
        <v>26885.20786</v>
      </c>
      <c r="AG215" s="57" t="s">
        <v>1570</v>
      </c>
      <c r="AH215" s="42" t="s">
        <v>854</v>
      </c>
      <c r="AI215" s="42" t="str">
        <f>IFERROR(__xludf.DUMMYFUNCTION("vLOOKUP(A215,IMPORTRANGE(""https://docs.google.com/spreadsheets/d/1Rawwwdh8wntXGy8isdYNHxsNQS4n_rC8JSdPfj6vEq4"",""'500 объектов перенос на 2026'!A3:AB502""),13,0)"),"#REF!")</f>
        <v>#REF!</v>
      </c>
      <c r="AJ215" s="42" t="str">
        <f>IFERROR(__xludf.DUMMYFUNCTION("vLOOKUP(A215,IMPORTRANGE(""https://docs.google.com/spreadsheets/d/1Rawwwdh8wntXGy8isdYNHxsNQS4n_rC8JSdPfj6vEq4"",""'500 объектов перенос на 2026'!A3:AB502""),14,0)"),"#REF!")</f>
        <v>#REF!</v>
      </c>
      <c r="AK215" s="151" t="s">
        <v>3412</v>
      </c>
      <c r="AL215" s="43"/>
      <c r="AM215" s="43"/>
      <c r="AN215" s="43"/>
      <c r="AO215" s="43"/>
    </row>
    <row r="216" hidden="1">
      <c r="A216" s="62" t="s">
        <v>1571</v>
      </c>
      <c r="B216" s="63" t="s">
        <v>1039</v>
      </c>
      <c r="C216" s="104" t="s">
        <v>1572</v>
      </c>
      <c r="D216" s="47" t="s">
        <v>1041</v>
      </c>
      <c r="E216" s="64" t="s">
        <v>85</v>
      </c>
      <c r="F216" s="31" t="s">
        <v>60</v>
      </c>
      <c r="G216" s="31"/>
      <c r="H216" s="31"/>
      <c r="I216" s="31" t="s">
        <v>40</v>
      </c>
      <c r="J216" s="31" t="s">
        <v>61</v>
      </c>
      <c r="K216" s="31" t="s">
        <v>72</v>
      </c>
      <c r="L216" s="32">
        <f>IFERROR(__xludf.DUMMYFUNCTION("VLOOKUP($A216,IMPORTRANGE(""1PQtfbQLqBUP-rjYRznmgNFBLOjvAnhGzpIx7BJWq8rk"",""'Worksheet'!$B$2:$H""),7,FALSE)"),0.98)</f>
        <v>0.98</v>
      </c>
      <c r="M216" s="31" t="s">
        <v>40</v>
      </c>
      <c r="N216" s="49">
        <v>5.293705162E7</v>
      </c>
      <c r="O216" s="49">
        <v>2.646852581E7</v>
      </c>
      <c r="P216" s="49">
        <f t="shared" si="33"/>
        <v>26468525.81</v>
      </c>
      <c r="Q216" s="34">
        <f t="shared" si="3"/>
        <v>0.5</v>
      </c>
      <c r="R216" s="31"/>
      <c r="S216" s="31" t="s">
        <v>45</v>
      </c>
      <c r="T216" s="88">
        <v>5.029019904E7</v>
      </c>
      <c r="U216" s="88">
        <v>2.514509952E7</v>
      </c>
      <c r="V216" s="88">
        <f>T216-U216</f>
        <v>25145099.52</v>
      </c>
      <c r="W216" s="31"/>
      <c r="X216" s="52" t="s">
        <v>1573</v>
      </c>
      <c r="Y216" s="54" t="s">
        <v>1574</v>
      </c>
      <c r="Z216" s="54" t="s">
        <v>1455</v>
      </c>
      <c r="AA216" s="74">
        <v>46204.0</v>
      </c>
      <c r="AB216" s="56"/>
      <c r="AC216" s="38"/>
      <c r="AD216" s="39">
        <v>52937.05</v>
      </c>
      <c r="AE216" s="39">
        <v>26468.52581</v>
      </c>
      <c r="AF216" s="40">
        <v>26468.52419</v>
      </c>
      <c r="AG216" s="57" t="s">
        <v>1575</v>
      </c>
      <c r="AH216" s="42" t="s">
        <v>1576</v>
      </c>
      <c r="AI216" s="42" t="str">
        <f>IFERROR(__xludf.DUMMYFUNCTION("vLOOKUP(A216,IMPORTRANGE(""https://docs.google.com/spreadsheets/d/1Rawwwdh8wntXGy8isdYNHxsNQS4n_rC8JSdPfj6vEq4"",""'500 объектов перенос на 2026'!A3:AB502""),13,0)"),"#REF!")</f>
        <v>#REF!</v>
      </c>
      <c r="AJ216" s="42" t="str">
        <f>IFERROR(__xludf.DUMMYFUNCTION("vLOOKUP(A216,IMPORTRANGE(""https://docs.google.com/spreadsheets/d/1Rawwwdh8wntXGy8isdYNHxsNQS4n_rC8JSdPfj6vEq4"",""'500 объектов перенос на 2026'!A3:AB502""),14,0)"),"#REF!")</f>
        <v>#REF!</v>
      </c>
      <c r="AK216" s="76" t="s">
        <v>3413</v>
      </c>
      <c r="AL216" s="96"/>
      <c r="AM216" s="96"/>
      <c r="AN216" s="96"/>
      <c r="AO216" s="96"/>
    </row>
    <row r="217" hidden="1">
      <c r="A217" s="62" t="s">
        <v>1579</v>
      </c>
      <c r="B217" s="63" t="s">
        <v>268</v>
      </c>
      <c r="C217" s="144" t="s">
        <v>1580</v>
      </c>
      <c r="D217" s="47" t="s">
        <v>1041</v>
      </c>
      <c r="E217" s="64" t="s">
        <v>85</v>
      </c>
      <c r="F217" s="31" t="s">
        <v>60</v>
      </c>
      <c r="G217" s="31"/>
      <c r="H217" s="31"/>
      <c r="I217" s="31" t="s">
        <v>60</v>
      </c>
      <c r="J217" s="31"/>
      <c r="K217" s="31"/>
      <c r="L217" s="32">
        <f>IFERROR(__xludf.DUMMYFUNCTION("VLOOKUP($A217,IMPORTRANGE(""1PQtfbQLqBUP-rjYRznmgNFBLOjvAnhGzpIx7BJWq8rk"",""'Worksheet'!$B$2:$H""),7,FALSE)"),0.9)</f>
        <v>0.9</v>
      </c>
      <c r="M217" s="31" t="s">
        <v>40</v>
      </c>
      <c r="N217" s="49">
        <v>4.5368512E7</v>
      </c>
      <c r="O217" s="49">
        <v>2.007906418E7</v>
      </c>
      <c r="P217" s="49">
        <f t="shared" si="33"/>
        <v>25289447.82</v>
      </c>
      <c r="Q217" s="34">
        <f t="shared" si="3"/>
        <v>0.5574229064</v>
      </c>
      <c r="R217" s="31"/>
      <c r="S217" s="31" t="s">
        <v>40</v>
      </c>
      <c r="T217" s="84" t="s">
        <v>1581</v>
      </c>
      <c r="U217" s="84">
        <v>0.0</v>
      </c>
      <c r="V217" s="84" t="s">
        <v>1581</v>
      </c>
      <c r="W217" s="31" t="s">
        <v>506</v>
      </c>
      <c r="X217" s="52" t="s">
        <v>1582</v>
      </c>
      <c r="Y217" s="54" t="s">
        <v>1569</v>
      </c>
      <c r="Z217" s="54" t="s">
        <v>851</v>
      </c>
      <c r="AA217" s="68">
        <v>46235.0</v>
      </c>
      <c r="AB217" s="56"/>
      <c r="AC217" s="38"/>
      <c r="AD217" s="39">
        <v>45368.51</v>
      </c>
      <c r="AE217" s="39">
        <v>20079.06418</v>
      </c>
      <c r="AF217" s="40">
        <v>25289.44582</v>
      </c>
      <c r="AG217" s="57" t="s">
        <v>1583</v>
      </c>
      <c r="AH217" s="42" t="s">
        <v>854</v>
      </c>
      <c r="AI217" s="42" t="str">
        <f>IFERROR(__xludf.DUMMYFUNCTION("vLOOKUP(A217,IMPORTRANGE(""https://docs.google.com/spreadsheets/d/1Rawwwdh8wntXGy8isdYNHxsNQS4n_rC8JSdPfj6vEq4"",""'500 объектов перенос на 2026'!A3:AB502""),13,0)"),"#REF!")</f>
        <v>#REF!</v>
      </c>
      <c r="AJ217" s="42" t="str">
        <f>IFERROR(__xludf.DUMMYFUNCTION("vLOOKUP(A217,IMPORTRANGE(""https://docs.google.com/spreadsheets/d/1Rawwwdh8wntXGy8isdYNHxsNQS4n_rC8JSdPfj6vEq4"",""'500 объектов перенос на 2026'!A3:AB502""),14,0)"),"#REF!")</f>
        <v>#REF!</v>
      </c>
      <c r="AK217" s="151" t="s">
        <v>3414</v>
      </c>
      <c r="AL217" s="43"/>
      <c r="AM217" s="43"/>
      <c r="AN217" s="43"/>
      <c r="AO217" s="43"/>
    </row>
    <row r="218" ht="117.0" hidden="1" customHeight="1">
      <c r="A218" s="62" t="s">
        <v>1585</v>
      </c>
      <c r="B218" s="63" t="s">
        <v>1586</v>
      </c>
      <c r="C218" s="64" t="s">
        <v>1587</v>
      </c>
      <c r="D218" s="47" t="s">
        <v>1276</v>
      </c>
      <c r="E218" s="64" t="s">
        <v>59</v>
      </c>
      <c r="F218" s="31" t="s">
        <v>40</v>
      </c>
      <c r="G218" s="31" t="s">
        <v>41</v>
      </c>
      <c r="H218" s="31" t="s">
        <v>779</v>
      </c>
      <c r="I218" s="31" t="s">
        <v>40</v>
      </c>
      <c r="J218" s="31" t="s">
        <v>1075</v>
      </c>
      <c r="K218" s="31"/>
      <c r="L218" s="32">
        <f>IFERROR(__xludf.DUMMYFUNCTION("VLOOKUP($A218,IMPORTRANGE(""1PQtfbQLqBUP-rjYRznmgNFBLOjvAnhGzpIx7BJWq8rk"",""'Worksheet'!$B$2:$H""),7,FALSE)"),0.79)</f>
        <v>0.79</v>
      </c>
      <c r="M218" s="31" t="s">
        <v>45</v>
      </c>
      <c r="N218" s="49">
        <v>1.62043246E8</v>
      </c>
      <c r="O218" s="49">
        <v>1.3704311767E8</v>
      </c>
      <c r="P218" s="49">
        <f t="shared" si="33"/>
        <v>25000128.33</v>
      </c>
      <c r="Q218" s="34">
        <f t="shared" si="3"/>
        <v>0.1542805945</v>
      </c>
      <c r="R218" s="31"/>
      <c r="S218" s="31" t="s">
        <v>45</v>
      </c>
      <c r="T218" s="72" t="s">
        <v>1588</v>
      </c>
      <c r="U218" s="51" t="s">
        <v>1589</v>
      </c>
      <c r="V218" s="51" t="s">
        <v>1590</v>
      </c>
      <c r="W218" s="31" t="s">
        <v>1591</v>
      </c>
      <c r="X218" s="52" t="s">
        <v>1592</v>
      </c>
      <c r="Y218" s="54" t="s">
        <v>3415</v>
      </c>
      <c r="Z218" s="54" t="s">
        <v>1594</v>
      </c>
      <c r="AA218" s="74">
        <v>46351.0</v>
      </c>
      <c r="AB218" s="56"/>
      <c r="AC218" s="38" t="s">
        <v>1595</v>
      </c>
      <c r="AD218" s="39">
        <v>162043.25</v>
      </c>
      <c r="AE218" s="39">
        <v>137043.1177</v>
      </c>
      <c r="AF218" s="40">
        <v>25000.13233</v>
      </c>
      <c r="AG218" s="57" t="s">
        <v>1596</v>
      </c>
      <c r="AH218" s="42" t="s">
        <v>1597</v>
      </c>
      <c r="AI218" s="42" t="str">
        <f>IFERROR(__xludf.DUMMYFUNCTION("vLOOKUP(A218,IMPORTRANGE(""https://docs.google.com/spreadsheets/d/1Rawwwdh8wntXGy8isdYNHxsNQS4n_rC8JSdPfj6vEq4"",""'500 объектов перенос на 2026'!A3:AB502""),13,0)"),"#REF!")</f>
        <v>#REF!</v>
      </c>
      <c r="AJ218" s="42" t="str">
        <f>IFERROR(__xludf.DUMMYFUNCTION("vLOOKUP(A218,IMPORTRANGE(""https://docs.google.com/spreadsheets/d/1Rawwwdh8wntXGy8isdYNHxsNQS4n_rC8JSdPfj6vEq4"",""'500 объектов перенос на 2026'!A3:AB502""),14,0)"),"#REF!")</f>
        <v>#REF!</v>
      </c>
      <c r="AK218" s="76" t="s">
        <v>3416</v>
      </c>
      <c r="AL218" s="96">
        <v>137043.0</v>
      </c>
      <c r="AM218" s="96"/>
      <c r="AN218" s="96"/>
      <c r="AO218" s="96"/>
    </row>
    <row r="219" ht="67.5" hidden="1" customHeight="1">
      <c r="A219" s="62" t="s">
        <v>1599</v>
      </c>
      <c r="B219" s="63" t="s">
        <v>826</v>
      </c>
      <c r="C219" s="64" t="s">
        <v>1600</v>
      </c>
      <c r="D219" s="47" t="s">
        <v>323</v>
      </c>
      <c r="E219" s="64" t="s">
        <v>85</v>
      </c>
      <c r="F219" s="31" t="s">
        <v>40</v>
      </c>
      <c r="G219" s="31" t="s">
        <v>41</v>
      </c>
      <c r="H219" s="31" t="s">
        <v>779</v>
      </c>
      <c r="I219" s="31" t="s">
        <v>60</v>
      </c>
      <c r="J219" s="31"/>
      <c r="K219" s="31"/>
      <c r="L219" s="32">
        <f>IFERROR(__xludf.DUMMYFUNCTION("VLOOKUP($A219,IMPORTRANGE(""1PQtfbQLqBUP-rjYRznmgNFBLOjvAnhGzpIx7BJWq8rk"",""'Worksheet'!$B$2:$H""),7,FALSE)"),0.96)</f>
        <v>0.96</v>
      </c>
      <c r="M219" s="31" t="s">
        <v>40</v>
      </c>
      <c r="N219" s="49">
        <v>4.749261E7</v>
      </c>
      <c r="O219" s="49">
        <v>2.2560385E7</v>
      </c>
      <c r="P219" s="49">
        <f t="shared" si="33"/>
        <v>24932225</v>
      </c>
      <c r="Q219" s="34">
        <f t="shared" si="3"/>
        <v>0.5249706217</v>
      </c>
      <c r="R219" s="31"/>
      <c r="S219" s="31" t="s">
        <v>45</v>
      </c>
      <c r="T219" s="50">
        <v>4.51179795E7</v>
      </c>
      <c r="U219" s="51">
        <v>2.143236575E7</v>
      </c>
      <c r="V219" s="51">
        <f t="shared" ref="V219:V220" si="34">T219-U219</f>
        <v>23685613.75</v>
      </c>
      <c r="W219" s="31"/>
      <c r="X219" s="52">
        <v>2.143236575E7</v>
      </c>
      <c r="Y219" s="54" t="s">
        <v>1601</v>
      </c>
      <c r="Z219" s="54" t="s">
        <v>1602</v>
      </c>
      <c r="AA219" s="74">
        <v>46266.0</v>
      </c>
      <c r="AB219" s="56"/>
      <c r="AC219" s="38"/>
      <c r="AD219" s="39">
        <v>47492.61</v>
      </c>
      <c r="AE219" s="39">
        <v>22560.385</v>
      </c>
      <c r="AF219" s="40">
        <v>24932.225</v>
      </c>
      <c r="AG219" s="57"/>
      <c r="AH219" s="42" t="s">
        <v>49</v>
      </c>
      <c r="AI219" s="42" t="str">
        <f>IFERROR(__xludf.DUMMYFUNCTION("vLOOKUP(A219,IMPORTRANGE(""https://docs.google.com/spreadsheets/d/1Rawwwdh8wntXGy8isdYNHxsNQS4n_rC8JSdPfj6vEq4"",""'500 объектов перенос на 2026'!A3:AB502""),13,0)"),"#REF!")</f>
        <v>#REF!</v>
      </c>
      <c r="AJ219" s="42" t="str">
        <f>IFERROR(__xludf.DUMMYFUNCTION("vLOOKUP(A219,IMPORTRANGE(""https://docs.google.com/spreadsheets/d/1Rawwwdh8wntXGy8isdYNHxsNQS4n_rC8JSdPfj6vEq4"",""'500 объектов перенос на 2026'!A3:AB502""),14,0)"),"#REF!")</f>
        <v>#REF!</v>
      </c>
      <c r="AK219" s="138" t="s">
        <v>1601</v>
      </c>
      <c r="AL219" s="43"/>
      <c r="AM219" s="43"/>
      <c r="AN219" s="43"/>
      <c r="AO219" s="43"/>
    </row>
    <row r="220" hidden="1">
      <c r="A220" s="62" t="s">
        <v>1605</v>
      </c>
      <c r="B220" s="63" t="s">
        <v>826</v>
      </c>
      <c r="C220" s="104" t="s">
        <v>1606</v>
      </c>
      <c r="D220" s="47" t="s">
        <v>727</v>
      </c>
      <c r="E220" s="64" t="s">
        <v>85</v>
      </c>
      <c r="F220" s="31" t="s">
        <v>60</v>
      </c>
      <c r="G220" s="31"/>
      <c r="H220" s="31"/>
      <c r="I220" s="31" t="s">
        <v>40</v>
      </c>
      <c r="J220" s="31" t="s">
        <v>61</v>
      </c>
      <c r="K220" s="31" t="s">
        <v>72</v>
      </c>
      <c r="L220" s="32">
        <f>IFERROR(__xludf.DUMMYFUNCTION("VLOOKUP($A220,IMPORTRANGE(""1PQtfbQLqBUP-rjYRznmgNFBLOjvAnhGzpIx7BJWq8rk"",""'Worksheet'!$B$2:$H""),7,FALSE)"),0.94)</f>
        <v>0.94</v>
      </c>
      <c r="M220" s="31" t="s">
        <v>40</v>
      </c>
      <c r="N220" s="49">
        <v>3.469114E7</v>
      </c>
      <c r="O220" s="49">
        <v>9887796.54</v>
      </c>
      <c r="P220" s="49">
        <f t="shared" si="33"/>
        <v>24803343.46</v>
      </c>
      <c r="Q220" s="34">
        <f t="shared" si="3"/>
        <v>0.7149763156</v>
      </c>
      <c r="R220" s="31"/>
      <c r="S220" s="31" t="s">
        <v>45</v>
      </c>
      <c r="T220" s="50">
        <v>3.2956583E7</v>
      </c>
      <c r="U220" s="51">
        <v>9393406.71</v>
      </c>
      <c r="V220" s="51">
        <f t="shared" si="34"/>
        <v>23563176.29</v>
      </c>
      <c r="W220" s="31"/>
      <c r="X220" s="52">
        <v>9393406.71</v>
      </c>
      <c r="Y220" s="54" t="s">
        <v>1607</v>
      </c>
      <c r="Z220" s="54" t="s">
        <v>830</v>
      </c>
      <c r="AA220" s="74">
        <v>46235.0</v>
      </c>
      <c r="AB220" s="56"/>
      <c r="AC220" s="38"/>
      <c r="AD220" s="39">
        <v>34691.139</v>
      </c>
      <c r="AE220" s="39">
        <v>9887.79654</v>
      </c>
      <c r="AF220" s="40">
        <v>24803.34246</v>
      </c>
      <c r="AG220" s="57" t="s">
        <v>1608</v>
      </c>
      <c r="AH220" s="42" t="s">
        <v>49</v>
      </c>
      <c r="AI220" s="42" t="str">
        <f>IFERROR(__xludf.DUMMYFUNCTION("vLOOKUP(A220,IMPORTRANGE(""https://docs.google.com/spreadsheets/d/1Rawwwdh8wntXGy8isdYNHxsNQS4n_rC8JSdPfj6vEq4"",""'500 объектов перенос на 2026'!A3:AB502""),13,0)"),"#REF!")</f>
        <v>#REF!</v>
      </c>
      <c r="AJ220" s="42" t="str">
        <f>IFERROR(__xludf.DUMMYFUNCTION("vLOOKUP(A220,IMPORTRANGE(""https://docs.google.com/spreadsheets/d/1Rawwwdh8wntXGy8isdYNHxsNQS4n_rC8JSdPfj6vEq4"",""'500 объектов перенос на 2026'!A3:AB502""),14,0)"),"#REF!")</f>
        <v>#REF!</v>
      </c>
      <c r="AK220" s="138" t="s">
        <v>3417</v>
      </c>
      <c r="AL220" s="43"/>
      <c r="AM220" s="43"/>
      <c r="AN220" s="43"/>
      <c r="AO220" s="43"/>
    </row>
    <row r="221" hidden="1">
      <c r="A221" s="62" t="s">
        <v>1610</v>
      </c>
      <c r="B221" s="63" t="s">
        <v>142</v>
      </c>
      <c r="C221" s="64" t="s">
        <v>1611</v>
      </c>
      <c r="D221" s="47" t="s">
        <v>1041</v>
      </c>
      <c r="E221" s="64" t="s">
        <v>85</v>
      </c>
      <c r="F221" s="31" t="s">
        <v>60</v>
      </c>
      <c r="G221" s="31"/>
      <c r="H221" s="31"/>
      <c r="I221" s="31" t="s">
        <v>60</v>
      </c>
      <c r="J221" s="31"/>
      <c r="K221" s="31"/>
      <c r="L221" s="32">
        <f>IFERROR(__xludf.DUMMYFUNCTION("VLOOKUP($A221,IMPORTRANGE(""1PQtfbQLqBUP-rjYRznmgNFBLOjvAnhGzpIx7BJWq8rk"",""'Worksheet'!$B$2:$H""),7,FALSE)"),0.87)</f>
        <v>0.87</v>
      </c>
      <c r="M221" s="31" t="s">
        <v>40</v>
      </c>
      <c r="N221" s="49">
        <v>4.904315E7</v>
      </c>
      <c r="O221" s="49">
        <v>2.447253185E7</v>
      </c>
      <c r="P221" s="49">
        <f t="shared" si="33"/>
        <v>24570618.15</v>
      </c>
      <c r="Q221" s="34">
        <f t="shared" si="3"/>
        <v>0.501</v>
      </c>
      <c r="R221" s="31"/>
      <c r="S221" s="31" t="s">
        <v>45</v>
      </c>
      <c r="T221" s="72" t="s">
        <v>1612</v>
      </c>
      <c r="U221" s="67" t="s">
        <v>1613</v>
      </c>
      <c r="V221" s="67" t="s">
        <v>1614</v>
      </c>
      <c r="W221" s="31" t="s">
        <v>183</v>
      </c>
      <c r="X221" s="52" t="s">
        <v>1615</v>
      </c>
      <c r="Y221" s="89" t="s">
        <v>1616</v>
      </c>
      <c r="Z221" s="54" t="s">
        <v>1617</v>
      </c>
      <c r="AA221" s="55">
        <v>46204.0</v>
      </c>
      <c r="AB221" s="56"/>
      <c r="AC221" s="38"/>
      <c r="AD221" s="39">
        <v>49043.15</v>
      </c>
      <c r="AE221" s="39">
        <v>24472.53185</v>
      </c>
      <c r="AF221" s="40">
        <v>24570.61815</v>
      </c>
      <c r="AG221" s="57" t="s">
        <v>1618</v>
      </c>
      <c r="AH221" s="42" t="s">
        <v>46</v>
      </c>
      <c r="AI221" s="85"/>
      <c r="AJ221" s="42" t="str">
        <f>IFERROR(__xludf.DUMMYFUNCTION("vLOOKUP(A221,IMPORTRANGE(""https://docs.google.com/spreadsheets/d/1Rawwwdh8wntXGy8isdYNHxsNQS4n_rC8JSdPfj6vEq4"",""'500 объектов перенос на 2026'!A3:AB502""),14,0)"),"#REF!")</f>
        <v>#REF!</v>
      </c>
      <c r="AK221" s="138" t="s">
        <v>3418</v>
      </c>
      <c r="AL221" s="43"/>
      <c r="AM221" s="43"/>
      <c r="AN221" s="43"/>
      <c r="AO221" s="43"/>
    </row>
    <row r="222" ht="66.75" hidden="1" customHeight="1">
      <c r="A222" s="62" t="s">
        <v>1621</v>
      </c>
      <c r="B222" s="63" t="s">
        <v>894</v>
      </c>
      <c r="C222" s="64" t="s">
        <v>1622</v>
      </c>
      <c r="D222" s="47" t="s">
        <v>885</v>
      </c>
      <c r="E222" s="64" t="s">
        <v>85</v>
      </c>
      <c r="F222" s="31" t="s">
        <v>60</v>
      </c>
      <c r="G222" s="31"/>
      <c r="H222" s="31"/>
      <c r="I222" s="31" t="s">
        <v>40</v>
      </c>
      <c r="J222" s="31" t="s">
        <v>61</v>
      </c>
      <c r="K222" s="31" t="s">
        <v>62</v>
      </c>
      <c r="L222" s="32">
        <f>IFERROR(__xludf.DUMMYFUNCTION("VLOOKUP($A222,IMPORTRANGE(""1PQtfbQLqBUP-rjYRznmgNFBLOjvAnhGzpIx7BJWq8rk"",""'Worksheet'!$B$2:$H""),7,FALSE)"),0.89)</f>
        <v>0.89</v>
      </c>
      <c r="M222" s="31" t="s">
        <v>45</v>
      </c>
      <c r="N222" s="49">
        <v>7.858021559E7</v>
      </c>
      <c r="O222" s="49">
        <v>5.443181294E7</v>
      </c>
      <c r="P222" s="49">
        <f t="shared" si="33"/>
        <v>24148402.65</v>
      </c>
      <c r="Q222" s="34">
        <f t="shared" si="3"/>
        <v>0.3073089386</v>
      </c>
      <c r="R222" s="31"/>
      <c r="S222" s="31" t="s">
        <v>45</v>
      </c>
      <c r="T222" s="50" t="s">
        <v>1623</v>
      </c>
      <c r="U222" s="51" t="s">
        <v>1624</v>
      </c>
      <c r="V222" s="51" t="s">
        <v>1625</v>
      </c>
      <c r="W222" s="31"/>
      <c r="X222" s="52" t="s">
        <v>1626</v>
      </c>
      <c r="Y222" s="54" t="s">
        <v>900</v>
      </c>
      <c r="Z222" s="74"/>
      <c r="AA222" s="74">
        <v>46233.0</v>
      </c>
      <c r="AB222" s="56"/>
      <c r="AC222" s="38" t="s">
        <v>901</v>
      </c>
      <c r="AD222" s="39">
        <v>78580.21</v>
      </c>
      <c r="AE222" s="39">
        <v>54865.63098</v>
      </c>
      <c r="AF222" s="40">
        <v>23714.57902</v>
      </c>
      <c r="AG222" s="57" t="s">
        <v>1627</v>
      </c>
      <c r="AH222" s="42" t="s">
        <v>1628</v>
      </c>
      <c r="AI222" s="42" t="str">
        <f>IFERROR(__xludf.DUMMYFUNCTION("vLOOKUP(A222,IMPORTRANGE(""https://docs.google.com/spreadsheets/d/1Rawwwdh8wntXGy8isdYNHxsNQS4n_rC8JSdPfj6vEq4"",""'500 объектов перенос на 2026'!A3:AB502""),13,0)"),"#REF!")</f>
        <v>#REF!</v>
      </c>
      <c r="AJ222" s="42" t="str">
        <f>IFERROR(__xludf.DUMMYFUNCTION("vLOOKUP(A222,IMPORTRANGE(""https://docs.google.com/spreadsheets/d/1Rawwwdh8wntXGy8isdYNHxsNQS4n_rC8JSdPfj6vEq4"",""'500 объектов перенос на 2026'!A3:AB502""),14,0)"),"#REF!")</f>
        <v>#REF!</v>
      </c>
      <c r="AK222" s="76" t="s">
        <v>3419</v>
      </c>
      <c r="AL222" s="43"/>
      <c r="AM222" s="43"/>
      <c r="AN222" s="43"/>
      <c r="AO222" s="43"/>
    </row>
    <row r="223" hidden="1">
      <c r="A223" s="62" t="s">
        <v>1630</v>
      </c>
      <c r="B223" s="63" t="s">
        <v>1274</v>
      </c>
      <c r="C223" s="64" t="s">
        <v>1631</v>
      </c>
      <c r="D223" s="47" t="s">
        <v>1276</v>
      </c>
      <c r="E223" s="64" t="s">
        <v>85</v>
      </c>
      <c r="F223" s="31" t="s">
        <v>60</v>
      </c>
      <c r="G223" s="31"/>
      <c r="H223" s="31"/>
      <c r="I223" s="31" t="s">
        <v>40</v>
      </c>
      <c r="J223" s="31" t="s">
        <v>61</v>
      </c>
      <c r="K223" s="31" t="s">
        <v>72</v>
      </c>
      <c r="L223" s="32">
        <f>IFERROR(__xludf.DUMMYFUNCTION("VLOOKUP($A223,IMPORTRANGE(""1PQtfbQLqBUP-rjYRznmgNFBLOjvAnhGzpIx7BJWq8rk"",""'Worksheet'!$B$2:$H""),7,FALSE)"),0.86)</f>
        <v>0.86</v>
      </c>
      <c r="M223" s="31" t="s">
        <v>45</v>
      </c>
      <c r="N223" s="49">
        <v>1.091851199E8</v>
      </c>
      <c r="O223" s="49">
        <v>8.552594804E7</v>
      </c>
      <c r="P223" s="49">
        <f t="shared" si="33"/>
        <v>23659171.86</v>
      </c>
      <c r="Q223" s="34">
        <f t="shared" si="3"/>
        <v>0.21668861</v>
      </c>
      <c r="R223" s="31"/>
      <c r="S223" s="31" t="s">
        <v>45</v>
      </c>
      <c r="T223" s="50" t="s">
        <v>1632</v>
      </c>
      <c r="U223" s="51" t="s">
        <v>1633</v>
      </c>
      <c r="V223" s="51" t="s">
        <v>1634</v>
      </c>
      <c r="W223" s="31"/>
      <c r="X223" s="52" t="s">
        <v>1453</v>
      </c>
      <c r="Y223" s="54" t="s">
        <v>1635</v>
      </c>
      <c r="Z223" s="54" t="s">
        <v>1455</v>
      </c>
      <c r="AA223" s="68">
        <v>46310.0</v>
      </c>
      <c r="AB223" s="56"/>
      <c r="AC223" s="38" t="s">
        <v>1349</v>
      </c>
      <c r="AD223" s="39">
        <v>129825.49</v>
      </c>
      <c r="AE223" s="39">
        <v>85525.94804</v>
      </c>
      <c r="AF223" s="40">
        <v>44299.54196</v>
      </c>
      <c r="AG223" s="99" t="s">
        <v>1636</v>
      </c>
      <c r="AH223" s="42"/>
      <c r="AI223" s="42" t="str">
        <f>IFERROR(__xludf.DUMMYFUNCTION("vLOOKUP(A223,IMPORTRANGE(""https://docs.google.com/spreadsheets/d/1Rawwwdh8wntXGy8isdYNHxsNQS4n_rC8JSdPfj6vEq4"",""'500 объектов перенос на 2026'!A3:AB502""),13,0)"),"#REF!")</f>
        <v>#REF!</v>
      </c>
      <c r="AJ223" s="42" t="str">
        <f>IFERROR(__xludf.DUMMYFUNCTION("vLOOKUP(A223,IMPORTRANGE(""https://docs.google.com/spreadsheets/d/1Rawwwdh8wntXGy8isdYNHxsNQS4n_rC8JSdPfj6vEq4"",""'500 объектов перенос на 2026'!A3:AB502""),14,0)"),"#REF!")</f>
        <v>#REF!</v>
      </c>
      <c r="AK223" s="76" t="s">
        <v>1637</v>
      </c>
      <c r="AL223" s="96"/>
      <c r="AM223" s="96"/>
      <c r="AN223" s="96"/>
      <c r="AO223" s="96"/>
    </row>
    <row r="224" hidden="1">
      <c r="A224" s="62" t="s">
        <v>1638</v>
      </c>
      <c r="B224" s="63" t="s">
        <v>1329</v>
      </c>
      <c r="C224" s="64" t="s">
        <v>1639</v>
      </c>
      <c r="D224" s="47" t="s">
        <v>1640</v>
      </c>
      <c r="E224" s="64" t="s">
        <v>39</v>
      </c>
      <c r="F224" s="31" t="s">
        <v>60</v>
      </c>
      <c r="G224" s="31"/>
      <c r="H224" s="31"/>
      <c r="I224" s="31" t="s">
        <v>40</v>
      </c>
      <c r="J224" s="31" t="s">
        <v>61</v>
      </c>
      <c r="K224" s="31" t="s">
        <v>1641</v>
      </c>
      <c r="L224" s="32">
        <f>IFERROR(__xludf.DUMMYFUNCTION("VLOOKUP($A224,IMPORTRANGE(""1PQtfbQLqBUP-rjYRznmgNFBLOjvAnhGzpIx7BJWq8rk"",""'Worksheet'!$B$2:$H""),7,FALSE)"),0.98)</f>
        <v>0.98</v>
      </c>
      <c r="M224" s="31" t="s">
        <v>45</v>
      </c>
      <c r="N224" s="49">
        <v>1.7711854878E8</v>
      </c>
      <c r="O224" s="49">
        <v>1.6995066758E8</v>
      </c>
      <c r="P224" s="49">
        <f t="shared" si="33"/>
        <v>7167881.2</v>
      </c>
      <c r="Q224" s="34">
        <f t="shared" si="3"/>
        <v>0.04046939888</v>
      </c>
      <c r="R224" s="31"/>
      <c r="S224" s="31" t="s">
        <v>45</v>
      </c>
      <c r="T224" s="91" t="s">
        <v>1642</v>
      </c>
      <c r="U224" s="51" t="s">
        <v>1643</v>
      </c>
      <c r="V224" s="51" t="s">
        <v>1644</v>
      </c>
      <c r="W224" s="31"/>
      <c r="X224" s="52" t="s">
        <v>1645</v>
      </c>
      <c r="Y224" s="54" t="s">
        <v>1646</v>
      </c>
      <c r="Z224" s="54" t="s">
        <v>1532</v>
      </c>
      <c r="AA224" s="74">
        <v>46223.0</v>
      </c>
      <c r="AB224" s="56"/>
      <c r="AC224" s="38"/>
      <c r="AD224" s="39">
        <v>177118.55</v>
      </c>
      <c r="AE224" s="39">
        <v>26481.33545</v>
      </c>
      <c r="AF224" s="40">
        <v>150637.2146</v>
      </c>
      <c r="AG224" s="99" t="s">
        <v>1647</v>
      </c>
      <c r="AH224" s="42" t="s">
        <v>1338</v>
      </c>
      <c r="AI224" s="42" t="str">
        <f>IFERROR(__xludf.DUMMYFUNCTION("vLOOKUP(A224,IMPORTRANGE(""https://docs.google.com/spreadsheets/d/1Rawwwdh8wntXGy8isdYNHxsNQS4n_rC8JSdPfj6vEq4"",""'500 объектов перенос на 2026'!A3:AB502""),13,0)"),"#REF!")</f>
        <v>#REF!</v>
      </c>
      <c r="AJ224" s="42" t="str">
        <f>IFERROR(__xludf.DUMMYFUNCTION("vLOOKUP(A224,IMPORTRANGE(""https://docs.google.com/spreadsheets/d/1Rawwwdh8wntXGy8isdYNHxsNQS4n_rC8JSdPfj6vEq4"",""'500 объектов перенос на 2026'!A3:AB502""),14,0)"),"#REF!")</f>
        <v>#REF!</v>
      </c>
      <c r="AK224" s="76" t="s">
        <v>1648</v>
      </c>
      <c r="AL224" s="43"/>
      <c r="AM224" s="43"/>
      <c r="AN224" s="43"/>
      <c r="AO224" s="43"/>
    </row>
    <row r="225" hidden="1">
      <c r="A225" s="62" t="s">
        <v>1649</v>
      </c>
      <c r="B225" s="63" t="s">
        <v>653</v>
      </c>
      <c r="C225" s="64" t="s">
        <v>1650</v>
      </c>
      <c r="D225" s="47" t="s">
        <v>848</v>
      </c>
      <c r="E225" s="64" t="s">
        <v>85</v>
      </c>
      <c r="F225" s="31" t="s">
        <v>40</v>
      </c>
      <c r="G225" s="31" t="s">
        <v>156</v>
      </c>
      <c r="H225" s="31" t="s">
        <v>974</v>
      </c>
      <c r="I225" s="31" t="s">
        <v>40</v>
      </c>
      <c r="J225" s="31" t="s">
        <v>61</v>
      </c>
      <c r="K225" s="31"/>
      <c r="L225" s="32">
        <f>IFERROR(__xludf.DUMMYFUNCTION("VLOOKUP($A225,IMPORTRANGE(""1PQtfbQLqBUP-rjYRznmgNFBLOjvAnhGzpIx7BJWq8rk"",""'Worksheet'!$B$2:$H""),7,FALSE)"),0.79)</f>
        <v>0.79</v>
      </c>
      <c r="M225" s="31" t="s">
        <v>40</v>
      </c>
      <c r="N225" s="49">
        <v>4.70691504E7</v>
      </c>
      <c r="O225" s="49">
        <v>2.35345752E7</v>
      </c>
      <c r="P225" s="49">
        <f t="shared" si="33"/>
        <v>23534575.2</v>
      </c>
      <c r="Q225" s="34">
        <f t="shared" si="3"/>
        <v>0.5</v>
      </c>
      <c r="R225" s="31"/>
      <c r="S225" s="31" t="s">
        <v>40</v>
      </c>
      <c r="T225" s="91" t="s">
        <v>1651</v>
      </c>
      <c r="U225" s="51">
        <v>0.0</v>
      </c>
      <c r="V225" s="51" t="s">
        <v>1651</v>
      </c>
      <c r="W225" s="31"/>
      <c r="X225" s="52" t="s">
        <v>1652</v>
      </c>
      <c r="Y225" s="54" t="s">
        <v>1653</v>
      </c>
      <c r="Z225" s="74"/>
      <c r="AA225" s="74">
        <v>46310.0</v>
      </c>
      <c r="AB225" s="56"/>
      <c r="AC225" s="38" t="s">
        <v>46</v>
      </c>
      <c r="AD225" s="39">
        <v>47069.15</v>
      </c>
      <c r="AE225" s="39">
        <v>23534.5752</v>
      </c>
      <c r="AF225" s="40">
        <v>23534.5748</v>
      </c>
      <c r="AG225" s="57" t="s">
        <v>1654</v>
      </c>
      <c r="AH225" s="42" t="s">
        <v>980</v>
      </c>
      <c r="AI225" s="42" t="str">
        <f>IFERROR(__xludf.DUMMYFUNCTION("vLOOKUP(A225,IMPORTRANGE(""https://docs.google.com/spreadsheets/d/1Rawwwdh8wntXGy8isdYNHxsNQS4n_rC8JSdPfj6vEq4"",""'500 объектов перенос на 2026'!A3:AB502""),13,0)"),"#REF!")</f>
        <v>#REF!</v>
      </c>
      <c r="AJ225" s="42" t="str">
        <f>IFERROR(__xludf.DUMMYFUNCTION("vLOOKUP(A225,IMPORTRANGE(""https://docs.google.com/spreadsheets/d/1Rawwwdh8wntXGy8isdYNHxsNQS4n_rC8JSdPfj6vEq4"",""'500 объектов перенос на 2026'!A3:AB502""),14,0)"),"#REF!")</f>
        <v>#REF!</v>
      </c>
      <c r="AK225" s="70" t="s">
        <v>3420</v>
      </c>
      <c r="AL225" s="43"/>
      <c r="AM225" s="43"/>
      <c r="AN225" s="43"/>
      <c r="AO225" s="43"/>
    </row>
    <row r="226" hidden="1">
      <c r="A226" s="62" t="s">
        <v>1656</v>
      </c>
      <c r="B226" s="63" t="s">
        <v>82</v>
      </c>
      <c r="C226" s="64" t="s">
        <v>1657</v>
      </c>
      <c r="D226" s="47" t="s">
        <v>323</v>
      </c>
      <c r="E226" s="64" t="s">
        <v>85</v>
      </c>
      <c r="F226" s="31" t="s">
        <v>60</v>
      </c>
      <c r="G226" s="31"/>
      <c r="H226" s="31"/>
      <c r="I226" s="31" t="s">
        <v>40</v>
      </c>
      <c r="J226" s="31" t="s">
        <v>61</v>
      </c>
      <c r="K226" s="31" t="s">
        <v>72</v>
      </c>
      <c r="L226" s="32">
        <f>IFERROR(__xludf.DUMMYFUNCTION("VLOOKUP($A226,IMPORTRANGE(""1PQtfbQLqBUP-rjYRznmgNFBLOjvAnhGzpIx7BJWq8rk"",""'Worksheet'!$B$2:$H""),7,FALSE)"),0.55)</f>
        <v>0.55</v>
      </c>
      <c r="M226" s="31" t="s">
        <v>40</v>
      </c>
      <c r="N226" s="49">
        <v>4.628220442E7</v>
      </c>
      <c r="O226" s="49">
        <v>2.314110221E7</v>
      </c>
      <c r="P226" s="49">
        <f t="shared" si="33"/>
        <v>23141102.21</v>
      </c>
      <c r="Q226" s="34">
        <f t="shared" si="3"/>
        <v>0.5</v>
      </c>
      <c r="R226" s="31"/>
      <c r="S226" s="31" t="s">
        <v>45</v>
      </c>
      <c r="T226" s="50" t="s">
        <v>1658</v>
      </c>
      <c r="U226" s="51">
        <v>0.0</v>
      </c>
      <c r="V226" s="51" t="s">
        <v>1658</v>
      </c>
      <c r="W226" s="31"/>
      <c r="X226" s="52" t="s">
        <v>1659</v>
      </c>
      <c r="Y226" s="54" t="s">
        <v>1660</v>
      </c>
      <c r="Z226" s="54" t="s">
        <v>1152</v>
      </c>
      <c r="AA226" s="74">
        <v>46203.0</v>
      </c>
      <c r="AB226" s="56"/>
      <c r="AC226" s="38" t="s">
        <v>789</v>
      </c>
      <c r="AD226" s="39">
        <v>40984.17</v>
      </c>
      <c r="AE226" s="39">
        <v>24224.7675</v>
      </c>
      <c r="AF226" s="40">
        <v>16759.4025</v>
      </c>
      <c r="AG226" s="57" t="s">
        <v>1661</v>
      </c>
      <c r="AH226" s="42" t="s">
        <v>1662</v>
      </c>
      <c r="AI226" s="42" t="str">
        <f>IFERROR(__xludf.DUMMYFUNCTION("vLOOKUP(A226,IMPORTRANGE(""https://docs.google.com/spreadsheets/d/1Rawwwdh8wntXGy8isdYNHxsNQS4n_rC8JSdPfj6vEq4"",""'500 объектов перенос на 2026'!A3:AB502""),13,0)"),"#REF!")</f>
        <v>#REF!</v>
      </c>
      <c r="AJ226" s="42" t="str">
        <f>IFERROR(__xludf.DUMMYFUNCTION("vLOOKUP(A226,IMPORTRANGE(""https://docs.google.com/spreadsheets/d/1Rawwwdh8wntXGy8isdYNHxsNQS4n_rC8JSdPfj6vEq4"",""'500 объектов перенос на 2026'!A3:AB502""),14,0)"),"#REF!")</f>
        <v>#REF!</v>
      </c>
      <c r="AK226" s="76" t="s">
        <v>3421</v>
      </c>
      <c r="AL226" s="43"/>
      <c r="AM226" s="43"/>
      <c r="AN226" s="43"/>
      <c r="AO226" s="43"/>
    </row>
    <row r="227" hidden="1">
      <c r="A227" s="62" t="s">
        <v>1665</v>
      </c>
      <c r="B227" s="63" t="s">
        <v>605</v>
      </c>
      <c r="C227" s="90" t="s">
        <v>1666</v>
      </c>
      <c r="D227" s="47" t="s">
        <v>179</v>
      </c>
      <c r="E227" s="64" t="s">
        <v>39</v>
      </c>
      <c r="F227" s="31" t="s">
        <v>60</v>
      </c>
      <c r="G227" s="31"/>
      <c r="H227" s="31"/>
      <c r="I227" s="31" t="s">
        <v>60</v>
      </c>
      <c r="J227" s="31"/>
      <c r="K227" s="31"/>
      <c r="L227" s="32">
        <f>IFERROR(__xludf.DUMMYFUNCTION("VLOOKUP($A227,IMPORTRANGE(""1PQtfbQLqBUP-rjYRznmgNFBLOjvAnhGzpIx7BJWq8rk"",""'Worksheet'!$B$2:$H""),7,FALSE)"),1.0)</f>
        <v>1</v>
      </c>
      <c r="M227" s="31" t="s">
        <v>45</v>
      </c>
      <c r="N227" s="49">
        <v>3.253012762E7</v>
      </c>
      <c r="O227" s="49">
        <v>9600000.0</v>
      </c>
      <c r="P227" s="49">
        <f t="shared" si="33"/>
        <v>22930127.62</v>
      </c>
      <c r="Q227" s="34">
        <f t="shared" si="3"/>
        <v>0.7048889536</v>
      </c>
      <c r="R227" s="31"/>
      <c r="S227" s="31" t="s">
        <v>60</v>
      </c>
      <c r="T227" s="65" t="s">
        <v>1667</v>
      </c>
      <c r="U227" s="67" t="s">
        <v>1667</v>
      </c>
      <c r="V227" s="67">
        <v>0.0</v>
      </c>
      <c r="W227" s="31"/>
      <c r="X227" s="52" t="s">
        <v>507</v>
      </c>
      <c r="Y227" s="54" t="s">
        <v>1668</v>
      </c>
      <c r="Z227" s="54" t="s">
        <v>75</v>
      </c>
      <c r="AA227" s="74">
        <v>46265.0</v>
      </c>
      <c r="AB227" s="56"/>
      <c r="AC227" s="38"/>
      <c r="AD227" s="39">
        <v>32858.71477</v>
      </c>
      <c r="AE227" s="39">
        <v>9459.76111</v>
      </c>
      <c r="AF227" s="40">
        <v>23398.95366</v>
      </c>
      <c r="AG227" s="162" t="s">
        <v>1669</v>
      </c>
      <c r="AH227" s="85"/>
      <c r="AI227" s="42" t="str">
        <f>IFERROR(__xludf.DUMMYFUNCTION("vLOOKUP(A227,IMPORTRANGE(""https://docs.google.com/spreadsheets/d/1Rawwwdh8wntXGy8isdYNHxsNQS4n_rC8JSdPfj6vEq4"",""'500 объектов перенос на 2026'!A3:AB502""),13,0)"),"#REF!")</f>
        <v>#REF!</v>
      </c>
      <c r="AJ227" s="42" t="str">
        <f>IFERROR(__xludf.DUMMYFUNCTION("vLOOKUP(A227,IMPORTRANGE(""https://docs.google.com/spreadsheets/d/1Rawwwdh8wntXGy8isdYNHxsNQS4n_rC8JSdPfj6vEq4"",""'500 объектов перенос на 2026'!A3:AB502""),14,0)"),"#REF!")</f>
        <v>#REF!</v>
      </c>
      <c r="AK227" s="76" t="s">
        <v>3422</v>
      </c>
      <c r="AL227" s="43"/>
      <c r="AM227" s="43"/>
      <c r="AN227" s="43"/>
      <c r="AO227" s="43"/>
    </row>
    <row r="228" hidden="1">
      <c r="A228" s="62" t="s">
        <v>1671</v>
      </c>
      <c r="B228" s="164" t="s">
        <v>400</v>
      </c>
      <c r="C228" s="64" t="s">
        <v>1672</v>
      </c>
      <c r="D228" s="47" t="s">
        <v>1546</v>
      </c>
      <c r="E228" s="64" t="s">
        <v>85</v>
      </c>
      <c r="F228" s="31" t="s">
        <v>60</v>
      </c>
      <c r="G228" s="31"/>
      <c r="H228" s="31"/>
      <c r="I228" s="31" t="s">
        <v>60</v>
      </c>
      <c r="J228" s="31"/>
      <c r="K228" s="31"/>
      <c r="L228" s="32">
        <f>IFERROR(__xludf.DUMMYFUNCTION("VLOOKUP($A228,IMPORTRANGE(""1PQtfbQLqBUP-rjYRznmgNFBLOjvAnhGzpIx7BJWq8rk"",""'Worksheet'!$B$2:$H""),7,FALSE)"),0.95)</f>
        <v>0.95</v>
      </c>
      <c r="M228" s="31" t="s">
        <v>60</v>
      </c>
      <c r="N228" s="49">
        <v>1.07354297E7</v>
      </c>
      <c r="O228" s="49">
        <v>1.00418E7</v>
      </c>
      <c r="P228" s="49">
        <v>0.0</v>
      </c>
      <c r="Q228" s="34">
        <f t="shared" si="3"/>
        <v>0.06461126563</v>
      </c>
      <c r="R228" s="31"/>
      <c r="S228" s="31" t="s">
        <v>60</v>
      </c>
      <c r="T228" s="50"/>
      <c r="U228" s="51" t="s">
        <v>1673</v>
      </c>
      <c r="V228" s="51">
        <v>0.0</v>
      </c>
      <c r="W228" s="31"/>
      <c r="X228" s="52" t="s">
        <v>803</v>
      </c>
      <c r="Y228" s="54"/>
      <c r="Z228" s="54"/>
      <c r="AA228" s="54" t="s">
        <v>1674</v>
      </c>
      <c r="AB228" s="56"/>
      <c r="AC228" s="38"/>
      <c r="AD228" s="39">
        <v>20083.6</v>
      </c>
      <c r="AE228" s="39">
        <v>10041.8</v>
      </c>
      <c r="AF228" s="40">
        <v>10041.8</v>
      </c>
      <c r="AG228" s="99" t="s">
        <v>1675</v>
      </c>
      <c r="AH228" s="42" t="s">
        <v>1338</v>
      </c>
      <c r="AI228" s="42" t="str">
        <f>IFERROR(__xludf.DUMMYFUNCTION("vLOOKUP(A228,IMPORTRANGE(""https://docs.google.com/spreadsheets/d/1Rawwwdh8wntXGy8isdYNHxsNQS4n_rC8JSdPfj6vEq4"",""'500 объектов перенос на 2026'!A3:AB502""),13,0)"),"#REF!")</f>
        <v>#REF!</v>
      </c>
      <c r="AJ228" s="42" t="str">
        <f>IFERROR(__xludf.DUMMYFUNCTION("vLOOKUP(A228,IMPORTRANGE(""https://docs.google.com/spreadsheets/d/1Rawwwdh8wntXGy8isdYNHxsNQS4n_rC8JSdPfj6vEq4"",""'500 объектов перенос на 2026'!A3:AB502""),14,0)"),"#REF!")</f>
        <v>#REF!</v>
      </c>
      <c r="AK228" s="76" t="s">
        <v>114</v>
      </c>
      <c r="AL228" s="43"/>
      <c r="AM228" s="43"/>
      <c r="AN228" s="43"/>
      <c r="AO228" s="43"/>
    </row>
    <row r="229" hidden="1">
      <c r="A229" s="62" t="s">
        <v>1676</v>
      </c>
      <c r="B229" s="63" t="s">
        <v>177</v>
      </c>
      <c r="C229" s="64" t="s">
        <v>1677</v>
      </c>
      <c r="D229" s="47" t="s">
        <v>179</v>
      </c>
      <c r="E229" s="64" t="s">
        <v>85</v>
      </c>
      <c r="F229" s="31" t="s">
        <v>60</v>
      </c>
      <c r="G229" s="31"/>
      <c r="H229" s="31"/>
      <c r="I229" s="31" t="s">
        <v>60</v>
      </c>
      <c r="J229" s="31"/>
      <c r="K229" s="31"/>
      <c r="L229" s="32">
        <f>IFERROR(__xludf.DUMMYFUNCTION("VLOOKUP($A229,IMPORTRANGE(""1PQtfbQLqBUP-rjYRznmgNFBLOjvAnhGzpIx7BJWq8rk"",""'Worksheet'!$B$2:$H""),7,FALSE)"),1.0)</f>
        <v>1</v>
      </c>
      <c r="M229" s="31" t="s">
        <v>45</v>
      </c>
      <c r="N229" s="49">
        <v>2.885495E7</v>
      </c>
      <c r="O229" s="49">
        <v>1.285159971E7</v>
      </c>
      <c r="P229" s="49">
        <f t="shared" ref="P229:P234" si="35">N229-O229</f>
        <v>16003350.29</v>
      </c>
      <c r="Q229" s="34">
        <f t="shared" si="3"/>
        <v>0.5546136899</v>
      </c>
      <c r="R229" s="31"/>
      <c r="S229" s="31" t="s">
        <v>40</v>
      </c>
      <c r="T229" s="72" t="s">
        <v>1679</v>
      </c>
      <c r="U229" s="67" t="s">
        <v>1680</v>
      </c>
      <c r="V229" s="67" t="s">
        <v>1681</v>
      </c>
      <c r="W229" s="31" t="s">
        <v>183</v>
      </c>
      <c r="X229" s="52" t="s">
        <v>1682</v>
      </c>
      <c r="Y229" s="54" t="s">
        <v>1683</v>
      </c>
      <c r="Z229" s="54" t="s">
        <v>186</v>
      </c>
      <c r="AA229" s="74">
        <v>46235.0</v>
      </c>
      <c r="AB229" s="56"/>
      <c r="AC229" s="38"/>
      <c r="AD229" s="39">
        <v>12850.0</v>
      </c>
      <c r="AE229" s="39">
        <v>6425.0</v>
      </c>
      <c r="AF229" s="40">
        <v>6425.0</v>
      </c>
      <c r="AG229" s="93" t="s">
        <v>3423</v>
      </c>
      <c r="AH229" s="85"/>
      <c r="AI229" s="42" t="str">
        <f>IFERROR(__xludf.DUMMYFUNCTION("vLOOKUP(A229,IMPORTRANGE(""https://docs.google.com/spreadsheets/d/1Rawwwdh8wntXGy8isdYNHxsNQS4n_rC8JSdPfj6vEq4"",""'500 объектов перенос на 2026'!A3:AB502""),13,0)"),"#REF!")</f>
        <v>#REF!</v>
      </c>
      <c r="AJ229" s="42" t="str">
        <f>IFERROR(__xludf.DUMMYFUNCTION("vLOOKUP(A229,IMPORTRANGE(""https://docs.google.com/spreadsheets/d/1Rawwwdh8wntXGy8isdYNHxsNQS4n_rC8JSdPfj6vEq4"",""'500 объектов перенос на 2026'!A3:AB502""),14,0)"),"#REF!")</f>
        <v>#REF!</v>
      </c>
      <c r="AK229" s="76" t="s">
        <v>3424</v>
      </c>
      <c r="AL229" s="43"/>
      <c r="AM229" s="43"/>
      <c r="AN229" s="43"/>
      <c r="AO229" s="43"/>
    </row>
    <row r="230" hidden="1">
      <c r="A230" s="62" t="s">
        <v>1687</v>
      </c>
      <c r="B230" s="63" t="s">
        <v>635</v>
      </c>
      <c r="C230" s="64" t="s">
        <v>1688</v>
      </c>
      <c r="D230" s="47" t="s">
        <v>1210</v>
      </c>
      <c r="E230" s="64" t="s">
        <v>85</v>
      </c>
      <c r="F230" s="31" t="s">
        <v>60</v>
      </c>
      <c r="G230" s="31"/>
      <c r="H230" s="31"/>
      <c r="I230" s="31" t="s">
        <v>60</v>
      </c>
      <c r="J230" s="31"/>
      <c r="K230" s="31"/>
      <c r="L230" s="32">
        <f>IFERROR(__xludf.DUMMYFUNCTION("VLOOKUP($A230,IMPORTRANGE(""1PQtfbQLqBUP-rjYRznmgNFBLOjvAnhGzpIx7BJWq8rk"",""'Worksheet'!$B$2:$H""),7,FALSE)"),0.99)</f>
        <v>0.99</v>
      </c>
      <c r="M230" s="31" t="s">
        <v>45</v>
      </c>
      <c r="N230" s="49">
        <v>3.658023667E7</v>
      </c>
      <c r="O230" s="49">
        <v>1.403055764E7</v>
      </c>
      <c r="P230" s="49">
        <f t="shared" si="35"/>
        <v>22549679.03</v>
      </c>
      <c r="Q230" s="34">
        <f t="shared" si="3"/>
        <v>0.6164443176</v>
      </c>
      <c r="R230" s="31"/>
      <c r="S230" s="31" t="s">
        <v>40</v>
      </c>
      <c r="T230" s="91" t="s">
        <v>1689</v>
      </c>
      <c r="U230" s="51">
        <v>0.0</v>
      </c>
      <c r="V230" s="51" t="s">
        <v>1689</v>
      </c>
      <c r="W230" s="31" t="s">
        <v>183</v>
      </c>
      <c r="X230" s="52" t="s">
        <v>1690</v>
      </c>
      <c r="Y230" s="54" t="s">
        <v>1691</v>
      </c>
      <c r="Z230" s="54" t="s">
        <v>1245</v>
      </c>
      <c r="AA230" s="68">
        <v>46202.0</v>
      </c>
      <c r="AB230" s="56"/>
      <c r="AC230" s="38" t="s">
        <v>1246</v>
      </c>
      <c r="AD230" s="39">
        <v>40204.0</v>
      </c>
      <c r="AE230" s="39">
        <v>14274.83628</v>
      </c>
      <c r="AF230" s="40">
        <v>25929.16372</v>
      </c>
      <c r="AG230" s="57" t="s">
        <v>1692</v>
      </c>
      <c r="AH230" s="42" t="s">
        <v>1693</v>
      </c>
      <c r="AI230" s="42" t="str">
        <f>IFERROR(__xludf.DUMMYFUNCTION("vLOOKUP(A230,IMPORTRANGE(""https://docs.google.com/spreadsheets/d/1Rawwwdh8wntXGy8isdYNHxsNQS4n_rC8JSdPfj6vEq4"",""'500 объектов перенос на 2026'!A3:AB502""),13,0)"),"#REF!")</f>
        <v>#REF!</v>
      </c>
      <c r="AJ230" s="42" t="str">
        <f>IFERROR(__xludf.DUMMYFUNCTION("vLOOKUP(A230,IMPORTRANGE(""https://docs.google.com/spreadsheets/d/1Rawwwdh8wntXGy8isdYNHxsNQS4n_rC8JSdPfj6vEq4"",""'500 объектов перенос на 2026'!A3:AB502""),14,0)"),"#REF!")</f>
        <v>#REF!</v>
      </c>
      <c r="AK230" s="140"/>
      <c r="AL230" s="43"/>
      <c r="AM230" s="43"/>
      <c r="AN230" s="43"/>
      <c r="AO230" s="43"/>
    </row>
    <row r="231" hidden="1">
      <c r="A231" s="62" t="s">
        <v>1696</v>
      </c>
      <c r="B231" s="63" t="s">
        <v>177</v>
      </c>
      <c r="C231" s="90" t="s">
        <v>1697</v>
      </c>
      <c r="D231" s="47" t="s">
        <v>179</v>
      </c>
      <c r="E231" s="64" t="s">
        <v>85</v>
      </c>
      <c r="F231" s="31" t="s">
        <v>60</v>
      </c>
      <c r="G231" s="31"/>
      <c r="H231" s="31"/>
      <c r="I231" s="31" t="s">
        <v>60</v>
      </c>
      <c r="J231" s="31"/>
      <c r="K231" s="31"/>
      <c r="L231" s="32">
        <f>IFERROR(__xludf.DUMMYFUNCTION("VLOOKUP($A231,IMPORTRANGE(""1PQtfbQLqBUP-rjYRznmgNFBLOjvAnhGzpIx7BJWq8rk"",""'Worksheet'!$B$2:$H""),7,FALSE)"),0.99)</f>
        <v>0.99</v>
      </c>
      <c r="M231" s="31" t="s">
        <v>40</v>
      </c>
      <c r="N231" s="49">
        <v>3.179E7</v>
      </c>
      <c r="O231" s="49">
        <v>0.0</v>
      </c>
      <c r="P231" s="49">
        <f t="shared" si="35"/>
        <v>31790000</v>
      </c>
      <c r="Q231" s="34">
        <f t="shared" si="3"/>
        <v>1</v>
      </c>
      <c r="R231" s="31"/>
      <c r="S231" s="31" t="s">
        <v>45</v>
      </c>
      <c r="T231" s="72" t="s">
        <v>1698</v>
      </c>
      <c r="U231" s="67" t="s">
        <v>1699</v>
      </c>
      <c r="V231" s="67" t="s">
        <v>1700</v>
      </c>
      <c r="W231" s="31" t="s">
        <v>148</v>
      </c>
      <c r="X231" s="52" t="s">
        <v>184</v>
      </c>
      <c r="Y231" s="54" t="s">
        <v>1701</v>
      </c>
      <c r="Z231" s="54" t="s">
        <v>186</v>
      </c>
      <c r="AA231" s="74">
        <v>46188.0</v>
      </c>
      <c r="AB231" s="56"/>
      <c r="AC231" s="38"/>
      <c r="AD231" s="39">
        <v>31790.0</v>
      </c>
      <c r="AE231" s="39">
        <v>9537.0</v>
      </c>
      <c r="AF231" s="40">
        <v>22253.0</v>
      </c>
      <c r="AG231" s="93" t="s">
        <v>3425</v>
      </c>
      <c r="AH231" s="85"/>
      <c r="AI231" s="42" t="str">
        <f>IFERROR(__xludf.DUMMYFUNCTION("vLOOKUP(A231,IMPORTRANGE(""https://docs.google.com/spreadsheets/d/1Rawwwdh8wntXGy8isdYNHxsNQS4n_rC8JSdPfj6vEq4"",""'500 объектов перенос на 2026'!A3:AB502""),13,0)"),"#REF!")</f>
        <v>#REF!</v>
      </c>
      <c r="AJ231" s="42" t="str">
        <f>IFERROR(__xludf.DUMMYFUNCTION("vLOOKUP(A231,IMPORTRANGE(""https://docs.google.com/spreadsheets/d/1Rawwwdh8wntXGy8isdYNHxsNQS4n_rC8JSdPfj6vEq4"",""'500 объектов перенос на 2026'!A3:AB502""),14,0)"),"#REF!")</f>
        <v>#REF!</v>
      </c>
      <c r="AK231" s="76" t="s">
        <v>3426</v>
      </c>
      <c r="AL231" s="43"/>
      <c r="AM231" s="43"/>
      <c r="AN231" s="43"/>
      <c r="AO231" s="43"/>
    </row>
    <row r="232" hidden="1">
      <c r="A232" s="62" t="s">
        <v>1705</v>
      </c>
      <c r="B232" s="63" t="s">
        <v>56</v>
      </c>
      <c r="C232" s="64" t="s">
        <v>1706</v>
      </c>
      <c r="D232" s="47" t="s">
        <v>311</v>
      </c>
      <c r="E232" s="64" t="s">
        <v>85</v>
      </c>
      <c r="F232" s="31" t="s">
        <v>60</v>
      </c>
      <c r="G232" s="31"/>
      <c r="H232" s="31"/>
      <c r="I232" s="31" t="s">
        <v>40</v>
      </c>
      <c r="J232" s="31" t="s">
        <v>61</v>
      </c>
      <c r="K232" s="31" t="s">
        <v>72</v>
      </c>
      <c r="L232" s="32">
        <f>IFERROR(__xludf.DUMMYFUNCTION("VLOOKUP($A232,IMPORTRANGE(""1PQtfbQLqBUP-rjYRznmgNFBLOjvAnhGzpIx7BJWq8rk"",""'Worksheet'!$B$2:$H""),7,FALSE)"),0.96)</f>
        <v>0.96</v>
      </c>
      <c r="M232" s="31" t="s">
        <v>45</v>
      </c>
      <c r="N232" s="49">
        <v>2.9681377266E8</v>
      </c>
      <c r="O232" s="49">
        <v>2.7462775518E8</v>
      </c>
      <c r="P232" s="49">
        <f t="shared" si="35"/>
        <v>22186017.48</v>
      </c>
      <c r="Q232" s="34">
        <f t="shared" si="3"/>
        <v>0.07474726419</v>
      </c>
      <c r="R232" s="31"/>
      <c r="S232" s="31" t="s">
        <v>45</v>
      </c>
      <c r="T232" s="72" t="s">
        <v>1707</v>
      </c>
      <c r="U232" s="67" t="s">
        <v>1708</v>
      </c>
      <c r="V232" s="67" t="s">
        <v>1709</v>
      </c>
      <c r="W232" s="31"/>
      <c r="X232" s="52" t="s">
        <v>1710</v>
      </c>
      <c r="Y232" s="54" t="s">
        <v>1711</v>
      </c>
      <c r="Z232" s="74"/>
      <c r="AA232" s="68">
        <v>46233.0</v>
      </c>
      <c r="AB232" s="56"/>
      <c r="AC232" s="38"/>
      <c r="AD232" s="39">
        <v>296813.77</v>
      </c>
      <c r="AE232" s="39">
        <v>274627.7518</v>
      </c>
      <c r="AF232" s="40">
        <v>22186.01819</v>
      </c>
      <c r="AG232" s="99" t="s">
        <v>1712</v>
      </c>
      <c r="AH232" s="69" t="s">
        <v>66</v>
      </c>
      <c r="AI232" s="42" t="str">
        <f>IFERROR(__xludf.DUMMYFUNCTION("vLOOKUP(A232,IMPORTRANGE(""https://docs.google.com/spreadsheets/d/1Rawwwdh8wntXGy8isdYNHxsNQS4n_rC8JSdPfj6vEq4"",""'500 объектов перенос на 2026'!A3:AB502""),13,0)"),"#REF!")</f>
        <v>#REF!</v>
      </c>
      <c r="AJ232" s="42" t="str">
        <f>IFERROR(__xludf.DUMMYFUNCTION("vLOOKUP(A232,IMPORTRANGE(""https://docs.google.com/spreadsheets/d/1Rawwwdh8wntXGy8isdYNHxsNQS4n_rC8JSdPfj6vEq4"",""'500 объектов перенос на 2026'!A3:AB502""),14,0)"),"#REF!")</f>
        <v>#REF!</v>
      </c>
      <c r="AK232" s="76" t="s">
        <v>2009</v>
      </c>
      <c r="AL232" s="43"/>
      <c r="AM232" s="43"/>
      <c r="AN232" s="43"/>
      <c r="AO232" s="43"/>
    </row>
    <row r="233" hidden="1">
      <c r="A233" s="165" t="s">
        <v>60</v>
      </c>
      <c r="B233" s="63" t="s">
        <v>635</v>
      </c>
      <c r="C233" s="64" t="s">
        <v>1713</v>
      </c>
      <c r="D233" s="47" t="s">
        <v>812</v>
      </c>
      <c r="E233" s="64" t="s">
        <v>85</v>
      </c>
      <c r="F233" s="31" t="s">
        <v>60</v>
      </c>
      <c r="G233" s="31"/>
      <c r="H233" s="31"/>
      <c r="I233" s="31" t="s">
        <v>40</v>
      </c>
      <c r="J233" s="31" t="s">
        <v>61</v>
      </c>
      <c r="K233" s="31" t="s">
        <v>72</v>
      </c>
      <c r="L233" s="32" t="str">
        <f>IFERROR(__xludf.DUMMYFUNCTION("VLOOKUP($A233,IMPORTRANGE(""1PQtfbQLqBUP-rjYRznmgNFBLOjvAnhGzpIx7BJWq8rk"",""'Worksheet'!$B$2:$H""),7,FALSE)"),"#N/A")</f>
        <v>#N/A</v>
      </c>
      <c r="M233" s="31" t="s">
        <v>45</v>
      </c>
      <c r="N233" s="49">
        <v>6.738167678E7</v>
      </c>
      <c r="O233" s="49">
        <v>4.543619192E7</v>
      </c>
      <c r="P233" s="49">
        <f t="shared" si="35"/>
        <v>21945484.86</v>
      </c>
      <c r="Q233" s="34">
        <f t="shared" si="3"/>
        <v>0.3256892068</v>
      </c>
      <c r="R233" s="31"/>
      <c r="S233" s="31" t="s">
        <v>45</v>
      </c>
      <c r="T233" s="50" t="s">
        <v>1714</v>
      </c>
      <c r="U233" s="51" t="s">
        <v>1715</v>
      </c>
      <c r="V233" s="51" t="s">
        <v>1716</v>
      </c>
      <c r="W233" s="31"/>
      <c r="X233" s="52" t="s">
        <v>45</v>
      </c>
      <c r="Y233" s="54" t="s">
        <v>1717</v>
      </c>
      <c r="Z233" s="54" t="s">
        <v>1718</v>
      </c>
      <c r="AA233" s="74">
        <v>46234.0</v>
      </c>
      <c r="AB233" s="56"/>
      <c r="AC233" s="38" t="s">
        <v>1719</v>
      </c>
      <c r="AD233" s="39">
        <v>67381.68</v>
      </c>
      <c r="AE233" s="39">
        <v>45446.19192</v>
      </c>
      <c r="AF233" s="40">
        <v>21935.48808</v>
      </c>
      <c r="AG233" s="57" t="s">
        <v>1720</v>
      </c>
      <c r="AH233" s="42" t="s">
        <v>49</v>
      </c>
      <c r="AI233" s="42" t="str">
        <f>IFERROR(__xludf.DUMMYFUNCTION("vLOOKUP(#REF!,IMPORTRANGE(""https://docs.google.com/spreadsheets/d/1Rawwwdh8wntXGy8isdYNHxsNQS4n_rC8JSdPfj6vEq4"",""'500 объектов перенос на 2026'!A3:AB502""),13,0)"),"#REF!")</f>
        <v>#REF!</v>
      </c>
      <c r="AJ233" s="42" t="str">
        <f>IFERROR(__xludf.DUMMYFUNCTION("vLOOKUP(#REF!,IMPORTRANGE(""https://docs.google.com/spreadsheets/d/1Rawwwdh8wntXGy8isdYNHxsNQS4n_rC8JSdPfj6vEq4"",""'500 объектов перенос на 2026'!A3:AB502""),14,0)"),"#REF!")</f>
        <v>#REF!</v>
      </c>
      <c r="AK233" s="140"/>
      <c r="AL233" s="43"/>
      <c r="AM233" s="43"/>
      <c r="AN233" s="43"/>
      <c r="AO233" s="43"/>
    </row>
    <row r="234" hidden="1">
      <c r="A234" s="62" t="s">
        <v>1721</v>
      </c>
      <c r="B234" s="63" t="s">
        <v>736</v>
      </c>
      <c r="C234" s="64" t="s">
        <v>1722</v>
      </c>
      <c r="D234" s="47" t="s">
        <v>101</v>
      </c>
      <c r="E234" s="64" t="s">
        <v>39</v>
      </c>
      <c r="F234" s="31" t="s">
        <v>60</v>
      </c>
      <c r="G234" s="31"/>
      <c r="H234" s="31"/>
      <c r="I234" s="31" t="s">
        <v>60</v>
      </c>
      <c r="J234" s="31"/>
      <c r="K234" s="31"/>
      <c r="L234" s="32">
        <f>IFERROR(__xludf.DUMMYFUNCTION("VLOOKUP($A234,IMPORTRANGE(""1PQtfbQLqBUP-rjYRznmgNFBLOjvAnhGzpIx7BJWq8rk"",""'Worksheet'!$B$2:$H""),7,FALSE)"),1.0)</f>
        <v>1</v>
      </c>
      <c r="M234" s="31" t="s">
        <v>45</v>
      </c>
      <c r="N234" s="49">
        <v>4.74863126E7</v>
      </c>
      <c r="O234" s="49">
        <v>2.630642657E7</v>
      </c>
      <c r="P234" s="49">
        <f t="shared" si="35"/>
        <v>21179886.03</v>
      </c>
      <c r="Q234" s="34">
        <f t="shared" si="3"/>
        <v>0.446020861</v>
      </c>
      <c r="R234" s="31"/>
      <c r="S234" s="31" t="s">
        <v>45</v>
      </c>
      <c r="T234" s="50" t="s">
        <v>1723</v>
      </c>
      <c r="U234" s="51" t="s">
        <v>1724</v>
      </c>
      <c r="V234" s="51" t="s">
        <v>1725</v>
      </c>
      <c r="W234" s="31" t="s">
        <v>148</v>
      </c>
      <c r="X234" s="52" t="s">
        <v>600</v>
      </c>
      <c r="Y234" s="54" t="s">
        <v>1726</v>
      </c>
      <c r="Z234" s="54" t="s">
        <v>743</v>
      </c>
      <c r="AA234" s="74">
        <v>46188.0</v>
      </c>
      <c r="AB234" s="56"/>
      <c r="AC234" s="38"/>
      <c r="AD234" s="39">
        <v>37641.44</v>
      </c>
      <c r="AE234" s="39">
        <v>36813.58413</v>
      </c>
      <c r="AF234" s="40">
        <v>827.85587</v>
      </c>
      <c r="AG234" s="57" t="s">
        <v>1727</v>
      </c>
      <c r="AH234" s="42" t="s">
        <v>1338</v>
      </c>
      <c r="AI234" s="42" t="str">
        <f>IFERROR(__xludf.DUMMYFUNCTION("vLOOKUP(A234,IMPORTRANGE(""https://docs.google.com/spreadsheets/d/1Rawwwdh8wntXGy8isdYNHxsNQS4n_rC8JSdPfj6vEq4"",""'500 объектов перенос на 2026'!A3:AB502""),13,0)"),"#REF!")</f>
        <v>#REF!</v>
      </c>
      <c r="AJ234" s="42" t="str">
        <f>IFERROR(__xludf.DUMMYFUNCTION("vLOOKUP(A234,IMPORTRANGE(""https://docs.google.com/spreadsheets/d/1Rawwwdh8wntXGy8isdYNHxsNQS4n_rC8JSdPfj6vEq4"",""'500 объектов перенос на 2026'!A3:AB502""),14,0)"),"#REF!")</f>
        <v>#REF!</v>
      </c>
      <c r="AK234" s="76" t="s">
        <v>3427</v>
      </c>
      <c r="AL234" s="43"/>
      <c r="AM234" s="43"/>
      <c r="AN234" s="43"/>
      <c r="AO234" s="43"/>
    </row>
    <row r="235" hidden="1">
      <c r="A235" s="78" t="s">
        <v>1728</v>
      </c>
      <c r="B235" s="63" t="s">
        <v>36</v>
      </c>
      <c r="C235" s="64" t="s">
        <v>1729</v>
      </c>
      <c r="D235" s="47" t="s">
        <v>311</v>
      </c>
      <c r="E235" s="90" t="s">
        <v>85</v>
      </c>
      <c r="F235" s="31" t="s">
        <v>60</v>
      </c>
      <c r="G235" s="31"/>
      <c r="H235" s="31"/>
      <c r="I235" s="31" t="s">
        <v>60</v>
      </c>
      <c r="J235" s="31"/>
      <c r="K235" s="31"/>
      <c r="L235" s="32" t="str">
        <f>IFERROR(__xludf.DUMMYFUNCTION("VLOOKUP($A235,IMPORTRANGE(""1PQtfbQLqBUP-rjYRznmgNFBLOjvAnhGzpIx7BJWq8rk"",""'Worksheet'!$B$2:$H""),7,FALSE)"),"#N/A")</f>
        <v>#N/A</v>
      </c>
      <c r="M235" s="31" t="s">
        <v>60</v>
      </c>
      <c r="N235" s="49">
        <v>1.3131761281E8</v>
      </c>
      <c r="O235" s="49">
        <v>1.0584260471E8</v>
      </c>
      <c r="P235" s="49">
        <v>0.0</v>
      </c>
      <c r="Q235" s="34">
        <f t="shared" si="3"/>
        <v>0.193995364</v>
      </c>
      <c r="R235" s="31"/>
      <c r="S235" s="31" t="s">
        <v>60</v>
      </c>
      <c r="T235" s="50"/>
      <c r="U235" s="51"/>
      <c r="V235" s="51"/>
      <c r="W235" s="31"/>
      <c r="X235" s="52" t="s">
        <v>113</v>
      </c>
      <c r="Y235" s="54"/>
      <c r="Z235" s="54"/>
      <c r="AA235" s="54" t="s">
        <v>114</v>
      </c>
      <c r="AB235" s="38" t="s">
        <v>115</v>
      </c>
      <c r="AC235" s="38"/>
      <c r="AD235" s="39">
        <v>149677.0</v>
      </c>
      <c r="AE235" s="39">
        <v>105842.6047</v>
      </c>
      <c r="AF235" s="39">
        <v>43834.39529</v>
      </c>
      <c r="AG235" s="57" t="s">
        <v>1730</v>
      </c>
      <c r="AH235" s="42" t="s">
        <v>1385</v>
      </c>
      <c r="AI235" s="42" t="str">
        <f>IFERROR(__xludf.DUMMYFUNCTION("vLOOKUP(A235,IMPORTRANGE(""https://docs.google.com/spreadsheets/d/1Rawwwdh8wntXGy8isdYNHxsNQS4n_rC8JSdPfj6vEq4"",""'500 объектов перенос на 2026'!A3:AB502""),13,0)"),"#REF!")</f>
        <v>#REF!</v>
      </c>
      <c r="AJ235" s="42" t="str">
        <f>IFERROR(__xludf.DUMMYFUNCTION("vLOOKUP(A235,IMPORTRANGE(""https://docs.google.com/spreadsheets/d/1Rawwwdh8wntXGy8isdYNHxsNQS4n_rC8JSdPfj6vEq4"",""'500 объектов перенос на 2026'!A3:AB502""),14,0)"),"#REF!")</f>
        <v>#REF!</v>
      </c>
      <c r="AK235" s="76" t="s">
        <v>114</v>
      </c>
      <c r="AL235" s="43"/>
      <c r="AM235" s="43"/>
      <c r="AN235" s="43"/>
      <c r="AO235" s="43"/>
    </row>
    <row r="236" hidden="1">
      <c r="A236" s="62" t="s">
        <v>1731</v>
      </c>
      <c r="B236" s="63" t="s">
        <v>82</v>
      </c>
      <c r="C236" s="64" t="s">
        <v>1732</v>
      </c>
      <c r="D236" s="47" t="s">
        <v>323</v>
      </c>
      <c r="E236" s="64" t="s">
        <v>85</v>
      </c>
      <c r="F236" s="31" t="s">
        <v>60</v>
      </c>
      <c r="G236" s="31"/>
      <c r="H236" s="31"/>
      <c r="I236" s="31" t="s">
        <v>40</v>
      </c>
      <c r="J236" s="31" t="s">
        <v>61</v>
      </c>
      <c r="K236" s="31" t="s">
        <v>72</v>
      </c>
      <c r="L236" s="32">
        <f>IFERROR(__xludf.DUMMYFUNCTION("VLOOKUP($A236,IMPORTRANGE(""1PQtfbQLqBUP-rjYRznmgNFBLOjvAnhGzpIx7BJWq8rk"",""'Worksheet'!$B$2:$H""),7,FALSE)"),0.55)</f>
        <v>0.55</v>
      </c>
      <c r="M236" s="31" t="s">
        <v>45</v>
      </c>
      <c r="N236" s="49">
        <v>4.57072E7</v>
      </c>
      <c r="O236" s="49">
        <v>2.463608217E7</v>
      </c>
      <c r="P236" s="49">
        <f t="shared" ref="P236:P242" si="36">N236-O236</f>
        <v>21071117.83</v>
      </c>
      <c r="Q236" s="34">
        <f t="shared" si="3"/>
        <v>0.4610021579</v>
      </c>
      <c r="R236" s="31"/>
      <c r="S236" s="31" t="s">
        <v>45</v>
      </c>
      <c r="T236" s="50" t="s">
        <v>1733</v>
      </c>
      <c r="U236" s="51">
        <v>0.0</v>
      </c>
      <c r="V236" s="51" t="s">
        <v>1733</v>
      </c>
      <c r="W236" s="31"/>
      <c r="X236" s="52" t="s">
        <v>1659</v>
      </c>
      <c r="Y236" s="54" t="s">
        <v>1660</v>
      </c>
      <c r="Z236" s="54" t="s">
        <v>1152</v>
      </c>
      <c r="AA236" s="74">
        <v>46203.0</v>
      </c>
      <c r="AB236" s="56"/>
      <c r="AC236" s="38" t="s">
        <v>789</v>
      </c>
      <c r="AD236" s="39">
        <v>45707.2</v>
      </c>
      <c r="AE236" s="39">
        <v>22853.6</v>
      </c>
      <c r="AF236" s="40">
        <v>22853.6</v>
      </c>
      <c r="AG236" s="57" t="s">
        <v>1734</v>
      </c>
      <c r="AH236" s="42" t="s">
        <v>1662</v>
      </c>
      <c r="AI236" s="42" t="str">
        <f>IFERROR(__xludf.DUMMYFUNCTION("vLOOKUP(A236,IMPORTRANGE(""https://docs.google.com/spreadsheets/d/1Rawwwdh8wntXGy8isdYNHxsNQS4n_rC8JSdPfj6vEq4"",""'500 объектов перенос на 2026'!A3:AB502""),13,0)"),"#REF!")</f>
        <v>#REF!</v>
      </c>
      <c r="AJ236" s="42" t="str">
        <f>IFERROR(__xludf.DUMMYFUNCTION("vLOOKUP(A236,IMPORTRANGE(""https://docs.google.com/spreadsheets/d/1Rawwwdh8wntXGy8isdYNHxsNQS4n_rC8JSdPfj6vEq4"",""'500 объектов перенос на 2026'!A3:AB502""),14,0)"),"#REF!")</f>
        <v>#REF!</v>
      </c>
      <c r="AK236" s="76" t="s">
        <v>3421</v>
      </c>
      <c r="AL236" s="43"/>
      <c r="AM236" s="43"/>
      <c r="AN236" s="43"/>
      <c r="AO236" s="43"/>
    </row>
    <row r="237" hidden="1">
      <c r="A237" s="62" t="s">
        <v>1736</v>
      </c>
      <c r="B237" s="63" t="s">
        <v>296</v>
      </c>
      <c r="C237" s="64" t="s">
        <v>1737</v>
      </c>
      <c r="D237" s="47" t="s">
        <v>246</v>
      </c>
      <c r="E237" s="64" t="s">
        <v>59</v>
      </c>
      <c r="F237" s="31" t="s">
        <v>60</v>
      </c>
      <c r="G237" s="31"/>
      <c r="H237" s="31"/>
      <c r="I237" s="31" t="s">
        <v>60</v>
      </c>
      <c r="J237" s="31"/>
      <c r="K237" s="31"/>
      <c r="L237" s="32" t="str">
        <f>IFERROR(__xludf.DUMMYFUNCTION("VLOOKUP($A237,IMPORTRANGE(""1PQtfbQLqBUP-rjYRznmgNFBLOjvAnhGzpIx7BJWq8rk"",""'Worksheet'!$B$2:$H""),7,FALSE)"),"#N/A")</f>
        <v>#N/A</v>
      </c>
      <c r="M237" s="31" t="s">
        <v>45</v>
      </c>
      <c r="N237" s="49">
        <v>3.539522825E7</v>
      </c>
      <c r="O237" s="49">
        <v>1.499127948E7</v>
      </c>
      <c r="P237" s="49">
        <f t="shared" si="36"/>
        <v>20403948.77</v>
      </c>
      <c r="Q237" s="34">
        <f t="shared" si="3"/>
        <v>0.5764604377</v>
      </c>
      <c r="R237" s="31" t="s">
        <v>1059</v>
      </c>
      <c r="S237" s="31" t="s">
        <v>40</v>
      </c>
      <c r="T237" s="155">
        <v>3.36254668375E7</v>
      </c>
      <c r="U237" s="51">
        <v>0.0</v>
      </c>
      <c r="V237" s="156">
        <f>P237-P237*0.05</f>
        <v>19383751.33</v>
      </c>
      <c r="W237" s="31" t="s">
        <v>1738</v>
      </c>
      <c r="X237" s="52" t="s">
        <v>73</v>
      </c>
      <c r="Y237" s="73" t="s">
        <v>3428</v>
      </c>
      <c r="Z237" s="54" t="s">
        <v>2345</v>
      </c>
      <c r="AA237" s="68">
        <v>46225.0</v>
      </c>
      <c r="AB237" s="56"/>
      <c r="AC237" s="38"/>
      <c r="AD237" s="39">
        <v>47476.176</v>
      </c>
      <c r="AE237" s="39">
        <v>0.0</v>
      </c>
      <c r="AF237" s="40">
        <v>47476.176</v>
      </c>
      <c r="AG237" s="57" t="s">
        <v>1740</v>
      </c>
      <c r="AH237" s="57" t="s">
        <v>1515</v>
      </c>
      <c r="AI237" s="42" t="str">
        <f>IFERROR(__xludf.DUMMYFUNCTION("vLOOKUP(A237,IMPORTRANGE(""https://docs.google.com/spreadsheets/d/1Rawwwdh8wntXGy8isdYNHxsNQS4n_rC8JSdPfj6vEq4"",""'500 объектов перенос на 2026'!A3:AB502""),13,0)"),"#REF!")</f>
        <v>#REF!</v>
      </c>
      <c r="AJ237" s="42" t="str">
        <f>IFERROR(__xludf.DUMMYFUNCTION("vLOOKUP(A237,IMPORTRANGE(""https://docs.google.com/spreadsheets/d/1Rawwwdh8wntXGy8isdYNHxsNQS4n_rC8JSdPfj6vEq4"",""'500 объектов перенос на 2026'!A3:AB502""),14,0)"),"#REF!")</f>
        <v>#REF!</v>
      </c>
      <c r="AK237" s="76" t="s">
        <v>3429</v>
      </c>
      <c r="AL237" s="43"/>
      <c r="AM237" s="43"/>
      <c r="AN237" s="43"/>
      <c r="AO237" s="43"/>
    </row>
    <row r="238" hidden="1">
      <c r="A238" s="62" t="s">
        <v>1742</v>
      </c>
      <c r="B238" s="63" t="s">
        <v>400</v>
      </c>
      <c r="C238" s="64" t="s">
        <v>1743</v>
      </c>
      <c r="D238" s="47" t="s">
        <v>1744</v>
      </c>
      <c r="E238" s="64" t="s">
        <v>85</v>
      </c>
      <c r="F238" s="31" t="s">
        <v>60</v>
      </c>
      <c r="G238" s="31"/>
      <c r="H238" s="31"/>
      <c r="I238" s="31" t="s">
        <v>60</v>
      </c>
      <c r="J238" s="31"/>
      <c r="K238" s="31"/>
      <c r="L238" s="32">
        <f>IFERROR(__xludf.DUMMYFUNCTION("VLOOKUP($A238,IMPORTRANGE(""1PQtfbQLqBUP-rjYRznmgNFBLOjvAnhGzpIx7BJWq8rk"",""'Worksheet'!$B$2:$H""),7,FALSE)"),0.95)</f>
        <v>0.95</v>
      </c>
      <c r="M238" s="31" t="s">
        <v>45</v>
      </c>
      <c r="N238" s="49">
        <v>8.0803974E7</v>
      </c>
      <c r="O238" s="49">
        <v>6.04875776E7</v>
      </c>
      <c r="P238" s="49">
        <f t="shared" si="36"/>
        <v>20316396.4</v>
      </c>
      <c r="Q238" s="34">
        <f t="shared" si="3"/>
        <v>0.2514281835</v>
      </c>
      <c r="R238" s="31"/>
      <c r="S238" s="31" t="s">
        <v>45</v>
      </c>
      <c r="T238" s="50" t="s">
        <v>1745</v>
      </c>
      <c r="U238" s="51" t="s">
        <v>1746</v>
      </c>
      <c r="V238" s="49" t="s">
        <v>1747</v>
      </c>
      <c r="W238" s="31" t="s">
        <v>183</v>
      </c>
      <c r="X238" s="52" t="s">
        <v>1155</v>
      </c>
      <c r="Y238" s="54" t="s">
        <v>1748</v>
      </c>
      <c r="Z238" s="54" t="s">
        <v>1749</v>
      </c>
      <c r="AA238" s="74">
        <v>46203.0</v>
      </c>
      <c r="AB238" s="56"/>
      <c r="AC238" s="38"/>
      <c r="AD238" s="39">
        <v>80803.974</v>
      </c>
      <c r="AE238" s="39">
        <v>60487.57639</v>
      </c>
      <c r="AF238" s="40">
        <v>20316.39761</v>
      </c>
      <c r="AG238" s="57" t="s">
        <v>1750</v>
      </c>
      <c r="AH238" s="42" t="s">
        <v>1751</v>
      </c>
      <c r="AI238" s="42" t="str">
        <f>IFERROR(__xludf.DUMMYFUNCTION("vLOOKUP(A238,IMPORTRANGE(""https://docs.google.com/spreadsheets/d/1Rawwwdh8wntXGy8isdYNHxsNQS4n_rC8JSdPfj6vEq4"",""'500 объектов перенос на 2026'!A3:AB502""),13,0)"),"#REF!")</f>
        <v>#REF!</v>
      </c>
      <c r="AJ238" s="42" t="str">
        <f>IFERROR(__xludf.DUMMYFUNCTION("vLOOKUP(A238,IMPORTRANGE(""https://docs.google.com/spreadsheets/d/1Rawwwdh8wntXGy8isdYNHxsNQS4n_rC8JSdPfj6vEq4"",""'500 объектов перенос на 2026'!A3:AB502""),14,0)"),"#REF!")</f>
        <v>#REF!</v>
      </c>
      <c r="AK238" s="76" t="s">
        <v>1748</v>
      </c>
      <c r="AL238" s="43"/>
      <c r="AM238" s="43"/>
      <c r="AN238" s="43"/>
      <c r="AO238" s="43"/>
    </row>
    <row r="239" hidden="1">
      <c r="A239" s="62" t="s">
        <v>1753</v>
      </c>
      <c r="B239" s="63" t="s">
        <v>250</v>
      </c>
      <c r="C239" s="64" t="s">
        <v>1754</v>
      </c>
      <c r="D239" s="47" t="s">
        <v>1755</v>
      </c>
      <c r="E239" s="64" t="s">
        <v>85</v>
      </c>
      <c r="F239" s="31" t="s">
        <v>60</v>
      </c>
      <c r="G239" s="31"/>
      <c r="H239" s="31"/>
      <c r="I239" s="31" t="s">
        <v>60</v>
      </c>
      <c r="J239" s="31"/>
      <c r="K239" s="31"/>
      <c r="L239" s="32">
        <f>IFERROR(__xludf.DUMMYFUNCTION("VLOOKUP($A239,IMPORTRANGE(""1PQtfbQLqBUP-rjYRznmgNFBLOjvAnhGzpIx7BJWq8rk"",""'Worksheet'!$B$2:$H""),7,FALSE)"),0.93)</f>
        <v>0.93</v>
      </c>
      <c r="M239" s="31" t="s">
        <v>45</v>
      </c>
      <c r="N239" s="49">
        <v>4.031667E7</v>
      </c>
      <c r="O239" s="49">
        <v>2.0158335E7</v>
      </c>
      <c r="P239" s="49">
        <f t="shared" si="36"/>
        <v>20158335</v>
      </c>
      <c r="Q239" s="34">
        <f t="shared" si="3"/>
        <v>0.5</v>
      </c>
      <c r="R239" s="31"/>
      <c r="S239" s="31" t="s">
        <v>45</v>
      </c>
      <c r="T239" s="72">
        <v>3.832399581E7</v>
      </c>
      <c r="U239" s="51">
        <v>0.0</v>
      </c>
      <c r="V239" s="67">
        <v>3.832399581E7</v>
      </c>
      <c r="W239" s="31" t="s">
        <v>183</v>
      </c>
      <c r="X239" s="52" t="s">
        <v>620</v>
      </c>
      <c r="Y239" s="54" t="s">
        <v>1756</v>
      </c>
      <c r="Z239" s="54" t="s">
        <v>75</v>
      </c>
      <c r="AA239" s="74">
        <v>46203.0</v>
      </c>
      <c r="AB239" s="56"/>
      <c r="AC239" s="38" t="s">
        <v>1143</v>
      </c>
      <c r="AD239" s="39">
        <v>40316.67</v>
      </c>
      <c r="AE239" s="39">
        <v>20158.335</v>
      </c>
      <c r="AF239" s="40">
        <v>20158.335</v>
      </c>
      <c r="AG239" s="57" t="s">
        <v>1757</v>
      </c>
      <c r="AH239" s="85" t="s">
        <v>789</v>
      </c>
      <c r="AI239" s="42" t="str">
        <f>IFERROR(__xludf.DUMMYFUNCTION("vLOOKUP(A239,IMPORTRANGE(""https://docs.google.com/spreadsheets/d/1Rawwwdh8wntXGy8isdYNHxsNQS4n_rC8JSdPfj6vEq4"",""'500 объектов перенос на 2026'!A3:AB502""),13,0)"),"#REF!")</f>
        <v>#REF!</v>
      </c>
      <c r="AJ239" s="42" t="str">
        <f>IFERROR(__xludf.DUMMYFUNCTION("vLOOKUP(A239,IMPORTRANGE(""https://docs.google.com/spreadsheets/d/1Rawwwdh8wntXGy8isdYNHxsNQS4n_rC8JSdPfj6vEq4"",""'500 объектов перенос на 2026'!A3:AB502""),14,0)"),"#REF!")</f>
        <v>#REF!</v>
      </c>
      <c r="AK239" s="76" t="s">
        <v>1758</v>
      </c>
      <c r="AL239" s="43"/>
      <c r="AM239" s="43"/>
      <c r="AN239" s="43"/>
      <c r="AO239" s="43"/>
    </row>
    <row r="240" hidden="1">
      <c r="A240" s="62" t="s">
        <v>1759</v>
      </c>
      <c r="B240" s="63" t="s">
        <v>99</v>
      </c>
      <c r="C240" s="144" t="s">
        <v>1760</v>
      </c>
      <c r="D240" s="47" t="s">
        <v>705</v>
      </c>
      <c r="E240" s="64" t="s">
        <v>85</v>
      </c>
      <c r="F240" s="31" t="s">
        <v>60</v>
      </c>
      <c r="G240" s="31"/>
      <c r="H240" s="31"/>
      <c r="I240" s="31" t="s">
        <v>60</v>
      </c>
      <c r="J240" s="31"/>
      <c r="K240" s="31"/>
      <c r="L240" s="32">
        <f>IFERROR(__xludf.DUMMYFUNCTION("VLOOKUP($A240,IMPORTRANGE(""1PQtfbQLqBUP-rjYRznmgNFBLOjvAnhGzpIx7BJWq8rk"",""'Worksheet'!$B$2:$H""),7,FALSE)"),1.0)</f>
        <v>1</v>
      </c>
      <c r="M240" s="31" t="s">
        <v>40</v>
      </c>
      <c r="N240" s="49">
        <v>3.10016E7</v>
      </c>
      <c r="O240" s="49">
        <v>1.085056E7</v>
      </c>
      <c r="P240" s="49">
        <f t="shared" si="36"/>
        <v>20151040</v>
      </c>
      <c r="Q240" s="34">
        <f t="shared" si="3"/>
        <v>0.65</v>
      </c>
      <c r="R240" s="31" t="s">
        <v>1761</v>
      </c>
      <c r="S240" s="31" t="s">
        <v>60</v>
      </c>
      <c r="T240" s="145">
        <f>N240*0.95</f>
        <v>29451520</v>
      </c>
      <c r="U240" s="84">
        <v>0.0</v>
      </c>
      <c r="V240" s="145">
        <v>2.945152E7</v>
      </c>
      <c r="W240" s="31"/>
      <c r="X240" s="52" t="s">
        <v>1150</v>
      </c>
      <c r="Y240" s="54" t="s">
        <v>1762</v>
      </c>
      <c r="Z240" s="54" t="s">
        <v>1152</v>
      </c>
      <c r="AA240" s="74">
        <v>46185.0</v>
      </c>
      <c r="AB240" s="56"/>
      <c r="AC240" s="38" t="s">
        <v>1153</v>
      </c>
      <c r="AD240" s="39">
        <v>31001.6</v>
      </c>
      <c r="AE240" s="39">
        <v>10850.56</v>
      </c>
      <c r="AF240" s="40">
        <v>20151.04</v>
      </c>
      <c r="AG240" s="57" t="s">
        <v>1763</v>
      </c>
      <c r="AH240" s="42" t="s">
        <v>1155</v>
      </c>
      <c r="AI240" s="42" t="str">
        <f>IFERROR(__xludf.DUMMYFUNCTION("vLOOKUP(A240,IMPORTRANGE(""https://docs.google.com/spreadsheets/d/1Rawwwdh8wntXGy8isdYNHxsNQS4n_rC8JSdPfj6vEq4"",""'500 объектов перенос на 2026'!A3:AB502""),13,0)"),"#REF!")</f>
        <v>#REF!</v>
      </c>
      <c r="AJ240" s="42" t="str">
        <f>IFERROR(__xludf.DUMMYFUNCTION("vLOOKUP(A240,IMPORTRANGE(""https://docs.google.com/spreadsheets/d/1Rawwwdh8wntXGy8isdYNHxsNQS4n_rC8JSdPfj6vEq4"",""'500 объектов перенос на 2026'!A3:AB502""),14,0)"),"#REF!")</f>
        <v>#REF!</v>
      </c>
      <c r="AK240" s="76" t="s">
        <v>1811</v>
      </c>
      <c r="AL240" s="43"/>
      <c r="AM240" s="43"/>
      <c r="AN240" s="43"/>
      <c r="AO240" s="43"/>
    </row>
    <row r="241" hidden="1">
      <c r="A241" s="62" t="s">
        <v>1765</v>
      </c>
      <c r="B241" s="63" t="s">
        <v>268</v>
      </c>
      <c r="C241" s="64" t="s">
        <v>1766</v>
      </c>
      <c r="D241" s="47" t="s">
        <v>535</v>
      </c>
      <c r="E241" s="64" t="s">
        <v>85</v>
      </c>
      <c r="F241" s="31" t="s">
        <v>60</v>
      </c>
      <c r="G241" s="31"/>
      <c r="H241" s="31"/>
      <c r="I241" s="31" t="s">
        <v>60</v>
      </c>
      <c r="J241" s="31"/>
      <c r="K241" s="31"/>
      <c r="L241" s="32">
        <f>IFERROR(__xludf.DUMMYFUNCTION("VLOOKUP($A241,IMPORTRANGE(""1PQtfbQLqBUP-rjYRznmgNFBLOjvAnhGzpIx7BJWq8rk"",""'Worksheet'!$B$2:$H""),7,FALSE)"),1.0)</f>
        <v>1</v>
      </c>
      <c r="M241" s="31" t="s">
        <v>40</v>
      </c>
      <c r="N241" s="49">
        <v>2.706365E7</v>
      </c>
      <c r="O241" s="49">
        <v>6933948.0</v>
      </c>
      <c r="P241" s="49">
        <f t="shared" si="36"/>
        <v>20129702</v>
      </c>
      <c r="Q241" s="34">
        <f t="shared" si="3"/>
        <v>0.7437910999</v>
      </c>
      <c r="R241" s="31"/>
      <c r="S241" s="31" t="s">
        <v>60</v>
      </c>
      <c r="T241" s="145" t="s">
        <v>1767</v>
      </c>
      <c r="U241" s="84" t="s">
        <v>1767</v>
      </c>
      <c r="V241" s="84">
        <v>0.0</v>
      </c>
      <c r="W241" s="31"/>
      <c r="X241" s="52" t="s">
        <v>1768</v>
      </c>
      <c r="Y241" s="160" t="s">
        <v>1769</v>
      </c>
      <c r="Z241" s="54" t="s">
        <v>347</v>
      </c>
      <c r="AA241" s="74">
        <v>46188.0</v>
      </c>
      <c r="AB241" s="56"/>
      <c r="AC241" s="38"/>
      <c r="AD241" s="39">
        <v>23113.16</v>
      </c>
      <c r="AE241" s="39">
        <v>6933.948</v>
      </c>
      <c r="AF241" s="40">
        <v>16179.212</v>
      </c>
      <c r="AG241" s="57" t="s">
        <v>1770</v>
      </c>
      <c r="AH241" s="42" t="s">
        <v>3430</v>
      </c>
      <c r="AI241" s="42" t="str">
        <f>IFERROR(__xludf.DUMMYFUNCTION("vLOOKUP(A241,IMPORTRANGE(""https://docs.google.com/spreadsheets/d/1Rawwwdh8wntXGy8isdYNHxsNQS4n_rC8JSdPfj6vEq4"",""'500 объектов перенос на 2026'!A3:AB502""),13,0)"),"#REF!")</f>
        <v>#REF!</v>
      </c>
      <c r="AJ241" s="42" t="str">
        <f>IFERROR(__xludf.DUMMYFUNCTION("vLOOKUP(A241,IMPORTRANGE(""https://docs.google.com/spreadsheets/d/1Rawwwdh8wntXGy8isdYNHxsNQS4n_rC8JSdPfj6vEq4"",""'500 объектов перенос на 2026'!A3:AB502""),14,0)"),"#REF!")</f>
        <v>#REF!</v>
      </c>
      <c r="AK241" s="151" t="s">
        <v>3431</v>
      </c>
      <c r="AL241" s="43"/>
      <c r="AM241" s="43"/>
      <c r="AN241" s="43"/>
      <c r="AO241" s="43"/>
    </row>
    <row r="242" hidden="1">
      <c r="A242" s="114" t="s">
        <v>1773</v>
      </c>
      <c r="B242" s="63" t="s">
        <v>736</v>
      </c>
      <c r="C242" s="64" t="s">
        <v>1774</v>
      </c>
      <c r="D242" s="47" t="s">
        <v>1523</v>
      </c>
      <c r="E242" s="64" t="s">
        <v>85</v>
      </c>
      <c r="F242" s="31" t="s">
        <v>60</v>
      </c>
      <c r="G242" s="31"/>
      <c r="H242" s="31"/>
      <c r="I242" s="31" t="s">
        <v>60</v>
      </c>
      <c r="J242" s="31"/>
      <c r="K242" s="31"/>
      <c r="L242" s="32">
        <f>IFERROR(__xludf.DUMMYFUNCTION("VLOOKUP($A242,IMPORTRANGE(""1PQtfbQLqBUP-rjYRznmgNFBLOjvAnhGzpIx7BJWq8rk"",""'Worksheet'!$B$2:$H""),7,FALSE)"),1.0)</f>
        <v>1</v>
      </c>
      <c r="M242" s="31" t="s">
        <v>45</v>
      </c>
      <c r="N242" s="49">
        <v>1.9017408329E8</v>
      </c>
      <c r="O242" s="49">
        <v>1.7064686455E8</v>
      </c>
      <c r="P242" s="49">
        <f t="shared" si="36"/>
        <v>19527218.74</v>
      </c>
      <c r="Q242" s="34">
        <f t="shared" si="3"/>
        <v>0.1026807565</v>
      </c>
      <c r="R242" s="31"/>
      <c r="S242" s="31" t="s">
        <v>45</v>
      </c>
      <c r="T242" s="84" t="s">
        <v>1775</v>
      </c>
      <c r="U242" s="84" t="s">
        <v>1776</v>
      </c>
      <c r="V242" s="84" t="s">
        <v>1777</v>
      </c>
      <c r="W242" s="31" t="s">
        <v>148</v>
      </c>
      <c r="X242" s="52" t="s">
        <v>1778</v>
      </c>
      <c r="Y242" s="54" t="s">
        <v>1779</v>
      </c>
      <c r="Z242" s="54" t="s">
        <v>774</v>
      </c>
      <c r="AA242" s="74">
        <v>46201.0</v>
      </c>
      <c r="AB242" s="56"/>
      <c r="AC242" s="38"/>
      <c r="AD242" s="39">
        <v>241958.13</v>
      </c>
      <c r="AE242" s="39">
        <v>120979.0649</v>
      </c>
      <c r="AF242" s="40">
        <v>120979.0651</v>
      </c>
      <c r="AG242" s="99" t="s">
        <v>1780</v>
      </c>
      <c r="AH242" s="42" t="s">
        <v>1262</v>
      </c>
      <c r="AI242" s="42" t="str">
        <f>IFERROR(__xludf.DUMMYFUNCTION("vLOOKUP(A242,IMPORTRANGE(""https://docs.google.com/spreadsheets/d/1Rawwwdh8wntXGy8isdYNHxsNQS4n_rC8JSdPfj6vEq4"",""'500 объектов перенос на 2026'!A3:AB502""),13,0)"),"#REF!")</f>
        <v>#REF!</v>
      </c>
      <c r="AJ242" s="42" t="str">
        <f>IFERROR(__xludf.DUMMYFUNCTION("vLOOKUP(A242,IMPORTRANGE(""https://docs.google.com/spreadsheets/d/1Rawwwdh8wntXGy8isdYNHxsNQS4n_rC8JSdPfj6vEq4"",""'500 объектов перенос на 2026'!A3:AB502""),14,0)"),"#REF!")</f>
        <v>#REF!</v>
      </c>
      <c r="AK242" s="76" t="s">
        <v>1779</v>
      </c>
      <c r="AL242" s="43"/>
      <c r="AM242" s="43"/>
      <c r="AN242" s="43"/>
      <c r="AO242" s="43"/>
    </row>
    <row r="243" hidden="1">
      <c r="A243" s="78" t="s">
        <v>1781</v>
      </c>
      <c r="B243" s="63" t="s">
        <v>142</v>
      </c>
      <c r="C243" s="64" t="s">
        <v>1782</v>
      </c>
      <c r="D243" s="47" t="s">
        <v>144</v>
      </c>
      <c r="E243" s="64" t="s">
        <v>324</v>
      </c>
      <c r="F243" s="31" t="s">
        <v>60</v>
      </c>
      <c r="G243" s="31"/>
      <c r="H243" s="31"/>
      <c r="I243" s="31" t="s">
        <v>60</v>
      </c>
      <c r="J243" s="31"/>
      <c r="K243" s="31"/>
      <c r="L243" s="32" t="str">
        <f>IFERROR(__xludf.DUMMYFUNCTION("VLOOKUP($A243,IMPORTRANGE(""1PQtfbQLqBUP-rjYRznmgNFBLOjvAnhGzpIx7BJWq8rk"",""'Worksheet'!$B$2:$H""),7,FALSE)"),"#N/A")</f>
        <v>#N/A</v>
      </c>
      <c r="M243" s="31" t="s">
        <v>60</v>
      </c>
      <c r="N243" s="49">
        <v>7.273194E7</v>
      </c>
      <c r="O243" s="49">
        <v>7.078970163E7</v>
      </c>
      <c r="P243" s="49">
        <v>0.0</v>
      </c>
      <c r="Q243" s="34">
        <f t="shared" si="3"/>
        <v>0.02670406385</v>
      </c>
      <c r="R243" s="31"/>
      <c r="S243" s="31" t="s">
        <v>60</v>
      </c>
      <c r="T243" s="88" t="s">
        <v>1783</v>
      </c>
      <c r="U243" s="88">
        <v>6.725021655E7</v>
      </c>
      <c r="V243" s="88" t="s">
        <v>1784</v>
      </c>
      <c r="W243" s="31"/>
      <c r="X243" s="52" t="s">
        <v>113</v>
      </c>
      <c r="Y243" s="54"/>
      <c r="Z243" s="54"/>
      <c r="AA243" s="54" t="s">
        <v>114</v>
      </c>
      <c r="AB243" s="38" t="s">
        <v>115</v>
      </c>
      <c r="AC243" s="38"/>
      <c r="AD243" s="39">
        <v>72731.94</v>
      </c>
      <c r="AE243" s="39">
        <v>70789.70163</v>
      </c>
      <c r="AF243" s="39">
        <v>1942.23837</v>
      </c>
      <c r="AG243" s="57" t="s">
        <v>1785</v>
      </c>
      <c r="AH243" s="42" t="s">
        <v>362</v>
      </c>
      <c r="AI243" s="42" t="str">
        <f>IFERROR(__xludf.DUMMYFUNCTION("vLOOKUP(A243,IMPORTRANGE(""https://docs.google.com/spreadsheets/d/1Rawwwdh8wntXGy8isdYNHxsNQS4n_rC8JSdPfj6vEq4"",""'500 объектов перенос на 2026'!A3:AB502""),13,0)"),"#REF!")</f>
        <v>#REF!</v>
      </c>
      <c r="AJ243" s="42" t="str">
        <f>IFERROR(__xludf.DUMMYFUNCTION("vLOOKUP(A243,IMPORTRANGE(""https://docs.google.com/spreadsheets/d/1Rawwwdh8wntXGy8isdYNHxsNQS4n_rC8JSdPfj6vEq4"",""'500 объектов перенос на 2026'!A3:AB502""),14,0)"),"#REF!")</f>
        <v>#REF!</v>
      </c>
      <c r="AK243" s="76" t="s">
        <v>114</v>
      </c>
      <c r="AL243" s="43"/>
      <c r="AM243" s="43"/>
      <c r="AN243" s="43"/>
      <c r="AO243" s="43"/>
    </row>
    <row r="244" hidden="1">
      <c r="A244" s="78" t="s">
        <v>1786</v>
      </c>
      <c r="B244" s="63" t="s">
        <v>142</v>
      </c>
      <c r="C244" s="64" t="s">
        <v>1787</v>
      </c>
      <c r="D244" s="47" t="s">
        <v>144</v>
      </c>
      <c r="E244" s="64" t="s">
        <v>39</v>
      </c>
      <c r="F244" s="31" t="s">
        <v>60</v>
      </c>
      <c r="G244" s="31"/>
      <c r="H244" s="31"/>
      <c r="I244" s="31" t="s">
        <v>60</v>
      </c>
      <c r="J244" s="31"/>
      <c r="K244" s="31"/>
      <c r="L244" s="32" t="str">
        <f>IFERROR(__xludf.DUMMYFUNCTION("VLOOKUP($A244,IMPORTRANGE(""1PQtfbQLqBUP-rjYRznmgNFBLOjvAnhGzpIx7BJWq8rk"",""'Worksheet'!$B$2:$H""),7,FALSE)"),"#N/A")</f>
        <v>#N/A</v>
      </c>
      <c r="M244" s="31" t="s">
        <v>60</v>
      </c>
      <c r="N244" s="49">
        <v>7.624629528E7</v>
      </c>
      <c r="O244" s="49">
        <v>7.598014352E7</v>
      </c>
      <c r="P244" s="49">
        <v>0.0</v>
      </c>
      <c r="Q244" s="34">
        <f t="shared" si="3"/>
        <v>0.003490684485</v>
      </c>
      <c r="R244" s="31"/>
      <c r="S244" s="31" t="s">
        <v>60</v>
      </c>
      <c r="T244" s="88" t="s">
        <v>1788</v>
      </c>
      <c r="U244" s="88">
        <v>7.218113634E7</v>
      </c>
      <c r="V244" s="88" t="s">
        <v>1789</v>
      </c>
      <c r="W244" s="31"/>
      <c r="X244" s="52" t="s">
        <v>113</v>
      </c>
      <c r="Y244" s="54"/>
      <c r="Z244" s="54"/>
      <c r="AA244" s="54" t="s">
        <v>114</v>
      </c>
      <c r="AB244" s="38" t="s">
        <v>115</v>
      </c>
      <c r="AC244" s="38"/>
      <c r="AD244" s="39">
        <v>30204.26</v>
      </c>
      <c r="AE244" s="39">
        <v>80079.98587</v>
      </c>
      <c r="AF244" s="39">
        <v>-49875.72587</v>
      </c>
      <c r="AG244" s="57"/>
      <c r="AH244" s="42" t="s">
        <v>362</v>
      </c>
      <c r="AI244" s="42" t="str">
        <f>IFERROR(__xludf.DUMMYFUNCTION("vLOOKUP(A244,IMPORTRANGE(""https://docs.google.com/spreadsheets/d/1Rawwwdh8wntXGy8isdYNHxsNQS4n_rC8JSdPfj6vEq4"",""'500 объектов перенос на 2026'!A3:AB502""),13,0)"),"#REF!")</f>
        <v>#REF!</v>
      </c>
      <c r="AJ244" s="42" t="str">
        <f>IFERROR(__xludf.DUMMYFUNCTION("vLOOKUP(A244,IMPORTRANGE(""https://docs.google.com/spreadsheets/d/1Rawwwdh8wntXGy8isdYNHxsNQS4n_rC8JSdPfj6vEq4"",""'500 объектов перенос на 2026'!A3:AB502""),14,0)"),"#REF!")</f>
        <v>#REF!</v>
      </c>
      <c r="AK244" s="76" t="s">
        <v>114</v>
      </c>
      <c r="AL244" s="43"/>
      <c r="AM244" s="43"/>
      <c r="AN244" s="43"/>
      <c r="AO244" s="43"/>
    </row>
    <row r="245" hidden="1">
      <c r="A245" s="62" t="s">
        <v>1790</v>
      </c>
      <c r="B245" s="63" t="s">
        <v>82</v>
      </c>
      <c r="C245" s="90" t="s">
        <v>1791</v>
      </c>
      <c r="D245" s="47" t="s">
        <v>323</v>
      </c>
      <c r="E245" s="90" t="s">
        <v>85</v>
      </c>
      <c r="F245" s="31" t="s">
        <v>60</v>
      </c>
      <c r="G245" s="31"/>
      <c r="H245" s="31"/>
      <c r="I245" s="31" t="s">
        <v>40</v>
      </c>
      <c r="J245" s="31" t="s">
        <v>61</v>
      </c>
      <c r="K245" s="31" t="s">
        <v>72</v>
      </c>
      <c r="L245" s="32">
        <f>IFERROR(__xludf.DUMMYFUNCTION("VLOOKUP($A245,IMPORTRANGE(""1PQtfbQLqBUP-rjYRznmgNFBLOjvAnhGzpIx7BJWq8rk"",""'Worksheet'!$B$2:$H""),7,FALSE)"),0.3)</f>
        <v>0.3</v>
      </c>
      <c r="M245" s="31" t="s">
        <v>45</v>
      </c>
      <c r="N245" s="49">
        <v>4.0848E7</v>
      </c>
      <c r="O245" s="49">
        <v>2.243267998E7</v>
      </c>
      <c r="P245" s="49">
        <f>N245-O245</f>
        <v>18415320.02</v>
      </c>
      <c r="Q245" s="34">
        <f t="shared" si="3"/>
        <v>0.4508254999</v>
      </c>
      <c r="R245" s="31"/>
      <c r="S245" s="31" t="s">
        <v>40</v>
      </c>
      <c r="T245" s="84" t="s">
        <v>1792</v>
      </c>
      <c r="U245" s="84">
        <v>0.0</v>
      </c>
      <c r="V245" s="84" t="s">
        <v>1792</v>
      </c>
      <c r="W245" s="31"/>
      <c r="X245" s="52" t="s">
        <v>1659</v>
      </c>
      <c r="Y245" s="54" t="s">
        <v>1660</v>
      </c>
      <c r="Z245" s="54" t="s">
        <v>1152</v>
      </c>
      <c r="AA245" s="74">
        <v>46203.0</v>
      </c>
      <c r="AB245" s="56"/>
      <c r="AC245" s="38" t="s">
        <v>789</v>
      </c>
      <c r="AD245" s="39">
        <v>40848.0</v>
      </c>
      <c r="AE245" s="39">
        <v>22432.68</v>
      </c>
      <c r="AF245" s="40">
        <v>18415.32</v>
      </c>
      <c r="AG245" s="57" t="s">
        <v>1793</v>
      </c>
      <c r="AH245" s="42" t="s">
        <v>1662</v>
      </c>
      <c r="AI245" s="42" t="str">
        <f>IFERROR(__xludf.DUMMYFUNCTION("vLOOKUP(A245,IMPORTRANGE(""https://docs.google.com/spreadsheets/d/1Rawwwdh8wntXGy8isdYNHxsNQS4n_rC8JSdPfj6vEq4"",""'500 объектов перенос на 2026'!A3:AB502""),13,0)"),"#REF!")</f>
        <v>#REF!</v>
      </c>
      <c r="AJ245" s="42" t="str">
        <f>IFERROR(__xludf.DUMMYFUNCTION("vLOOKUP(A245,IMPORTRANGE(""https://docs.google.com/spreadsheets/d/1Rawwwdh8wntXGy8isdYNHxsNQS4n_rC8JSdPfj6vEq4"",""'500 объектов перенос на 2026'!A3:AB502""),14,0)"),"#REF!")</f>
        <v>#REF!</v>
      </c>
      <c r="AK245" s="76" t="s">
        <v>3421</v>
      </c>
      <c r="AL245" s="43"/>
      <c r="AM245" s="43"/>
      <c r="AN245" s="43"/>
      <c r="AO245" s="43"/>
    </row>
    <row r="246" hidden="1">
      <c r="A246" s="78" t="s">
        <v>1795</v>
      </c>
      <c r="B246" s="63" t="s">
        <v>142</v>
      </c>
      <c r="C246" s="104" t="s">
        <v>1796</v>
      </c>
      <c r="D246" s="47" t="s">
        <v>144</v>
      </c>
      <c r="E246" s="64" t="s">
        <v>39</v>
      </c>
      <c r="F246" s="31" t="s">
        <v>60</v>
      </c>
      <c r="G246" s="31"/>
      <c r="H246" s="31"/>
      <c r="I246" s="31" t="s">
        <v>60</v>
      </c>
      <c r="J246" s="31"/>
      <c r="K246" s="31"/>
      <c r="L246" s="32" t="str">
        <f>IFERROR(__xludf.DUMMYFUNCTION("VLOOKUP($A246,IMPORTRANGE(""1PQtfbQLqBUP-rjYRznmgNFBLOjvAnhGzpIx7BJWq8rk"",""'Worksheet'!$B$2:$H""),7,FALSE)"),"#N/A")</f>
        <v>#N/A</v>
      </c>
      <c r="M246" s="31" t="s">
        <v>60</v>
      </c>
      <c r="N246" s="49">
        <v>1.0558687054E8</v>
      </c>
      <c r="O246" s="49">
        <v>1.0438084118E8</v>
      </c>
      <c r="P246" s="49">
        <v>0.0</v>
      </c>
      <c r="Q246" s="34">
        <f t="shared" si="3"/>
        <v>0.01142215271</v>
      </c>
      <c r="R246" s="31"/>
      <c r="S246" s="31" t="s">
        <v>60</v>
      </c>
      <c r="T246" s="88" t="s">
        <v>1797</v>
      </c>
      <c r="U246" s="88">
        <v>9.916179912E7</v>
      </c>
      <c r="V246" s="88" t="s">
        <v>1798</v>
      </c>
      <c r="W246" s="31"/>
      <c r="X246" s="52" t="s">
        <v>113</v>
      </c>
      <c r="Y246" s="54"/>
      <c r="Z246" s="54"/>
      <c r="AA246" s="54" t="s">
        <v>114</v>
      </c>
      <c r="AB246" s="38" t="s">
        <v>115</v>
      </c>
      <c r="AC246" s="38"/>
      <c r="AD246" s="39">
        <v>105586.0</v>
      </c>
      <c r="AE246" s="39">
        <v>104380.8412</v>
      </c>
      <c r="AF246" s="39">
        <v>1205.15882</v>
      </c>
      <c r="AG246" s="57" t="s">
        <v>1799</v>
      </c>
      <c r="AH246" s="42" t="s">
        <v>362</v>
      </c>
      <c r="AI246" s="42" t="str">
        <f>IFERROR(__xludf.DUMMYFUNCTION("vLOOKUP(A246,IMPORTRANGE(""https://docs.google.com/spreadsheets/d/1Rawwwdh8wntXGy8isdYNHxsNQS4n_rC8JSdPfj6vEq4"",""'500 объектов перенос на 2026'!A3:AB502""),13,0)"),"#REF!")</f>
        <v>#REF!</v>
      </c>
      <c r="AJ246" s="42" t="str">
        <f>IFERROR(__xludf.DUMMYFUNCTION("vLOOKUP(A246,IMPORTRANGE(""https://docs.google.com/spreadsheets/d/1Rawwwdh8wntXGy8isdYNHxsNQS4n_rC8JSdPfj6vEq4"",""'500 объектов перенос на 2026'!A3:AB502""),14,0)"),"#REF!")</f>
        <v>#REF!</v>
      </c>
      <c r="AK246" s="76" t="s">
        <v>114</v>
      </c>
      <c r="AL246" s="43"/>
      <c r="AM246" s="43"/>
      <c r="AN246" s="43"/>
      <c r="AO246" s="43"/>
    </row>
    <row r="247" hidden="1">
      <c r="A247" s="62" t="s">
        <v>1800</v>
      </c>
      <c r="B247" s="63" t="s">
        <v>142</v>
      </c>
      <c r="C247" s="104" t="s">
        <v>1801</v>
      </c>
      <c r="D247" s="47" t="s">
        <v>144</v>
      </c>
      <c r="E247" s="64" t="s">
        <v>39</v>
      </c>
      <c r="F247" s="31" t="s">
        <v>60</v>
      </c>
      <c r="G247" s="31"/>
      <c r="H247" s="31"/>
      <c r="I247" s="31" t="s">
        <v>60</v>
      </c>
      <c r="J247" s="31"/>
      <c r="K247" s="31"/>
      <c r="L247" s="32">
        <f>IFERROR(__xludf.DUMMYFUNCTION("VLOOKUP($A247,IMPORTRANGE(""1PQtfbQLqBUP-rjYRznmgNFBLOjvAnhGzpIx7BJWq8rk"",""'Worksheet'!$B$2:$H""),7,FALSE)"),1.0)</f>
        <v>1</v>
      </c>
      <c r="M247" s="31" t="s">
        <v>60</v>
      </c>
      <c r="N247" s="49">
        <v>3.307806428E7</v>
      </c>
      <c r="O247" s="49">
        <v>3.247532081E7</v>
      </c>
      <c r="P247" s="49">
        <v>0.0</v>
      </c>
      <c r="Q247" s="34">
        <f t="shared" si="3"/>
        <v>0.01822184832</v>
      </c>
      <c r="R247" s="31"/>
      <c r="S247" s="31" t="s">
        <v>60</v>
      </c>
      <c r="T247" s="88" t="s">
        <v>1802</v>
      </c>
      <c r="U247" s="88" t="s">
        <v>1803</v>
      </c>
      <c r="V247" s="88" t="s">
        <v>1804</v>
      </c>
      <c r="W247" s="31"/>
      <c r="X247" s="52" t="s">
        <v>113</v>
      </c>
      <c r="Y247" s="54"/>
      <c r="Z247" s="74"/>
      <c r="AA247" s="54" t="s">
        <v>114</v>
      </c>
      <c r="AB247" s="56"/>
      <c r="AC247" s="38"/>
      <c r="AD247" s="39">
        <v>33078.06</v>
      </c>
      <c r="AE247" s="39">
        <v>32475.3284</v>
      </c>
      <c r="AF247" s="40">
        <v>602.7316</v>
      </c>
      <c r="AG247" s="57" t="s">
        <v>1805</v>
      </c>
      <c r="AH247" s="85" t="s">
        <v>1806</v>
      </c>
      <c r="AI247" s="42" t="str">
        <f>IFERROR(__xludf.DUMMYFUNCTION("vLOOKUP(A247,IMPORTRANGE(""https://docs.google.com/spreadsheets/d/1Rawwwdh8wntXGy8isdYNHxsNQS4n_rC8JSdPfj6vEq4"",""'500 объектов перенос на 2026'!A3:AB502""),13,0)"),"#REF!")</f>
        <v>#REF!</v>
      </c>
      <c r="AJ247" s="42" t="str">
        <f>IFERROR(__xludf.DUMMYFUNCTION("vLOOKUP(A247,IMPORTRANGE(""https://docs.google.com/spreadsheets/d/1Rawwwdh8wntXGy8isdYNHxsNQS4n_rC8JSdPfj6vEq4"",""'500 объектов перенос на 2026'!A3:AB502""),14,0)"),"#REF!")</f>
        <v>#REF!</v>
      </c>
      <c r="AK247" s="76" t="s">
        <v>114</v>
      </c>
      <c r="AL247" s="43"/>
      <c r="AM247" s="43"/>
      <c r="AN247" s="43"/>
      <c r="AO247" s="43"/>
    </row>
    <row r="248" hidden="1">
      <c r="A248" s="62" t="s">
        <v>1807</v>
      </c>
      <c r="B248" s="63" t="s">
        <v>99</v>
      </c>
      <c r="C248" s="144" t="s">
        <v>1808</v>
      </c>
      <c r="D248" s="47" t="s">
        <v>1523</v>
      </c>
      <c r="E248" s="64" t="s">
        <v>85</v>
      </c>
      <c r="F248" s="31" t="s">
        <v>60</v>
      </c>
      <c r="G248" s="31"/>
      <c r="H248" s="31"/>
      <c r="I248" s="31" t="s">
        <v>60</v>
      </c>
      <c r="J248" s="31"/>
      <c r="K248" s="31"/>
      <c r="L248" s="32">
        <f>IFERROR(__xludf.DUMMYFUNCTION("VLOOKUP($A248,IMPORTRANGE(""1PQtfbQLqBUP-rjYRznmgNFBLOjvAnhGzpIx7BJWq8rk"",""'Worksheet'!$B$2:$H""),7,FALSE)"),1.0)</f>
        <v>1</v>
      </c>
      <c r="M248" s="31" t="s">
        <v>40</v>
      </c>
      <c r="N248" s="49">
        <v>3.036880046E7</v>
      </c>
      <c r="O248" s="49">
        <v>1.220688E7</v>
      </c>
      <c r="P248" s="49">
        <f t="shared" ref="P248:P252" si="37">N248-O248</f>
        <v>18161920.46</v>
      </c>
      <c r="Q248" s="34">
        <f t="shared" si="3"/>
        <v>0.5980453684</v>
      </c>
      <c r="R248" s="31" t="s">
        <v>1761</v>
      </c>
      <c r="S248" s="31" t="s">
        <v>60</v>
      </c>
      <c r="T248" s="145">
        <f>N248*0.95</f>
        <v>28850360.44</v>
      </c>
      <c r="U248" s="84">
        <v>0.0</v>
      </c>
      <c r="V248" s="145">
        <v>2.8850360437E7</v>
      </c>
      <c r="W248" s="31"/>
      <c r="X248" s="52" t="s">
        <v>1150</v>
      </c>
      <c r="Y248" s="54" t="s">
        <v>1809</v>
      </c>
      <c r="Z248" s="54" t="s">
        <v>1152</v>
      </c>
      <c r="AA248" s="74">
        <v>46218.0</v>
      </c>
      <c r="AB248" s="56"/>
      <c r="AC248" s="38" t="s">
        <v>1153</v>
      </c>
      <c r="AD248" s="39">
        <v>30368.8</v>
      </c>
      <c r="AE248" s="39">
        <v>12206.88</v>
      </c>
      <c r="AF248" s="40">
        <v>18161.92</v>
      </c>
      <c r="AG248" s="57" t="s">
        <v>1810</v>
      </c>
      <c r="AH248" s="42" t="s">
        <v>1155</v>
      </c>
      <c r="AI248" s="42" t="str">
        <f>IFERROR(__xludf.DUMMYFUNCTION("vLOOKUP(A248,IMPORTRANGE(""https://docs.google.com/spreadsheets/d/1Rawwwdh8wntXGy8isdYNHxsNQS4n_rC8JSdPfj6vEq4"",""'500 объектов перенос на 2026'!A3:AB502""),13,0)"),"#REF!")</f>
        <v>#REF!</v>
      </c>
      <c r="AJ248" s="42" t="str">
        <f>IFERROR(__xludf.DUMMYFUNCTION("vLOOKUP(A248,IMPORTRANGE(""https://docs.google.com/spreadsheets/d/1Rawwwdh8wntXGy8isdYNHxsNQS4n_rC8JSdPfj6vEq4"",""'500 объектов перенос на 2026'!A3:AB502""),14,0)"),"#REF!")</f>
        <v>#REF!</v>
      </c>
      <c r="AK248" s="76" t="s">
        <v>1811</v>
      </c>
      <c r="AL248" s="43"/>
      <c r="AM248" s="43"/>
      <c r="AN248" s="43"/>
      <c r="AO248" s="43"/>
    </row>
    <row r="249" hidden="1">
      <c r="A249" s="62" t="s">
        <v>1812</v>
      </c>
      <c r="B249" s="63" t="s">
        <v>894</v>
      </c>
      <c r="C249" s="64" t="s">
        <v>1813</v>
      </c>
      <c r="D249" s="47" t="s">
        <v>1331</v>
      </c>
      <c r="E249" s="64" t="s">
        <v>59</v>
      </c>
      <c r="F249" s="31" t="s">
        <v>60</v>
      </c>
      <c r="G249" s="31"/>
      <c r="H249" s="31"/>
      <c r="I249" s="31" t="s">
        <v>40</v>
      </c>
      <c r="J249" s="31" t="s">
        <v>102</v>
      </c>
      <c r="K249" s="31" t="s">
        <v>72</v>
      </c>
      <c r="L249" s="32">
        <f>IFERROR(__xludf.DUMMYFUNCTION("VLOOKUP($A249,IMPORTRANGE(""1PQtfbQLqBUP-rjYRznmgNFBLOjvAnhGzpIx7BJWq8rk"",""'Worksheet'!$B$2:$H""),7,FALSE)"),0.92)</f>
        <v>0.92</v>
      </c>
      <c r="M249" s="31" t="s">
        <v>45</v>
      </c>
      <c r="N249" s="49">
        <v>9.828519112E7</v>
      </c>
      <c r="O249" s="49">
        <v>8.040167635E7</v>
      </c>
      <c r="P249" s="49">
        <f t="shared" si="37"/>
        <v>17883514.77</v>
      </c>
      <c r="Q249" s="34">
        <f t="shared" si="3"/>
        <v>0.1819553339</v>
      </c>
      <c r="R249" s="31"/>
      <c r="S249" s="31" t="s">
        <v>45</v>
      </c>
      <c r="T249" s="84" t="s">
        <v>1814</v>
      </c>
      <c r="U249" s="84" t="s">
        <v>1815</v>
      </c>
      <c r="V249" s="84" t="s">
        <v>1816</v>
      </c>
      <c r="W249" s="31"/>
      <c r="X249" s="52" t="s">
        <v>326</v>
      </c>
      <c r="Y249" s="54" t="s">
        <v>1817</v>
      </c>
      <c r="Z249" s="74"/>
      <c r="AA249" s="74">
        <v>46255.0</v>
      </c>
      <c r="AB249" s="56"/>
      <c r="AC249" s="38" t="s">
        <v>899</v>
      </c>
      <c r="AD249" s="39">
        <v>98285.19</v>
      </c>
      <c r="AE249" s="39">
        <v>81552.22962</v>
      </c>
      <c r="AF249" s="40">
        <v>16732.96038</v>
      </c>
      <c r="AG249" s="57" t="s">
        <v>3432</v>
      </c>
      <c r="AH249" s="42" t="s">
        <v>1628</v>
      </c>
      <c r="AI249" s="42" t="str">
        <f>IFERROR(__xludf.DUMMYFUNCTION("vLOOKUP(A249,IMPORTRANGE(""https://docs.google.com/spreadsheets/d/1Rawwwdh8wntXGy8isdYNHxsNQS4n_rC8JSdPfj6vEq4"",""'500 объектов перенос на 2026'!A3:AB502""),13,0)"),"#REF!")</f>
        <v>#REF!</v>
      </c>
      <c r="AJ249" s="42" t="str">
        <f>IFERROR(__xludf.DUMMYFUNCTION("vLOOKUP(A249,IMPORTRANGE(""https://docs.google.com/spreadsheets/d/1Rawwwdh8wntXGy8isdYNHxsNQS4n_rC8JSdPfj6vEq4"",""'500 объектов перенос на 2026'!A3:AB502""),14,0)"),"#REF!")</f>
        <v>#REF!</v>
      </c>
      <c r="AK249" s="76" t="s">
        <v>3433</v>
      </c>
      <c r="AL249" s="43"/>
      <c r="AM249" s="43"/>
      <c r="AN249" s="43"/>
      <c r="AO249" s="43"/>
    </row>
    <row r="250" hidden="1">
      <c r="A250" s="62" t="s">
        <v>1820</v>
      </c>
      <c r="B250" s="63" t="s">
        <v>1274</v>
      </c>
      <c r="C250" s="64" t="s">
        <v>1821</v>
      </c>
      <c r="D250" s="47" t="s">
        <v>112</v>
      </c>
      <c r="E250" s="64" t="s">
        <v>85</v>
      </c>
      <c r="F250" s="31" t="s">
        <v>60</v>
      </c>
      <c r="G250" s="31"/>
      <c r="H250" s="31"/>
      <c r="I250" s="31" t="s">
        <v>40</v>
      </c>
      <c r="J250" s="31" t="s">
        <v>61</v>
      </c>
      <c r="K250" s="31" t="s">
        <v>72</v>
      </c>
      <c r="L250" s="32">
        <f>IFERROR(__xludf.DUMMYFUNCTION("VLOOKUP($A250,IMPORTRANGE(""1PQtfbQLqBUP-rjYRznmgNFBLOjvAnhGzpIx7BJWq8rk"",""'Worksheet'!$B$2:$H""),7,FALSE)"),0.95)</f>
        <v>0.95</v>
      </c>
      <c r="M250" s="31" t="s">
        <v>40</v>
      </c>
      <c r="N250" s="49">
        <v>3.555496E7</v>
      </c>
      <c r="O250" s="49">
        <v>1.777748E7</v>
      </c>
      <c r="P250" s="49">
        <f t="shared" si="37"/>
        <v>17777480</v>
      </c>
      <c r="Q250" s="34">
        <f t="shared" si="3"/>
        <v>0.5</v>
      </c>
      <c r="R250" s="31"/>
      <c r="S250" s="31" t="s">
        <v>40</v>
      </c>
      <c r="T250" s="84" t="s">
        <v>1822</v>
      </c>
      <c r="U250" s="145">
        <v>0.0</v>
      </c>
      <c r="V250" s="84" t="s">
        <v>1822</v>
      </c>
      <c r="W250" s="31"/>
      <c r="X250" s="52" t="s">
        <v>1453</v>
      </c>
      <c r="Y250" s="54" t="s">
        <v>1454</v>
      </c>
      <c r="Z250" s="54" t="s">
        <v>1455</v>
      </c>
      <c r="AA250" s="74">
        <v>46235.0</v>
      </c>
      <c r="AB250" s="56"/>
      <c r="AC250" s="38" t="s">
        <v>1349</v>
      </c>
      <c r="AD250" s="39">
        <v>35554.96</v>
      </c>
      <c r="AE250" s="39">
        <v>17777.48</v>
      </c>
      <c r="AF250" s="40">
        <v>17777.48</v>
      </c>
      <c r="AG250" s="99" t="s">
        <v>1823</v>
      </c>
      <c r="AH250" s="42"/>
      <c r="AI250" s="42" t="str">
        <f>IFERROR(__xludf.DUMMYFUNCTION("vLOOKUP(A250,IMPORTRANGE(""https://docs.google.com/spreadsheets/d/1Rawwwdh8wntXGy8isdYNHxsNQS4n_rC8JSdPfj6vEq4"",""'500 объектов перенос на 2026'!A3:AB502""),13,0)"),"#REF!")</f>
        <v>#REF!</v>
      </c>
      <c r="AJ250" s="42" t="str">
        <f>IFERROR(__xludf.DUMMYFUNCTION("vLOOKUP(A250,IMPORTRANGE(""https://docs.google.com/spreadsheets/d/1Rawwwdh8wntXGy8isdYNHxsNQS4n_rC8JSdPfj6vEq4"",""'500 объектов перенос на 2026'!A3:AB502""),14,0)"),"#REF!")</f>
        <v>#REF!</v>
      </c>
      <c r="AK250" s="76" t="s">
        <v>3434</v>
      </c>
      <c r="AL250" s="96"/>
      <c r="AM250" s="96"/>
      <c r="AN250" s="96"/>
      <c r="AO250" s="96"/>
    </row>
    <row r="251" hidden="1">
      <c r="A251" s="62" t="s">
        <v>1826</v>
      </c>
      <c r="B251" s="63" t="s">
        <v>250</v>
      </c>
      <c r="C251" s="64" t="s">
        <v>1827</v>
      </c>
      <c r="D251" s="47" t="s">
        <v>1755</v>
      </c>
      <c r="E251" s="64" t="s">
        <v>85</v>
      </c>
      <c r="F251" s="31" t="s">
        <v>60</v>
      </c>
      <c r="G251" s="31"/>
      <c r="H251" s="31"/>
      <c r="I251" s="31" t="s">
        <v>60</v>
      </c>
      <c r="J251" s="31"/>
      <c r="K251" s="31"/>
      <c r="L251" s="32">
        <f>IFERROR(__xludf.DUMMYFUNCTION("VLOOKUP($A251,IMPORTRANGE(""1PQtfbQLqBUP-rjYRznmgNFBLOjvAnhGzpIx7BJWq8rk"",""'Worksheet'!$B$2:$H""),7,FALSE)"),0.96)</f>
        <v>0.96</v>
      </c>
      <c r="M251" s="31" t="s">
        <v>45</v>
      </c>
      <c r="N251" s="49">
        <v>3.549656E7</v>
      </c>
      <c r="O251" s="49">
        <v>1.774828E7</v>
      </c>
      <c r="P251" s="49">
        <f t="shared" si="37"/>
        <v>17748280</v>
      </c>
      <c r="Q251" s="34">
        <f t="shared" si="3"/>
        <v>0.5</v>
      </c>
      <c r="R251" s="31"/>
      <c r="S251" s="31" t="s">
        <v>45</v>
      </c>
      <c r="T251" s="88">
        <v>0.0</v>
      </c>
      <c r="U251" s="84" t="s">
        <v>1828</v>
      </c>
      <c r="V251" s="88">
        <v>3.374834164E7</v>
      </c>
      <c r="W251" s="31" t="s">
        <v>183</v>
      </c>
      <c r="X251" s="52" t="s">
        <v>1141</v>
      </c>
      <c r="Y251" s="54" t="s">
        <v>1829</v>
      </c>
      <c r="Z251" s="54" t="s">
        <v>75</v>
      </c>
      <c r="AA251" s="74">
        <v>46203.0</v>
      </c>
      <c r="AB251" s="56"/>
      <c r="AC251" s="38" t="s">
        <v>1143</v>
      </c>
      <c r="AD251" s="39">
        <v>35496.56</v>
      </c>
      <c r="AE251" s="39">
        <v>17748.28</v>
      </c>
      <c r="AF251" s="40">
        <v>17748.28</v>
      </c>
      <c r="AG251" s="57" t="s">
        <v>1830</v>
      </c>
      <c r="AH251" s="85" t="s">
        <v>789</v>
      </c>
      <c r="AI251" s="42" t="str">
        <f>IFERROR(__xludf.DUMMYFUNCTION("vLOOKUP(A251,IMPORTRANGE(""https://docs.google.com/spreadsheets/d/1Rawwwdh8wntXGy8isdYNHxsNQS4n_rC8JSdPfj6vEq4"",""'500 объектов перенос на 2026'!A3:AB502""),13,0)"),"#REF!")</f>
        <v>#REF!</v>
      </c>
      <c r="AJ251" s="42" t="str">
        <f>IFERROR(__xludf.DUMMYFUNCTION("vLOOKUP(A251,IMPORTRANGE(""https://docs.google.com/spreadsheets/d/1Rawwwdh8wntXGy8isdYNHxsNQS4n_rC8JSdPfj6vEq4"",""'500 объектов перенос на 2026'!A3:AB502""),14,0)"),"#REF!")</f>
        <v>#REF!</v>
      </c>
      <c r="AK251" s="76" t="s">
        <v>1831</v>
      </c>
      <c r="AL251" s="43"/>
      <c r="AM251" s="43"/>
      <c r="AN251" s="43"/>
      <c r="AO251" s="43"/>
    </row>
    <row r="252" hidden="1">
      <c r="A252" s="62" t="s">
        <v>1832</v>
      </c>
      <c r="B252" s="63" t="s">
        <v>250</v>
      </c>
      <c r="C252" s="64" t="s">
        <v>1833</v>
      </c>
      <c r="D252" s="47" t="s">
        <v>323</v>
      </c>
      <c r="E252" s="64" t="s">
        <v>324</v>
      </c>
      <c r="F252" s="31" t="s">
        <v>60</v>
      </c>
      <c r="G252" s="31"/>
      <c r="H252" s="31"/>
      <c r="I252" s="31" t="s">
        <v>40</v>
      </c>
      <c r="J252" s="31" t="s">
        <v>61</v>
      </c>
      <c r="K252" s="31" t="s">
        <v>72</v>
      </c>
      <c r="L252" s="32">
        <f>IFERROR(__xludf.DUMMYFUNCTION("VLOOKUP($A252,IMPORTRANGE(""1PQtfbQLqBUP-rjYRznmgNFBLOjvAnhGzpIx7BJWq8rk"",""'Worksheet'!$B$2:$H""),7,FALSE)"),0.95)</f>
        <v>0.95</v>
      </c>
      <c r="M252" s="31" t="s">
        <v>45</v>
      </c>
      <c r="N252" s="49">
        <v>1.09011597E8</v>
      </c>
      <c r="O252" s="49">
        <v>9.135280186E7</v>
      </c>
      <c r="P252" s="49">
        <f t="shared" si="37"/>
        <v>17658795.14</v>
      </c>
      <c r="Q252" s="34">
        <f t="shared" si="3"/>
        <v>0.16199006</v>
      </c>
      <c r="R252" s="31"/>
      <c r="S252" s="31" t="s">
        <v>45</v>
      </c>
      <c r="T252" s="84">
        <v>1.045694195E8</v>
      </c>
      <c r="U252" s="84">
        <v>0.0</v>
      </c>
      <c r="V252" s="84">
        <v>1.045694195E8</v>
      </c>
      <c r="W252" s="31"/>
      <c r="X252" s="52" t="s">
        <v>1141</v>
      </c>
      <c r="Y252" s="54" t="s">
        <v>673</v>
      </c>
      <c r="Z252" s="54" t="s">
        <v>75</v>
      </c>
      <c r="AA252" s="74">
        <v>46203.0</v>
      </c>
      <c r="AB252" s="56"/>
      <c r="AC252" s="38" t="s">
        <v>1143</v>
      </c>
      <c r="AD252" s="39">
        <v>109011.62</v>
      </c>
      <c r="AE252" s="39">
        <v>91352.80186</v>
      </c>
      <c r="AF252" s="40">
        <v>17658.81814</v>
      </c>
      <c r="AG252" s="57" t="s">
        <v>1834</v>
      </c>
      <c r="AH252" s="42" t="s">
        <v>66</v>
      </c>
      <c r="AI252" s="42" t="str">
        <f>IFERROR(__xludf.DUMMYFUNCTION("vLOOKUP(A252,IMPORTRANGE(""https://docs.google.com/spreadsheets/d/1Rawwwdh8wntXGy8isdYNHxsNQS4n_rC8JSdPfj6vEq4"",""'500 объектов перенос на 2026'!A3:AB502""),13,0)"),"#REF!")</f>
        <v>#REF!</v>
      </c>
      <c r="AJ252" s="42" t="str">
        <f>IFERROR(__xludf.DUMMYFUNCTION("vLOOKUP(A252,IMPORTRANGE(""https://docs.google.com/spreadsheets/d/1Rawwwdh8wntXGy8isdYNHxsNQS4n_rC8JSdPfj6vEq4"",""'500 объектов перенос на 2026'!A3:AB502""),14,0)"),"#REF!")</f>
        <v>#REF!</v>
      </c>
      <c r="AK252" s="76" t="s">
        <v>3435</v>
      </c>
      <c r="AL252" s="43"/>
      <c r="AM252" s="43"/>
      <c r="AN252" s="43"/>
      <c r="AO252" s="43"/>
    </row>
    <row r="253" hidden="1">
      <c r="A253" s="78" t="s">
        <v>1837</v>
      </c>
      <c r="B253" s="63" t="s">
        <v>142</v>
      </c>
      <c r="C253" s="64" t="s">
        <v>1838</v>
      </c>
      <c r="D253" s="47" t="s">
        <v>144</v>
      </c>
      <c r="E253" s="64" t="s">
        <v>85</v>
      </c>
      <c r="F253" s="31" t="s">
        <v>60</v>
      </c>
      <c r="G253" s="31"/>
      <c r="H253" s="31"/>
      <c r="I253" s="31" t="s">
        <v>60</v>
      </c>
      <c r="J253" s="31"/>
      <c r="K253" s="31"/>
      <c r="L253" s="32" t="str">
        <f>IFERROR(__xludf.DUMMYFUNCTION("VLOOKUP($A253,IMPORTRANGE(""1PQtfbQLqBUP-rjYRznmgNFBLOjvAnhGzpIx7BJWq8rk"",""'Worksheet'!$B$2:$H""),7,FALSE)"),"#N/A")</f>
        <v>#N/A</v>
      </c>
      <c r="M253" s="31" t="s">
        <v>60</v>
      </c>
      <c r="N253" s="49">
        <v>2255280.0</v>
      </c>
      <c r="O253" s="49">
        <v>1950440.28</v>
      </c>
      <c r="P253" s="49">
        <v>0.0</v>
      </c>
      <c r="Q253" s="34">
        <f t="shared" si="3"/>
        <v>0.1351671278</v>
      </c>
      <c r="R253" s="31"/>
      <c r="S253" s="31" t="s">
        <v>60</v>
      </c>
      <c r="T253" s="88" t="s">
        <v>1839</v>
      </c>
      <c r="U253" s="88">
        <v>1852918.27</v>
      </c>
      <c r="V253" s="88" t="s">
        <v>1840</v>
      </c>
      <c r="W253" s="31"/>
      <c r="X253" s="52" t="s">
        <v>113</v>
      </c>
      <c r="Y253" s="54"/>
      <c r="Z253" s="54"/>
      <c r="AA253" s="54" t="s">
        <v>114</v>
      </c>
      <c r="AB253" s="38" t="s">
        <v>115</v>
      </c>
      <c r="AC253" s="38"/>
      <c r="AD253" s="39">
        <v>2255.28</v>
      </c>
      <c r="AE253" s="39">
        <v>1950.43528</v>
      </c>
      <c r="AF253" s="39">
        <v>304.84472</v>
      </c>
      <c r="AG253" s="57" t="s">
        <v>1841</v>
      </c>
      <c r="AH253" s="42" t="s">
        <v>362</v>
      </c>
      <c r="AI253" s="42" t="str">
        <f>IFERROR(__xludf.DUMMYFUNCTION("vLOOKUP(A253,IMPORTRANGE(""https://docs.google.com/spreadsheets/d/1Rawwwdh8wntXGy8isdYNHxsNQS4n_rC8JSdPfj6vEq4"",""'500 объектов перенос на 2026'!A3:AB502""),13,0)"),"#REF!")</f>
        <v>#REF!</v>
      </c>
      <c r="AJ253" s="42" t="str">
        <f>IFERROR(__xludf.DUMMYFUNCTION("vLOOKUP(A253,IMPORTRANGE(""https://docs.google.com/spreadsheets/d/1Rawwwdh8wntXGy8isdYNHxsNQS4n_rC8JSdPfj6vEq4"",""'500 объектов перенос на 2026'!A3:AB502""),14,0)"),"#REF!")</f>
        <v>#REF!</v>
      </c>
      <c r="AK253" s="76" t="s">
        <v>114</v>
      </c>
      <c r="AL253" s="43"/>
      <c r="AM253" s="43"/>
      <c r="AN253" s="43"/>
      <c r="AO253" s="43"/>
    </row>
    <row r="254" hidden="1">
      <c r="A254" s="62" t="s">
        <v>1842</v>
      </c>
      <c r="B254" s="63" t="s">
        <v>82</v>
      </c>
      <c r="C254" s="90" t="s">
        <v>1843</v>
      </c>
      <c r="D254" s="47" t="s">
        <v>323</v>
      </c>
      <c r="E254" s="90" t="s">
        <v>85</v>
      </c>
      <c r="F254" s="31" t="s">
        <v>60</v>
      </c>
      <c r="G254" s="31"/>
      <c r="H254" s="31"/>
      <c r="I254" s="31" t="s">
        <v>40</v>
      </c>
      <c r="J254" s="31" t="s">
        <v>61</v>
      </c>
      <c r="K254" s="31" t="s">
        <v>72</v>
      </c>
      <c r="L254" s="32">
        <f>IFERROR(__xludf.DUMMYFUNCTION("VLOOKUP($A254,IMPORTRANGE(""1PQtfbQLqBUP-rjYRznmgNFBLOjvAnhGzpIx7BJWq8rk"",""'Worksheet'!$B$2:$H""),7,FALSE)"),0.58)</f>
        <v>0.58</v>
      </c>
      <c r="M254" s="31" t="s">
        <v>40</v>
      </c>
      <c r="N254" s="49">
        <v>2.508338537E7</v>
      </c>
      <c r="O254" s="49">
        <v>7525015.61</v>
      </c>
      <c r="P254" s="49">
        <f>N254-O254</f>
        <v>17558369.76</v>
      </c>
      <c r="Q254" s="34">
        <f t="shared" si="3"/>
        <v>0.7</v>
      </c>
      <c r="R254" s="31"/>
      <c r="S254" s="31" t="s">
        <v>45</v>
      </c>
      <c r="T254" s="84" t="s">
        <v>1844</v>
      </c>
      <c r="U254" s="84">
        <v>0.0</v>
      </c>
      <c r="V254" s="84" t="s">
        <v>1844</v>
      </c>
      <c r="W254" s="31"/>
      <c r="X254" s="52" t="s">
        <v>1659</v>
      </c>
      <c r="Y254" s="54" t="s">
        <v>1660</v>
      </c>
      <c r="Z254" s="54" t="s">
        <v>1152</v>
      </c>
      <c r="AA254" s="74">
        <v>46203.0</v>
      </c>
      <c r="AB254" s="56"/>
      <c r="AC254" s="38" t="s">
        <v>789</v>
      </c>
      <c r="AD254" s="39">
        <v>25083.39</v>
      </c>
      <c r="AE254" s="39">
        <v>8516.75117</v>
      </c>
      <c r="AF254" s="40">
        <v>16566.63883</v>
      </c>
      <c r="AG254" s="57" t="s">
        <v>1845</v>
      </c>
      <c r="AH254" s="42" t="s">
        <v>1662</v>
      </c>
      <c r="AI254" s="42" t="str">
        <f>IFERROR(__xludf.DUMMYFUNCTION("vLOOKUP(A254,IMPORTRANGE(""https://docs.google.com/spreadsheets/d/1Rawwwdh8wntXGy8isdYNHxsNQS4n_rC8JSdPfj6vEq4"",""'500 объектов перенос на 2026'!A3:AB502""),13,0)"),"#REF!")</f>
        <v>#REF!</v>
      </c>
      <c r="AJ254" s="42" t="str">
        <f>IFERROR(__xludf.DUMMYFUNCTION("vLOOKUP(A254,IMPORTRANGE(""https://docs.google.com/spreadsheets/d/1Rawwwdh8wntXGy8isdYNHxsNQS4n_rC8JSdPfj6vEq4"",""'500 объектов перенос на 2026'!A3:AB502""),14,0)"),"#REF!")</f>
        <v>#REF!</v>
      </c>
      <c r="AK254" s="76" t="s">
        <v>3421</v>
      </c>
      <c r="AL254" s="43"/>
      <c r="AM254" s="43"/>
      <c r="AN254" s="43"/>
      <c r="AO254" s="43"/>
    </row>
    <row r="255" hidden="1">
      <c r="A255" s="78" t="s">
        <v>1847</v>
      </c>
      <c r="B255" s="63" t="s">
        <v>142</v>
      </c>
      <c r="C255" s="64" t="s">
        <v>1848</v>
      </c>
      <c r="D255" s="47" t="s">
        <v>1849</v>
      </c>
      <c r="E255" s="64" t="s">
        <v>85</v>
      </c>
      <c r="F255" s="31" t="s">
        <v>60</v>
      </c>
      <c r="G255" s="31"/>
      <c r="H255" s="31"/>
      <c r="I255" s="31" t="s">
        <v>60</v>
      </c>
      <c r="J255" s="31"/>
      <c r="K255" s="31"/>
      <c r="L255" s="32" t="str">
        <f>IFERROR(__xludf.DUMMYFUNCTION("VLOOKUP($A255,IMPORTRANGE(""1PQtfbQLqBUP-rjYRznmgNFBLOjvAnhGzpIx7BJWq8rk"",""'Worksheet'!$B$2:$H""),7,FALSE)"),"#N/A")</f>
        <v>#N/A</v>
      </c>
      <c r="M255" s="31" t="s">
        <v>60</v>
      </c>
      <c r="N255" s="49">
        <v>1.730249E7</v>
      </c>
      <c r="O255" s="49">
        <v>1.574585595E7</v>
      </c>
      <c r="P255" s="49">
        <v>0.0</v>
      </c>
      <c r="Q255" s="34">
        <f t="shared" si="3"/>
        <v>0.08996589797</v>
      </c>
      <c r="R255" s="31"/>
      <c r="S255" s="31" t="s">
        <v>60</v>
      </c>
      <c r="T255" s="88" t="s">
        <v>1850</v>
      </c>
      <c r="U255" s="88">
        <v>1.495856315E7</v>
      </c>
      <c r="V255" s="88" t="s">
        <v>1851</v>
      </c>
      <c r="W255" s="31"/>
      <c r="X255" s="52" t="s">
        <v>113</v>
      </c>
      <c r="Y255" s="54"/>
      <c r="Z255" s="54"/>
      <c r="AA255" s="54" t="s">
        <v>114</v>
      </c>
      <c r="AB255" s="38" t="s">
        <v>115</v>
      </c>
      <c r="AC255" s="38"/>
      <c r="AD255" s="39">
        <v>17302.49</v>
      </c>
      <c r="AE255" s="39">
        <v>15745.85595</v>
      </c>
      <c r="AF255" s="39">
        <v>1556.63405</v>
      </c>
      <c r="AG255" s="57" t="s">
        <v>1852</v>
      </c>
      <c r="AH255" s="42" t="s">
        <v>362</v>
      </c>
      <c r="AI255" s="42" t="str">
        <f>IFERROR(__xludf.DUMMYFUNCTION("vLOOKUP(A255,IMPORTRANGE(""https://docs.google.com/spreadsheets/d/1Rawwwdh8wntXGy8isdYNHxsNQS4n_rC8JSdPfj6vEq4"",""'500 объектов перенос на 2026'!A3:AB502""),13,0)"),"#REF!")</f>
        <v>#REF!</v>
      </c>
      <c r="AJ255" s="42" t="str">
        <f>IFERROR(__xludf.DUMMYFUNCTION("vLOOKUP(A255,IMPORTRANGE(""https://docs.google.com/spreadsheets/d/1Rawwwdh8wntXGy8isdYNHxsNQS4n_rC8JSdPfj6vEq4"",""'500 объектов перенос на 2026'!A3:AB502""),14,0)"),"#REF!")</f>
        <v>#REF!</v>
      </c>
      <c r="AK255" s="76" t="s">
        <v>114</v>
      </c>
      <c r="AL255" s="43"/>
      <c r="AM255" s="43"/>
      <c r="AN255" s="43"/>
      <c r="AO255" s="43"/>
    </row>
    <row r="256" hidden="1">
      <c r="A256" s="78" t="s">
        <v>1853</v>
      </c>
      <c r="B256" s="63" t="s">
        <v>142</v>
      </c>
      <c r="C256" s="64" t="s">
        <v>1854</v>
      </c>
      <c r="D256" s="47" t="s">
        <v>144</v>
      </c>
      <c r="E256" s="64" t="s">
        <v>85</v>
      </c>
      <c r="F256" s="31" t="s">
        <v>60</v>
      </c>
      <c r="G256" s="31"/>
      <c r="H256" s="31"/>
      <c r="I256" s="31" t="s">
        <v>60</v>
      </c>
      <c r="J256" s="31"/>
      <c r="K256" s="31"/>
      <c r="L256" s="32" t="str">
        <f>IFERROR(__xludf.DUMMYFUNCTION("VLOOKUP($A256,IMPORTRANGE(""1PQtfbQLqBUP-rjYRznmgNFBLOjvAnhGzpIx7BJWq8rk"",""'Worksheet'!$B$2:$H""),7,FALSE)"),"#N/A")</f>
        <v>#N/A</v>
      </c>
      <c r="M256" s="31" t="s">
        <v>60</v>
      </c>
      <c r="N256" s="49">
        <v>9.632055E7</v>
      </c>
      <c r="O256" s="49">
        <v>8.074077893E7</v>
      </c>
      <c r="P256" s="49">
        <v>0.0</v>
      </c>
      <c r="Q256" s="34">
        <f t="shared" si="3"/>
        <v>0.1617491913</v>
      </c>
      <c r="R256" s="31"/>
      <c r="S256" s="31" t="s">
        <v>60</v>
      </c>
      <c r="T256" s="88" t="s">
        <v>1855</v>
      </c>
      <c r="U256" s="88">
        <v>7.670373998E7</v>
      </c>
      <c r="V256" s="88" t="s">
        <v>1856</v>
      </c>
      <c r="W256" s="31"/>
      <c r="X256" s="52" t="s">
        <v>113</v>
      </c>
      <c r="Y256" s="54"/>
      <c r="Z256" s="54"/>
      <c r="AA256" s="54" t="s">
        <v>114</v>
      </c>
      <c r="AB256" s="38" t="s">
        <v>115</v>
      </c>
      <c r="AC256" s="38"/>
      <c r="AD256" s="39">
        <v>96320.55</v>
      </c>
      <c r="AE256" s="39">
        <v>80740.77893</v>
      </c>
      <c r="AF256" s="39">
        <v>15579.77107</v>
      </c>
      <c r="AG256" s="57" t="s">
        <v>1857</v>
      </c>
      <c r="AH256" s="42" t="s">
        <v>362</v>
      </c>
      <c r="AI256" s="42" t="str">
        <f>IFERROR(__xludf.DUMMYFUNCTION("vLOOKUP(A256,IMPORTRANGE(""https://docs.google.com/spreadsheets/d/1Rawwwdh8wntXGy8isdYNHxsNQS4n_rC8JSdPfj6vEq4"",""'500 объектов перенос на 2026'!A3:AB502""),13,0)"),"#REF!")</f>
        <v>#REF!</v>
      </c>
      <c r="AJ256" s="42" t="str">
        <f>IFERROR(__xludf.DUMMYFUNCTION("vLOOKUP(A256,IMPORTRANGE(""https://docs.google.com/spreadsheets/d/1Rawwwdh8wntXGy8isdYNHxsNQS4n_rC8JSdPfj6vEq4"",""'500 объектов перенос на 2026'!A3:AB502""),14,0)"),"#REF!")</f>
        <v>#REF!</v>
      </c>
      <c r="AK256" s="76" t="s">
        <v>114</v>
      </c>
      <c r="AL256" s="43"/>
      <c r="AM256" s="43"/>
      <c r="AN256" s="43"/>
      <c r="AO256" s="43"/>
    </row>
    <row r="257" hidden="1">
      <c r="A257" s="62" t="s">
        <v>1858</v>
      </c>
      <c r="B257" s="63" t="s">
        <v>142</v>
      </c>
      <c r="C257" s="64" t="s">
        <v>1859</v>
      </c>
      <c r="D257" s="47" t="s">
        <v>144</v>
      </c>
      <c r="E257" s="64" t="s">
        <v>85</v>
      </c>
      <c r="F257" s="31" t="s">
        <v>60</v>
      </c>
      <c r="G257" s="31"/>
      <c r="H257" s="31"/>
      <c r="I257" s="31" t="s">
        <v>60</v>
      </c>
      <c r="J257" s="31"/>
      <c r="K257" s="31"/>
      <c r="L257" s="32">
        <f>IFERROR(__xludf.DUMMYFUNCTION("VLOOKUP($A257,IMPORTRANGE(""1PQtfbQLqBUP-rjYRznmgNFBLOjvAnhGzpIx7BJWq8rk"",""'Worksheet'!$B$2:$H""),7,FALSE)"),1.0)</f>
        <v>1</v>
      </c>
      <c r="M257" s="31" t="s">
        <v>60</v>
      </c>
      <c r="N257" s="49">
        <v>4.97445102E7</v>
      </c>
      <c r="O257" s="49">
        <v>4.427506033E7</v>
      </c>
      <c r="P257" s="49">
        <v>0.0</v>
      </c>
      <c r="Q257" s="34">
        <f t="shared" si="3"/>
        <v>0.1099508237</v>
      </c>
      <c r="R257" s="31"/>
      <c r="S257" s="31" t="s">
        <v>60</v>
      </c>
      <c r="T257" s="88" t="s">
        <v>1860</v>
      </c>
      <c r="U257" s="88">
        <v>4.206130731E7</v>
      </c>
      <c r="V257" s="88" t="s">
        <v>1861</v>
      </c>
      <c r="W257" s="31"/>
      <c r="X257" s="52" t="s">
        <v>113</v>
      </c>
      <c r="Y257" s="74"/>
      <c r="Z257" s="74"/>
      <c r="AA257" s="54" t="s">
        <v>114</v>
      </c>
      <c r="AB257" s="56"/>
      <c r="AC257" s="38"/>
      <c r="AD257" s="39">
        <v>50248.62</v>
      </c>
      <c r="AE257" s="39">
        <v>15074.58546</v>
      </c>
      <c r="AF257" s="40">
        <v>35174.03454</v>
      </c>
      <c r="AG257" s="57" t="s">
        <v>1862</v>
      </c>
      <c r="AH257" s="42" t="s">
        <v>595</v>
      </c>
      <c r="AI257" s="85"/>
      <c r="AJ257" s="42"/>
      <c r="AK257" s="76" t="s">
        <v>114</v>
      </c>
      <c r="AL257" s="43"/>
      <c r="AM257" s="43"/>
      <c r="AN257" s="43"/>
      <c r="AO257" s="43"/>
    </row>
    <row r="258" hidden="1">
      <c r="A258" s="78" t="s">
        <v>1863</v>
      </c>
      <c r="B258" s="63" t="s">
        <v>142</v>
      </c>
      <c r="C258" s="64" t="s">
        <v>1864</v>
      </c>
      <c r="D258" s="47" t="s">
        <v>1041</v>
      </c>
      <c r="E258" s="64" t="s">
        <v>85</v>
      </c>
      <c r="F258" s="31" t="s">
        <v>60</v>
      </c>
      <c r="G258" s="31"/>
      <c r="H258" s="31"/>
      <c r="I258" s="31" t="s">
        <v>60</v>
      </c>
      <c r="J258" s="31"/>
      <c r="K258" s="31"/>
      <c r="L258" s="32" t="str">
        <f>IFERROR(__xludf.DUMMYFUNCTION("VLOOKUP($A258,IMPORTRANGE(""1PQtfbQLqBUP-rjYRznmgNFBLOjvAnhGzpIx7BJWq8rk"",""'Worksheet'!$B$2:$H""),7,FALSE)"),"#N/A")</f>
        <v>#N/A</v>
      </c>
      <c r="M258" s="31" t="s">
        <v>60</v>
      </c>
      <c r="N258" s="49">
        <v>1.114517E7</v>
      </c>
      <c r="O258" s="49">
        <v>8814014.4</v>
      </c>
      <c r="P258" s="49">
        <v>0.0</v>
      </c>
      <c r="Q258" s="34">
        <f t="shared" si="3"/>
        <v>0.2091628571</v>
      </c>
      <c r="R258" s="31"/>
      <c r="S258" s="31" t="s">
        <v>60</v>
      </c>
      <c r="T258" s="88" t="s">
        <v>1865</v>
      </c>
      <c r="U258" s="88">
        <v>8373313.68</v>
      </c>
      <c r="V258" s="88" t="s">
        <v>1866</v>
      </c>
      <c r="W258" s="31"/>
      <c r="X258" s="52" t="s">
        <v>113</v>
      </c>
      <c r="Y258" s="54"/>
      <c r="Z258" s="54"/>
      <c r="AA258" s="54" t="s">
        <v>114</v>
      </c>
      <c r="AB258" s="38" t="s">
        <v>115</v>
      </c>
      <c r="AC258" s="38"/>
      <c r="AD258" s="39">
        <v>11145.17</v>
      </c>
      <c r="AE258" s="39">
        <v>8814.0144</v>
      </c>
      <c r="AF258" s="39">
        <v>2331.1556</v>
      </c>
      <c r="AG258" s="57" t="s">
        <v>1867</v>
      </c>
      <c r="AH258" s="42" t="s">
        <v>362</v>
      </c>
      <c r="AI258" s="42" t="str">
        <f>IFERROR(__xludf.DUMMYFUNCTION("vLOOKUP(A258,IMPORTRANGE(""https://docs.google.com/spreadsheets/d/1Rawwwdh8wntXGy8isdYNHxsNQS4n_rC8JSdPfj6vEq4"",""'500 объектов перенос на 2026'!A3:AB502""),13,0)"),"#REF!")</f>
        <v>#REF!</v>
      </c>
      <c r="AJ258" s="42" t="str">
        <f>IFERROR(__xludf.DUMMYFUNCTION("vLOOKUP(A258,IMPORTRANGE(""https://docs.google.com/spreadsheets/d/1Rawwwdh8wntXGy8isdYNHxsNQS4n_rC8JSdPfj6vEq4"",""'500 объектов перенос на 2026'!A3:AB502""),14,0)"),"#REF!")</f>
        <v>#REF!</v>
      </c>
      <c r="AK258" s="76" t="s">
        <v>114</v>
      </c>
      <c r="AL258" s="43"/>
      <c r="AM258" s="43"/>
      <c r="AN258" s="43"/>
      <c r="AO258" s="43"/>
    </row>
    <row r="259" hidden="1">
      <c r="A259" s="78" t="s">
        <v>1868</v>
      </c>
      <c r="B259" s="63" t="s">
        <v>142</v>
      </c>
      <c r="C259" s="64" t="s">
        <v>1869</v>
      </c>
      <c r="D259" s="47" t="s">
        <v>144</v>
      </c>
      <c r="E259" s="64" t="s">
        <v>85</v>
      </c>
      <c r="F259" s="31" t="s">
        <v>60</v>
      </c>
      <c r="G259" s="31"/>
      <c r="H259" s="31"/>
      <c r="I259" s="31" t="s">
        <v>60</v>
      </c>
      <c r="J259" s="31"/>
      <c r="K259" s="31"/>
      <c r="L259" s="32" t="str">
        <f>IFERROR(__xludf.DUMMYFUNCTION("VLOOKUP($A259,IMPORTRANGE(""1PQtfbQLqBUP-rjYRznmgNFBLOjvAnhGzpIx7BJWq8rk"",""'Worksheet'!$B$2:$H""),7,FALSE)"),"#N/A")</f>
        <v>#N/A</v>
      </c>
      <c r="M259" s="31" t="s">
        <v>60</v>
      </c>
      <c r="N259" s="49">
        <v>2.405689E7</v>
      </c>
      <c r="O259" s="49">
        <v>2.079954E7</v>
      </c>
      <c r="P259" s="49">
        <v>0.0</v>
      </c>
      <c r="Q259" s="34">
        <f t="shared" si="3"/>
        <v>0.1354019576</v>
      </c>
      <c r="R259" s="31"/>
      <c r="S259" s="31" t="s">
        <v>60</v>
      </c>
      <c r="T259" s="88" t="s">
        <v>1870</v>
      </c>
      <c r="U259" s="88">
        <v>1.9759563E7</v>
      </c>
      <c r="V259" s="88" t="s">
        <v>1871</v>
      </c>
      <c r="W259" s="31"/>
      <c r="X259" s="52" t="s">
        <v>113</v>
      </c>
      <c r="Y259" s="54"/>
      <c r="Z259" s="54"/>
      <c r="AA259" s="54" t="s">
        <v>114</v>
      </c>
      <c r="AB259" s="38" t="s">
        <v>115</v>
      </c>
      <c r="AC259" s="38"/>
      <c r="AD259" s="39">
        <v>24056.89</v>
      </c>
      <c r="AE259" s="39">
        <v>20799.53762</v>
      </c>
      <c r="AF259" s="39">
        <v>3257.35238</v>
      </c>
      <c r="AG259" s="57"/>
      <c r="AH259" s="42" t="s">
        <v>362</v>
      </c>
      <c r="AI259" s="42" t="str">
        <f>IFERROR(__xludf.DUMMYFUNCTION("vLOOKUP(A259,IMPORTRANGE(""https://docs.google.com/spreadsheets/d/1Rawwwdh8wntXGy8isdYNHxsNQS4n_rC8JSdPfj6vEq4"",""'500 объектов перенос на 2026'!A3:AB502""),13,0)"),"#REF!")</f>
        <v>#REF!</v>
      </c>
      <c r="AJ259" s="42" t="str">
        <f>IFERROR(__xludf.DUMMYFUNCTION("vLOOKUP(A259,IMPORTRANGE(""https://docs.google.com/spreadsheets/d/1Rawwwdh8wntXGy8isdYNHxsNQS4n_rC8JSdPfj6vEq4"",""'500 объектов перенос на 2026'!A3:AB502""),14,0)"),"#REF!")</f>
        <v>#REF!</v>
      </c>
      <c r="AK259" s="76" t="s">
        <v>114</v>
      </c>
      <c r="AL259" s="43"/>
      <c r="AM259" s="43"/>
      <c r="AN259" s="43"/>
      <c r="AO259" s="43"/>
    </row>
    <row r="260" hidden="1">
      <c r="A260" s="62" t="s">
        <v>1872</v>
      </c>
      <c r="B260" s="63" t="s">
        <v>142</v>
      </c>
      <c r="C260" s="64" t="s">
        <v>1873</v>
      </c>
      <c r="D260" s="47" t="s">
        <v>144</v>
      </c>
      <c r="E260" s="64" t="s">
        <v>85</v>
      </c>
      <c r="F260" s="31" t="s">
        <v>60</v>
      </c>
      <c r="G260" s="31"/>
      <c r="H260" s="31"/>
      <c r="I260" s="31" t="s">
        <v>60</v>
      </c>
      <c r="J260" s="31"/>
      <c r="K260" s="31"/>
      <c r="L260" s="32">
        <f>IFERROR(__xludf.DUMMYFUNCTION("VLOOKUP($A260,IMPORTRANGE(""1PQtfbQLqBUP-rjYRznmgNFBLOjvAnhGzpIx7BJWq8rk"",""'Worksheet'!$B$2:$H""),7,FALSE)"),1.0)</f>
        <v>1</v>
      </c>
      <c r="M260" s="31" t="s">
        <v>60</v>
      </c>
      <c r="N260" s="49">
        <v>2.616589774E7</v>
      </c>
      <c r="O260" s="49">
        <v>2.003585261E7</v>
      </c>
      <c r="P260" s="49">
        <v>0.0</v>
      </c>
      <c r="Q260" s="34">
        <f t="shared" si="3"/>
        <v>0.234276125</v>
      </c>
      <c r="R260" s="31"/>
      <c r="S260" s="31" t="s">
        <v>60</v>
      </c>
      <c r="T260" s="88" t="s">
        <v>1874</v>
      </c>
      <c r="U260" s="88" t="s">
        <v>1875</v>
      </c>
      <c r="V260" s="88" t="s">
        <v>1876</v>
      </c>
      <c r="W260" s="31"/>
      <c r="X260" s="52" t="s">
        <v>113</v>
      </c>
      <c r="Y260" s="74"/>
      <c r="Z260" s="74"/>
      <c r="AA260" s="54" t="s">
        <v>114</v>
      </c>
      <c r="AB260" s="56"/>
      <c r="AC260" s="38"/>
      <c r="AD260" s="39">
        <v>20615.98</v>
      </c>
      <c r="AE260" s="39">
        <v>6184.79568</v>
      </c>
      <c r="AF260" s="40">
        <v>14431.18432</v>
      </c>
      <c r="AG260" s="57" t="s">
        <v>1877</v>
      </c>
      <c r="AH260" s="42" t="s">
        <v>595</v>
      </c>
      <c r="AI260" s="85"/>
      <c r="AJ260" s="42"/>
      <c r="AK260" s="76" t="s">
        <v>114</v>
      </c>
      <c r="AL260" s="43"/>
      <c r="AM260" s="43"/>
      <c r="AN260" s="43"/>
      <c r="AO260" s="43"/>
    </row>
    <row r="261" hidden="1">
      <c r="A261" s="78" t="s">
        <v>1878</v>
      </c>
      <c r="B261" s="63" t="s">
        <v>142</v>
      </c>
      <c r="C261" s="64" t="s">
        <v>1879</v>
      </c>
      <c r="D261" s="47" t="s">
        <v>144</v>
      </c>
      <c r="E261" s="64" t="s">
        <v>85</v>
      </c>
      <c r="F261" s="31" t="s">
        <v>60</v>
      </c>
      <c r="G261" s="31"/>
      <c r="H261" s="31"/>
      <c r="I261" s="31" t="s">
        <v>60</v>
      </c>
      <c r="J261" s="31"/>
      <c r="K261" s="31"/>
      <c r="L261" s="32" t="str">
        <f>IFERROR(__xludf.DUMMYFUNCTION("VLOOKUP($A261,IMPORTRANGE(""1PQtfbQLqBUP-rjYRznmgNFBLOjvAnhGzpIx7BJWq8rk"",""'Worksheet'!$B$2:$H""),7,FALSE)"),"#N/A")</f>
        <v>#N/A</v>
      </c>
      <c r="M261" s="31" t="s">
        <v>60</v>
      </c>
      <c r="N261" s="49">
        <v>6603550.0</v>
      </c>
      <c r="O261" s="49">
        <v>6603550.0</v>
      </c>
      <c r="P261" s="49">
        <f t="shared" ref="P261:P262" si="38">N261-O261</f>
        <v>0</v>
      </c>
      <c r="Q261" s="34">
        <f t="shared" si="3"/>
        <v>0</v>
      </c>
      <c r="R261" s="31"/>
      <c r="S261" s="31" t="s">
        <v>60</v>
      </c>
      <c r="T261" s="88" t="s">
        <v>1880</v>
      </c>
      <c r="U261" s="88">
        <v>6273372.5</v>
      </c>
      <c r="V261" s="88">
        <v>0.0</v>
      </c>
      <c r="W261" s="31"/>
      <c r="X261" s="52" t="s">
        <v>113</v>
      </c>
      <c r="Y261" s="54"/>
      <c r="Z261" s="54"/>
      <c r="AA261" s="54" t="s">
        <v>114</v>
      </c>
      <c r="AB261" s="38" t="s">
        <v>115</v>
      </c>
      <c r="AC261" s="38"/>
      <c r="AD261" s="39">
        <v>6603.55</v>
      </c>
      <c r="AE261" s="39">
        <v>6603.92959</v>
      </c>
      <c r="AF261" s="39">
        <v>-0.37959</v>
      </c>
      <c r="AG261" s="57" t="s">
        <v>1881</v>
      </c>
      <c r="AH261" s="42" t="s">
        <v>362</v>
      </c>
      <c r="AI261" s="42" t="str">
        <f>IFERROR(__xludf.DUMMYFUNCTION("vLOOKUP(A261,IMPORTRANGE(""https://docs.google.com/spreadsheets/d/1Rawwwdh8wntXGy8isdYNHxsNQS4n_rC8JSdPfj6vEq4"",""'500 объектов перенос на 2026'!A3:AB502""),13,0)"),"#REF!")</f>
        <v>#REF!</v>
      </c>
      <c r="AJ261" s="42" t="str">
        <f>IFERROR(__xludf.DUMMYFUNCTION("vLOOKUP(A261,IMPORTRANGE(""https://docs.google.com/spreadsheets/d/1Rawwwdh8wntXGy8isdYNHxsNQS4n_rC8JSdPfj6vEq4"",""'500 объектов перенос на 2026'!A3:AB502""),14,0)"),"#REF!")</f>
        <v>#REF!</v>
      </c>
      <c r="AK261" s="76" t="s">
        <v>114</v>
      </c>
      <c r="AL261" s="43"/>
      <c r="AM261" s="43"/>
      <c r="AN261" s="43"/>
      <c r="AO261" s="43"/>
    </row>
    <row r="262" hidden="1">
      <c r="A262" s="62" t="s">
        <v>1882</v>
      </c>
      <c r="B262" s="63" t="s">
        <v>653</v>
      </c>
      <c r="C262" s="64" t="s">
        <v>1883</v>
      </c>
      <c r="D262" s="47" t="s">
        <v>848</v>
      </c>
      <c r="E262" s="64" t="s">
        <v>85</v>
      </c>
      <c r="F262" s="31" t="s">
        <v>40</v>
      </c>
      <c r="G262" s="31" t="s">
        <v>41</v>
      </c>
      <c r="H262" s="31" t="s">
        <v>974</v>
      </c>
      <c r="I262" s="31" t="s">
        <v>40</v>
      </c>
      <c r="J262" s="31" t="s">
        <v>61</v>
      </c>
      <c r="K262" s="31"/>
      <c r="L262" s="32">
        <f>IFERROR(__xludf.DUMMYFUNCTION("VLOOKUP($A262,IMPORTRANGE(""1PQtfbQLqBUP-rjYRznmgNFBLOjvAnhGzpIx7BJWq8rk"",""'Worksheet'!$B$2:$H""),7,FALSE)"),0.83)</f>
        <v>0.83</v>
      </c>
      <c r="M262" s="31" t="s">
        <v>40</v>
      </c>
      <c r="N262" s="49">
        <v>3.496768E7</v>
      </c>
      <c r="O262" s="49">
        <v>1.748384E7</v>
      </c>
      <c r="P262" s="49">
        <f t="shared" si="38"/>
        <v>17483840</v>
      </c>
      <c r="Q262" s="34">
        <f t="shared" si="3"/>
        <v>0.5</v>
      </c>
      <c r="R262" s="31"/>
      <c r="S262" s="31" t="s">
        <v>40</v>
      </c>
      <c r="T262" s="145" t="s">
        <v>1884</v>
      </c>
      <c r="U262" s="145">
        <v>0.0</v>
      </c>
      <c r="V262" s="84" t="s">
        <v>1884</v>
      </c>
      <c r="W262" s="31"/>
      <c r="X262" s="52" t="s">
        <v>1885</v>
      </c>
      <c r="Y262" s="73" t="s">
        <v>1886</v>
      </c>
      <c r="Z262" s="74"/>
      <c r="AA262" s="74">
        <v>46281.0</v>
      </c>
      <c r="AB262" s="56"/>
      <c r="AC262" s="38" t="s">
        <v>978</v>
      </c>
      <c r="AD262" s="39">
        <v>34967.68</v>
      </c>
      <c r="AE262" s="39">
        <v>17483.84</v>
      </c>
      <c r="AF262" s="40">
        <v>17483.84</v>
      </c>
      <c r="AG262" s="57" t="s">
        <v>1887</v>
      </c>
      <c r="AH262" s="42" t="s">
        <v>980</v>
      </c>
      <c r="AI262" s="42" t="str">
        <f>IFERROR(__xludf.DUMMYFUNCTION("vLOOKUP(A262,IMPORTRANGE(""https://docs.google.com/spreadsheets/d/1Rawwwdh8wntXGy8isdYNHxsNQS4n_rC8JSdPfj6vEq4"",""'500 объектов перенос на 2026'!A3:AB502""),13,0)"),"#REF!")</f>
        <v>#REF!</v>
      </c>
      <c r="AJ262" s="42" t="str">
        <f>IFERROR(__xludf.DUMMYFUNCTION("vLOOKUP(A262,IMPORTRANGE(""https://docs.google.com/spreadsheets/d/1Rawwwdh8wntXGy8isdYNHxsNQS4n_rC8JSdPfj6vEq4"",""'500 объектов перенос на 2026'!A3:AB502""),14,0)"),"#REF!")</f>
        <v>#REF!</v>
      </c>
      <c r="AK262" s="70" t="s">
        <v>3436</v>
      </c>
      <c r="AL262" s="43"/>
      <c r="AM262" s="43"/>
      <c r="AN262" s="43"/>
      <c r="AO262" s="43"/>
    </row>
    <row r="263" hidden="1">
      <c r="A263" s="62" t="s">
        <v>1889</v>
      </c>
      <c r="B263" s="63" t="s">
        <v>142</v>
      </c>
      <c r="C263" s="64" t="s">
        <v>1890</v>
      </c>
      <c r="D263" s="47" t="s">
        <v>144</v>
      </c>
      <c r="E263" s="64" t="s">
        <v>85</v>
      </c>
      <c r="F263" s="31" t="s">
        <v>60</v>
      </c>
      <c r="G263" s="31"/>
      <c r="H263" s="31"/>
      <c r="I263" s="31" t="s">
        <v>60</v>
      </c>
      <c r="J263" s="31"/>
      <c r="K263" s="31"/>
      <c r="L263" s="32">
        <f>IFERROR(__xludf.DUMMYFUNCTION("VLOOKUP($A263,IMPORTRANGE(""1PQtfbQLqBUP-rjYRznmgNFBLOjvAnhGzpIx7BJWq8rk"",""'Worksheet'!$B$2:$H""),7,FALSE)"),1.0)</f>
        <v>1</v>
      </c>
      <c r="M263" s="31" t="s">
        <v>60</v>
      </c>
      <c r="N263" s="49">
        <v>2.670359703E7</v>
      </c>
      <c r="O263" s="49">
        <v>2.513271488E7</v>
      </c>
      <c r="P263" s="49">
        <v>0.0</v>
      </c>
      <c r="Q263" s="34">
        <f t="shared" si="3"/>
        <v>0.05882661232</v>
      </c>
      <c r="R263" s="31"/>
      <c r="S263" s="31" t="s">
        <v>60</v>
      </c>
      <c r="T263" s="88" t="s">
        <v>1891</v>
      </c>
      <c r="U263" s="88" t="s">
        <v>1892</v>
      </c>
      <c r="V263" s="88" t="s">
        <v>1893</v>
      </c>
      <c r="W263" s="31"/>
      <c r="X263" s="52" t="s">
        <v>49</v>
      </c>
      <c r="Y263" s="74"/>
      <c r="Z263" s="74"/>
      <c r="AA263" s="54" t="s">
        <v>114</v>
      </c>
      <c r="AB263" s="56"/>
      <c r="AC263" s="38"/>
      <c r="AD263" s="39">
        <v>20409.71</v>
      </c>
      <c r="AE263" s="39">
        <v>6092.29844</v>
      </c>
      <c r="AF263" s="40">
        <v>14317.41156</v>
      </c>
      <c r="AG263" s="57" t="s">
        <v>1894</v>
      </c>
      <c r="AH263" s="42" t="s">
        <v>49</v>
      </c>
      <c r="AI263" s="85"/>
      <c r="AJ263" s="42"/>
      <c r="AK263" s="76" t="s">
        <v>114</v>
      </c>
      <c r="AL263" s="43"/>
      <c r="AM263" s="43"/>
      <c r="AN263" s="43"/>
      <c r="AO263" s="43"/>
    </row>
    <row r="264" hidden="1">
      <c r="A264" s="78" t="s">
        <v>1895</v>
      </c>
      <c r="B264" s="63" t="s">
        <v>142</v>
      </c>
      <c r="C264" s="64" t="s">
        <v>1896</v>
      </c>
      <c r="D264" s="47" t="s">
        <v>144</v>
      </c>
      <c r="E264" s="144" t="s">
        <v>59</v>
      </c>
      <c r="F264" s="31" t="s">
        <v>60</v>
      </c>
      <c r="G264" s="31"/>
      <c r="H264" s="31"/>
      <c r="I264" s="31" t="s">
        <v>60</v>
      </c>
      <c r="J264" s="31"/>
      <c r="K264" s="31"/>
      <c r="L264" s="32" t="str">
        <f>IFERROR(__xludf.DUMMYFUNCTION("VLOOKUP($A264,IMPORTRANGE(""1PQtfbQLqBUP-rjYRznmgNFBLOjvAnhGzpIx7BJWq8rk"",""'Worksheet'!$B$2:$H""),7,FALSE)"),"#N/A")</f>
        <v>#N/A</v>
      </c>
      <c r="M264" s="31" t="s">
        <v>60</v>
      </c>
      <c r="N264" s="49">
        <v>2.021913E7</v>
      </c>
      <c r="O264" s="49">
        <v>1.946358084E7</v>
      </c>
      <c r="P264" s="49">
        <v>0.0</v>
      </c>
      <c r="Q264" s="34">
        <f t="shared" si="3"/>
        <v>0.03736803512</v>
      </c>
      <c r="R264" s="31"/>
      <c r="S264" s="31" t="s">
        <v>60</v>
      </c>
      <c r="T264" s="88" t="s">
        <v>1897</v>
      </c>
      <c r="U264" s="88">
        <v>1.84904018E7</v>
      </c>
      <c r="V264" s="88" t="s">
        <v>1898</v>
      </c>
      <c r="W264" s="31"/>
      <c r="X264" s="52" t="s">
        <v>113</v>
      </c>
      <c r="Y264" s="54"/>
      <c r="Z264" s="54"/>
      <c r="AA264" s="54" t="s">
        <v>114</v>
      </c>
      <c r="AB264" s="38" t="s">
        <v>115</v>
      </c>
      <c r="AC264" s="38"/>
      <c r="AD264" s="39">
        <v>20219.13</v>
      </c>
      <c r="AE264" s="39">
        <v>19463.58084</v>
      </c>
      <c r="AF264" s="39">
        <v>755.54916</v>
      </c>
      <c r="AG264" s="57" t="s">
        <v>1899</v>
      </c>
      <c r="AH264" s="42" t="s">
        <v>362</v>
      </c>
      <c r="AI264" s="85" t="s">
        <v>1900</v>
      </c>
      <c r="AJ264" s="42" t="str">
        <f>IFERROR(__xludf.DUMMYFUNCTION("vLOOKUP(A264,IMPORTRANGE(""https://docs.google.com/spreadsheets/d/1Rawwwdh8wntXGy8isdYNHxsNQS4n_rC8JSdPfj6vEq4"",""'500 объектов перенос на 2026'!A3:AB502""),14,0)"),"#REF!")</f>
        <v>#REF!</v>
      </c>
      <c r="AK264" s="76" t="s">
        <v>114</v>
      </c>
      <c r="AL264" s="43"/>
      <c r="AM264" s="43"/>
      <c r="AN264" s="43"/>
      <c r="AO264" s="43"/>
    </row>
    <row r="265" hidden="1">
      <c r="A265" s="114" t="s">
        <v>1901</v>
      </c>
      <c r="B265" s="63" t="s">
        <v>56</v>
      </c>
      <c r="C265" s="64" t="s">
        <v>1902</v>
      </c>
      <c r="D265" s="47" t="s">
        <v>1903</v>
      </c>
      <c r="E265" s="64" t="s">
        <v>85</v>
      </c>
      <c r="F265" s="31" t="s">
        <v>60</v>
      </c>
      <c r="G265" s="31"/>
      <c r="H265" s="31"/>
      <c r="I265" s="31" t="s">
        <v>60</v>
      </c>
      <c r="J265" s="31"/>
      <c r="K265" s="31"/>
      <c r="L265" s="32" t="str">
        <f>IFERROR(__xludf.DUMMYFUNCTION("VLOOKUP($A265,IMPORTRANGE(""1PQtfbQLqBUP-rjYRznmgNFBLOjvAnhGzpIx7BJWq8rk"",""'Worksheet'!$B$2:$H""),7,FALSE)"),"#N/A")</f>
        <v>#N/A</v>
      </c>
      <c r="M265" s="31" t="s">
        <v>60</v>
      </c>
      <c r="N265" s="49">
        <v>4.305033E7</v>
      </c>
      <c r="O265" s="49">
        <v>2.112411316E7</v>
      </c>
      <c r="P265" s="49">
        <v>0.0</v>
      </c>
      <c r="Q265" s="34">
        <f t="shared" si="3"/>
        <v>0.5093158831</v>
      </c>
      <c r="R265" s="31"/>
      <c r="S265" s="31" t="s">
        <v>60</v>
      </c>
      <c r="T265" s="135" t="s">
        <v>1904</v>
      </c>
      <c r="U265" s="135" t="s">
        <v>1904</v>
      </c>
      <c r="V265" s="51">
        <v>0.0</v>
      </c>
      <c r="W265" s="31"/>
      <c r="X265" s="92" t="s">
        <v>113</v>
      </c>
      <c r="Y265" s="54"/>
      <c r="Z265" s="54"/>
      <c r="AA265" s="54" t="s">
        <v>114</v>
      </c>
      <c r="AB265" s="38" t="s">
        <v>115</v>
      </c>
      <c r="AC265" s="38"/>
      <c r="AD265" s="39">
        <v>43050.33</v>
      </c>
      <c r="AE265" s="39">
        <v>23549.35533</v>
      </c>
      <c r="AF265" s="39">
        <v>19500.97467</v>
      </c>
      <c r="AG265" s="57" t="s">
        <v>1905</v>
      </c>
      <c r="AH265" s="69" t="s">
        <v>1906</v>
      </c>
      <c r="AI265" s="42" t="str">
        <f>IFERROR(__xludf.DUMMYFUNCTION("vLOOKUP(A265,IMPORTRANGE(""https://docs.google.com/spreadsheets/d/1Rawwwdh8wntXGy8isdYNHxsNQS4n_rC8JSdPfj6vEq4"",""'500 объектов перенос на 2026'!A3:AB502""),13,0)"),"#REF!")</f>
        <v>#REF!</v>
      </c>
      <c r="AJ265" s="42" t="str">
        <f>IFERROR(__xludf.DUMMYFUNCTION("vLOOKUP(A265,IMPORTRANGE(""https://docs.google.com/spreadsheets/d/1Rawwwdh8wntXGy8isdYNHxsNQS4n_rC8JSdPfj6vEq4"",""'500 объектов перенос на 2026'!A3:AB502""),14,0)"),"#REF!")</f>
        <v>#REF!</v>
      </c>
      <c r="AK265" s="76" t="s">
        <v>114</v>
      </c>
      <c r="AL265" s="43"/>
      <c r="AM265" s="43"/>
      <c r="AN265" s="43"/>
      <c r="AO265" s="43"/>
    </row>
    <row r="266" hidden="1">
      <c r="A266" s="78" t="s">
        <v>1907</v>
      </c>
      <c r="B266" s="63" t="s">
        <v>56</v>
      </c>
      <c r="C266" s="64" t="s">
        <v>1908</v>
      </c>
      <c r="D266" s="47" t="s">
        <v>1903</v>
      </c>
      <c r="E266" s="64" t="s">
        <v>85</v>
      </c>
      <c r="F266" s="31" t="s">
        <v>60</v>
      </c>
      <c r="G266" s="31"/>
      <c r="H266" s="31"/>
      <c r="I266" s="31" t="s">
        <v>60</v>
      </c>
      <c r="J266" s="31"/>
      <c r="K266" s="31"/>
      <c r="L266" s="32" t="str">
        <f>IFERROR(__xludf.DUMMYFUNCTION("VLOOKUP($A266,IMPORTRANGE(""1PQtfbQLqBUP-rjYRznmgNFBLOjvAnhGzpIx7BJWq8rk"",""'Worksheet'!$B$2:$H""),7,FALSE)"),"#N/A")</f>
        <v>#N/A</v>
      </c>
      <c r="M266" s="31" t="s">
        <v>60</v>
      </c>
      <c r="N266" s="49">
        <v>6.9359472E7</v>
      </c>
      <c r="O266" s="49">
        <v>3.844861522E7</v>
      </c>
      <c r="P266" s="49">
        <v>0.0</v>
      </c>
      <c r="Q266" s="34">
        <f t="shared" si="3"/>
        <v>0.4456616507</v>
      </c>
      <c r="R266" s="31"/>
      <c r="S266" s="31" t="s">
        <v>60</v>
      </c>
      <c r="T266" s="135" t="s">
        <v>1909</v>
      </c>
      <c r="U266" s="135" t="s">
        <v>1909</v>
      </c>
      <c r="V266" s="51">
        <v>0.0</v>
      </c>
      <c r="W266" s="31"/>
      <c r="X266" s="92" t="s">
        <v>1910</v>
      </c>
      <c r="Y266" s="54"/>
      <c r="Z266" s="54"/>
      <c r="AA266" s="54" t="s">
        <v>114</v>
      </c>
      <c r="AB266" s="38" t="s">
        <v>115</v>
      </c>
      <c r="AC266" s="38"/>
      <c r="AD266" s="39" t="s">
        <v>1911</v>
      </c>
      <c r="AE266" s="39">
        <v>39071.04322</v>
      </c>
      <c r="AF266" s="39">
        <v>-16441.57322</v>
      </c>
      <c r="AG266" s="57" t="s">
        <v>1912</v>
      </c>
      <c r="AH266" s="69" t="s">
        <v>66</v>
      </c>
      <c r="AI266" s="42" t="str">
        <f>IFERROR(__xludf.DUMMYFUNCTION("vLOOKUP(A266,IMPORTRANGE(""https://docs.google.com/spreadsheets/d/1Rawwwdh8wntXGy8isdYNHxsNQS4n_rC8JSdPfj6vEq4"",""'500 объектов перенос на 2026'!A3:AB502""),13,0)"),"#REF!")</f>
        <v>#REF!</v>
      </c>
      <c r="AJ266" s="42" t="str">
        <f>IFERROR(__xludf.DUMMYFUNCTION("vLOOKUP(A266,IMPORTRANGE(""https://docs.google.com/spreadsheets/d/1Rawwwdh8wntXGy8isdYNHxsNQS4n_rC8JSdPfj6vEq4"",""'500 объектов перенос на 2026'!A3:AB502""),14,0)"),"#REF!")</f>
        <v>#REF!</v>
      </c>
      <c r="AK266" s="76" t="s">
        <v>114</v>
      </c>
      <c r="AL266" s="43"/>
      <c r="AM266" s="43"/>
      <c r="AN266" s="43"/>
      <c r="AO266" s="43"/>
    </row>
    <row r="267" hidden="1">
      <c r="A267" s="78" t="s">
        <v>1913</v>
      </c>
      <c r="B267" s="63" t="s">
        <v>56</v>
      </c>
      <c r="C267" s="64" t="s">
        <v>1914</v>
      </c>
      <c r="D267" s="47" t="s">
        <v>1903</v>
      </c>
      <c r="E267" s="64" t="s">
        <v>85</v>
      </c>
      <c r="F267" s="31" t="s">
        <v>60</v>
      </c>
      <c r="G267" s="31"/>
      <c r="H267" s="31"/>
      <c r="I267" s="31" t="s">
        <v>60</v>
      </c>
      <c r="J267" s="31"/>
      <c r="K267" s="31"/>
      <c r="L267" s="32" t="str">
        <f>IFERROR(__xludf.DUMMYFUNCTION("VLOOKUP($A267,IMPORTRANGE(""1PQtfbQLqBUP-rjYRznmgNFBLOjvAnhGzpIx7BJWq8rk"",""'Worksheet'!$B$2:$H""),7,FALSE)"),"#N/A")</f>
        <v>#N/A</v>
      </c>
      <c r="M267" s="31" t="s">
        <v>60</v>
      </c>
      <c r="N267" s="49">
        <v>2.3410646E7</v>
      </c>
      <c r="O267" s="49">
        <v>1.526195858E7</v>
      </c>
      <c r="P267" s="49">
        <v>0.0</v>
      </c>
      <c r="Q267" s="34">
        <f t="shared" si="3"/>
        <v>0.3480761454</v>
      </c>
      <c r="R267" s="31"/>
      <c r="S267" s="31" t="s">
        <v>60</v>
      </c>
      <c r="T267" s="135" t="s">
        <v>1915</v>
      </c>
      <c r="U267" s="135" t="s">
        <v>1915</v>
      </c>
      <c r="V267" s="51">
        <v>0.0</v>
      </c>
      <c r="W267" s="31"/>
      <c r="X267" s="92" t="s">
        <v>113</v>
      </c>
      <c r="Y267" s="54"/>
      <c r="Z267" s="54"/>
      <c r="AA267" s="54" t="s">
        <v>114</v>
      </c>
      <c r="AB267" s="38" t="s">
        <v>115</v>
      </c>
      <c r="AC267" s="38" t="s">
        <v>255</v>
      </c>
      <c r="AD267" s="39" t="s">
        <v>1916</v>
      </c>
      <c r="AE267" s="39">
        <v>15475.22258</v>
      </c>
      <c r="AF267" s="39">
        <v>3404.33742</v>
      </c>
      <c r="AG267" s="57" t="s">
        <v>1917</v>
      </c>
      <c r="AH267" s="42" t="s">
        <v>255</v>
      </c>
      <c r="AI267" s="42" t="str">
        <f>IFERROR(__xludf.DUMMYFUNCTION("vLOOKUP(A267,IMPORTRANGE(""https://docs.google.com/spreadsheets/d/1Rawwwdh8wntXGy8isdYNHxsNQS4n_rC8JSdPfj6vEq4"",""'500 объектов перенос на 2026'!A3:AB502""),13,0)"),"#REF!")</f>
        <v>#REF!</v>
      </c>
      <c r="AJ267" s="42" t="str">
        <f>IFERROR(__xludf.DUMMYFUNCTION("vLOOKUP(A267,IMPORTRANGE(""https://docs.google.com/spreadsheets/d/1Rawwwdh8wntXGy8isdYNHxsNQS4n_rC8JSdPfj6vEq4"",""'500 объектов перенос на 2026'!A3:AB502""),14,0)"),"#REF!")</f>
        <v>#REF!</v>
      </c>
      <c r="AK267" s="76" t="s">
        <v>114</v>
      </c>
      <c r="AL267" s="43"/>
      <c r="AM267" s="43"/>
      <c r="AN267" s="43"/>
      <c r="AO267" s="43"/>
    </row>
    <row r="268" hidden="1">
      <c r="A268" s="114" t="s">
        <v>1918</v>
      </c>
      <c r="B268" s="63" t="s">
        <v>56</v>
      </c>
      <c r="C268" s="64" t="s">
        <v>1919</v>
      </c>
      <c r="D268" s="47" t="s">
        <v>1903</v>
      </c>
      <c r="E268" s="64" t="s">
        <v>85</v>
      </c>
      <c r="F268" s="31" t="s">
        <v>60</v>
      </c>
      <c r="G268" s="31"/>
      <c r="H268" s="31"/>
      <c r="I268" s="31" t="s">
        <v>60</v>
      </c>
      <c r="J268" s="31"/>
      <c r="K268" s="31"/>
      <c r="L268" s="32" t="str">
        <f>IFERROR(__xludf.DUMMYFUNCTION("VLOOKUP($A268,IMPORTRANGE(""1PQtfbQLqBUP-rjYRznmgNFBLOjvAnhGzpIx7BJWq8rk"",""'Worksheet'!$B$2:$H""),7,FALSE)"),"#N/A")</f>
        <v>#N/A</v>
      </c>
      <c r="M268" s="31" t="s">
        <v>60</v>
      </c>
      <c r="N268" s="49">
        <v>3.9448762E7</v>
      </c>
      <c r="O268" s="49">
        <v>2.329774485E7</v>
      </c>
      <c r="P268" s="49">
        <v>0.0</v>
      </c>
      <c r="Q268" s="34">
        <f t="shared" si="3"/>
        <v>0.4094175921</v>
      </c>
      <c r="R268" s="31"/>
      <c r="S268" s="31" t="s">
        <v>60</v>
      </c>
      <c r="T268" s="135" t="s">
        <v>1920</v>
      </c>
      <c r="U268" s="135" t="s">
        <v>1920</v>
      </c>
      <c r="V268" s="51">
        <v>0.0</v>
      </c>
      <c r="W268" s="31"/>
      <c r="X268" s="92" t="s">
        <v>113</v>
      </c>
      <c r="Y268" s="54"/>
      <c r="Z268" s="54"/>
      <c r="AA268" s="54" t="s">
        <v>114</v>
      </c>
      <c r="AB268" s="38" t="s">
        <v>115</v>
      </c>
      <c r="AC268" s="38"/>
      <c r="AD268" s="39">
        <v>24518.28</v>
      </c>
      <c r="AE268" s="39">
        <v>24953.00863</v>
      </c>
      <c r="AF268" s="39">
        <v>-434.72863</v>
      </c>
      <c r="AG268" s="57" t="s">
        <v>1921</v>
      </c>
      <c r="AH268" s="69" t="s">
        <v>66</v>
      </c>
      <c r="AI268" s="42" t="str">
        <f>IFERROR(__xludf.DUMMYFUNCTION("vLOOKUP(A268,IMPORTRANGE(""https://docs.google.com/spreadsheets/d/1Rawwwdh8wntXGy8isdYNHxsNQS4n_rC8JSdPfj6vEq4"",""'500 объектов перенос на 2026'!A3:AB502""),13,0)"),"#REF!")</f>
        <v>#REF!</v>
      </c>
      <c r="AJ268" s="42" t="str">
        <f>IFERROR(__xludf.DUMMYFUNCTION("vLOOKUP(A268,IMPORTRANGE(""https://docs.google.com/spreadsheets/d/1Rawwwdh8wntXGy8isdYNHxsNQS4n_rC8JSdPfj6vEq4"",""'500 объектов перенос на 2026'!A3:AB502""),14,0)"),"#REF!")</f>
        <v>#REF!</v>
      </c>
      <c r="AK268" s="76" t="s">
        <v>114</v>
      </c>
      <c r="AL268" s="43"/>
      <c r="AM268" s="43"/>
      <c r="AN268" s="43"/>
      <c r="AO268" s="43"/>
    </row>
    <row r="269" hidden="1">
      <c r="A269" s="78" t="s">
        <v>1922</v>
      </c>
      <c r="B269" s="63" t="s">
        <v>56</v>
      </c>
      <c r="C269" s="64" t="s">
        <v>1923</v>
      </c>
      <c r="D269" s="47" t="s">
        <v>1924</v>
      </c>
      <c r="E269" s="64" t="s">
        <v>85</v>
      </c>
      <c r="F269" s="31" t="s">
        <v>60</v>
      </c>
      <c r="G269" s="31"/>
      <c r="H269" s="31"/>
      <c r="I269" s="31" t="s">
        <v>60</v>
      </c>
      <c r="J269" s="31"/>
      <c r="K269" s="31"/>
      <c r="L269" s="32" t="str">
        <f>IFERROR(__xludf.DUMMYFUNCTION("VLOOKUP($A269,IMPORTRANGE(""1PQtfbQLqBUP-rjYRznmgNFBLOjvAnhGzpIx7BJWq8rk"",""'Worksheet'!$B$2:$H""),7,FALSE)"),"#N/A")</f>
        <v>#N/A</v>
      </c>
      <c r="M269" s="31" t="s">
        <v>60</v>
      </c>
      <c r="N269" s="49">
        <v>3.8149488E7</v>
      </c>
      <c r="O269" s="49">
        <v>3.783985124E7</v>
      </c>
      <c r="P269" s="49">
        <v>0.0</v>
      </c>
      <c r="Q269" s="34">
        <f t="shared" si="3"/>
        <v>0.0081164067</v>
      </c>
      <c r="R269" s="31"/>
      <c r="S269" s="31" t="s">
        <v>60</v>
      </c>
      <c r="T269" s="135" t="s">
        <v>1925</v>
      </c>
      <c r="U269" s="135" t="s">
        <v>1925</v>
      </c>
      <c r="V269" s="51">
        <v>0.0</v>
      </c>
      <c r="W269" s="31"/>
      <c r="X269" s="92" t="s">
        <v>113</v>
      </c>
      <c r="Y269" s="54"/>
      <c r="Z269" s="54"/>
      <c r="AA269" s="54" t="s">
        <v>114</v>
      </c>
      <c r="AB269" s="38" t="s">
        <v>115</v>
      </c>
      <c r="AC269" s="38" t="s">
        <v>284</v>
      </c>
      <c r="AD269" s="39" t="s">
        <v>1926</v>
      </c>
      <c r="AE269" s="39">
        <v>39986.84324</v>
      </c>
      <c r="AF269" s="39">
        <v>42022.80676</v>
      </c>
      <c r="AG269" s="57" t="s">
        <v>1927</v>
      </c>
      <c r="AH269" s="42" t="s">
        <v>284</v>
      </c>
      <c r="AI269" s="42" t="str">
        <f>IFERROR(__xludf.DUMMYFUNCTION("vLOOKUP(A269,IMPORTRANGE(""https://docs.google.com/spreadsheets/d/1Rawwwdh8wntXGy8isdYNHxsNQS4n_rC8JSdPfj6vEq4"",""'500 объектов перенос на 2026'!A3:AB502""),13,0)"),"#REF!")</f>
        <v>#REF!</v>
      </c>
      <c r="AJ269" s="42" t="str">
        <f>IFERROR(__xludf.DUMMYFUNCTION("vLOOKUP(A269,IMPORTRANGE(""https://docs.google.com/spreadsheets/d/1Rawwwdh8wntXGy8isdYNHxsNQS4n_rC8JSdPfj6vEq4"",""'500 объектов перенос на 2026'!A3:AB502""),14,0)"),"#REF!")</f>
        <v>#REF!</v>
      </c>
      <c r="AK269" s="76" t="s">
        <v>114</v>
      </c>
      <c r="AL269" s="43"/>
      <c r="AM269" s="43"/>
      <c r="AN269" s="43"/>
      <c r="AO269" s="43"/>
    </row>
    <row r="270" hidden="1">
      <c r="A270" s="78" t="s">
        <v>1928</v>
      </c>
      <c r="B270" s="63" t="s">
        <v>56</v>
      </c>
      <c r="C270" s="64" t="s">
        <v>1929</v>
      </c>
      <c r="D270" s="47" t="s">
        <v>1930</v>
      </c>
      <c r="E270" s="64" t="s">
        <v>59</v>
      </c>
      <c r="F270" s="31" t="s">
        <v>60</v>
      </c>
      <c r="G270" s="31"/>
      <c r="H270" s="31"/>
      <c r="I270" s="31" t="s">
        <v>60</v>
      </c>
      <c r="J270" s="31"/>
      <c r="K270" s="31"/>
      <c r="L270" s="32" t="str">
        <f>IFERROR(__xludf.DUMMYFUNCTION("VLOOKUP($A270,IMPORTRANGE(""1PQtfbQLqBUP-rjYRznmgNFBLOjvAnhGzpIx7BJWq8rk"",""'Worksheet'!$B$2:$H""),7,FALSE)"),"#N/A")</f>
        <v>#N/A</v>
      </c>
      <c r="M270" s="31" t="s">
        <v>60</v>
      </c>
      <c r="N270" s="49">
        <v>1.288697444E7</v>
      </c>
      <c r="O270" s="49">
        <v>1.234732849E7</v>
      </c>
      <c r="P270" s="49">
        <v>0.0</v>
      </c>
      <c r="Q270" s="34">
        <f t="shared" si="3"/>
        <v>0.04187530227</v>
      </c>
      <c r="R270" s="31"/>
      <c r="S270" s="31" t="s">
        <v>60</v>
      </c>
      <c r="T270" s="135" t="s">
        <v>1931</v>
      </c>
      <c r="U270" s="135" t="s">
        <v>1931</v>
      </c>
      <c r="V270" s="51">
        <v>0.0</v>
      </c>
      <c r="W270" s="31"/>
      <c r="X270" s="92" t="s">
        <v>113</v>
      </c>
      <c r="Y270" s="54"/>
      <c r="Z270" s="54"/>
      <c r="AA270" s="54" t="s">
        <v>114</v>
      </c>
      <c r="AB270" s="38" t="s">
        <v>115</v>
      </c>
      <c r="AC270" s="38" t="s">
        <v>284</v>
      </c>
      <c r="AD270" s="39">
        <v>17896.56</v>
      </c>
      <c r="AE270" s="39">
        <v>12347.32849</v>
      </c>
      <c r="AF270" s="39">
        <v>5549.23151</v>
      </c>
      <c r="AG270" s="57" t="s">
        <v>1932</v>
      </c>
      <c r="AH270" s="42" t="s">
        <v>284</v>
      </c>
      <c r="AI270" s="42" t="str">
        <f>IFERROR(__xludf.DUMMYFUNCTION("vLOOKUP(A270,IMPORTRANGE(""https://docs.google.com/spreadsheets/d/1Rawwwdh8wntXGy8isdYNHxsNQS4n_rC8JSdPfj6vEq4"",""'500 объектов перенос на 2026'!A3:AB502""),13,0)"),"#REF!")</f>
        <v>#REF!</v>
      </c>
      <c r="AJ270" s="42" t="str">
        <f>IFERROR(__xludf.DUMMYFUNCTION("vLOOKUP(A270,IMPORTRANGE(""https://docs.google.com/spreadsheets/d/1Rawwwdh8wntXGy8isdYNHxsNQS4n_rC8JSdPfj6vEq4"",""'500 объектов перенос на 2026'!A3:AB502""),14,0)"),"#REF!")</f>
        <v>#REF!</v>
      </c>
      <c r="AK270" s="76" t="s">
        <v>114</v>
      </c>
      <c r="AL270" s="43"/>
      <c r="AM270" s="43"/>
      <c r="AN270" s="43"/>
      <c r="AO270" s="43"/>
    </row>
    <row r="271" hidden="1">
      <c r="A271" s="62" t="s">
        <v>1933</v>
      </c>
      <c r="B271" s="63" t="s">
        <v>56</v>
      </c>
      <c r="C271" s="64" t="s">
        <v>1934</v>
      </c>
      <c r="D271" s="47" t="s">
        <v>957</v>
      </c>
      <c r="E271" s="64" t="s">
        <v>324</v>
      </c>
      <c r="F271" s="31" t="s">
        <v>60</v>
      </c>
      <c r="G271" s="31"/>
      <c r="H271" s="31"/>
      <c r="I271" s="31" t="s">
        <v>60</v>
      </c>
      <c r="J271" s="31"/>
      <c r="K271" s="31"/>
      <c r="L271" s="32" t="str">
        <f>IFERROR(__xludf.DUMMYFUNCTION("VLOOKUP($A271,IMPORTRANGE(""1PQtfbQLqBUP-rjYRznmgNFBLOjvAnhGzpIx7BJWq8rk"",""'Worksheet'!$B$2:$H""),7,FALSE)"),"#N/A")</f>
        <v>#N/A</v>
      </c>
      <c r="M271" s="31" t="s">
        <v>60</v>
      </c>
      <c r="N271" s="49">
        <v>5.762746188E7</v>
      </c>
      <c r="O271" s="49">
        <v>5.299894611E7</v>
      </c>
      <c r="P271" s="49">
        <v>0.0</v>
      </c>
      <c r="Q271" s="34">
        <f t="shared" si="3"/>
        <v>0.08031788351</v>
      </c>
      <c r="R271" s="31"/>
      <c r="S271" s="31" t="s">
        <v>60</v>
      </c>
      <c r="T271" s="135" t="s">
        <v>1935</v>
      </c>
      <c r="U271" s="135" t="s">
        <v>1935</v>
      </c>
      <c r="V271" s="51">
        <v>0.0</v>
      </c>
      <c r="W271" s="31"/>
      <c r="X271" s="52" t="s">
        <v>49</v>
      </c>
      <c r="Y271" s="74"/>
      <c r="Z271" s="74"/>
      <c r="AA271" s="54" t="s">
        <v>114</v>
      </c>
      <c r="AB271" s="38" t="s">
        <v>115</v>
      </c>
      <c r="AC271" s="38"/>
      <c r="AD271" s="39">
        <v>57627.46</v>
      </c>
      <c r="AE271" s="39">
        <v>52998.95111</v>
      </c>
      <c r="AF271" s="40">
        <v>4628.50889</v>
      </c>
      <c r="AG271" s="57" t="s">
        <v>1936</v>
      </c>
      <c r="AH271" s="69" t="s">
        <v>66</v>
      </c>
      <c r="AI271" s="42" t="str">
        <f>IFERROR(__xludf.DUMMYFUNCTION("vLOOKUP(A271,IMPORTRANGE(""https://docs.google.com/spreadsheets/d/1Rawwwdh8wntXGy8isdYNHxsNQS4n_rC8JSdPfj6vEq4"",""'500 объектов перенос на 2026'!A3:AB502""),13,0)"),"#REF!")</f>
        <v>#REF!</v>
      </c>
      <c r="AJ271" s="42" t="str">
        <f>IFERROR(__xludf.DUMMYFUNCTION("vLOOKUP(A271,IMPORTRANGE(""https://docs.google.com/spreadsheets/d/1Rawwwdh8wntXGy8isdYNHxsNQS4n_rC8JSdPfj6vEq4"",""'500 объектов перенос на 2026'!A3:AB502""),14,0)"),"#REF!")</f>
        <v>#REF!</v>
      </c>
      <c r="AK271" s="76" t="s">
        <v>114</v>
      </c>
      <c r="AL271" s="43"/>
      <c r="AM271" s="43"/>
      <c r="AN271" s="43"/>
      <c r="AO271" s="43"/>
    </row>
    <row r="272" hidden="1">
      <c r="A272" s="62" t="s">
        <v>1937</v>
      </c>
      <c r="B272" s="63" t="s">
        <v>56</v>
      </c>
      <c r="C272" s="64" t="s">
        <v>1938</v>
      </c>
      <c r="D272" s="47" t="s">
        <v>957</v>
      </c>
      <c r="E272" s="64" t="s">
        <v>85</v>
      </c>
      <c r="F272" s="31" t="s">
        <v>60</v>
      </c>
      <c r="G272" s="31"/>
      <c r="H272" s="31"/>
      <c r="I272" s="31" t="s">
        <v>60</v>
      </c>
      <c r="J272" s="31"/>
      <c r="K272" s="31"/>
      <c r="L272" s="32" t="str">
        <f>IFERROR(__xludf.DUMMYFUNCTION("VLOOKUP($A272,IMPORTRANGE(""1PQtfbQLqBUP-rjYRznmgNFBLOjvAnhGzpIx7BJWq8rk"",""'Worksheet'!$B$2:$H""),7,FALSE)"),"#N/A")</f>
        <v>#N/A</v>
      </c>
      <c r="M272" s="31" t="s">
        <v>60</v>
      </c>
      <c r="N272" s="49">
        <v>7.787216539E7</v>
      </c>
      <c r="O272" s="49">
        <v>3.952584024E7</v>
      </c>
      <c r="P272" s="49">
        <v>0.0</v>
      </c>
      <c r="Q272" s="34">
        <f t="shared" si="3"/>
        <v>0.4924265937</v>
      </c>
      <c r="R272" s="31"/>
      <c r="S272" s="31" t="s">
        <v>60</v>
      </c>
      <c r="T272" s="135" t="s">
        <v>1939</v>
      </c>
      <c r="U272" s="135" t="s">
        <v>1939</v>
      </c>
      <c r="V272" s="51">
        <v>0.0</v>
      </c>
      <c r="W272" s="31"/>
      <c r="X272" s="52" t="s">
        <v>1940</v>
      </c>
      <c r="Y272" s="54"/>
      <c r="Z272" s="54"/>
      <c r="AA272" s="54" t="s">
        <v>114</v>
      </c>
      <c r="AB272" s="38" t="s">
        <v>115</v>
      </c>
      <c r="AC272" s="38"/>
      <c r="AD272" s="39">
        <v>77872.16539</v>
      </c>
      <c r="AE272" s="39">
        <v>14025.84024</v>
      </c>
      <c r="AF272" s="40">
        <v>63846.32515</v>
      </c>
      <c r="AG272" s="57" t="s">
        <v>1941</v>
      </c>
      <c r="AH272" s="69" t="s">
        <v>1906</v>
      </c>
      <c r="AI272" s="42" t="str">
        <f>IFERROR(__xludf.DUMMYFUNCTION("vLOOKUP(A272,IMPORTRANGE(""https://docs.google.com/spreadsheets/d/1Rawwwdh8wntXGy8isdYNHxsNQS4n_rC8JSdPfj6vEq4"",""'500 объектов перенос на 2026'!A3:AB502""),13,0)"),"#REF!")</f>
        <v>#REF!</v>
      </c>
      <c r="AJ272" s="42" t="str">
        <f>IFERROR(__xludf.DUMMYFUNCTION("vLOOKUP(A272,IMPORTRANGE(""https://docs.google.com/spreadsheets/d/1Rawwwdh8wntXGy8isdYNHxsNQS4n_rC8JSdPfj6vEq4"",""'500 объектов перенос на 2026'!A3:AB502""),14,0)"),"#REF!")</f>
        <v>#REF!</v>
      </c>
      <c r="AK272" s="76" t="s">
        <v>114</v>
      </c>
      <c r="AL272" s="43"/>
      <c r="AM272" s="43"/>
      <c r="AN272" s="43"/>
      <c r="AO272" s="43"/>
    </row>
    <row r="273" hidden="1">
      <c r="A273" s="62" t="s">
        <v>1942</v>
      </c>
      <c r="B273" s="63" t="s">
        <v>703</v>
      </c>
      <c r="C273" s="64" t="s">
        <v>1943</v>
      </c>
      <c r="D273" s="47" t="s">
        <v>1523</v>
      </c>
      <c r="E273" s="64" t="s">
        <v>85</v>
      </c>
      <c r="F273" s="31" t="s">
        <v>40</v>
      </c>
      <c r="G273" s="31" t="s">
        <v>41</v>
      </c>
      <c r="H273" s="31" t="s">
        <v>779</v>
      </c>
      <c r="I273" s="31" t="s">
        <v>60</v>
      </c>
      <c r="J273" s="31"/>
      <c r="K273" s="31"/>
      <c r="L273" s="32">
        <f>IFERROR(__xludf.DUMMYFUNCTION("VLOOKUP($A273,IMPORTRANGE(""1PQtfbQLqBUP-rjYRznmgNFBLOjvAnhGzpIx7BJWq8rk"",""'Worksheet'!$B$2:$H""),7,FALSE)"),0.98)</f>
        <v>0.98</v>
      </c>
      <c r="M273" s="31" t="s">
        <v>45</v>
      </c>
      <c r="N273" s="49">
        <v>6.595588051E7</v>
      </c>
      <c r="O273" s="49">
        <v>6.329320559E7</v>
      </c>
      <c r="P273" s="49">
        <f t="shared" ref="P273:P274" si="39">N273-O273</f>
        <v>2662674.92</v>
      </c>
      <c r="Q273" s="34">
        <f t="shared" si="3"/>
        <v>0.04037054618</v>
      </c>
      <c r="R273" s="31"/>
      <c r="S273" s="31" t="s">
        <v>45</v>
      </c>
      <c r="T273" s="166"/>
      <c r="U273" s="167"/>
      <c r="V273" s="51"/>
      <c r="W273" s="31"/>
      <c r="X273" s="36" t="s">
        <v>803</v>
      </c>
      <c r="Y273" s="128" t="s">
        <v>706</v>
      </c>
      <c r="Z273" s="54" t="s">
        <v>707</v>
      </c>
      <c r="AA273" s="74">
        <v>46202.0</v>
      </c>
      <c r="AB273" s="38" t="s">
        <v>3359</v>
      </c>
      <c r="AC273" s="35"/>
      <c r="AD273" s="39">
        <v>65955.88</v>
      </c>
      <c r="AE273" s="39">
        <v>48512.38128</v>
      </c>
      <c r="AF273" s="40">
        <v>17443.49872</v>
      </c>
      <c r="AG273" s="173" t="s">
        <v>3437</v>
      </c>
      <c r="AH273" s="42"/>
      <c r="AI273" s="42" t="str">
        <f>IFERROR(__xludf.DUMMYFUNCTION("vLOOKUP(A273,IMPORTRANGE(""https://docs.google.com/spreadsheets/d/1Rawwwdh8wntXGy8isdYNHxsNQS4n_rC8JSdPfj6vEq4"",""'500 объектов перенос на 2026'!A3:AB502""),13,0)"),"#REF!")</f>
        <v>#REF!</v>
      </c>
      <c r="AJ273" s="42" t="str">
        <f>IFERROR(__xludf.DUMMYFUNCTION("vLOOKUP(A273,IMPORTRANGE(""https://docs.google.com/spreadsheets/d/1Rawwwdh8wntXGy8isdYNHxsNQS4n_rC8JSdPfj6vEq4"",""'500 объектов перенос на 2026'!A3:AB502""),14,0)"),"#REF!")</f>
        <v>#REF!</v>
      </c>
      <c r="AK273" s="138" t="s">
        <v>2951</v>
      </c>
      <c r="AL273" s="43"/>
      <c r="AM273" s="43"/>
      <c r="AN273" s="43"/>
      <c r="AO273" s="43"/>
    </row>
    <row r="274" hidden="1">
      <c r="A274" s="78" t="s">
        <v>1945</v>
      </c>
      <c r="B274" s="63" t="s">
        <v>400</v>
      </c>
      <c r="C274" s="64" t="s">
        <v>1946</v>
      </c>
      <c r="D274" s="47" t="s">
        <v>1947</v>
      </c>
      <c r="E274" s="64" t="s">
        <v>85</v>
      </c>
      <c r="F274" s="31" t="s">
        <v>40</v>
      </c>
      <c r="G274" s="31" t="s">
        <v>156</v>
      </c>
      <c r="H274" s="31" t="s">
        <v>260</v>
      </c>
      <c r="I274" s="31" t="s">
        <v>60</v>
      </c>
      <c r="J274" s="31"/>
      <c r="K274" s="31"/>
      <c r="L274" s="32">
        <f>IFERROR(__xludf.DUMMYFUNCTION("VLOOKUP($A274,IMPORTRANGE(""1PQtfbQLqBUP-rjYRznmgNFBLOjvAnhGzpIx7BJWq8rk"",""'Worksheet'!$B$2:$H""),7,FALSE)"),0.95)</f>
        <v>0.95</v>
      </c>
      <c r="M274" s="31" t="s">
        <v>40</v>
      </c>
      <c r="N274" s="49">
        <v>2.48E7</v>
      </c>
      <c r="O274" s="49">
        <v>7440000.0</v>
      </c>
      <c r="P274" s="49">
        <f t="shared" si="39"/>
        <v>17360000</v>
      </c>
      <c r="Q274" s="34">
        <f t="shared" si="3"/>
        <v>0.7</v>
      </c>
      <c r="R274" s="31"/>
      <c r="S274" s="31" t="s">
        <v>40</v>
      </c>
      <c r="T274" s="84" t="s">
        <v>1948</v>
      </c>
      <c r="U274" s="84" t="s">
        <v>1949</v>
      </c>
      <c r="V274" s="84" t="s">
        <v>1950</v>
      </c>
      <c r="W274" s="31"/>
      <c r="X274" s="52" t="s">
        <v>49</v>
      </c>
      <c r="Y274" s="54" t="s">
        <v>1951</v>
      </c>
      <c r="Z274" s="54" t="s">
        <v>1749</v>
      </c>
      <c r="AA274" s="74">
        <v>46203.0</v>
      </c>
      <c r="AB274" s="56"/>
      <c r="AC274" s="38"/>
      <c r="AD274" s="39">
        <v>24800.0</v>
      </c>
      <c r="AE274" s="39">
        <v>7440.0</v>
      </c>
      <c r="AF274" s="40">
        <v>17360.0</v>
      </c>
      <c r="AG274" s="57" t="s">
        <v>1953</v>
      </c>
      <c r="AH274" s="42" t="s">
        <v>51</v>
      </c>
      <c r="AI274" s="42" t="str">
        <f>IFERROR(__xludf.DUMMYFUNCTION("vLOOKUP(A274,IMPORTRANGE(""https://docs.google.com/spreadsheets/d/1Rawwwdh8wntXGy8isdYNHxsNQS4n_rC8JSdPfj6vEq4"",""'500 объектов перенос на 2026'!A3:AB502""),13,0)"),"#REF!")</f>
        <v>#REF!</v>
      </c>
      <c r="AJ274" s="42" t="str">
        <f>IFERROR(__xludf.DUMMYFUNCTION("vLOOKUP(A274,IMPORTRANGE(""https://docs.google.com/spreadsheets/d/1Rawwwdh8wntXGy8isdYNHxsNQS4n_rC8JSdPfj6vEq4"",""'500 объектов перенос на 2026'!A3:AB502""),14,0)"),"#REF!")</f>
        <v>#REF!</v>
      </c>
      <c r="AK274" s="76" t="s">
        <v>1951</v>
      </c>
      <c r="AL274" s="43"/>
      <c r="AM274" s="43"/>
      <c r="AN274" s="43"/>
      <c r="AO274" s="43"/>
    </row>
    <row r="275" hidden="1">
      <c r="A275" s="78" t="s">
        <v>1955</v>
      </c>
      <c r="B275" s="63" t="s">
        <v>56</v>
      </c>
      <c r="C275" s="64" t="s">
        <v>1956</v>
      </c>
      <c r="D275" s="47" t="s">
        <v>311</v>
      </c>
      <c r="E275" s="64" t="s">
        <v>85</v>
      </c>
      <c r="F275" s="31" t="s">
        <v>60</v>
      </c>
      <c r="G275" s="31"/>
      <c r="H275" s="31"/>
      <c r="I275" s="31" t="s">
        <v>60</v>
      </c>
      <c r="J275" s="31"/>
      <c r="K275" s="31"/>
      <c r="L275" s="32" t="str">
        <f>IFERROR(__xludf.DUMMYFUNCTION("VLOOKUP($A275,IMPORTRANGE(""1PQtfbQLqBUP-rjYRznmgNFBLOjvAnhGzpIx7BJWq8rk"",""'Worksheet'!$B$2:$H""),7,FALSE)"),"#N/A")</f>
        <v>#N/A</v>
      </c>
      <c r="M275" s="31" t="s">
        <v>60</v>
      </c>
      <c r="N275" s="49">
        <v>2.412116305E7</v>
      </c>
      <c r="O275" s="49">
        <v>2.411742576E7</v>
      </c>
      <c r="P275" s="49">
        <v>0.0</v>
      </c>
      <c r="Q275" s="34">
        <f t="shared" si="3"/>
        <v>0.0001549382172</v>
      </c>
      <c r="R275" s="31"/>
      <c r="S275" s="31" t="s">
        <v>60</v>
      </c>
      <c r="T275" s="135" t="s">
        <v>1957</v>
      </c>
      <c r="U275" s="135" t="s">
        <v>1957</v>
      </c>
      <c r="V275" s="51">
        <v>0.0</v>
      </c>
      <c r="W275" s="31"/>
      <c r="X275" s="52" t="s">
        <v>113</v>
      </c>
      <c r="Y275" s="54"/>
      <c r="Z275" s="54"/>
      <c r="AA275" s="54" t="s">
        <v>114</v>
      </c>
      <c r="AB275" s="38" t="s">
        <v>115</v>
      </c>
      <c r="AC275" s="38" t="s">
        <v>284</v>
      </c>
      <c r="AD275" s="39">
        <v>27883.94</v>
      </c>
      <c r="AE275" s="39">
        <v>24117.42576</v>
      </c>
      <c r="AF275" s="39">
        <v>3766.51424</v>
      </c>
      <c r="AG275" s="57" t="s">
        <v>1958</v>
      </c>
      <c r="AH275" s="42" t="s">
        <v>284</v>
      </c>
      <c r="AI275" s="42" t="str">
        <f>IFERROR(__xludf.DUMMYFUNCTION("vLOOKUP(A275,IMPORTRANGE(""https://docs.google.com/spreadsheets/d/1Rawwwdh8wntXGy8isdYNHxsNQS4n_rC8JSdPfj6vEq4"",""'500 объектов перенос на 2026'!A3:AB502""),13,0)"),"#REF!")</f>
        <v>#REF!</v>
      </c>
      <c r="AJ275" s="42" t="str">
        <f>IFERROR(__xludf.DUMMYFUNCTION("vLOOKUP(A275,IMPORTRANGE(""https://docs.google.com/spreadsheets/d/1Rawwwdh8wntXGy8isdYNHxsNQS4n_rC8JSdPfj6vEq4"",""'500 объектов перенос на 2026'!A3:AB502""),14,0)"),"#REF!")</f>
        <v>#REF!</v>
      </c>
      <c r="AK275" s="76" t="s">
        <v>114</v>
      </c>
      <c r="AL275" s="43"/>
      <c r="AM275" s="43"/>
      <c r="AN275" s="43"/>
      <c r="AO275" s="43"/>
    </row>
    <row r="276" hidden="1">
      <c r="A276" s="78" t="s">
        <v>1959</v>
      </c>
      <c r="B276" s="63" t="s">
        <v>56</v>
      </c>
      <c r="C276" s="149" t="s">
        <v>1960</v>
      </c>
      <c r="D276" s="47" t="s">
        <v>957</v>
      </c>
      <c r="E276" s="64" t="s">
        <v>85</v>
      </c>
      <c r="F276" s="31" t="s">
        <v>60</v>
      </c>
      <c r="G276" s="31"/>
      <c r="H276" s="31"/>
      <c r="I276" s="31" t="s">
        <v>60</v>
      </c>
      <c r="J276" s="31"/>
      <c r="K276" s="31"/>
      <c r="L276" s="32" t="str">
        <f>IFERROR(__xludf.DUMMYFUNCTION("VLOOKUP($A276,IMPORTRANGE(""1PQtfbQLqBUP-rjYRznmgNFBLOjvAnhGzpIx7BJWq8rk"",""'Worksheet'!$B$2:$H""),7,FALSE)"),"#N/A")</f>
        <v>#N/A</v>
      </c>
      <c r="M276" s="31" t="s">
        <v>60</v>
      </c>
      <c r="N276" s="49">
        <v>7.57758397E7</v>
      </c>
      <c r="O276" s="49">
        <v>7.511585533E7</v>
      </c>
      <c r="P276" s="49">
        <v>0.0</v>
      </c>
      <c r="Q276" s="34">
        <f t="shared" si="3"/>
        <v>0.008709693916</v>
      </c>
      <c r="R276" s="31"/>
      <c r="S276" s="31" t="s">
        <v>60</v>
      </c>
      <c r="T276" s="135" t="s">
        <v>1961</v>
      </c>
      <c r="U276" s="135" t="s">
        <v>1961</v>
      </c>
      <c r="V276" s="51">
        <v>0.0</v>
      </c>
      <c r="W276" s="31"/>
      <c r="X276" s="52" t="s">
        <v>113</v>
      </c>
      <c r="Y276" s="54"/>
      <c r="Z276" s="54"/>
      <c r="AA276" s="54" t="s">
        <v>114</v>
      </c>
      <c r="AB276" s="38" t="s">
        <v>115</v>
      </c>
      <c r="AC276" s="38" t="s">
        <v>284</v>
      </c>
      <c r="AD276" s="39">
        <v>75775.84</v>
      </c>
      <c r="AE276" s="39">
        <v>75115.85533</v>
      </c>
      <c r="AF276" s="39">
        <v>659.98467</v>
      </c>
      <c r="AG276" s="57" t="s">
        <v>1962</v>
      </c>
      <c r="AH276" s="42" t="s">
        <v>284</v>
      </c>
      <c r="AI276" s="42" t="str">
        <f>IFERROR(__xludf.DUMMYFUNCTION("vLOOKUP(A276,IMPORTRANGE(""https://docs.google.com/spreadsheets/d/1Rawwwdh8wntXGy8isdYNHxsNQS4n_rC8JSdPfj6vEq4"",""'500 объектов перенос на 2026'!A3:AB502""),13,0)"),"#REF!")</f>
        <v>#REF!</v>
      </c>
      <c r="AJ276" s="42" t="str">
        <f>IFERROR(__xludf.DUMMYFUNCTION("vLOOKUP(A276,IMPORTRANGE(""https://docs.google.com/spreadsheets/d/1Rawwwdh8wntXGy8isdYNHxsNQS4n_rC8JSdPfj6vEq4"",""'500 объектов перенос на 2026'!A3:AB502""),14,0)"),"#REF!")</f>
        <v>#REF!</v>
      </c>
      <c r="AK276" s="76" t="s">
        <v>114</v>
      </c>
      <c r="AL276" s="43"/>
      <c r="AM276" s="43"/>
      <c r="AN276" s="43"/>
      <c r="AO276" s="43"/>
    </row>
    <row r="277" hidden="1">
      <c r="A277" s="78" t="s">
        <v>1963</v>
      </c>
      <c r="B277" s="63" t="s">
        <v>56</v>
      </c>
      <c r="C277" s="64" t="s">
        <v>1964</v>
      </c>
      <c r="D277" s="47" t="s">
        <v>311</v>
      </c>
      <c r="E277" s="64" t="s">
        <v>85</v>
      </c>
      <c r="F277" s="31" t="s">
        <v>60</v>
      </c>
      <c r="G277" s="31"/>
      <c r="H277" s="31"/>
      <c r="I277" s="31" t="s">
        <v>60</v>
      </c>
      <c r="J277" s="31"/>
      <c r="K277" s="31"/>
      <c r="L277" s="32" t="str">
        <f>IFERROR(__xludf.DUMMYFUNCTION("VLOOKUP($A277,IMPORTRANGE(""1PQtfbQLqBUP-rjYRznmgNFBLOjvAnhGzpIx7BJWq8rk"",""'Worksheet'!$B$2:$H""),7,FALSE)"),"#N/A")</f>
        <v>#N/A</v>
      </c>
      <c r="M277" s="31" t="s">
        <v>60</v>
      </c>
      <c r="N277" s="49">
        <v>5.105470276E7</v>
      </c>
      <c r="O277" s="49">
        <v>4.925045294E7</v>
      </c>
      <c r="P277" s="49">
        <v>0.0</v>
      </c>
      <c r="Q277" s="34">
        <f t="shared" si="3"/>
        <v>0.03533954215</v>
      </c>
      <c r="R277" s="31"/>
      <c r="S277" s="31" t="s">
        <v>60</v>
      </c>
      <c r="T277" s="135" t="s">
        <v>1965</v>
      </c>
      <c r="U277" s="135" t="s">
        <v>1965</v>
      </c>
      <c r="V277" s="51">
        <v>0.0</v>
      </c>
      <c r="W277" s="31"/>
      <c r="X277" s="52" t="s">
        <v>113</v>
      </c>
      <c r="Y277" s="54"/>
      <c r="Z277" s="54"/>
      <c r="AA277" s="54" t="s">
        <v>114</v>
      </c>
      <c r="AB277" s="38" t="s">
        <v>115</v>
      </c>
      <c r="AC277" s="38" t="s">
        <v>284</v>
      </c>
      <c r="AD277" s="39">
        <v>29942.09</v>
      </c>
      <c r="AE277" s="39">
        <v>49250.45294</v>
      </c>
      <c r="AF277" s="39">
        <v>-19308.36294</v>
      </c>
      <c r="AG277" s="57" t="s">
        <v>1966</v>
      </c>
      <c r="AH277" s="42" t="s">
        <v>284</v>
      </c>
      <c r="AI277" s="42" t="str">
        <f>IFERROR(__xludf.DUMMYFUNCTION("vLOOKUP(A277,IMPORTRANGE(""https://docs.google.com/spreadsheets/d/1Rawwwdh8wntXGy8isdYNHxsNQS4n_rC8JSdPfj6vEq4"",""'500 объектов перенос на 2026'!A3:AB502""),13,0)"),"#REF!")</f>
        <v>#REF!</v>
      </c>
      <c r="AJ277" s="42" t="str">
        <f>IFERROR(__xludf.DUMMYFUNCTION("vLOOKUP(A277,IMPORTRANGE(""https://docs.google.com/spreadsheets/d/1Rawwwdh8wntXGy8isdYNHxsNQS4n_rC8JSdPfj6vEq4"",""'500 объектов перенос на 2026'!A3:AB502""),14,0)"),"#REF!")</f>
        <v>#REF!</v>
      </c>
      <c r="AK277" s="76" t="s">
        <v>114</v>
      </c>
      <c r="AL277" s="43"/>
      <c r="AM277" s="43"/>
      <c r="AN277" s="43"/>
      <c r="AO277" s="43"/>
    </row>
    <row r="278" hidden="1">
      <c r="A278" s="78" t="s">
        <v>1967</v>
      </c>
      <c r="B278" s="63" t="s">
        <v>56</v>
      </c>
      <c r="C278" s="64" t="s">
        <v>1968</v>
      </c>
      <c r="D278" s="47" t="s">
        <v>311</v>
      </c>
      <c r="E278" s="64" t="s">
        <v>85</v>
      </c>
      <c r="F278" s="31" t="s">
        <v>60</v>
      </c>
      <c r="G278" s="31"/>
      <c r="H278" s="31"/>
      <c r="I278" s="31" t="s">
        <v>60</v>
      </c>
      <c r="J278" s="31"/>
      <c r="K278" s="31"/>
      <c r="L278" s="32" t="str">
        <f>IFERROR(__xludf.DUMMYFUNCTION("VLOOKUP($A278,IMPORTRANGE(""1PQtfbQLqBUP-rjYRznmgNFBLOjvAnhGzpIx7BJWq8rk"",""'Worksheet'!$B$2:$H""),7,FALSE)"),"#N/A")</f>
        <v>#N/A</v>
      </c>
      <c r="M278" s="31" t="s">
        <v>60</v>
      </c>
      <c r="N278" s="49">
        <v>2.2657643699E8</v>
      </c>
      <c r="O278" s="49">
        <v>2.208536793E8</v>
      </c>
      <c r="P278" s="49">
        <v>0.0</v>
      </c>
      <c r="Q278" s="34">
        <f t="shared" si="3"/>
        <v>0.02525751471</v>
      </c>
      <c r="R278" s="31"/>
      <c r="S278" s="31" t="s">
        <v>60</v>
      </c>
      <c r="T278" s="135" t="s">
        <v>1969</v>
      </c>
      <c r="U278" s="135" t="s">
        <v>1969</v>
      </c>
      <c r="V278" s="51">
        <v>0.0</v>
      </c>
      <c r="W278" s="31"/>
      <c r="X278" s="52" t="s">
        <v>113</v>
      </c>
      <c r="Y278" s="54"/>
      <c r="Z278" s="54"/>
      <c r="AA278" s="54" t="s">
        <v>114</v>
      </c>
      <c r="AB278" s="38" t="s">
        <v>115</v>
      </c>
      <c r="AC278" s="38" t="s">
        <v>284</v>
      </c>
      <c r="AD278" s="39">
        <v>226576.44</v>
      </c>
      <c r="AE278" s="39">
        <v>220853.6793</v>
      </c>
      <c r="AF278" s="39">
        <v>5722.7607</v>
      </c>
      <c r="AG278" s="57" t="s">
        <v>1970</v>
      </c>
      <c r="AH278" s="42" t="s">
        <v>284</v>
      </c>
      <c r="AI278" s="42" t="str">
        <f>IFERROR(__xludf.DUMMYFUNCTION("vLOOKUP(A278,IMPORTRANGE(""https://docs.google.com/spreadsheets/d/1Rawwwdh8wntXGy8isdYNHxsNQS4n_rC8JSdPfj6vEq4"",""'500 объектов перенос на 2026'!A3:AB502""),13,0)"),"#REF!")</f>
        <v>#REF!</v>
      </c>
      <c r="AJ278" s="42" t="str">
        <f>IFERROR(__xludf.DUMMYFUNCTION("vLOOKUP(A278,IMPORTRANGE(""https://docs.google.com/spreadsheets/d/1Rawwwdh8wntXGy8isdYNHxsNQS4n_rC8JSdPfj6vEq4"",""'500 объектов перенос на 2026'!A3:AB502""),14,0)"),"#REF!")</f>
        <v>#REF!</v>
      </c>
      <c r="AK278" s="76" t="s">
        <v>114</v>
      </c>
      <c r="AL278" s="43"/>
      <c r="AM278" s="43"/>
      <c r="AN278" s="43"/>
      <c r="AO278" s="43"/>
    </row>
    <row r="279" hidden="1">
      <c r="A279" s="114" t="s">
        <v>1971</v>
      </c>
      <c r="B279" s="63" t="s">
        <v>56</v>
      </c>
      <c r="C279" s="64" t="s">
        <v>1972</v>
      </c>
      <c r="D279" s="47" t="s">
        <v>957</v>
      </c>
      <c r="E279" s="64" t="s">
        <v>39</v>
      </c>
      <c r="F279" s="31" t="s">
        <v>60</v>
      </c>
      <c r="G279" s="31"/>
      <c r="H279" s="31"/>
      <c r="I279" s="31" t="s">
        <v>60</v>
      </c>
      <c r="J279" s="31"/>
      <c r="K279" s="31"/>
      <c r="L279" s="32" t="str">
        <f>IFERROR(__xludf.DUMMYFUNCTION("VLOOKUP($A279,IMPORTRANGE(""1PQtfbQLqBUP-rjYRznmgNFBLOjvAnhGzpIx7BJWq8rk"",""'Worksheet'!$B$2:$H""),7,FALSE)"),"#N/A")</f>
        <v>#N/A</v>
      </c>
      <c r="M279" s="31" t="s">
        <v>60</v>
      </c>
      <c r="N279" s="49">
        <v>5.376293976E7</v>
      </c>
      <c r="O279" s="49">
        <v>5.211654726E7</v>
      </c>
      <c r="P279" s="49">
        <v>0.0</v>
      </c>
      <c r="Q279" s="34">
        <f t="shared" si="3"/>
        <v>0.03062318592</v>
      </c>
      <c r="R279" s="31"/>
      <c r="S279" s="31" t="s">
        <v>60</v>
      </c>
      <c r="T279" s="135" t="s">
        <v>1973</v>
      </c>
      <c r="U279" s="135" t="s">
        <v>1973</v>
      </c>
      <c r="V279" s="51">
        <v>0.0</v>
      </c>
      <c r="W279" s="31"/>
      <c r="X279" s="52" t="s">
        <v>113</v>
      </c>
      <c r="Y279" s="54"/>
      <c r="Z279" s="54"/>
      <c r="AA279" s="54" t="s">
        <v>114</v>
      </c>
      <c r="AB279" s="38" t="s">
        <v>115</v>
      </c>
      <c r="AC279" s="38"/>
      <c r="AD279" s="39">
        <v>56051.65</v>
      </c>
      <c r="AE279" s="39">
        <v>54405.25609</v>
      </c>
      <c r="AF279" s="39">
        <v>1646.39391</v>
      </c>
      <c r="AG279" s="57" t="s">
        <v>1974</v>
      </c>
      <c r="AH279" s="69" t="s">
        <v>66</v>
      </c>
      <c r="AI279" s="42" t="str">
        <f>IFERROR(__xludf.DUMMYFUNCTION("vLOOKUP(A279,IMPORTRANGE(""https://docs.google.com/spreadsheets/d/1Rawwwdh8wntXGy8isdYNHxsNQS4n_rC8JSdPfj6vEq4"",""'500 объектов перенос на 2026'!A3:AB502""),13,0)"),"#REF!")</f>
        <v>#REF!</v>
      </c>
      <c r="AJ279" s="42" t="str">
        <f>IFERROR(__xludf.DUMMYFUNCTION("vLOOKUP(A279,IMPORTRANGE(""https://docs.google.com/spreadsheets/d/1Rawwwdh8wntXGy8isdYNHxsNQS4n_rC8JSdPfj6vEq4"",""'500 объектов перенос на 2026'!A3:AB502""),14,0)"),"#REF!")</f>
        <v>#REF!</v>
      </c>
      <c r="AK279" s="76" t="s">
        <v>114</v>
      </c>
      <c r="AL279" s="43"/>
      <c r="AM279" s="43"/>
      <c r="AN279" s="43"/>
      <c r="AO279" s="43"/>
    </row>
    <row r="280" hidden="1">
      <c r="A280" s="78" t="s">
        <v>1975</v>
      </c>
      <c r="B280" s="63" t="s">
        <v>56</v>
      </c>
      <c r="C280" s="64" t="s">
        <v>1976</v>
      </c>
      <c r="D280" s="47" t="s">
        <v>1977</v>
      </c>
      <c r="E280" s="64" t="s">
        <v>85</v>
      </c>
      <c r="F280" s="31" t="s">
        <v>60</v>
      </c>
      <c r="G280" s="31"/>
      <c r="H280" s="31"/>
      <c r="I280" s="31" t="s">
        <v>60</v>
      </c>
      <c r="J280" s="31"/>
      <c r="K280" s="31"/>
      <c r="L280" s="32" t="str">
        <f>IFERROR(__xludf.DUMMYFUNCTION("VLOOKUP($A280,IMPORTRANGE(""1PQtfbQLqBUP-rjYRznmgNFBLOjvAnhGzpIx7BJWq8rk"",""'Worksheet'!$B$2:$H""),7,FALSE)"),"#N/A")</f>
        <v>#N/A</v>
      </c>
      <c r="M280" s="31" t="s">
        <v>60</v>
      </c>
      <c r="N280" s="49">
        <v>1.0056434E7</v>
      </c>
      <c r="O280" s="49">
        <v>8640441.27</v>
      </c>
      <c r="P280" s="49">
        <v>0.0</v>
      </c>
      <c r="Q280" s="34">
        <f t="shared" si="3"/>
        <v>0.140804656</v>
      </c>
      <c r="R280" s="31"/>
      <c r="S280" s="31" t="s">
        <v>60</v>
      </c>
      <c r="T280" s="135" t="s">
        <v>1978</v>
      </c>
      <c r="U280" s="135" t="s">
        <v>1978</v>
      </c>
      <c r="V280" s="51">
        <v>0.0</v>
      </c>
      <c r="W280" s="31"/>
      <c r="X280" s="52" t="s">
        <v>113</v>
      </c>
      <c r="Y280" s="54"/>
      <c r="Z280" s="54"/>
      <c r="AA280" s="54" t="s">
        <v>114</v>
      </c>
      <c r="AB280" s="38" t="s">
        <v>115</v>
      </c>
      <c r="AC280" s="38" t="s">
        <v>284</v>
      </c>
      <c r="AD280" s="39">
        <v>10056.4</v>
      </c>
      <c r="AE280" s="39">
        <v>8974.67727</v>
      </c>
      <c r="AF280" s="39">
        <v>1081.72273</v>
      </c>
      <c r="AG280" s="57" t="s">
        <v>1979</v>
      </c>
      <c r="AH280" s="42" t="s">
        <v>284</v>
      </c>
      <c r="AI280" s="42" t="str">
        <f>IFERROR(__xludf.DUMMYFUNCTION("vLOOKUP(A280,IMPORTRANGE(""https://docs.google.com/spreadsheets/d/1Rawwwdh8wntXGy8isdYNHxsNQS4n_rC8JSdPfj6vEq4"",""'500 объектов перенос на 2026'!A3:AB502""),13,0)"),"#REF!")</f>
        <v>#REF!</v>
      </c>
      <c r="AJ280" s="42" t="str">
        <f>IFERROR(__xludf.DUMMYFUNCTION("vLOOKUP(A280,IMPORTRANGE(""https://docs.google.com/spreadsheets/d/1Rawwwdh8wntXGy8isdYNHxsNQS4n_rC8JSdPfj6vEq4"",""'500 объектов перенос на 2026'!A3:AB502""),14,0)"),"#REF!")</f>
        <v>#REF!</v>
      </c>
      <c r="AK280" s="76" t="s">
        <v>114</v>
      </c>
      <c r="AL280" s="43"/>
      <c r="AM280" s="43"/>
      <c r="AN280" s="43"/>
      <c r="AO280" s="43"/>
    </row>
    <row r="281" hidden="1">
      <c r="A281" s="78" t="s">
        <v>1980</v>
      </c>
      <c r="B281" s="63" t="s">
        <v>56</v>
      </c>
      <c r="C281" s="64" t="s">
        <v>1981</v>
      </c>
      <c r="D281" s="47" t="s">
        <v>1977</v>
      </c>
      <c r="E281" s="64" t="s">
        <v>85</v>
      </c>
      <c r="F281" s="31" t="s">
        <v>60</v>
      </c>
      <c r="G281" s="31"/>
      <c r="H281" s="31"/>
      <c r="I281" s="31" t="s">
        <v>60</v>
      </c>
      <c r="J281" s="31"/>
      <c r="K281" s="31"/>
      <c r="L281" s="32" t="str">
        <f>IFERROR(__xludf.DUMMYFUNCTION("VLOOKUP($A281,IMPORTRANGE(""1PQtfbQLqBUP-rjYRznmgNFBLOjvAnhGzpIx7BJWq8rk"",""'Worksheet'!$B$2:$H""),7,FALSE)"),"#N/A")</f>
        <v>#N/A</v>
      </c>
      <c r="M281" s="31" t="s">
        <v>60</v>
      </c>
      <c r="N281" s="49">
        <v>2.2318942E7</v>
      </c>
      <c r="O281" s="49">
        <v>1.668739136E7</v>
      </c>
      <c r="P281" s="49">
        <v>0.0</v>
      </c>
      <c r="Q281" s="34">
        <f t="shared" si="3"/>
        <v>0.2523215769</v>
      </c>
      <c r="R281" s="31"/>
      <c r="S281" s="31" t="s">
        <v>60</v>
      </c>
      <c r="T281" s="135" t="s">
        <v>1982</v>
      </c>
      <c r="U281" s="135" t="s">
        <v>1982</v>
      </c>
      <c r="V281" s="51">
        <v>0.0</v>
      </c>
      <c r="W281" s="31"/>
      <c r="X281" s="52" t="s">
        <v>113</v>
      </c>
      <c r="Y281" s="54"/>
      <c r="Z281" s="54"/>
      <c r="AA281" s="54" t="s">
        <v>114</v>
      </c>
      <c r="AB281" s="38" t="s">
        <v>115</v>
      </c>
      <c r="AC281" s="38" t="s">
        <v>284</v>
      </c>
      <c r="AD281" s="39">
        <v>22318.94</v>
      </c>
      <c r="AE281" s="39">
        <v>17182.01936</v>
      </c>
      <c r="AF281" s="39">
        <v>5136.92064</v>
      </c>
      <c r="AG281" s="57" t="s">
        <v>1983</v>
      </c>
      <c r="AH281" s="42" t="s">
        <v>284</v>
      </c>
      <c r="AI281" s="42" t="str">
        <f>IFERROR(__xludf.DUMMYFUNCTION("vLOOKUP(A281,IMPORTRANGE(""https://docs.google.com/spreadsheets/d/1Rawwwdh8wntXGy8isdYNHxsNQS4n_rC8JSdPfj6vEq4"",""'500 объектов перенос на 2026'!A3:AB502""),13,0)"),"#REF!")</f>
        <v>#REF!</v>
      </c>
      <c r="AJ281" s="42" t="str">
        <f>IFERROR(__xludf.DUMMYFUNCTION("vLOOKUP(A281,IMPORTRANGE(""https://docs.google.com/spreadsheets/d/1Rawwwdh8wntXGy8isdYNHxsNQS4n_rC8JSdPfj6vEq4"",""'500 объектов перенос на 2026'!A3:AB502""),14,0)"),"#REF!")</f>
        <v>#REF!</v>
      </c>
      <c r="AK281" s="76" t="s">
        <v>114</v>
      </c>
      <c r="AL281" s="43"/>
      <c r="AM281" s="43"/>
      <c r="AN281" s="43"/>
      <c r="AO281" s="43"/>
    </row>
    <row r="282" hidden="1">
      <c r="A282" s="78" t="s">
        <v>1984</v>
      </c>
      <c r="B282" s="63" t="s">
        <v>56</v>
      </c>
      <c r="C282" s="64" t="s">
        <v>1985</v>
      </c>
      <c r="D282" s="47" t="s">
        <v>1977</v>
      </c>
      <c r="E282" s="64" t="s">
        <v>85</v>
      </c>
      <c r="F282" s="31" t="s">
        <v>60</v>
      </c>
      <c r="G282" s="31"/>
      <c r="H282" s="31"/>
      <c r="I282" s="31" t="s">
        <v>60</v>
      </c>
      <c r="J282" s="31"/>
      <c r="K282" s="31"/>
      <c r="L282" s="32" t="str">
        <f>IFERROR(__xludf.DUMMYFUNCTION("VLOOKUP($A282,IMPORTRANGE(""1PQtfbQLqBUP-rjYRznmgNFBLOjvAnhGzpIx7BJWq8rk"",""'Worksheet'!$B$2:$H""),7,FALSE)"),"#N/A")</f>
        <v>#N/A</v>
      </c>
      <c r="M282" s="31" t="s">
        <v>60</v>
      </c>
      <c r="N282" s="49">
        <v>1.4790022E7</v>
      </c>
      <c r="O282" s="49">
        <v>5802872.08</v>
      </c>
      <c r="P282" s="49">
        <v>0.0</v>
      </c>
      <c r="Q282" s="34">
        <f t="shared" si="3"/>
        <v>0.6076495302</v>
      </c>
      <c r="R282" s="31"/>
      <c r="S282" s="31" t="s">
        <v>60</v>
      </c>
      <c r="T282" s="135" t="s">
        <v>1986</v>
      </c>
      <c r="U282" s="135" t="s">
        <v>1986</v>
      </c>
      <c r="V282" s="51">
        <v>0.0</v>
      </c>
      <c r="W282" s="31"/>
      <c r="X282" s="52" t="s">
        <v>113</v>
      </c>
      <c r="Y282" s="54"/>
      <c r="Z282" s="54"/>
      <c r="AA282" s="54" t="s">
        <v>114</v>
      </c>
      <c r="AB282" s="38" t="s">
        <v>115</v>
      </c>
      <c r="AC282" s="38" t="s">
        <v>284</v>
      </c>
      <c r="AD282" s="39">
        <v>5281.3</v>
      </c>
      <c r="AE282" s="39">
        <v>6081.44008</v>
      </c>
      <c r="AF282" s="39">
        <v>-800.14008</v>
      </c>
      <c r="AG282" s="57" t="s">
        <v>1987</v>
      </c>
      <c r="AH282" s="42" t="s">
        <v>284</v>
      </c>
      <c r="AI282" s="42" t="str">
        <f>IFERROR(__xludf.DUMMYFUNCTION("vLOOKUP(A282,IMPORTRANGE(""https://docs.google.com/spreadsheets/d/1Rawwwdh8wntXGy8isdYNHxsNQS4n_rC8JSdPfj6vEq4"",""'500 объектов перенос на 2026'!A3:AB502""),13,0)"),"#REF!")</f>
        <v>#REF!</v>
      </c>
      <c r="AJ282" s="42" t="str">
        <f>IFERROR(__xludf.DUMMYFUNCTION("vLOOKUP(A282,IMPORTRANGE(""https://docs.google.com/spreadsheets/d/1Rawwwdh8wntXGy8isdYNHxsNQS4n_rC8JSdPfj6vEq4"",""'500 объектов перенос на 2026'!A3:AB502""),14,0)"),"#REF!")</f>
        <v>#REF!</v>
      </c>
      <c r="AK282" s="76" t="s">
        <v>114</v>
      </c>
      <c r="AL282" s="43"/>
      <c r="AM282" s="43"/>
      <c r="AN282" s="43"/>
      <c r="AO282" s="43"/>
    </row>
    <row r="283" hidden="1">
      <c r="A283" s="62" t="s">
        <v>1988</v>
      </c>
      <c r="B283" s="63" t="s">
        <v>757</v>
      </c>
      <c r="C283" s="64" t="s">
        <v>1989</v>
      </c>
      <c r="D283" s="47" t="s">
        <v>759</v>
      </c>
      <c r="E283" s="64" t="s">
        <v>85</v>
      </c>
      <c r="F283" s="31" t="s">
        <v>60</v>
      </c>
      <c r="G283" s="31"/>
      <c r="H283" s="31"/>
      <c r="I283" s="31" t="s">
        <v>60</v>
      </c>
      <c r="J283" s="31"/>
      <c r="K283" s="31"/>
      <c r="L283" s="32">
        <f>IFERROR(__xludf.DUMMYFUNCTION("VLOOKUP($A283,IMPORTRANGE(""1PQtfbQLqBUP-rjYRznmgNFBLOjvAnhGzpIx7BJWq8rk"",""'Worksheet'!$B$2:$H""),7,FALSE)"),0.93)</f>
        <v>0.93</v>
      </c>
      <c r="M283" s="31" t="s">
        <v>40</v>
      </c>
      <c r="N283" s="49">
        <v>2.03396E7</v>
      </c>
      <c r="O283" s="49">
        <v>1.688565875E7</v>
      </c>
      <c r="P283" s="49">
        <f t="shared" ref="P283:P303" si="40">N283-O283</f>
        <v>3453941.25</v>
      </c>
      <c r="Q283" s="34">
        <f t="shared" si="3"/>
        <v>0.1698136271</v>
      </c>
      <c r="R283" s="31" t="s">
        <v>1990</v>
      </c>
      <c r="S283" s="31" t="s">
        <v>60</v>
      </c>
      <c r="T283" s="84"/>
      <c r="U283" s="84"/>
      <c r="V283" s="84"/>
      <c r="W283" s="31"/>
      <c r="X283" s="52" t="s">
        <v>600</v>
      </c>
      <c r="Y283" s="54" t="s">
        <v>1991</v>
      </c>
      <c r="Z283" s="54" t="s">
        <v>797</v>
      </c>
      <c r="AA283" s="54" t="s">
        <v>1219</v>
      </c>
      <c r="AB283" s="56"/>
      <c r="AC283" s="38"/>
      <c r="AD283" s="39">
        <v>10688.56</v>
      </c>
      <c r="AE283" s="39">
        <v>3047.85934</v>
      </c>
      <c r="AF283" s="40">
        <v>7640.70066</v>
      </c>
      <c r="AG283" s="57" t="s">
        <v>1992</v>
      </c>
      <c r="AH283" s="42" t="s">
        <v>762</v>
      </c>
      <c r="AI283" s="42" t="str">
        <f>IFERROR(__xludf.DUMMYFUNCTION("vLOOKUP(A283,IMPORTRANGE(""https://docs.google.com/spreadsheets/d/1Rawwwdh8wntXGy8isdYNHxsNQS4n_rC8JSdPfj6vEq4"",""'500 объектов перенос на 2026'!A3:AB502""),13,0)"),"#REF!")</f>
        <v>#REF!</v>
      </c>
      <c r="AJ283" s="42" t="str">
        <f>IFERROR(__xludf.DUMMYFUNCTION("vLOOKUP(A283,IMPORTRANGE(""https://docs.google.com/spreadsheets/d/1Rawwwdh8wntXGy8isdYNHxsNQS4n_rC8JSdPfj6vEq4"",""'500 объектов перенос на 2026'!A3:AB502""),14,0)"),"#REF!")</f>
        <v>#REF!</v>
      </c>
      <c r="AK283" s="76" t="s">
        <v>11</v>
      </c>
      <c r="AL283" s="96"/>
      <c r="AM283" s="96"/>
      <c r="AN283" s="96"/>
      <c r="AO283" s="96"/>
    </row>
    <row r="284" hidden="1">
      <c r="A284" s="62" t="s">
        <v>1994</v>
      </c>
      <c r="B284" s="63" t="s">
        <v>268</v>
      </c>
      <c r="C284" s="64" t="s">
        <v>1995</v>
      </c>
      <c r="D284" s="47" t="s">
        <v>1041</v>
      </c>
      <c r="E284" s="64" t="s">
        <v>85</v>
      </c>
      <c r="F284" s="31" t="s">
        <v>40</v>
      </c>
      <c r="G284" s="31" t="s">
        <v>41</v>
      </c>
      <c r="H284" s="31" t="s">
        <v>828</v>
      </c>
      <c r="I284" s="31" t="s">
        <v>60</v>
      </c>
      <c r="J284" s="31"/>
      <c r="K284" s="31"/>
      <c r="L284" s="32">
        <f>IFERROR(__xludf.DUMMYFUNCTION("VLOOKUP($A284,IMPORTRANGE(""1PQtfbQLqBUP-rjYRznmgNFBLOjvAnhGzpIx7BJWq8rk"",""'Worksheet'!$B$2:$H""),7,FALSE)"),0.98)</f>
        <v>0.98</v>
      </c>
      <c r="M284" s="31" t="s">
        <v>40</v>
      </c>
      <c r="N284" s="49">
        <v>3.1357648E7</v>
      </c>
      <c r="O284" s="49">
        <v>1.417395168E7</v>
      </c>
      <c r="P284" s="49">
        <f t="shared" si="40"/>
        <v>17183696.32</v>
      </c>
      <c r="Q284" s="34">
        <f t="shared" si="3"/>
        <v>0.5479905993</v>
      </c>
      <c r="R284" s="31"/>
      <c r="S284" s="31" t="s">
        <v>40</v>
      </c>
      <c r="T284" s="84" t="s">
        <v>1996</v>
      </c>
      <c r="U284" s="84">
        <v>0.0</v>
      </c>
      <c r="V284" s="84" t="s">
        <v>1996</v>
      </c>
      <c r="W284" s="31"/>
      <c r="X284" s="52" t="s">
        <v>49</v>
      </c>
      <c r="Y284" s="54" t="s">
        <v>1997</v>
      </c>
      <c r="Z284" s="54" t="s">
        <v>851</v>
      </c>
      <c r="AA284" s="68">
        <v>46248.0</v>
      </c>
      <c r="AB284" s="56"/>
      <c r="AC284" s="38"/>
      <c r="AD284" s="39">
        <v>31357.65</v>
      </c>
      <c r="AE284" s="39">
        <v>14173.95168</v>
      </c>
      <c r="AF284" s="40">
        <v>17183.69832</v>
      </c>
      <c r="AG284" s="57" t="s">
        <v>1998</v>
      </c>
      <c r="AH284" s="42" t="s">
        <v>49</v>
      </c>
      <c r="AI284" s="42" t="str">
        <f>IFERROR(__xludf.DUMMYFUNCTION("vLOOKUP(A284,IMPORTRANGE(""https://docs.google.com/spreadsheets/d/1Rawwwdh8wntXGy8isdYNHxsNQS4n_rC8JSdPfj6vEq4"",""'500 объектов перенос на 2026'!A3:AB502""),13,0)"),"#REF!")</f>
        <v>#REF!</v>
      </c>
      <c r="AJ284" s="42" t="str">
        <f>IFERROR(__xludf.DUMMYFUNCTION("vLOOKUP(A284,IMPORTRANGE(""https://docs.google.com/spreadsheets/d/1Rawwwdh8wntXGy8isdYNHxsNQS4n_rC8JSdPfj6vEq4"",""'500 объектов перенос на 2026'!A3:AB502""),14,0)"),"#REF!")</f>
        <v>#REF!</v>
      </c>
      <c r="AK284" s="151" t="s">
        <v>3438</v>
      </c>
      <c r="AL284" s="43"/>
      <c r="AM284" s="43"/>
      <c r="AN284" s="43"/>
      <c r="AO284" s="43"/>
    </row>
    <row r="285" hidden="1">
      <c r="A285" s="62" t="s">
        <v>2000</v>
      </c>
      <c r="B285" s="63" t="s">
        <v>56</v>
      </c>
      <c r="C285" s="64" t="s">
        <v>2001</v>
      </c>
      <c r="D285" s="47" t="s">
        <v>2002</v>
      </c>
      <c r="E285" s="64" t="s">
        <v>85</v>
      </c>
      <c r="F285" s="31" t="s">
        <v>60</v>
      </c>
      <c r="G285" s="31"/>
      <c r="H285" s="31"/>
      <c r="I285" s="31" t="s">
        <v>40</v>
      </c>
      <c r="J285" s="31" t="s">
        <v>61</v>
      </c>
      <c r="K285" s="31" t="s">
        <v>72</v>
      </c>
      <c r="L285" s="32">
        <f>IFERROR(__xludf.DUMMYFUNCTION("VLOOKUP($A285,IMPORTRANGE(""1PQtfbQLqBUP-rjYRznmgNFBLOjvAnhGzpIx7BJWq8rk"",""'Worksheet'!$B$2:$H""),7,FALSE)"),0.85)</f>
        <v>0.85</v>
      </c>
      <c r="M285" s="31" t="s">
        <v>40</v>
      </c>
      <c r="N285" s="49">
        <v>2.4263712E7</v>
      </c>
      <c r="O285" s="49">
        <v>7279113.6</v>
      </c>
      <c r="P285" s="49">
        <f t="shared" si="40"/>
        <v>16984598.4</v>
      </c>
      <c r="Q285" s="34">
        <f t="shared" si="3"/>
        <v>0.7</v>
      </c>
      <c r="R285" s="31"/>
      <c r="S285" s="31" t="s">
        <v>45</v>
      </c>
      <c r="T285" s="88" t="s">
        <v>2003</v>
      </c>
      <c r="U285" s="88" t="s">
        <v>2004</v>
      </c>
      <c r="V285" s="88" t="s">
        <v>2005</v>
      </c>
      <c r="W285" s="31"/>
      <c r="X285" s="52" t="s">
        <v>2006</v>
      </c>
      <c r="Y285" s="54" t="s">
        <v>2007</v>
      </c>
      <c r="Z285" s="74"/>
      <c r="AA285" s="68">
        <v>46233.0</v>
      </c>
      <c r="AB285" s="56"/>
      <c r="AC285" s="38"/>
      <c r="AD285" s="39">
        <v>24508.8</v>
      </c>
      <c r="AE285" s="39">
        <v>7279.1136</v>
      </c>
      <c r="AF285" s="40">
        <v>17229.6864</v>
      </c>
      <c r="AG285" s="57" t="s">
        <v>2008</v>
      </c>
      <c r="AH285" s="69" t="s">
        <v>66</v>
      </c>
      <c r="AI285" s="42" t="str">
        <f>IFERROR(__xludf.DUMMYFUNCTION("vLOOKUP(A285,IMPORTRANGE(""https://docs.google.com/spreadsheets/d/1Rawwwdh8wntXGy8isdYNHxsNQS4n_rC8JSdPfj6vEq4"",""'500 объектов перенос на 2026'!A3:AB502""),13,0)"),"#REF!")</f>
        <v>#REF!</v>
      </c>
      <c r="AJ285" s="42" t="str">
        <f>IFERROR(__xludf.DUMMYFUNCTION("vLOOKUP(A285,IMPORTRANGE(""https://docs.google.com/spreadsheets/d/1Rawwwdh8wntXGy8isdYNHxsNQS4n_rC8JSdPfj6vEq4"",""'500 объектов перенос на 2026'!A3:AB502""),14,0)"),"#REF!")</f>
        <v>#REF!</v>
      </c>
      <c r="AK285" s="76" t="s">
        <v>2009</v>
      </c>
      <c r="AL285" s="43"/>
      <c r="AM285" s="43"/>
      <c r="AN285" s="43"/>
      <c r="AO285" s="43"/>
    </row>
    <row r="286" hidden="1">
      <c r="A286" s="62" t="s">
        <v>2010</v>
      </c>
      <c r="B286" s="63" t="s">
        <v>1039</v>
      </c>
      <c r="C286" s="104" t="s">
        <v>2011</v>
      </c>
      <c r="D286" s="47" t="s">
        <v>1041</v>
      </c>
      <c r="E286" s="64" t="s">
        <v>85</v>
      </c>
      <c r="F286" s="31" t="s">
        <v>60</v>
      </c>
      <c r="G286" s="31"/>
      <c r="H286" s="31"/>
      <c r="I286" s="31" t="s">
        <v>40</v>
      </c>
      <c r="J286" s="31" t="s">
        <v>61</v>
      </c>
      <c r="K286" s="31" t="s">
        <v>72</v>
      </c>
      <c r="L286" s="32">
        <f>IFERROR(__xludf.DUMMYFUNCTION("VLOOKUP($A286,IMPORTRANGE(""1PQtfbQLqBUP-rjYRznmgNFBLOjvAnhGzpIx7BJWq8rk"",""'Worksheet'!$B$2:$H""),7,FALSE)"),0.99)</f>
        <v>0.99</v>
      </c>
      <c r="M286" s="31" t="s">
        <v>45</v>
      </c>
      <c r="N286" s="49">
        <v>3.410899379E7</v>
      </c>
      <c r="O286" s="49">
        <v>1.746179645E7</v>
      </c>
      <c r="P286" s="49">
        <f t="shared" si="40"/>
        <v>16647197.34</v>
      </c>
      <c r="Q286" s="34">
        <f t="shared" si="3"/>
        <v>0.488058881</v>
      </c>
      <c r="R286" s="31"/>
      <c r="S286" s="31" t="s">
        <v>45</v>
      </c>
      <c r="T286" s="88">
        <v>3.24035441E7</v>
      </c>
      <c r="U286" s="88">
        <v>1.643853237E7</v>
      </c>
      <c r="V286" s="88">
        <f>T286-U286</f>
        <v>15965011.73</v>
      </c>
      <c r="W286" s="31"/>
      <c r="X286" s="52" t="s">
        <v>507</v>
      </c>
      <c r="Y286" s="54" t="s">
        <v>2012</v>
      </c>
      <c r="Z286" s="54" t="s">
        <v>1455</v>
      </c>
      <c r="AA286" s="74">
        <v>46204.0</v>
      </c>
      <c r="AB286" s="56"/>
      <c r="AC286" s="38"/>
      <c r="AD286" s="39">
        <v>34607.44</v>
      </c>
      <c r="AE286" s="39">
        <v>17303.71828</v>
      </c>
      <c r="AF286" s="40">
        <v>17303.72172</v>
      </c>
      <c r="AG286" s="57" t="s">
        <v>2013</v>
      </c>
      <c r="AH286" s="85" t="s">
        <v>2014</v>
      </c>
      <c r="AI286" s="42" t="str">
        <f>IFERROR(__xludf.DUMMYFUNCTION("vLOOKUP(A286,IMPORTRANGE(""https://docs.google.com/spreadsheets/d/1Rawwwdh8wntXGy8isdYNHxsNQS4n_rC8JSdPfj6vEq4"",""'500 объектов перенос на 2026'!A3:AB502""),13,0)"),"#REF!")</f>
        <v>#REF!</v>
      </c>
      <c r="AJ286" s="42" t="str">
        <f>IFERROR(__xludf.DUMMYFUNCTION("vLOOKUP(A286,IMPORTRANGE(""https://docs.google.com/spreadsheets/d/1Rawwwdh8wntXGy8isdYNHxsNQS4n_rC8JSdPfj6vEq4"",""'500 объектов перенос на 2026'!A3:AB502""),14,0)"),"#REF!")</f>
        <v>#REF!</v>
      </c>
      <c r="AK286" s="138" t="s">
        <v>3439</v>
      </c>
      <c r="AL286" s="96"/>
      <c r="AM286" s="96"/>
      <c r="AN286" s="96"/>
      <c r="AO286" s="96"/>
    </row>
    <row r="287" hidden="1">
      <c r="A287" s="122" t="s">
        <v>2016</v>
      </c>
      <c r="B287" s="63" t="s">
        <v>503</v>
      </c>
      <c r="C287" s="64" t="s">
        <v>2017</v>
      </c>
      <c r="D287" s="47" t="s">
        <v>2018</v>
      </c>
      <c r="E287" s="64" t="s">
        <v>39</v>
      </c>
      <c r="F287" s="31" t="s">
        <v>60</v>
      </c>
      <c r="G287" s="31"/>
      <c r="H287" s="31"/>
      <c r="I287" s="31" t="s">
        <v>40</v>
      </c>
      <c r="J287" s="31" t="s">
        <v>43</v>
      </c>
      <c r="K287" s="31" t="s">
        <v>44</v>
      </c>
      <c r="L287" s="32">
        <f>IFERROR(__xludf.DUMMYFUNCTION("VLOOKUP($A287,IMPORTRANGE(""1PQtfbQLqBUP-rjYRznmgNFBLOjvAnhGzpIx7BJWq8rk"",""'Worksheet'!$B$2:$H""),7,FALSE)"),0.79)</f>
        <v>0.79</v>
      </c>
      <c r="M287" s="31" t="s">
        <v>40</v>
      </c>
      <c r="N287" s="49">
        <v>1.650470756E7</v>
      </c>
      <c r="O287" s="49">
        <v>0.0</v>
      </c>
      <c r="P287" s="49">
        <f t="shared" si="40"/>
        <v>16504707.56</v>
      </c>
      <c r="Q287" s="34">
        <f t="shared" si="3"/>
        <v>1</v>
      </c>
      <c r="R287" s="31"/>
      <c r="S287" s="31" t="s">
        <v>40</v>
      </c>
      <c r="T287" s="84"/>
      <c r="U287" s="84"/>
      <c r="V287" s="84"/>
      <c r="W287" s="31"/>
      <c r="X287" s="52" t="s">
        <v>49</v>
      </c>
      <c r="Y287" s="89" t="s">
        <v>2019</v>
      </c>
      <c r="Z287" s="54" t="s">
        <v>2020</v>
      </c>
      <c r="AA287" s="74">
        <v>46235.0</v>
      </c>
      <c r="AB287" s="56"/>
      <c r="AC287" s="38"/>
      <c r="AD287" s="39">
        <v>16504.70756</v>
      </c>
      <c r="AE287" s="39">
        <v>0.0</v>
      </c>
      <c r="AF287" s="40">
        <v>16504.70756</v>
      </c>
      <c r="AG287" s="99" t="s">
        <v>2021</v>
      </c>
      <c r="AH287" s="85" t="s">
        <v>2022</v>
      </c>
      <c r="AI287" s="42" t="str">
        <f>IFERROR(__xludf.DUMMYFUNCTION("vLOOKUP(A287,IMPORTRANGE(""https://docs.google.com/spreadsheets/d/1Rawwwdh8wntXGy8isdYNHxsNQS4n_rC8JSdPfj6vEq4"",""'500 объектов перенос на 2026'!A3:AB502""),13,0)"),"#REF!")</f>
        <v>#REF!</v>
      </c>
      <c r="AJ287" s="42" t="str">
        <f>IFERROR(__xludf.DUMMYFUNCTION("vLOOKUP(A287,IMPORTRANGE(""https://docs.google.com/spreadsheets/d/1Rawwwdh8wntXGy8isdYNHxsNQS4n_rC8JSdPfj6vEq4"",""'500 объектов перенос на 2026'!A3:AB502""),14,0)"),"#REF!")</f>
        <v>#REF!</v>
      </c>
      <c r="AK287" s="138" t="s">
        <v>2023</v>
      </c>
      <c r="AL287" s="43"/>
      <c r="AM287" s="43"/>
      <c r="AN287" s="43"/>
      <c r="AO287" s="43"/>
    </row>
    <row r="288" hidden="1">
      <c r="A288" s="62" t="s">
        <v>2024</v>
      </c>
      <c r="B288" s="63" t="s">
        <v>99</v>
      </c>
      <c r="C288" s="144" t="s">
        <v>2025</v>
      </c>
      <c r="D288" s="47" t="s">
        <v>1523</v>
      </c>
      <c r="E288" s="64" t="s">
        <v>85</v>
      </c>
      <c r="F288" s="31" t="s">
        <v>60</v>
      </c>
      <c r="G288" s="31"/>
      <c r="H288" s="31"/>
      <c r="I288" s="31" t="s">
        <v>60</v>
      </c>
      <c r="J288" s="31"/>
      <c r="K288" s="31"/>
      <c r="L288" s="32">
        <f>IFERROR(__xludf.DUMMYFUNCTION("VLOOKUP($A288,IMPORTRANGE(""1PQtfbQLqBUP-rjYRznmgNFBLOjvAnhGzpIx7BJWq8rk"",""'Worksheet'!$B$2:$H""),7,FALSE)"),1.0)</f>
        <v>1</v>
      </c>
      <c r="M288" s="31" t="s">
        <v>40</v>
      </c>
      <c r="N288" s="49">
        <v>2.478112E7</v>
      </c>
      <c r="O288" s="49">
        <v>8673390.0</v>
      </c>
      <c r="P288" s="49">
        <f t="shared" si="40"/>
        <v>16107730</v>
      </c>
      <c r="Q288" s="34">
        <f t="shared" si="3"/>
        <v>0.6500000807</v>
      </c>
      <c r="R288" s="31" t="s">
        <v>1761</v>
      </c>
      <c r="S288" s="31" t="s">
        <v>60</v>
      </c>
      <c r="T288" s="145">
        <f>N288*0.95</f>
        <v>23542064</v>
      </c>
      <c r="U288" s="84">
        <v>0.0</v>
      </c>
      <c r="V288" s="145">
        <v>2.3542064E7</v>
      </c>
      <c r="W288" s="31"/>
      <c r="X288" s="52" t="s">
        <v>1150</v>
      </c>
      <c r="Y288" s="54" t="s">
        <v>1762</v>
      </c>
      <c r="Z288" s="54" t="s">
        <v>1152</v>
      </c>
      <c r="AA288" s="74">
        <v>46185.0</v>
      </c>
      <c r="AB288" s="56"/>
      <c r="AC288" s="38" t="s">
        <v>1153</v>
      </c>
      <c r="AD288" s="39">
        <v>24781.12</v>
      </c>
      <c r="AE288" s="39">
        <v>8673.39</v>
      </c>
      <c r="AF288" s="40">
        <v>16107.73</v>
      </c>
      <c r="AG288" s="57" t="s">
        <v>2026</v>
      </c>
      <c r="AH288" s="42" t="s">
        <v>1155</v>
      </c>
      <c r="AI288" s="42" t="str">
        <f>IFERROR(__xludf.DUMMYFUNCTION("vLOOKUP(A288,IMPORTRANGE(""https://docs.google.com/spreadsheets/d/1Rawwwdh8wntXGy8isdYNHxsNQS4n_rC8JSdPfj6vEq4"",""'500 объектов перенос на 2026'!A3:AB502""),13,0)"),"#REF!")</f>
        <v>#REF!</v>
      </c>
      <c r="AJ288" s="42" t="str">
        <f>IFERROR(__xludf.DUMMYFUNCTION("vLOOKUP(A288,IMPORTRANGE(""https://docs.google.com/spreadsheets/d/1Rawwwdh8wntXGy8isdYNHxsNQS4n_rC8JSdPfj6vEq4"",""'500 объектов перенос на 2026'!A3:AB502""),14,0)"),"#REF!")</f>
        <v>#REF!</v>
      </c>
      <c r="AK288" s="76" t="s">
        <v>2027</v>
      </c>
      <c r="AL288" s="43"/>
      <c r="AM288" s="43"/>
      <c r="AN288" s="43"/>
      <c r="AO288" s="43"/>
    </row>
    <row r="289" hidden="1">
      <c r="A289" s="62" t="s">
        <v>2028</v>
      </c>
      <c r="B289" s="63" t="s">
        <v>605</v>
      </c>
      <c r="C289" s="64" t="s">
        <v>2029</v>
      </c>
      <c r="D289" s="47" t="s">
        <v>1210</v>
      </c>
      <c r="E289" s="64" t="s">
        <v>85</v>
      </c>
      <c r="F289" s="31" t="s">
        <v>40</v>
      </c>
      <c r="G289" s="31" t="s">
        <v>299</v>
      </c>
      <c r="H289" s="31" t="s">
        <v>343</v>
      </c>
      <c r="I289" s="31" t="s">
        <v>40</v>
      </c>
      <c r="J289" s="31" t="s">
        <v>61</v>
      </c>
      <c r="K289" s="31"/>
      <c r="L289" s="32">
        <f>IFERROR(__xludf.DUMMYFUNCTION("VLOOKUP($A289,IMPORTRANGE(""1PQtfbQLqBUP-rjYRznmgNFBLOjvAnhGzpIx7BJWq8rk"",""'Worksheet'!$B$2:$H""),7,FALSE)"),0.94)</f>
        <v>0.94</v>
      </c>
      <c r="M289" s="31" t="s">
        <v>40</v>
      </c>
      <c r="N289" s="49">
        <v>2.202929919E7</v>
      </c>
      <c r="O289" s="49">
        <v>6278060.0</v>
      </c>
      <c r="P289" s="49">
        <f t="shared" si="40"/>
        <v>15751239.19</v>
      </c>
      <c r="Q289" s="34">
        <f t="shared" si="3"/>
        <v>0.7150131765</v>
      </c>
      <c r="R289" s="31"/>
      <c r="S289" s="31" t="s">
        <v>40</v>
      </c>
      <c r="T289" s="88" t="s">
        <v>2030</v>
      </c>
      <c r="U289" s="88">
        <v>0.0</v>
      </c>
      <c r="V289" s="88" t="s">
        <v>2030</v>
      </c>
      <c r="W289" s="31"/>
      <c r="X289" s="52" t="s">
        <v>49</v>
      </c>
      <c r="Y289" s="124" t="s">
        <v>2031</v>
      </c>
      <c r="Z289" s="54" t="s">
        <v>1497</v>
      </c>
      <c r="AA289" s="74">
        <v>46280.0</v>
      </c>
      <c r="AB289" s="56"/>
      <c r="AC289" s="38" t="s">
        <v>1214</v>
      </c>
      <c r="AD289" s="39">
        <v>22028.299</v>
      </c>
      <c r="AE289" s="39">
        <v>6278.06</v>
      </c>
      <c r="AF289" s="40">
        <v>15750.239</v>
      </c>
      <c r="AG289" s="99" t="s">
        <v>2032</v>
      </c>
      <c r="AH289" s="85"/>
      <c r="AI289" s="42" t="str">
        <f>IFERROR(__xludf.DUMMYFUNCTION("vLOOKUP(A289,IMPORTRANGE(""https://docs.google.com/spreadsheets/d/1Rawwwdh8wntXGy8isdYNHxsNQS4n_rC8JSdPfj6vEq4"",""'500 объектов перенос на 2026'!A3:AB502""),13,0)"),"#REF!")</f>
        <v>#REF!</v>
      </c>
      <c r="AJ289" s="42" t="str">
        <f>IFERROR(__xludf.DUMMYFUNCTION("vLOOKUP(A289,IMPORTRANGE(""https://docs.google.com/spreadsheets/d/1Rawwwdh8wntXGy8isdYNHxsNQS4n_rC8JSdPfj6vEq4"",""'500 объектов перенос на 2026'!A3:AB502""),14,0)"),"#REF!")</f>
        <v>#REF!</v>
      </c>
      <c r="AK289" s="76" t="s">
        <v>3440</v>
      </c>
      <c r="AL289" s="43"/>
      <c r="AM289" s="43"/>
      <c r="AN289" s="43"/>
      <c r="AO289" s="43"/>
    </row>
    <row r="290" hidden="1">
      <c r="A290" s="62" t="s">
        <v>2034</v>
      </c>
      <c r="B290" s="63" t="s">
        <v>268</v>
      </c>
      <c r="C290" s="64" t="s">
        <v>2035</v>
      </c>
      <c r="D290" s="47" t="s">
        <v>323</v>
      </c>
      <c r="E290" s="64" t="s">
        <v>85</v>
      </c>
      <c r="F290" s="31" t="s">
        <v>40</v>
      </c>
      <c r="G290" s="31" t="s">
        <v>41</v>
      </c>
      <c r="H290" s="31" t="s">
        <v>828</v>
      </c>
      <c r="I290" s="31" t="s">
        <v>40</v>
      </c>
      <c r="J290" s="31" t="s">
        <v>61</v>
      </c>
      <c r="K290" s="31"/>
      <c r="L290" s="32">
        <f>IFERROR(__xludf.DUMMYFUNCTION("VLOOKUP($A290,IMPORTRANGE(""1PQtfbQLqBUP-rjYRznmgNFBLOjvAnhGzpIx7BJWq8rk"",""'Worksheet'!$B$2:$H""),7,FALSE)"),0.9)</f>
        <v>0.9</v>
      </c>
      <c r="M290" s="31" t="s">
        <v>40</v>
      </c>
      <c r="N290" s="49">
        <v>3.08155904E7</v>
      </c>
      <c r="O290" s="49">
        <v>1.510270016E7</v>
      </c>
      <c r="P290" s="49">
        <f t="shared" si="40"/>
        <v>15712890.24</v>
      </c>
      <c r="Q290" s="34">
        <f t="shared" si="3"/>
        <v>0.5099006716</v>
      </c>
      <c r="R290" s="31"/>
      <c r="S290" s="31" t="s">
        <v>40</v>
      </c>
      <c r="T290" s="84" t="s">
        <v>2036</v>
      </c>
      <c r="U290" s="84">
        <v>0.0</v>
      </c>
      <c r="V290" s="84" t="s">
        <v>2036</v>
      </c>
      <c r="W290" s="31"/>
      <c r="X290" s="52" t="s">
        <v>49</v>
      </c>
      <c r="Y290" s="54" t="s">
        <v>2037</v>
      </c>
      <c r="Z290" s="54" t="s">
        <v>851</v>
      </c>
      <c r="AA290" s="68">
        <v>46251.0</v>
      </c>
      <c r="AB290" s="56"/>
      <c r="AC290" s="38"/>
      <c r="AD290" s="39">
        <v>30815.59</v>
      </c>
      <c r="AE290" s="39">
        <v>15102.70016</v>
      </c>
      <c r="AF290" s="40">
        <v>15712.88984</v>
      </c>
      <c r="AG290" s="57" t="s">
        <v>2038</v>
      </c>
      <c r="AH290" s="42" t="s">
        <v>49</v>
      </c>
      <c r="AI290" s="42" t="str">
        <f>IFERROR(__xludf.DUMMYFUNCTION("vLOOKUP(A290,IMPORTRANGE(""https://docs.google.com/spreadsheets/d/1Rawwwdh8wntXGy8isdYNHxsNQS4n_rC8JSdPfj6vEq4"",""'500 объектов перенос на 2026'!A3:AB502""),13,0)"),"#REF!")</f>
        <v>#REF!</v>
      </c>
      <c r="AJ290" s="42" t="str">
        <f>IFERROR(__xludf.DUMMYFUNCTION("vLOOKUP(A290,IMPORTRANGE(""https://docs.google.com/spreadsheets/d/1Rawwwdh8wntXGy8isdYNHxsNQS4n_rC8JSdPfj6vEq4"",""'500 объектов перенос на 2026'!A3:AB502""),14,0)"),"#REF!")</f>
        <v>#REF!</v>
      </c>
      <c r="AK290" s="151" t="s">
        <v>3441</v>
      </c>
      <c r="AL290" s="43"/>
      <c r="AM290" s="43"/>
      <c r="AN290" s="43"/>
      <c r="AO290" s="43"/>
    </row>
    <row r="291" hidden="1">
      <c r="A291" s="62" t="s">
        <v>2041</v>
      </c>
      <c r="B291" s="63" t="s">
        <v>826</v>
      </c>
      <c r="C291" s="64" t="s">
        <v>2042</v>
      </c>
      <c r="D291" s="47" t="s">
        <v>323</v>
      </c>
      <c r="E291" s="64" t="s">
        <v>85</v>
      </c>
      <c r="F291" s="31" t="s">
        <v>40</v>
      </c>
      <c r="G291" s="31" t="s">
        <v>41</v>
      </c>
      <c r="H291" s="31" t="s">
        <v>779</v>
      </c>
      <c r="I291" s="31" t="s">
        <v>60</v>
      </c>
      <c r="J291" s="31"/>
      <c r="K291" s="31"/>
      <c r="L291" s="32">
        <f>IFERROR(__xludf.DUMMYFUNCTION("VLOOKUP($A291,IMPORTRANGE(""1PQtfbQLqBUP-rjYRznmgNFBLOjvAnhGzpIx7BJWq8rk"",""'Worksheet'!$B$2:$H""),7,FALSE)"),0.9)</f>
        <v>0.9</v>
      </c>
      <c r="M291" s="31" t="s">
        <v>40</v>
      </c>
      <c r="N291" s="49">
        <v>2.894863E7</v>
      </c>
      <c r="O291" s="49">
        <v>1.375928384E7</v>
      </c>
      <c r="P291" s="49">
        <f t="shared" si="40"/>
        <v>15189346.16</v>
      </c>
      <c r="Q291" s="34">
        <f t="shared" si="3"/>
        <v>0.5247</v>
      </c>
      <c r="R291" s="31"/>
      <c r="S291" s="31" t="s">
        <v>45</v>
      </c>
      <c r="T291" s="84">
        <v>2.75011985E7</v>
      </c>
      <c r="U291" s="84">
        <v>1.307131965E7</v>
      </c>
      <c r="V291" s="84">
        <f>T291-U291</f>
        <v>14429878.85</v>
      </c>
      <c r="W291" s="31"/>
      <c r="X291" s="52">
        <v>1.307131965E7</v>
      </c>
      <c r="Y291" s="54" t="s">
        <v>2043</v>
      </c>
      <c r="Z291" s="54" t="s">
        <v>1602</v>
      </c>
      <c r="AA291" s="74">
        <v>46266.0</v>
      </c>
      <c r="AB291" s="56"/>
      <c r="AC291" s="38"/>
      <c r="AD291" s="39">
        <v>28948.63</v>
      </c>
      <c r="AE291" s="39">
        <v>13759.28384</v>
      </c>
      <c r="AF291" s="40">
        <v>15189.34616</v>
      </c>
      <c r="AG291" s="57" t="s">
        <v>2044</v>
      </c>
      <c r="AH291" s="42" t="s">
        <v>49</v>
      </c>
      <c r="AI291" s="42" t="str">
        <f>IFERROR(__xludf.DUMMYFUNCTION("vLOOKUP(A291,IMPORTRANGE(""https://docs.google.com/spreadsheets/d/1Rawwwdh8wntXGy8isdYNHxsNQS4n_rC8JSdPfj6vEq4"",""'500 объектов перенос на 2026'!A3:AB502""),13,0)"),"#REF!")</f>
        <v>#REF!</v>
      </c>
      <c r="AJ291" s="42" t="str">
        <f>IFERROR(__xludf.DUMMYFUNCTION("vLOOKUP(A291,IMPORTRANGE(""https://docs.google.com/spreadsheets/d/1Rawwwdh8wntXGy8isdYNHxsNQS4n_rC8JSdPfj6vEq4"",""'500 объектов перенос на 2026'!A3:AB502""),14,0)"),"#REF!")</f>
        <v>#REF!</v>
      </c>
      <c r="AK291" s="138" t="s">
        <v>2043</v>
      </c>
      <c r="AL291" s="43"/>
      <c r="AM291" s="43"/>
      <c r="AN291" s="43"/>
      <c r="AO291" s="43"/>
    </row>
    <row r="292" hidden="1">
      <c r="A292" s="62" t="s">
        <v>2046</v>
      </c>
      <c r="B292" s="63" t="s">
        <v>625</v>
      </c>
      <c r="C292" s="64" t="s">
        <v>2047</v>
      </c>
      <c r="D292" s="47" t="s">
        <v>2048</v>
      </c>
      <c r="E292" s="64" t="s">
        <v>85</v>
      </c>
      <c r="F292" s="31" t="s">
        <v>60</v>
      </c>
      <c r="G292" s="31"/>
      <c r="H292" s="31"/>
      <c r="I292" s="31" t="s">
        <v>40</v>
      </c>
      <c r="J292" s="31" t="s">
        <v>102</v>
      </c>
      <c r="K292" s="31" t="s">
        <v>280</v>
      </c>
      <c r="L292" s="32">
        <f>IFERROR(__xludf.DUMMYFUNCTION("VLOOKUP($A292,IMPORTRANGE(""1PQtfbQLqBUP-rjYRznmgNFBLOjvAnhGzpIx7BJWq8rk"",""'Worksheet'!$B$2:$H""),7,FALSE)"),0.68)</f>
        <v>0.68</v>
      </c>
      <c r="M292" s="31" t="s">
        <v>40</v>
      </c>
      <c r="N292" s="49">
        <v>2.13136E7</v>
      </c>
      <c r="O292" s="49">
        <v>6394080.0</v>
      </c>
      <c r="P292" s="49">
        <f t="shared" si="40"/>
        <v>14919520</v>
      </c>
      <c r="Q292" s="34">
        <f t="shared" si="3"/>
        <v>0.7</v>
      </c>
      <c r="R292" s="31"/>
      <c r="S292" s="31" t="s">
        <v>40</v>
      </c>
      <c r="T292" s="145" t="s">
        <v>2049</v>
      </c>
      <c r="U292" s="84">
        <v>0.0</v>
      </c>
      <c r="V292" s="84" t="s">
        <v>2049</v>
      </c>
      <c r="W292" s="31"/>
      <c r="X292" s="52" t="s">
        <v>2050</v>
      </c>
      <c r="Y292" s="54" t="s">
        <v>2051</v>
      </c>
      <c r="Z292" s="54" t="s">
        <v>274</v>
      </c>
      <c r="AA292" s="68">
        <v>46253.0</v>
      </c>
      <c r="AB292" s="56"/>
      <c r="AC292" s="38"/>
      <c r="AD292" s="39">
        <v>21313.6</v>
      </c>
      <c r="AE292" s="39">
        <v>6394.08</v>
      </c>
      <c r="AF292" s="40">
        <v>14919.52</v>
      </c>
      <c r="AG292" s="57" t="s">
        <v>2052</v>
      </c>
      <c r="AH292" s="42" t="s">
        <v>272</v>
      </c>
      <c r="AI292" s="42" t="str">
        <f>IFERROR(__xludf.DUMMYFUNCTION("vLOOKUP(A292,IMPORTRANGE(""https://docs.google.com/spreadsheets/d/1Rawwwdh8wntXGy8isdYNHxsNQS4n_rC8JSdPfj6vEq4"",""'500 объектов перенос на 2026'!A3:AB502""),13,0)"),"#REF!")</f>
        <v>#REF!</v>
      </c>
      <c r="AJ292" s="42" t="str">
        <f>IFERROR(__xludf.DUMMYFUNCTION("vLOOKUP(A292,IMPORTRANGE(""https://docs.google.com/spreadsheets/d/1Rawwwdh8wntXGy8isdYNHxsNQS4n_rC8JSdPfj6vEq4"",""'500 объектов перенос на 2026'!A3:AB502""),14,0)"),"#REF!")</f>
        <v>#REF!</v>
      </c>
      <c r="AK292" s="140"/>
      <c r="AL292" s="43"/>
      <c r="AM292" s="43"/>
      <c r="AN292" s="43"/>
      <c r="AO292" s="43"/>
    </row>
    <row r="293" hidden="1">
      <c r="A293" s="62" t="s">
        <v>2053</v>
      </c>
      <c r="B293" s="63" t="s">
        <v>703</v>
      </c>
      <c r="C293" s="64" t="s">
        <v>2054</v>
      </c>
      <c r="D293" s="47" t="s">
        <v>1523</v>
      </c>
      <c r="E293" s="64" t="s">
        <v>85</v>
      </c>
      <c r="F293" s="31" t="s">
        <v>40</v>
      </c>
      <c r="G293" s="31" t="s">
        <v>41</v>
      </c>
      <c r="H293" s="31" t="s">
        <v>779</v>
      </c>
      <c r="I293" s="31" t="s">
        <v>60</v>
      </c>
      <c r="J293" s="31"/>
      <c r="K293" s="31"/>
      <c r="L293" s="32">
        <f>IFERROR(__xludf.DUMMYFUNCTION("VLOOKUP($A293,IMPORTRANGE(""1PQtfbQLqBUP-rjYRznmgNFBLOjvAnhGzpIx7BJWq8rk"",""'Worksheet'!$B$2:$H""),7,FALSE)"),0.98)</f>
        <v>0.98</v>
      </c>
      <c r="M293" s="31" t="s">
        <v>45</v>
      </c>
      <c r="N293" s="49">
        <v>6.386070984E7</v>
      </c>
      <c r="O293" s="49">
        <v>4.900379068E7</v>
      </c>
      <c r="P293" s="49">
        <f t="shared" si="40"/>
        <v>14856919.16</v>
      </c>
      <c r="Q293" s="34">
        <f t="shared" si="3"/>
        <v>0.232645694</v>
      </c>
      <c r="R293" s="31"/>
      <c r="S293" s="31" t="s">
        <v>45</v>
      </c>
      <c r="T293" s="145"/>
      <c r="U293" s="84"/>
      <c r="V293" s="84"/>
      <c r="W293" s="31"/>
      <c r="X293" s="52" t="s">
        <v>507</v>
      </c>
      <c r="Y293" s="128" t="s">
        <v>706</v>
      </c>
      <c r="Z293" s="54" t="s">
        <v>707</v>
      </c>
      <c r="AA293" s="74">
        <v>46204.0</v>
      </c>
      <c r="AB293" s="38" t="s">
        <v>3359</v>
      </c>
      <c r="AC293" s="38"/>
      <c r="AD293" s="39">
        <v>63800.71</v>
      </c>
      <c r="AE293" s="39">
        <v>49003.79068</v>
      </c>
      <c r="AF293" s="40">
        <v>14796.91932</v>
      </c>
      <c r="AG293" s="173" t="s">
        <v>3442</v>
      </c>
      <c r="AH293" s="42"/>
      <c r="AI293" s="42" t="str">
        <f>IFERROR(__xludf.DUMMYFUNCTION("vLOOKUP(A293,IMPORTRANGE(""https://docs.google.com/spreadsheets/d/1Rawwwdh8wntXGy8isdYNHxsNQS4n_rC8JSdPfj6vEq4"",""'500 объектов перенос на 2026'!A3:AB502""),13,0)"),"#REF!")</f>
        <v>#REF!</v>
      </c>
      <c r="AJ293" s="42" t="str">
        <f>IFERROR(__xludf.DUMMYFUNCTION("vLOOKUP(A293,IMPORTRANGE(""https://docs.google.com/spreadsheets/d/1Rawwwdh8wntXGy8isdYNHxsNQS4n_rC8JSdPfj6vEq4"",""'500 объектов перенос на 2026'!A3:AB502""),14,0)"),"#REF!")</f>
        <v>#REF!</v>
      </c>
      <c r="AK293" s="138" t="s">
        <v>2951</v>
      </c>
      <c r="AL293" s="43"/>
      <c r="AM293" s="43"/>
      <c r="AN293" s="43"/>
      <c r="AO293" s="43"/>
    </row>
    <row r="294" hidden="1">
      <c r="A294" s="62" t="s">
        <v>2056</v>
      </c>
      <c r="B294" s="63" t="s">
        <v>268</v>
      </c>
      <c r="C294" s="64" t="s">
        <v>2057</v>
      </c>
      <c r="D294" s="47" t="s">
        <v>323</v>
      </c>
      <c r="E294" s="64" t="s">
        <v>85</v>
      </c>
      <c r="F294" s="31" t="s">
        <v>40</v>
      </c>
      <c r="G294" s="31" t="s">
        <v>41</v>
      </c>
      <c r="H294" s="31" t="s">
        <v>828</v>
      </c>
      <c r="I294" s="31" t="s">
        <v>40</v>
      </c>
      <c r="J294" s="31" t="s">
        <v>61</v>
      </c>
      <c r="K294" s="31"/>
      <c r="L294" s="32">
        <f>IFERROR(__xludf.DUMMYFUNCTION("VLOOKUP($A294,IMPORTRANGE(""1PQtfbQLqBUP-rjYRznmgNFBLOjvAnhGzpIx7BJWq8rk"",""'Worksheet'!$B$2:$H""),7,FALSE)"),0.9)</f>
        <v>0.9</v>
      </c>
      <c r="M294" s="31" t="s">
        <v>40</v>
      </c>
      <c r="N294" s="49">
        <v>2.903107214E7</v>
      </c>
      <c r="O294" s="49">
        <v>1.42282095E7</v>
      </c>
      <c r="P294" s="49">
        <f t="shared" si="40"/>
        <v>14802862.64</v>
      </c>
      <c r="Q294" s="34">
        <f t="shared" si="3"/>
        <v>0.5098972084</v>
      </c>
      <c r="R294" s="31"/>
      <c r="S294" s="31" t="s">
        <v>40</v>
      </c>
      <c r="T294" s="84" t="s">
        <v>2058</v>
      </c>
      <c r="U294" s="84">
        <v>0.0</v>
      </c>
      <c r="V294" s="84" t="s">
        <v>2058</v>
      </c>
      <c r="W294" s="31"/>
      <c r="X294" s="52" t="s">
        <v>49</v>
      </c>
      <c r="Y294" s="54" t="s">
        <v>2059</v>
      </c>
      <c r="Z294" s="54" t="s">
        <v>851</v>
      </c>
      <c r="AA294" s="68">
        <v>46251.0</v>
      </c>
      <c r="AB294" s="56"/>
      <c r="AC294" s="38"/>
      <c r="AD294" s="39">
        <v>29031.07</v>
      </c>
      <c r="AE294" s="39">
        <v>14228.2095</v>
      </c>
      <c r="AF294" s="40">
        <v>14802.8605</v>
      </c>
      <c r="AG294" s="57" t="s">
        <v>2060</v>
      </c>
      <c r="AH294" s="42" t="s">
        <v>49</v>
      </c>
      <c r="AI294" s="42" t="str">
        <f>IFERROR(__xludf.DUMMYFUNCTION("vLOOKUP(A294,IMPORTRANGE(""https://docs.google.com/spreadsheets/d/1Rawwwdh8wntXGy8isdYNHxsNQS4n_rC8JSdPfj6vEq4"",""'500 объектов перенос на 2026'!A3:AB502""),13,0)"),"#REF!")</f>
        <v>#REF!</v>
      </c>
      <c r="AJ294" s="42" t="str">
        <f>IFERROR(__xludf.DUMMYFUNCTION("vLOOKUP(A294,IMPORTRANGE(""https://docs.google.com/spreadsheets/d/1Rawwwdh8wntXGy8isdYNHxsNQS4n_rC8JSdPfj6vEq4"",""'500 объектов перенос на 2026'!A3:AB502""),14,0)"),"#REF!")</f>
        <v>#REF!</v>
      </c>
      <c r="AK294" s="151" t="s">
        <v>3443</v>
      </c>
      <c r="AL294" s="43"/>
      <c r="AM294" s="43"/>
      <c r="AN294" s="43"/>
      <c r="AO294" s="43"/>
    </row>
    <row r="295" hidden="1">
      <c r="A295" s="62" t="s">
        <v>2064</v>
      </c>
      <c r="B295" s="63" t="s">
        <v>110</v>
      </c>
      <c r="C295" s="64" t="s">
        <v>2065</v>
      </c>
      <c r="D295" s="47" t="s">
        <v>112</v>
      </c>
      <c r="E295" s="64" t="s">
        <v>85</v>
      </c>
      <c r="F295" s="31" t="s">
        <v>60</v>
      </c>
      <c r="G295" s="31"/>
      <c r="H295" s="31"/>
      <c r="I295" s="31" t="s">
        <v>40</v>
      </c>
      <c r="J295" s="31" t="s">
        <v>61</v>
      </c>
      <c r="K295" s="31" t="s">
        <v>72</v>
      </c>
      <c r="L295" s="32">
        <f>IFERROR(__xludf.DUMMYFUNCTION("VLOOKUP($A295,IMPORTRANGE(""1PQtfbQLqBUP-rjYRznmgNFBLOjvAnhGzpIx7BJWq8rk"",""'Worksheet'!$B$2:$H""),7,FALSE)"),0.94)</f>
        <v>0.94</v>
      </c>
      <c r="M295" s="31" t="s">
        <v>45</v>
      </c>
      <c r="N295" s="49">
        <v>6.802844999E7</v>
      </c>
      <c r="O295" s="49">
        <v>5.330892095E7</v>
      </c>
      <c r="P295" s="49">
        <f t="shared" si="40"/>
        <v>14719529.04</v>
      </c>
      <c r="Q295" s="34">
        <f t="shared" si="3"/>
        <v>0.2163731357</v>
      </c>
      <c r="R295" s="31"/>
      <c r="S295" s="31" t="s">
        <v>45</v>
      </c>
      <c r="T295" s="145">
        <v>6.481744008E7</v>
      </c>
      <c r="U295" s="84">
        <v>4.766067573E7</v>
      </c>
      <c r="V295" s="84">
        <v>1.715676435E7</v>
      </c>
      <c r="W295" s="31"/>
      <c r="X295" s="52" t="s">
        <v>557</v>
      </c>
      <c r="Y295" s="54" t="s">
        <v>558</v>
      </c>
      <c r="Z295" s="54"/>
      <c r="AA295" s="74">
        <v>46223.0</v>
      </c>
      <c r="AB295" s="37">
        <v>46132.0</v>
      </c>
      <c r="AC295" s="38" t="s">
        <v>559</v>
      </c>
      <c r="AD295" s="39">
        <v>68028.45</v>
      </c>
      <c r="AE295" s="39">
        <v>53380.43487</v>
      </c>
      <c r="AF295" s="40">
        <v>14648.01513</v>
      </c>
      <c r="AG295" s="57"/>
      <c r="AH295" s="42" t="s">
        <v>187</v>
      </c>
      <c r="AI295" s="42" t="str">
        <f>IFERROR(__xludf.DUMMYFUNCTION("vLOOKUP(A295,IMPORTRANGE(""https://docs.google.com/spreadsheets/d/1Rawwwdh8wntXGy8isdYNHxsNQS4n_rC8JSdPfj6vEq4"",""'500 объектов перенос на 2026'!A3:AB502""),13,0)"),"#REF!")</f>
        <v>#REF!</v>
      </c>
      <c r="AJ295" s="42" t="str">
        <f>IFERROR(__xludf.DUMMYFUNCTION("vLOOKUP(A295,IMPORTRANGE(""https://docs.google.com/spreadsheets/d/1Rawwwdh8wntXGy8isdYNHxsNQS4n_rC8JSdPfj6vEq4"",""'500 объектов перенос на 2026'!A3:AB502""),14,0)"),"#REF!")</f>
        <v>#REF!</v>
      </c>
      <c r="AK295" s="76" t="s">
        <v>3444</v>
      </c>
      <c r="AL295" s="43"/>
      <c r="AM295" s="43"/>
      <c r="AN295" s="43"/>
      <c r="AO295" s="43"/>
    </row>
    <row r="296" hidden="1">
      <c r="A296" s="62" t="s">
        <v>2067</v>
      </c>
      <c r="B296" s="63" t="s">
        <v>503</v>
      </c>
      <c r="C296" s="64" t="s">
        <v>2068</v>
      </c>
      <c r="D296" s="47" t="s">
        <v>2069</v>
      </c>
      <c r="E296" s="64" t="s">
        <v>59</v>
      </c>
      <c r="F296" s="31" t="s">
        <v>60</v>
      </c>
      <c r="G296" s="31" t="s">
        <v>41</v>
      </c>
      <c r="H296" s="31" t="s">
        <v>157</v>
      </c>
      <c r="I296" s="31" t="s">
        <v>60</v>
      </c>
      <c r="J296" s="31"/>
      <c r="K296" s="31"/>
      <c r="L296" s="32">
        <f>IFERROR(__xludf.DUMMYFUNCTION("VLOOKUP($A296,IMPORTRANGE(""1PQtfbQLqBUP-rjYRznmgNFBLOjvAnhGzpIx7BJWq8rk"",""'Worksheet'!$B$2:$H""),7,FALSE)"),0.95)</f>
        <v>0.95</v>
      </c>
      <c r="M296" s="31" t="s">
        <v>40</v>
      </c>
      <c r="N296" s="49">
        <v>2.0E7</v>
      </c>
      <c r="O296" s="49">
        <v>5400000.0</v>
      </c>
      <c r="P296" s="49">
        <f t="shared" si="40"/>
        <v>14600000</v>
      </c>
      <c r="Q296" s="34">
        <f t="shared" si="3"/>
        <v>0.73</v>
      </c>
      <c r="R296" s="31"/>
      <c r="S296" s="31" t="s">
        <v>40</v>
      </c>
      <c r="T296" s="84"/>
      <c r="U296" s="84"/>
      <c r="V296" s="84"/>
      <c r="W296" s="31"/>
      <c r="X296" s="169" t="s">
        <v>2070</v>
      </c>
      <c r="Y296" s="89" t="s">
        <v>2071</v>
      </c>
      <c r="Z296" s="54" t="s">
        <v>2072</v>
      </c>
      <c r="AA296" s="74">
        <v>46233.0</v>
      </c>
      <c r="AB296" s="56"/>
      <c r="AC296" s="38" t="s">
        <v>49</v>
      </c>
      <c r="AD296" s="39">
        <v>20000.0</v>
      </c>
      <c r="AE296" s="39">
        <v>5400.0</v>
      </c>
      <c r="AF296" s="40">
        <v>14600.0</v>
      </c>
      <c r="AG296" s="57" t="s">
        <v>2073</v>
      </c>
      <c r="AH296" s="85" t="s">
        <v>2074</v>
      </c>
      <c r="AI296" s="42" t="str">
        <f>IFERROR(__xludf.DUMMYFUNCTION("vLOOKUP(A296,IMPORTRANGE(""https://docs.google.com/spreadsheets/d/1Rawwwdh8wntXGy8isdYNHxsNQS4n_rC8JSdPfj6vEq4"",""'500 объектов перенос на 2026'!A3:AB502""),13,0)"),"#REF!")</f>
        <v>#REF!</v>
      </c>
      <c r="AJ296" s="42" t="str">
        <f>IFERROR(__xludf.DUMMYFUNCTION("vLOOKUP(A296,IMPORTRANGE(""https://docs.google.com/spreadsheets/d/1Rawwwdh8wntXGy8isdYNHxsNQS4n_rC8JSdPfj6vEq4"",""'500 объектов перенос на 2026'!A3:AB502""),14,0)"),"#REF!")</f>
        <v>#REF!</v>
      </c>
      <c r="AK296" s="138" t="s">
        <v>2075</v>
      </c>
      <c r="AL296" s="43"/>
      <c r="AM296" s="43"/>
      <c r="AN296" s="43"/>
      <c r="AO296" s="43"/>
    </row>
    <row r="297" hidden="1">
      <c r="A297" s="62" t="s">
        <v>2076</v>
      </c>
      <c r="B297" s="63" t="s">
        <v>296</v>
      </c>
      <c r="C297" s="64" t="s">
        <v>2077</v>
      </c>
      <c r="D297" s="47" t="s">
        <v>1408</v>
      </c>
      <c r="E297" s="64" t="s">
        <v>85</v>
      </c>
      <c r="F297" s="31" t="s">
        <v>60</v>
      </c>
      <c r="G297" s="31"/>
      <c r="H297" s="31"/>
      <c r="I297" s="31" t="s">
        <v>60</v>
      </c>
      <c r="J297" s="31"/>
      <c r="K297" s="31"/>
      <c r="L297" s="32" t="str">
        <f>IFERROR(__xludf.DUMMYFUNCTION("VLOOKUP($A297,IMPORTRANGE(""1PQtfbQLqBUP-rjYRznmgNFBLOjvAnhGzpIx7BJWq8rk"",""'Worksheet'!$B$2:$H""),7,FALSE)"),"#N/A")</f>
        <v>#N/A</v>
      </c>
      <c r="M297" s="31" t="s">
        <v>60</v>
      </c>
      <c r="N297" s="49">
        <v>3.769531794E7</v>
      </c>
      <c r="O297" s="49">
        <v>3.769531794E7</v>
      </c>
      <c r="P297" s="49">
        <f t="shared" si="40"/>
        <v>0</v>
      </c>
      <c r="Q297" s="34">
        <f t="shared" si="3"/>
        <v>0</v>
      </c>
      <c r="R297" s="31"/>
      <c r="S297" s="31" t="s">
        <v>60</v>
      </c>
      <c r="T297" s="155">
        <v>3.5810552043E7</v>
      </c>
      <c r="U297" s="155">
        <v>3.5810552043E7</v>
      </c>
      <c r="V297" s="51">
        <v>0.0</v>
      </c>
      <c r="W297" s="31"/>
      <c r="X297" s="52" t="s">
        <v>113</v>
      </c>
      <c r="Y297" s="54" t="s">
        <v>114</v>
      </c>
      <c r="Z297" s="54" t="s">
        <v>114</v>
      </c>
      <c r="AA297" s="54" t="s">
        <v>114</v>
      </c>
      <c r="AB297" s="56"/>
      <c r="AC297" s="38"/>
      <c r="AD297" s="102" t="s">
        <v>2078</v>
      </c>
      <c r="AE297" s="102">
        <v>589.135</v>
      </c>
      <c r="AF297" s="39">
        <v>39646.145</v>
      </c>
      <c r="AG297" s="57" t="s">
        <v>2079</v>
      </c>
      <c r="AH297" s="57" t="s">
        <v>2080</v>
      </c>
      <c r="AI297" s="42" t="str">
        <f>IFERROR(__xludf.DUMMYFUNCTION("vLOOKUP(A297,IMPORTRANGE(""https://docs.google.com/spreadsheets/d/1Rawwwdh8wntXGy8isdYNHxsNQS4n_rC8JSdPfj6vEq4"",""'500 объектов перенос на 2026'!A3:AB502""),13,0)"),"#REF!")</f>
        <v>#REF!</v>
      </c>
      <c r="AJ297" s="42" t="str">
        <f>IFERROR(__xludf.DUMMYFUNCTION("vLOOKUP(A297,IMPORTRANGE(""https://docs.google.com/spreadsheets/d/1Rawwwdh8wntXGy8isdYNHxsNQS4n_rC8JSdPfj6vEq4"",""'500 объектов перенос на 2026'!A3:AB502""),14,0)"),"#REF!")</f>
        <v>#REF!</v>
      </c>
      <c r="AK297" s="76" t="s">
        <v>114</v>
      </c>
      <c r="AL297" s="43"/>
      <c r="AM297" s="43"/>
      <c r="AN297" s="43"/>
      <c r="AO297" s="43"/>
    </row>
    <row r="298" hidden="1">
      <c r="A298" s="62" t="s">
        <v>2081</v>
      </c>
      <c r="B298" s="63" t="s">
        <v>653</v>
      </c>
      <c r="C298" s="64" t="s">
        <v>2082</v>
      </c>
      <c r="D298" s="47" t="s">
        <v>2083</v>
      </c>
      <c r="E298" s="64" t="s">
        <v>85</v>
      </c>
      <c r="F298" s="31" t="s">
        <v>60</v>
      </c>
      <c r="G298" s="31"/>
      <c r="H298" s="31"/>
      <c r="I298" s="31" t="s">
        <v>40</v>
      </c>
      <c r="J298" s="31" t="s">
        <v>61</v>
      </c>
      <c r="K298" s="31" t="s">
        <v>62</v>
      </c>
      <c r="L298" s="32">
        <f>IFERROR(__xludf.DUMMYFUNCTION("VLOOKUP($A298,IMPORTRANGE(""1PQtfbQLqBUP-rjYRznmgNFBLOjvAnhGzpIx7BJWq8rk"",""'Worksheet'!$B$2:$H""),7,FALSE)"),0.7)</f>
        <v>0.7</v>
      </c>
      <c r="M298" s="31" t="s">
        <v>40</v>
      </c>
      <c r="N298" s="49">
        <v>2.08324E7</v>
      </c>
      <c r="O298" s="49">
        <v>6249720.0</v>
      </c>
      <c r="P298" s="49">
        <f t="shared" si="40"/>
        <v>14582680</v>
      </c>
      <c r="Q298" s="34">
        <f t="shared" si="3"/>
        <v>0.7</v>
      </c>
      <c r="R298" s="31"/>
      <c r="S298" s="31" t="s">
        <v>40</v>
      </c>
      <c r="T298" s="91" t="s">
        <v>2084</v>
      </c>
      <c r="U298" s="117">
        <v>0.0</v>
      </c>
      <c r="V298" s="50" t="s">
        <v>2084</v>
      </c>
      <c r="W298" s="31" t="s">
        <v>183</v>
      </c>
      <c r="X298" s="52" t="s">
        <v>1469</v>
      </c>
      <c r="Y298" s="54" t="s">
        <v>2085</v>
      </c>
      <c r="Z298" s="54"/>
      <c r="AA298" s="74">
        <v>46199.0</v>
      </c>
      <c r="AB298" s="56"/>
      <c r="AC298" s="38" t="s">
        <v>2086</v>
      </c>
      <c r="AD298" s="39">
        <v>20832.4</v>
      </c>
      <c r="AE298" s="39">
        <v>6249.72</v>
      </c>
      <c r="AF298" s="40">
        <v>14582.68</v>
      </c>
      <c r="AG298" s="57" t="s">
        <v>2087</v>
      </c>
      <c r="AH298" s="42" t="s">
        <v>980</v>
      </c>
      <c r="AI298" s="42" t="str">
        <f>IFERROR(__xludf.DUMMYFUNCTION("vLOOKUP(A298,IMPORTRANGE(""https://docs.google.com/spreadsheets/d/1Rawwwdh8wntXGy8isdYNHxsNQS4n_rC8JSdPfj6vEq4"",""'500 объектов перенос на 2026'!A3:AB502""),13,0)"),"#REF!")</f>
        <v>#REF!</v>
      </c>
      <c r="AJ298" s="42" t="str">
        <f>IFERROR(__xludf.DUMMYFUNCTION("vLOOKUP(A298,IMPORTRANGE(""https://docs.google.com/spreadsheets/d/1Rawwwdh8wntXGy8isdYNHxsNQS4n_rC8JSdPfj6vEq4"",""'500 объектов перенос на 2026'!A3:AB502""),14,0)"),"#REF!")</f>
        <v>#REF!</v>
      </c>
      <c r="AK298" s="70" t="s">
        <v>3445</v>
      </c>
      <c r="AL298" s="43"/>
      <c r="AM298" s="43"/>
      <c r="AN298" s="43"/>
      <c r="AO298" s="43"/>
    </row>
    <row r="299" hidden="1">
      <c r="A299" s="62" t="s">
        <v>2089</v>
      </c>
      <c r="B299" s="63" t="s">
        <v>2090</v>
      </c>
      <c r="C299" s="150" t="s">
        <v>2091</v>
      </c>
      <c r="D299" s="47" t="s">
        <v>227</v>
      </c>
      <c r="E299" s="90" t="s">
        <v>39</v>
      </c>
      <c r="F299" s="31" t="s">
        <v>40</v>
      </c>
      <c r="G299" s="31" t="s">
        <v>156</v>
      </c>
      <c r="H299" s="31" t="s">
        <v>260</v>
      </c>
      <c r="I299" s="31" t="s">
        <v>60</v>
      </c>
      <c r="J299" s="31"/>
      <c r="K299" s="31"/>
      <c r="L299" s="32">
        <f>IFERROR(__xludf.DUMMYFUNCTION("VLOOKUP($A299,IMPORTRANGE(""1PQtfbQLqBUP-rjYRznmgNFBLOjvAnhGzpIx7BJWq8rk"",""'Worksheet'!$B$2:$H""),7,FALSE)"),0.97)</f>
        <v>0.97</v>
      </c>
      <c r="M299" s="31" t="s">
        <v>40</v>
      </c>
      <c r="N299" s="49">
        <v>2.082794E7</v>
      </c>
      <c r="O299" s="49">
        <v>6248382.0</v>
      </c>
      <c r="P299" s="49">
        <f t="shared" si="40"/>
        <v>14579558</v>
      </c>
      <c r="Q299" s="34">
        <f t="shared" si="3"/>
        <v>0.7</v>
      </c>
      <c r="R299" s="31"/>
      <c r="S299" s="31" t="s">
        <v>40</v>
      </c>
      <c r="T299" s="72" t="s">
        <v>2092</v>
      </c>
      <c r="U299" s="67" t="s">
        <v>2093</v>
      </c>
      <c r="V299" s="72">
        <v>1.94741239E7</v>
      </c>
      <c r="W299" s="31"/>
      <c r="X299" s="52" t="s">
        <v>49</v>
      </c>
      <c r="Y299" s="54" t="s">
        <v>2094</v>
      </c>
      <c r="Z299" s="74"/>
      <c r="AA299" s="74">
        <v>46218.0</v>
      </c>
      <c r="AB299" s="56"/>
      <c r="AC299" s="38"/>
      <c r="AD299" s="39">
        <v>20827.94</v>
      </c>
      <c r="AE299" s="39">
        <v>6248.382</v>
      </c>
      <c r="AF299" s="40">
        <v>14579.558</v>
      </c>
      <c r="AG299" s="57" t="s">
        <v>2095</v>
      </c>
      <c r="AH299" s="42" t="s">
        <v>49</v>
      </c>
      <c r="AI299" s="42" t="str">
        <f>IFERROR(__xludf.DUMMYFUNCTION("vLOOKUP(A299,IMPORTRANGE(""https://docs.google.com/spreadsheets/d/1Rawwwdh8wntXGy8isdYNHxsNQS4n_rC8JSdPfj6vEq4"",""'500 объектов перенос на 2026'!A3:AB502""),13,0)"),"#REF!")</f>
        <v>#REF!</v>
      </c>
      <c r="AJ299" s="42" t="str">
        <f>IFERROR(__xludf.DUMMYFUNCTION("vLOOKUP(A299,IMPORTRANGE(""https://docs.google.com/spreadsheets/d/1Rawwwdh8wntXGy8isdYNHxsNQS4n_rC8JSdPfj6vEq4"",""'500 объектов перенос на 2026'!A3:AB502""),14,0)"),"#REF!")</f>
        <v>#REF!</v>
      </c>
      <c r="AK299" s="76" t="s">
        <v>2094</v>
      </c>
      <c r="AL299" s="43"/>
      <c r="AM299" s="43"/>
      <c r="AN299" s="43"/>
      <c r="AO299" s="43"/>
    </row>
    <row r="300" hidden="1">
      <c r="A300" s="62" t="s">
        <v>2098</v>
      </c>
      <c r="B300" s="63" t="s">
        <v>1299</v>
      </c>
      <c r="C300" s="64" t="s">
        <v>2099</v>
      </c>
      <c r="D300" s="47" t="s">
        <v>585</v>
      </c>
      <c r="E300" s="64" t="s">
        <v>85</v>
      </c>
      <c r="F300" s="31" t="s">
        <v>60</v>
      </c>
      <c r="G300" s="31"/>
      <c r="H300" s="31"/>
      <c r="I300" s="31" t="s">
        <v>40</v>
      </c>
      <c r="J300" s="31" t="s">
        <v>61</v>
      </c>
      <c r="K300" s="31" t="s">
        <v>62</v>
      </c>
      <c r="L300" s="32">
        <f>IFERROR(__xludf.DUMMYFUNCTION("VLOOKUP($A300,IMPORTRANGE(""1PQtfbQLqBUP-rjYRznmgNFBLOjvAnhGzpIx7BJWq8rk"",""'Worksheet'!$B$2:$H""),7,FALSE)"),0.98)</f>
        <v>0.98</v>
      </c>
      <c r="M300" s="31" t="s">
        <v>45</v>
      </c>
      <c r="N300" s="49">
        <v>2.096447702E7</v>
      </c>
      <c r="O300" s="49">
        <v>6799470.87</v>
      </c>
      <c r="P300" s="49">
        <f t="shared" si="40"/>
        <v>14165006.15</v>
      </c>
      <c r="Q300" s="34">
        <f t="shared" si="3"/>
        <v>0.6756670408</v>
      </c>
      <c r="R300" s="31"/>
      <c r="S300" s="31" t="s">
        <v>40</v>
      </c>
      <c r="T300" s="72" t="s">
        <v>2101</v>
      </c>
      <c r="U300" s="67" t="s">
        <v>2102</v>
      </c>
      <c r="V300" s="72" t="s">
        <v>2103</v>
      </c>
      <c r="W300" s="31"/>
      <c r="X300" s="52" t="s">
        <v>2104</v>
      </c>
      <c r="Y300" s="54" t="s">
        <v>2105</v>
      </c>
      <c r="Z300" s="74"/>
      <c r="AA300" s="74">
        <v>46203.0</v>
      </c>
      <c r="AB300" s="56"/>
      <c r="AC300" s="38"/>
      <c r="AD300" s="39">
        <v>20964.47</v>
      </c>
      <c r="AE300" s="39">
        <v>6915.45676</v>
      </c>
      <c r="AF300" s="40">
        <v>14049.01324</v>
      </c>
      <c r="AG300" s="57" t="s">
        <v>2106</v>
      </c>
      <c r="AH300" s="42" t="s">
        <v>1308</v>
      </c>
      <c r="AI300" s="42" t="str">
        <f>IFERROR(__xludf.DUMMYFUNCTION("vLOOKUP(A300,IMPORTRANGE(""https://docs.google.com/spreadsheets/d/1Rawwwdh8wntXGy8isdYNHxsNQS4n_rC8JSdPfj6vEq4"",""'500 объектов перенос на 2026'!A3:AB502""),13,0)"),"#REF!")</f>
        <v>#REF!</v>
      </c>
      <c r="AJ300" s="42" t="str">
        <f>IFERROR(__xludf.DUMMYFUNCTION("vLOOKUP(A300,IMPORTRANGE(""https://docs.google.com/spreadsheets/d/1Rawwwdh8wntXGy8isdYNHxsNQS4n_rC8JSdPfj6vEq4"",""'500 объектов перенос на 2026'!A3:AB502""),14,0)"),"#REF!")</f>
        <v>#REF!</v>
      </c>
      <c r="AK300" s="76" t="s">
        <v>2105</v>
      </c>
      <c r="AL300" s="43"/>
      <c r="AM300" s="43"/>
      <c r="AN300" s="43"/>
      <c r="AO300" s="43"/>
    </row>
    <row r="301" hidden="1">
      <c r="A301" s="62" t="s">
        <v>2108</v>
      </c>
      <c r="B301" s="63" t="s">
        <v>653</v>
      </c>
      <c r="C301" s="64" t="s">
        <v>2109</v>
      </c>
      <c r="D301" s="47" t="s">
        <v>1058</v>
      </c>
      <c r="E301" s="64" t="s">
        <v>59</v>
      </c>
      <c r="F301" s="31" t="s">
        <v>60</v>
      </c>
      <c r="G301" s="31"/>
      <c r="H301" s="31"/>
      <c r="I301" s="31" t="s">
        <v>60</v>
      </c>
      <c r="J301" s="31"/>
      <c r="K301" s="31"/>
      <c r="L301" s="32">
        <f>IFERROR(__xludf.DUMMYFUNCTION("VLOOKUP($A301,IMPORTRANGE(""1PQtfbQLqBUP-rjYRznmgNFBLOjvAnhGzpIx7BJWq8rk"",""'Worksheet'!$B$2:$H""),7,FALSE)"),1.0)</f>
        <v>1</v>
      </c>
      <c r="M301" s="31" t="s">
        <v>45</v>
      </c>
      <c r="N301" s="49">
        <v>1.9073756826E8</v>
      </c>
      <c r="O301" s="49">
        <v>1.7667177934E8</v>
      </c>
      <c r="P301" s="49">
        <f t="shared" si="40"/>
        <v>14065788.92</v>
      </c>
      <c r="Q301" s="34">
        <f t="shared" si="3"/>
        <v>0.07374419758</v>
      </c>
      <c r="R301" s="31" t="s">
        <v>1059</v>
      </c>
      <c r="S301" s="31" t="s">
        <v>60</v>
      </c>
      <c r="T301" s="91" t="s">
        <v>2110</v>
      </c>
      <c r="U301" s="51" t="s">
        <v>2111</v>
      </c>
      <c r="V301" s="50" t="s">
        <v>2112</v>
      </c>
      <c r="W301" s="31"/>
      <c r="X301" s="52" t="s">
        <v>8</v>
      </c>
      <c r="Y301" s="54" t="s">
        <v>1061</v>
      </c>
      <c r="Z301" s="54"/>
      <c r="AA301" s="68">
        <v>46185.0</v>
      </c>
      <c r="AB301" s="56"/>
      <c r="AC301" s="38" t="s">
        <v>2113</v>
      </c>
      <c r="AD301" s="39">
        <v>175190.2</v>
      </c>
      <c r="AE301" s="39">
        <v>178158.7952</v>
      </c>
      <c r="AF301" s="40">
        <v>-2968.59517</v>
      </c>
      <c r="AG301" s="57" t="s">
        <v>2114</v>
      </c>
      <c r="AH301" s="42" t="s">
        <v>1064</v>
      </c>
      <c r="AI301" s="42" t="str">
        <f>IFERROR(__xludf.DUMMYFUNCTION("vLOOKUP(A301,IMPORTRANGE(""https://docs.google.com/spreadsheets/d/1Rawwwdh8wntXGy8isdYNHxsNQS4n_rC8JSdPfj6vEq4"",""'500 объектов перенос на 2026'!A3:AB502""),13,0)"),"#REF!")</f>
        <v>#REF!</v>
      </c>
      <c r="AJ301" s="42" t="str">
        <f>IFERROR(__xludf.DUMMYFUNCTION("vLOOKUP(A301,IMPORTRANGE(""https://docs.google.com/spreadsheets/d/1Rawwwdh8wntXGy8isdYNHxsNQS4n_rC8JSdPfj6vEq4"",""'500 объектов перенос на 2026'!A3:AB502""),14,0)"),"#REF!")</f>
        <v>#REF!</v>
      </c>
      <c r="AK301" s="76" t="s">
        <v>3374</v>
      </c>
      <c r="AL301" s="43"/>
      <c r="AM301" s="43"/>
      <c r="AN301" s="43"/>
      <c r="AO301" s="43"/>
    </row>
    <row r="302" hidden="1">
      <c r="A302" s="62" t="s">
        <v>2116</v>
      </c>
      <c r="B302" s="63" t="s">
        <v>1299</v>
      </c>
      <c r="C302" s="90" t="s">
        <v>2117</v>
      </c>
      <c r="D302" s="47" t="s">
        <v>1546</v>
      </c>
      <c r="E302" s="64" t="s">
        <v>59</v>
      </c>
      <c r="F302" s="31" t="s">
        <v>40</v>
      </c>
      <c r="G302" s="31" t="s">
        <v>41</v>
      </c>
      <c r="H302" s="31" t="s">
        <v>2118</v>
      </c>
      <c r="I302" s="31" t="s">
        <v>40</v>
      </c>
      <c r="J302" s="31" t="s">
        <v>102</v>
      </c>
      <c r="K302" s="31"/>
      <c r="L302" s="32">
        <f>IFERROR(__xludf.DUMMYFUNCTION("VLOOKUP($A302,IMPORTRANGE(""1PQtfbQLqBUP-rjYRznmgNFBLOjvAnhGzpIx7BJWq8rk"",""'Worksheet'!$B$2:$H""),7,FALSE)"),0.65)</f>
        <v>0.65</v>
      </c>
      <c r="M302" s="31" t="s">
        <v>40</v>
      </c>
      <c r="N302" s="49">
        <v>2.000078287E7</v>
      </c>
      <c r="O302" s="49">
        <v>6000237.0</v>
      </c>
      <c r="P302" s="49">
        <f t="shared" si="40"/>
        <v>14000545.87</v>
      </c>
      <c r="Q302" s="34">
        <f t="shared" si="3"/>
        <v>0.6999998931</v>
      </c>
      <c r="R302" s="31"/>
      <c r="S302" s="31" t="s">
        <v>40</v>
      </c>
      <c r="T302" s="72" t="s">
        <v>2119</v>
      </c>
      <c r="U302" s="51">
        <v>0.0</v>
      </c>
      <c r="V302" s="72" t="s">
        <v>2119</v>
      </c>
      <c r="W302" s="31"/>
      <c r="X302" s="52" t="s">
        <v>880</v>
      </c>
      <c r="Y302" s="73" t="s">
        <v>2120</v>
      </c>
      <c r="Z302" s="68"/>
      <c r="AA302" s="68">
        <v>46295.0</v>
      </c>
      <c r="AB302" s="56"/>
      <c r="AC302" s="38"/>
      <c r="AD302" s="39">
        <v>20000.79</v>
      </c>
      <c r="AE302" s="39">
        <v>6000.237</v>
      </c>
      <c r="AF302" s="40">
        <v>14000.553</v>
      </c>
      <c r="AG302" s="57" t="s">
        <v>2121</v>
      </c>
      <c r="AH302" s="42" t="s">
        <v>2122</v>
      </c>
      <c r="AI302" s="42" t="str">
        <f>IFERROR(__xludf.DUMMYFUNCTION("vLOOKUP(A302,IMPORTRANGE(""https://docs.google.com/spreadsheets/d/1Rawwwdh8wntXGy8isdYNHxsNQS4n_rC8JSdPfj6vEq4"",""'500 объектов перенос на 2026'!A3:AB502""),13,0)"),"#REF!")</f>
        <v>#REF!</v>
      </c>
      <c r="AJ302" s="42" t="str">
        <f>IFERROR(__xludf.DUMMYFUNCTION("vLOOKUP(A302,IMPORTRANGE(""https://docs.google.com/spreadsheets/d/1Rawwwdh8wntXGy8isdYNHxsNQS4n_rC8JSdPfj6vEq4"",""'500 объектов перенос на 2026'!A3:AB502""),14,0)"),"#REF!")</f>
        <v>#REF!</v>
      </c>
      <c r="AK302" s="76" t="s">
        <v>2120</v>
      </c>
      <c r="AL302" s="43"/>
      <c r="AM302" s="43"/>
      <c r="AN302" s="43"/>
      <c r="AO302" s="43"/>
    </row>
    <row r="303" hidden="1">
      <c r="A303" s="62" t="s">
        <v>2123</v>
      </c>
      <c r="B303" s="63" t="s">
        <v>1586</v>
      </c>
      <c r="C303" s="64" t="s">
        <v>2124</v>
      </c>
      <c r="D303" s="47" t="s">
        <v>1276</v>
      </c>
      <c r="E303" s="64" t="s">
        <v>85</v>
      </c>
      <c r="F303" s="31" t="s">
        <v>60</v>
      </c>
      <c r="G303" s="31"/>
      <c r="H303" s="31"/>
      <c r="I303" s="31" t="s">
        <v>40</v>
      </c>
      <c r="J303" s="31" t="s">
        <v>61</v>
      </c>
      <c r="K303" s="31" t="s">
        <v>72</v>
      </c>
      <c r="L303" s="32">
        <f>IFERROR(__xludf.DUMMYFUNCTION("VLOOKUP($A303,IMPORTRANGE(""1PQtfbQLqBUP-rjYRznmgNFBLOjvAnhGzpIx7BJWq8rk"",""'Worksheet'!$B$2:$H""),7,FALSE)"),0.9)</f>
        <v>0.9</v>
      </c>
      <c r="M303" s="31" t="s">
        <v>45</v>
      </c>
      <c r="N303" s="49">
        <v>6.195209516E7</v>
      </c>
      <c r="O303" s="49">
        <v>4.806319966E7</v>
      </c>
      <c r="P303" s="49">
        <f t="shared" si="40"/>
        <v>13888895.5</v>
      </c>
      <c r="Q303" s="34">
        <f t="shared" si="3"/>
        <v>0.2241876641</v>
      </c>
      <c r="R303" s="31"/>
      <c r="S303" s="31" t="s">
        <v>45</v>
      </c>
      <c r="T303" s="72" t="s">
        <v>2125</v>
      </c>
      <c r="U303" s="67" t="s">
        <v>2126</v>
      </c>
      <c r="V303" s="72" t="s">
        <v>2127</v>
      </c>
      <c r="W303" s="31" t="s">
        <v>183</v>
      </c>
      <c r="X303" s="52" t="s">
        <v>1592</v>
      </c>
      <c r="Y303" s="54" t="s">
        <v>3446</v>
      </c>
      <c r="Z303" s="54" t="s">
        <v>1594</v>
      </c>
      <c r="AA303" s="68">
        <v>46225.0</v>
      </c>
      <c r="AB303" s="56"/>
      <c r="AC303" s="38" t="s">
        <v>1595</v>
      </c>
      <c r="AD303" s="39">
        <v>68080.0</v>
      </c>
      <c r="AE303" s="39">
        <v>48063.19966</v>
      </c>
      <c r="AF303" s="40">
        <v>20016.80034</v>
      </c>
      <c r="AG303" s="57" t="s">
        <v>2129</v>
      </c>
      <c r="AH303" s="42" t="s">
        <v>2130</v>
      </c>
      <c r="AI303" s="42" t="str">
        <f>IFERROR(__xludf.DUMMYFUNCTION("vLOOKUP(A303,IMPORTRANGE(""https://docs.google.com/spreadsheets/d/1Rawwwdh8wntXGy8isdYNHxsNQS4n_rC8JSdPfj6vEq4"",""'500 объектов перенос на 2026'!A3:AB502""),13,0)"),"#REF!")</f>
        <v>#REF!</v>
      </c>
      <c r="AJ303" s="42" t="str">
        <f>IFERROR(__xludf.DUMMYFUNCTION("vLOOKUP(A303,IMPORTRANGE(""https://docs.google.com/spreadsheets/d/1Rawwwdh8wntXGy8isdYNHxsNQS4n_rC8JSdPfj6vEq4"",""'500 объектов перенос на 2026'!A3:AB502""),14,0)"),"#REF!")</f>
        <v>#REF!</v>
      </c>
      <c r="AK303" s="76" t="s">
        <v>2131</v>
      </c>
      <c r="AL303" s="43">
        <f>AL301+AL302</f>
        <v>0</v>
      </c>
      <c r="AM303" s="43"/>
      <c r="AN303" s="43"/>
      <c r="AO303" s="43"/>
    </row>
    <row r="304" hidden="1">
      <c r="A304" s="62" t="s">
        <v>2132</v>
      </c>
      <c r="B304" s="63" t="s">
        <v>296</v>
      </c>
      <c r="C304" s="64" t="s">
        <v>2133</v>
      </c>
      <c r="D304" s="47" t="s">
        <v>1408</v>
      </c>
      <c r="E304" s="64" t="s">
        <v>85</v>
      </c>
      <c r="F304" s="31" t="s">
        <v>60</v>
      </c>
      <c r="G304" s="31"/>
      <c r="H304" s="31"/>
      <c r="I304" s="31" t="s">
        <v>60</v>
      </c>
      <c r="J304" s="31"/>
      <c r="K304" s="31"/>
      <c r="L304" s="32" t="str">
        <f>IFERROR(__xludf.DUMMYFUNCTION("VLOOKUP($A304,IMPORTRANGE(""1PQtfbQLqBUP-rjYRznmgNFBLOjvAnhGzpIx7BJWq8rk"",""'Worksheet'!$B$2:$H""),7,FALSE)"),"#N/A")</f>
        <v>#N/A</v>
      </c>
      <c r="M304" s="31" t="s">
        <v>60</v>
      </c>
      <c r="N304" s="49">
        <v>7785131.5</v>
      </c>
      <c r="O304" s="49">
        <v>6613098.29</v>
      </c>
      <c r="P304" s="49">
        <v>0.0</v>
      </c>
      <c r="Q304" s="34">
        <f t="shared" si="3"/>
        <v>0.1505476446</v>
      </c>
      <c r="R304" s="31"/>
      <c r="S304" s="31" t="s">
        <v>60</v>
      </c>
      <c r="T304" s="155">
        <f>N304-N304*0.05</f>
        <v>7395874.925</v>
      </c>
      <c r="U304" s="155">
        <v>7395874.925</v>
      </c>
      <c r="V304" s="51">
        <v>0.0</v>
      </c>
      <c r="W304" s="31"/>
      <c r="X304" s="52" t="s">
        <v>113</v>
      </c>
      <c r="Y304" s="54" t="s">
        <v>114</v>
      </c>
      <c r="Z304" s="54" t="s">
        <v>114</v>
      </c>
      <c r="AA304" s="54" t="s">
        <v>114</v>
      </c>
      <c r="AB304" s="56"/>
      <c r="AC304" s="38"/>
      <c r="AD304" s="39" t="s">
        <v>2134</v>
      </c>
      <c r="AE304" s="39">
        <v>179.43201</v>
      </c>
      <c r="AF304" s="39">
        <v>12074.96799</v>
      </c>
      <c r="AG304" s="57" t="s">
        <v>2135</v>
      </c>
      <c r="AH304" s="57" t="s">
        <v>2136</v>
      </c>
      <c r="AI304" s="42" t="str">
        <f>IFERROR(__xludf.DUMMYFUNCTION("vLOOKUP(A304,IMPORTRANGE(""https://docs.google.com/spreadsheets/d/1Rawwwdh8wntXGy8isdYNHxsNQS4n_rC8JSdPfj6vEq4"",""'500 объектов перенос на 2026'!A3:AB502""),13,0)"),"#REF!")</f>
        <v>#REF!</v>
      </c>
      <c r="AJ304" s="42" t="str">
        <f>IFERROR(__xludf.DUMMYFUNCTION("vLOOKUP(A304,IMPORTRANGE(""https://docs.google.com/spreadsheets/d/1Rawwwdh8wntXGy8isdYNHxsNQS4n_rC8JSdPfj6vEq4"",""'500 объектов перенос на 2026'!A3:AB502""),14,0)"),"#REF!")</f>
        <v>#REF!</v>
      </c>
      <c r="AK304" s="76" t="s">
        <v>114</v>
      </c>
      <c r="AL304" s="43"/>
      <c r="AM304" s="43"/>
      <c r="AN304" s="43"/>
      <c r="AO304" s="43"/>
    </row>
    <row r="305" hidden="1">
      <c r="A305" s="170" t="s">
        <v>2137</v>
      </c>
      <c r="B305" s="171" t="s">
        <v>296</v>
      </c>
      <c r="C305" s="64" t="s">
        <v>2138</v>
      </c>
      <c r="D305" s="47"/>
      <c r="E305" s="64" t="s">
        <v>85</v>
      </c>
      <c r="F305" s="31"/>
      <c r="G305" s="31"/>
      <c r="H305" s="31"/>
      <c r="I305" s="31" t="s">
        <v>40</v>
      </c>
      <c r="J305" s="31"/>
      <c r="K305" s="31"/>
      <c r="L305" s="32" t="str">
        <f>IFERROR(__xludf.DUMMYFUNCTION("VLOOKUP($A305,IMPORTRANGE(""1PQtfbQLqBUP-rjYRznmgNFBLOjvAnhGzpIx7BJWq8rk"",""'Worksheet'!$B$2:$H""),7,FALSE)"),"#N/A")</f>
        <v>#N/A</v>
      </c>
      <c r="M305" s="31" t="s">
        <v>284</v>
      </c>
      <c r="N305" s="49">
        <v>0.0</v>
      </c>
      <c r="O305" s="49">
        <v>0.0</v>
      </c>
      <c r="P305" s="49">
        <f t="shared" ref="P305:P306" si="41">N305-O305</f>
        <v>0</v>
      </c>
      <c r="Q305" s="34" t="str">
        <f t="shared" si="3"/>
        <v>#DIV/0!</v>
      </c>
      <c r="R305" s="31"/>
      <c r="S305" s="31"/>
      <c r="T305" s="50">
        <v>0.0</v>
      </c>
      <c r="U305" s="51">
        <v>0.0</v>
      </c>
      <c r="V305" s="51">
        <v>0.0</v>
      </c>
      <c r="W305" s="31"/>
      <c r="X305" s="52" t="s">
        <v>2139</v>
      </c>
      <c r="Y305" s="54" t="s">
        <v>2139</v>
      </c>
      <c r="Z305" s="54"/>
      <c r="AA305" s="54" t="s">
        <v>2140</v>
      </c>
      <c r="AB305" s="56"/>
      <c r="AC305" s="38"/>
      <c r="AD305" s="39">
        <v>28729.76</v>
      </c>
      <c r="AE305" s="39">
        <v>0.0</v>
      </c>
      <c r="AF305" s="40">
        <v>28729.76</v>
      </c>
      <c r="AG305" s="57" t="s">
        <v>2141</v>
      </c>
      <c r="AH305" s="57" t="s">
        <v>2141</v>
      </c>
      <c r="AI305" s="42" t="str">
        <f>IFERROR(__xludf.DUMMYFUNCTION("vLOOKUP(A305,IMPORTRANGE(""https://docs.google.com/spreadsheets/d/1Rawwwdh8wntXGy8isdYNHxsNQS4n_rC8JSdPfj6vEq4"",""'500 объектов перенос на 2026'!A3:AB502""),13,0)"),"#REF!")</f>
        <v>#REF!</v>
      </c>
      <c r="AJ305" s="42" t="str">
        <f>IFERROR(__xludf.DUMMYFUNCTION("vLOOKUP(A305,IMPORTRANGE(""https://docs.google.com/spreadsheets/d/1Rawwwdh8wntXGy8isdYNHxsNQS4n_rC8JSdPfj6vEq4"",""'500 объектов перенос на 2026'!A3:AB502""),14,0)"),"#REF!")</f>
        <v>#REF!</v>
      </c>
      <c r="AK305" s="76" t="s">
        <v>2142</v>
      </c>
      <c r="AL305" s="43"/>
      <c r="AM305" s="43"/>
      <c r="AN305" s="43"/>
      <c r="AO305" s="43"/>
    </row>
    <row r="306" hidden="1">
      <c r="A306" s="62" t="s">
        <v>2143</v>
      </c>
      <c r="B306" s="63" t="s">
        <v>605</v>
      </c>
      <c r="C306" s="64" t="s">
        <v>2144</v>
      </c>
      <c r="D306" s="47" t="s">
        <v>1210</v>
      </c>
      <c r="E306" s="64" t="s">
        <v>85</v>
      </c>
      <c r="F306" s="31" t="s">
        <v>40</v>
      </c>
      <c r="G306" s="31" t="s">
        <v>156</v>
      </c>
      <c r="H306" s="31" t="s">
        <v>343</v>
      </c>
      <c r="I306" s="31" t="s">
        <v>40</v>
      </c>
      <c r="J306" s="31" t="s">
        <v>61</v>
      </c>
      <c r="K306" s="31"/>
      <c r="L306" s="32">
        <f>IFERROR(__xludf.DUMMYFUNCTION("VLOOKUP($A306,IMPORTRANGE(""1PQtfbQLqBUP-rjYRznmgNFBLOjvAnhGzpIx7BJWq8rk"",""'Worksheet'!$B$2:$H""),7,FALSE)"),0.96)</f>
        <v>0.96</v>
      </c>
      <c r="M306" s="31" t="s">
        <v>40</v>
      </c>
      <c r="N306" s="49">
        <v>2.583127862E7</v>
      </c>
      <c r="O306" s="49">
        <v>1.226985734E7</v>
      </c>
      <c r="P306" s="49">
        <f t="shared" si="41"/>
        <v>13561421.28</v>
      </c>
      <c r="Q306" s="34">
        <f t="shared" si="3"/>
        <v>0.5250000002</v>
      </c>
      <c r="R306" s="31"/>
      <c r="S306" s="31" t="s">
        <v>40</v>
      </c>
      <c r="T306" s="72" t="s">
        <v>2145</v>
      </c>
      <c r="U306" s="67">
        <v>0.0</v>
      </c>
      <c r="V306" s="67" t="s">
        <v>2145</v>
      </c>
      <c r="W306" s="31"/>
      <c r="X306" s="52" t="s">
        <v>49</v>
      </c>
      <c r="Y306" s="54" t="s">
        <v>2146</v>
      </c>
      <c r="Z306" s="54" t="s">
        <v>1213</v>
      </c>
      <c r="AA306" s="74">
        <v>46280.0</v>
      </c>
      <c r="AB306" s="56"/>
      <c r="AC306" s="38"/>
      <c r="AD306" s="39">
        <v>25831.28</v>
      </c>
      <c r="AE306" s="39">
        <v>12269.85734</v>
      </c>
      <c r="AF306" s="40">
        <v>13561.42266</v>
      </c>
      <c r="AG306" s="99" t="s">
        <v>2147</v>
      </c>
      <c r="AH306" s="85"/>
      <c r="AI306" s="42" t="str">
        <f>IFERROR(__xludf.DUMMYFUNCTION("vLOOKUP(A306,IMPORTRANGE(""https://docs.google.com/spreadsheets/d/1Rawwwdh8wntXGy8isdYNHxsNQS4n_rC8JSdPfj6vEq4"",""'500 объектов перенос на 2026'!A3:AB502""),13,0)"),"#REF!")</f>
        <v>#REF!</v>
      </c>
      <c r="AJ306" s="42" t="str">
        <f>IFERROR(__xludf.DUMMYFUNCTION("vLOOKUP(A306,IMPORTRANGE(""https://docs.google.com/spreadsheets/d/1Rawwwdh8wntXGy8isdYNHxsNQS4n_rC8JSdPfj6vEq4"",""'500 объектов перенос на 2026'!A3:AB502""),14,0)"),"#REF!")</f>
        <v>#REF!</v>
      </c>
      <c r="AK306" s="151" t="s">
        <v>3447</v>
      </c>
      <c r="AL306" s="43"/>
      <c r="AM306" s="43"/>
      <c r="AN306" s="43"/>
      <c r="AO306" s="43"/>
    </row>
    <row r="307" ht="65.25" hidden="1" customHeight="1">
      <c r="A307" s="78" t="s">
        <v>2149</v>
      </c>
      <c r="B307" s="63" t="s">
        <v>703</v>
      </c>
      <c r="C307" s="64" t="s">
        <v>2150</v>
      </c>
      <c r="D307" s="47" t="s">
        <v>101</v>
      </c>
      <c r="E307" s="64" t="s">
        <v>59</v>
      </c>
      <c r="F307" s="31" t="s">
        <v>60</v>
      </c>
      <c r="G307" s="31"/>
      <c r="H307" s="31"/>
      <c r="I307" s="31" t="s">
        <v>60</v>
      </c>
      <c r="J307" s="31"/>
      <c r="K307" s="31"/>
      <c r="L307" s="32" t="str">
        <f>IFERROR(__xludf.DUMMYFUNCTION("VLOOKUP($A307,IMPORTRANGE(""1PQtfbQLqBUP-rjYRznmgNFBLOjvAnhGzpIx7BJWq8rk"",""'Worksheet'!$B$2:$H""),7,FALSE)"),"#N/A")</f>
        <v>#N/A</v>
      </c>
      <c r="M307" s="31" t="s">
        <v>60</v>
      </c>
      <c r="N307" s="49">
        <v>4.46059169E8</v>
      </c>
      <c r="O307" s="49">
        <v>3.7655021201E8</v>
      </c>
      <c r="P307" s="49">
        <v>0.0</v>
      </c>
      <c r="Q307" s="34">
        <f t="shared" si="3"/>
        <v>0.1558290062</v>
      </c>
      <c r="R307" s="31"/>
      <c r="S307" s="31" t="s">
        <v>60</v>
      </c>
      <c r="T307" s="50">
        <v>0.0</v>
      </c>
      <c r="U307" s="51">
        <v>0.0</v>
      </c>
      <c r="V307" s="51">
        <v>0.0</v>
      </c>
      <c r="W307" s="31"/>
      <c r="X307" s="52" t="s">
        <v>113</v>
      </c>
      <c r="Y307" s="54" t="s">
        <v>114</v>
      </c>
      <c r="Z307" s="54"/>
      <c r="AA307" s="54" t="s">
        <v>114</v>
      </c>
      <c r="AB307" s="38" t="s">
        <v>115</v>
      </c>
      <c r="AC307" s="38"/>
      <c r="AD307" s="39">
        <v>446059.17</v>
      </c>
      <c r="AE307" s="39">
        <v>381442.4461</v>
      </c>
      <c r="AF307" s="39">
        <v>64616.72394</v>
      </c>
      <c r="AG307" s="57" t="s">
        <v>2151</v>
      </c>
      <c r="AH307" s="42"/>
      <c r="AI307" s="42" t="str">
        <f>IFERROR(__xludf.DUMMYFUNCTION("vLOOKUP(A307,IMPORTRANGE(""https://docs.google.com/spreadsheets/d/1Rawwwdh8wntXGy8isdYNHxsNQS4n_rC8JSdPfj6vEq4"",""'500 объектов перенос на 2026'!A3:AB502""),13,0)"),"#REF!")</f>
        <v>#REF!</v>
      </c>
      <c r="AJ307" s="42" t="str">
        <f>IFERROR(__xludf.DUMMYFUNCTION("vLOOKUP(A307,IMPORTRANGE(""https://docs.google.com/spreadsheets/d/1Rawwwdh8wntXGy8isdYNHxsNQS4n_rC8JSdPfj6vEq4"",""'500 объектов перенос на 2026'!A3:AB502""),14,0)"),"#REF!")</f>
        <v>#REF!</v>
      </c>
      <c r="AK307" s="76" t="s">
        <v>114</v>
      </c>
      <c r="AL307" s="43"/>
      <c r="AM307" s="43"/>
      <c r="AN307" s="43"/>
      <c r="AO307" s="43"/>
    </row>
    <row r="308" hidden="1">
      <c r="A308" s="62" t="s">
        <v>2152</v>
      </c>
      <c r="B308" s="63" t="s">
        <v>296</v>
      </c>
      <c r="C308" s="64" t="s">
        <v>2153</v>
      </c>
      <c r="D308" s="47" t="s">
        <v>1408</v>
      </c>
      <c r="E308" s="64" t="s">
        <v>85</v>
      </c>
      <c r="F308" s="31" t="s">
        <v>60</v>
      </c>
      <c r="G308" s="31"/>
      <c r="H308" s="31"/>
      <c r="I308" s="31" t="s">
        <v>60</v>
      </c>
      <c r="J308" s="31"/>
      <c r="K308" s="31"/>
      <c r="L308" s="32" t="str">
        <f>IFERROR(__xludf.DUMMYFUNCTION("VLOOKUP($A308,IMPORTRANGE(""1PQtfbQLqBUP-rjYRznmgNFBLOjvAnhGzpIx7BJWq8rk"",""'Worksheet'!$B$2:$H""),7,FALSE)"),"#N/A")</f>
        <v>#N/A</v>
      </c>
      <c r="M308" s="31" t="s">
        <v>60</v>
      </c>
      <c r="N308" s="49">
        <v>5.996205356E7</v>
      </c>
      <c r="O308" s="49">
        <v>5.996205356E7</v>
      </c>
      <c r="P308" s="49">
        <f t="shared" ref="P308:P309" si="42">N308-O308</f>
        <v>0</v>
      </c>
      <c r="Q308" s="34">
        <f t="shared" si="3"/>
        <v>0</v>
      </c>
      <c r="R308" s="31"/>
      <c r="S308" s="31" t="s">
        <v>60</v>
      </c>
      <c r="T308" s="155">
        <f t="shared" ref="T308:T309" si="43">N308-N308*0.05</f>
        <v>56963950.88</v>
      </c>
      <c r="U308" s="172">
        <v>5.6963950882E7</v>
      </c>
      <c r="V308" s="51">
        <v>0.0</v>
      </c>
      <c r="W308" s="31"/>
      <c r="X308" s="52" t="s">
        <v>113</v>
      </c>
      <c r="Y308" s="54" t="s">
        <v>114</v>
      </c>
      <c r="Z308" s="54" t="s">
        <v>114</v>
      </c>
      <c r="AA308" s="54" t="s">
        <v>114</v>
      </c>
      <c r="AB308" s="56"/>
      <c r="AC308" s="38"/>
      <c r="AD308" s="39" t="s">
        <v>2154</v>
      </c>
      <c r="AE308" s="39">
        <v>33258.44</v>
      </c>
      <c r="AF308" s="40">
        <v>77603.03</v>
      </c>
      <c r="AG308" s="57" t="s">
        <v>2155</v>
      </c>
      <c r="AH308" s="57" t="s">
        <v>2156</v>
      </c>
      <c r="AI308" s="42" t="str">
        <f>IFERROR(__xludf.DUMMYFUNCTION("vLOOKUP(A308,IMPORTRANGE(""https://docs.google.com/spreadsheets/d/1Rawwwdh8wntXGy8isdYNHxsNQS4n_rC8JSdPfj6vEq4"",""'500 объектов перенос на 2026'!A3:AB502""),13,0)"),"#REF!")</f>
        <v>#REF!</v>
      </c>
      <c r="AJ308" s="42" t="str">
        <f>IFERROR(__xludf.DUMMYFUNCTION("vLOOKUP(A308,IMPORTRANGE(""https://docs.google.com/spreadsheets/d/1Rawwwdh8wntXGy8isdYNHxsNQS4n_rC8JSdPfj6vEq4"",""'500 объектов перенос на 2026'!A3:AB502""),14,0)"),"#REF!")</f>
        <v>#REF!</v>
      </c>
      <c r="AK308" s="76" t="s">
        <v>114</v>
      </c>
      <c r="AL308" s="43"/>
      <c r="AM308" s="43"/>
      <c r="AN308" s="43"/>
      <c r="AO308" s="43"/>
    </row>
    <row r="309" hidden="1">
      <c r="A309" s="62" t="s">
        <v>2157</v>
      </c>
      <c r="B309" s="63" t="s">
        <v>296</v>
      </c>
      <c r="C309" s="64" t="s">
        <v>2158</v>
      </c>
      <c r="D309" s="47" t="s">
        <v>1408</v>
      </c>
      <c r="E309" s="64" t="s">
        <v>85</v>
      </c>
      <c r="F309" s="31" t="s">
        <v>60</v>
      </c>
      <c r="G309" s="31"/>
      <c r="H309" s="31"/>
      <c r="I309" s="31" t="s">
        <v>60</v>
      </c>
      <c r="J309" s="31"/>
      <c r="K309" s="31"/>
      <c r="L309" s="32" t="str">
        <f>IFERROR(__xludf.DUMMYFUNCTION("VLOOKUP($A309,IMPORTRANGE(""1PQtfbQLqBUP-rjYRznmgNFBLOjvAnhGzpIx7BJWq8rk"",""'Worksheet'!$B$2:$H""),7,FALSE)"),"#N/A")</f>
        <v>#N/A</v>
      </c>
      <c r="M309" s="31" t="s">
        <v>60</v>
      </c>
      <c r="N309" s="49">
        <v>1.0106070161E8</v>
      </c>
      <c r="O309" s="49">
        <v>1.0106070161E8</v>
      </c>
      <c r="P309" s="49">
        <f t="shared" si="42"/>
        <v>0</v>
      </c>
      <c r="Q309" s="34">
        <f t="shared" si="3"/>
        <v>0</v>
      </c>
      <c r="R309" s="31"/>
      <c r="S309" s="31" t="s">
        <v>60</v>
      </c>
      <c r="T309" s="155">
        <f t="shared" si="43"/>
        <v>96007666.53</v>
      </c>
      <c r="U309" s="172">
        <v>9.60076665295E7</v>
      </c>
      <c r="V309" s="51">
        <v>0.0</v>
      </c>
      <c r="W309" s="31"/>
      <c r="X309" s="52" t="s">
        <v>113</v>
      </c>
      <c r="Y309" s="54" t="s">
        <v>114</v>
      </c>
      <c r="Z309" s="54" t="s">
        <v>114</v>
      </c>
      <c r="AA309" s="54" t="s">
        <v>114</v>
      </c>
      <c r="AB309" s="56"/>
      <c r="AC309" s="38"/>
      <c r="AD309" s="39" t="s">
        <v>2159</v>
      </c>
      <c r="AE309" s="39">
        <v>34728.285</v>
      </c>
      <c r="AF309" s="39">
        <v>81032.665</v>
      </c>
      <c r="AG309" s="57" t="s">
        <v>2160</v>
      </c>
      <c r="AH309" s="57" t="s">
        <v>2156</v>
      </c>
      <c r="AI309" s="42" t="str">
        <f>IFERROR(__xludf.DUMMYFUNCTION("vLOOKUP(A309,IMPORTRANGE(""https://docs.google.com/spreadsheets/d/1Rawwwdh8wntXGy8isdYNHxsNQS4n_rC8JSdPfj6vEq4"",""'500 объектов перенос на 2026'!A3:AB502""),13,0)"),"#REF!")</f>
        <v>#REF!</v>
      </c>
      <c r="AJ309" s="42" t="str">
        <f>IFERROR(__xludf.DUMMYFUNCTION("vLOOKUP(A309,IMPORTRANGE(""https://docs.google.com/spreadsheets/d/1Rawwwdh8wntXGy8isdYNHxsNQS4n_rC8JSdPfj6vEq4"",""'500 объектов перенос на 2026'!A3:AB502""),14,0)"),"#REF!")</f>
        <v>#REF!</v>
      </c>
      <c r="AK309" s="76" t="s">
        <v>114</v>
      </c>
      <c r="AL309" s="43"/>
      <c r="AM309" s="43"/>
      <c r="AN309" s="43"/>
      <c r="AO309" s="43"/>
    </row>
    <row r="310" hidden="1">
      <c r="A310" s="62" t="s">
        <v>2161</v>
      </c>
      <c r="B310" s="63" t="s">
        <v>703</v>
      </c>
      <c r="C310" s="64" t="s">
        <v>2162</v>
      </c>
      <c r="D310" s="47" t="s">
        <v>1523</v>
      </c>
      <c r="E310" s="64" t="s">
        <v>85</v>
      </c>
      <c r="F310" s="31" t="s">
        <v>60</v>
      </c>
      <c r="G310" s="31"/>
      <c r="H310" s="31"/>
      <c r="I310" s="31" t="s">
        <v>60</v>
      </c>
      <c r="J310" s="31"/>
      <c r="K310" s="31"/>
      <c r="L310" s="32">
        <f>IFERROR(__xludf.DUMMYFUNCTION("VLOOKUP($A310,IMPORTRANGE(""1PQtfbQLqBUP-rjYRznmgNFBLOjvAnhGzpIx7BJWq8rk"",""'Worksheet'!$B$2:$H""),7,FALSE)"),0.89)</f>
        <v>0.89</v>
      </c>
      <c r="M310" s="31" t="s">
        <v>60</v>
      </c>
      <c r="N310" s="49">
        <v>4406311.51</v>
      </c>
      <c r="O310" s="49">
        <v>4317611.13</v>
      </c>
      <c r="P310" s="49">
        <v>0.0</v>
      </c>
      <c r="Q310" s="34">
        <f t="shared" si="3"/>
        <v>0.02013030168</v>
      </c>
      <c r="R310" s="31"/>
      <c r="S310" s="31" t="s">
        <v>60</v>
      </c>
      <c r="T310" s="50">
        <v>0.0</v>
      </c>
      <c r="U310" s="117">
        <v>0.0</v>
      </c>
      <c r="V310" s="51">
        <v>0.0</v>
      </c>
      <c r="W310" s="31"/>
      <c r="X310" s="52" t="s">
        <v>209</v>
      </c>
      <c r="Y310" s="54" t="s">
        <v>114</v>
      </c>
      <c r="Z310" s="54"/>
      <c r="AA310" s="54" t="s">
        <v>114</v>
      </c>
      <c r="AB310" s="38" t="s">
        <v>3359</v>
      </c>
      <c r="AC310" s="38"/>
      <c r="AD310" s="39">
        <v>4406.31</v>
      </c>
      <c r="AE310" s="39">
        <v>4317.61113</v>
      </c>
      <c r="AF310" s="39">
        <v>88.69887</v>
      </c>
      <c r="AG310" s="57" t="s">
        <v>2163</v>
      </c>
      <c r="AH310" s="85"/>
      <c r="AI310" s="42" t="str">
        <f>IFERROR(__xludf.DUMMYFUNCTION("vLOOKUP(A310,IMPORTRANGE(""https://docs.google.com/spreadsheets/d/1Rawwwdh8wntXGy8isdYNHxsNQS4n_rC8JSdPfj6vEq4"",""'500 объектов перенос на 2026'!A3:AB502""),13,0)"),"#REF!")</f>
        <v>#REF!</v>
      </c>
      <c r="AJ310" s="42" t="str">
        <f>IFERROR(__xludf.DUMMYFUNCTION("vLOOKUP(A310,IMPORTRANGE(""https://docs.google.com/spreadsheets/d/1Rawwwdh8wntXGy8isdYNHxsNQS4n_rC8JSdPfj6vEq4"",""'500 объектов перенос на 2026'!A3:AB502""),14,0)"),"#REF!")</f>
        <v>#REF!</v>
      </c>
      <c r="AK310" s="76" t="s">
        <v>114</v>
      </c>
      <c r="AL310" s="43"/>
      <c r="AM310" s="43"/>
      <c r="AN310" s="43"/>
      <c r="AO310" s="43"/>
    </row>
    <row r="311" hidden="1">
      <c r="A311" s="62" t="s">
        <v>2164</v>
      </c>
      <c r="B311" s="63" t="s">
        <v>703</v>
      </c>
      <c r="C311" s="64" t="s">
        <v>2165</v>
      </c>
      <c r="D311" s="47" t="s">
        <v>101</v>
      </c>
      <c r="E311" s="64" t="s">
        <v>59</v>
      </c>
      <c r="F311" s="31" t="s">
        <v>60</v>
      </c>
      <c r="G311" s="31"/>
      <c r="H311" s="31"/>
      <c r="I311" s="31" t="s">
        <v>60</v>
      </c>
      <c r="J311" s="31"/>
      <c r="K311" s="31"/>
      <c r="L311" s="32">
        <f>IFERROR(__xludf.DUMMYFUNCTION("VLOOKUP($A311,IMPORTRANGE(""1PQtfbQLqBUP-rjYRznmgNFBLOjvAnhGzpIx7BJWq8rk"",""'Worksheet'!$B$2:$H""),7,FALSE)"),1.0)</f>
        <v>1</v>
      </c>
      <c r="M311" s="31" t="s">
        <v>60</v>
      </c>
      <c r="N311" s="49">
        <v>4.2570836726E8</v>
      </c>
      <c r="O311" s="49">
        <v>4.0214671208E8</v>
      </c>
      <c r="P311" s="49">
        <v>0.0</v>
      </c>
      <c r="Q311" s="34">
        <f t="shared" si="3"/>
        <v>0.05534693934</v>
      </c>
      <c r="R311" s="31"/>
      <c r="S311" s="31" t="s">
        <v>60</v>
      </c>
      <c r="T311" s="50">
        <v>0.0</v>
      </c>
      <c r="U311" s="117">
        <v>0.0</v>
      </c>
      <c r="V311" s="51">
        <v>0.0</v>
      </c>
      <c r="W311" s="31"/>
      <c r="X311" s="52" t="s">
        <v>113</v>
      </c>
      <c r="Y311" s="54" t="s">
        <v>114</v>
      </c>
      <c r="Z311" s="54"/>
      <c r="AA311" s="54" t="s">
        <v>114</v>
      </c>
      <c r="AB311" s="38" t="s">
        <v>3448</v>
      </c>
      <c r="AC311" s="38"/>
      <c r="AD311" s="39">
        <v>425708.37</v>
      </c>
      <c r="AE311" s="39">
        <v>403502.374</v>
      </c>
      <c r="AF311" s="39">
        <v>22205.99602</v>
      </c>
      <c r="AG311" s="57" t="s">
        <v>2166</v>
      </c>
      <c r="AH311" s="85"/>
      <c r="AI311" s="42" t="str">
        <f>IFERROR(__xludf.DUMMYFUNCTION("vLOOKUP(A311,IMPORTRANGE(""https://docs.google.com/spreadsheets/d/1Rawwwdh8wntXGy8isdYNHxsNQS4n_rC8JSdPfj6vEq4"",""'500 объектов перенос на 2026'!A3:AB502""),13,0)"),"#REF!")</f>
        <v>#REF!</v>
      </c>
      <c r="AJ311" s="42" t="str">
        <f>IFERROR(__xludf.DUMMYFUNCTION("vLOOKUP(A311,IMPORTRANGE(""https://docs.google.com/spreadsheets/d/1Rawwwdh8wntXGy8isdYNHxsNQS4n_rC8JSdPfj6vEq4"",""'500 объектов перенос на 2026'!A3:AB502""),14,0)"),"#REF!")</f>
        <v>#REF!</v>
      </c>
      <c r="AK311" s="76" t="s">
        <v>114</v>
      </c>
      <c r="AL311" s="43"/>
      <c r="AM311" s="43"/>
      <c r="AN311" s="43"/>
      <c r="AO311" s="43"/>
    </row>
    <row r="312" hidden="1">
      <c r="A312" s="62" t="s">
        <v>2167</v>
      </c>
      <c r="B312" s="63" t="s">
        <v>703</v>
      </c>
      <c r="C312" s="64" t="s">
        <v>2168</v>
      </c>
      <c r="D312" s="47" t="s">
        <v>101</v>
      </c>
      <c r="E312" s="64" t="s">
        <v>59</v>
      </c>
      <c r="F312" s="31" t="s">
        <v>60</v>
      </c>
      <c r="G312" s="31"/>
      <c r="H312" s="31"/>
      <c r="I312" s="31" t="s">
        <v>60</v>
      </c>
      <c r="J312" s="31"/>
      <c r="K312" s="31"/>
      <c r="L312" s="32">
        <f>IFERROR(__xludf.DUMMYFUNCTION("VLOOKUP($A312,IMPORTRANGE(""1PQtfbQLqBUP-rjYRznmgNFBLOjvAnhGzpIx7BJWq8rk"",""'Worksheet'!$B$2:$H""),7,FALSE)"),1.0)</f>
        <v>1</v>
      </c>
      <c r="M312" s="31" t="s">
        <v>60</v>
      </c>
      <c r="N312" s="49">
        <v>2.1183426E8</v>
      </c>
      <c r="O312" s="49">
        <v>1.7272390811E8</v>
      </c>
      <c r="P312" s="49">
        <v>0.0</v>
      </c>
      <c r="Q312" s="34">
        <f t="shared" si="3"/>
        <v>0.184627132</v>
      </c>
      <c r="R312" s="31"/>
      <c r="S312" s="31" t="s">
        <v>60</v>
      </c>
      <c r="T312" s="50">
        <v>0.0</v>
      </c>
      <c r="U312" s="117">
        <v>0.0</v>
      </c>
      <c r="V312" s="51">
        <v>0.0</v>
      </c>
      <c r="W312" s="31"/>
      <c r="X312" s="52" t="s">
        <v>113</v>
      </c>
      <c r="Y312" s="54" t="s">
        <v>114</v>
      </c>
      <c r="Z312" s="54"/>
      <c r="AA312" s="54" t="s">
        <v>114</v>
      </c>
      <c r="AB312" s="38" t="s">
        <v>3448</v>
      </c>
      <c r="AC312" s="38"/>
      <c r="AD312" s="39">
        <v>211834.26</v>
      </c>
      <c r="AE312" s="39">
        <v>172723.9081</v>
      </c>
      <c r="AF312" s="39">
        <v>39110.35189</v>
      </c>
      <c r="AG312" s="57" t="s">
        <v>2169</v>
      </c>
      <c r="AH312" s="85"/>
      <c r="AI312" s="42" t="str">
        <f>IFERROR(__xludf.DUMMYFUNCTION("vLOOKUP(A312,IMPORTRANGE(""https://docs.google.com/spreadsheets/d/1Rawwwdh8wntXGy8isdYNHxsNQS4n_rC8JSdPfj6vEq4"",""'500 объектов перенос на 2026'!A3:AB502""),13,0)"),"#REF!")</f>
        <v>#REF!</v>
      </c>
      <c r="AJ312" s="42" t="str">
        <f>IFERROR(__xludf.DUMMYFUNCTION("vLOOKUP(A312,IMPORTRANGE(""https://docs.google.com/spreadsheets/d/1Rawwwdh8wntXGy8isdYNHxsNQS4n_rC8JSdPfj6vEq4"",""'500 объектов перенос на 2026'!A3:AB502""),14,0)"),"#REF!")</f>
        <v>#REF!</v>
      </c>
      <c r="AK312" s="76" t="s">
        <v>114</v>
      </c>
      <c r="AL312" s="43"/>
      <c r="AM312" s="43"/>
      <c r="AN312" s="43"/>
      <c r="AO312" s="43"/>
    </row>
    <row r="313" hidden="1">
      <c r="A313" s="78" t="s">
        <v>2170</v>
      </c>
      <c r="B313" s="63" t="s">
        <v>703</v>
      </c>
      <c r="C313" s="64" t="s">
        <v>2171</v>
      </c>
      <c r="D313" s="47" t="s">
        <v>1523</v>
      </c>
      <c r="E313" s="64" t="s">
        <v>85</v>
      </c>
      <c r="F313" s="31" t="s">
        <v>60</v>
      </c>
      <c r="G313" s="31"/>
      <c r="H313" s="31"/>
      <c r="I313" s="31" t="s">
        <v>60</v>
      </c>
      <c r="J313" s="31"/>
      <c r="K313" s="31"/>
      <c r="L313" s="32" t="str">
        <f>IFERROR(__xludf.DUMMYFUNCTION("VLOOKUP($A313,IMPORTRANGE(""1PQtfbQLqBUP-rjYRznmgNFBLOjvAnhGzpIx7BJWq8rk"",""'Worksheet'!$B$2:$H""),7,FALSE)"),"#N/A")</f>
        <v>#N/A</v>
      </c>
      <c r="M313" s="31" t="s">
        <v>60</v>
      </c>
      <c r="N313" s="49">
        <v>2.4697760945E8</v>
      </c>
      <c r="O313" s="49">
        <v>2.4697760945E8</v>
      </c>
      <c r="P313" s="49">
        <f t="shared" ref="P313:P314" si="44">N313-O313</f>
        <v>0</v>
      </c>
      <c r="Q313" s="34">
        <f t="shared" si="3"/>
        <v>0</v>
      </c>
      <c r="R313" s="31"/>
      <c r="S313" s="31" t="s">
        <v>60</v>
      </c>
      <c r="T313" s="50">
        <v>0.0</v>
      </c>
      <c r="U313" s="117">
        <v>0.0</v>
      </c>
      <c r="V313" s="51">
        <v>0.0</v>
      </c>
      <c r="W313" s="31"/>
      <c r="X313" s="52" t="s">
        <v>113</v>
      </c>
      <c r="Y313" s="54" t="s">
        <v>114</v>
      </c>
      <c r="Z313" s="54"/>
      <c r="AA313" s="54" t="s">
        <v>114</v>
      </c>
      <c r="AB313" s="38" t="s">
        <v>115</v>
      </c>
      <c r="AC313" s="38"/>
      <c r="AD313" s="39">
        <v>241174.8</v>
      </c>
      <c r="AE313" s="39">
        <v>241174.8041</v>
      </c>
      <c r="AF313" s="39">
        <v>-0.00412</v>
      </c>
      <c r="AG313" s="99" t="s">
        <v>2172</v>
      </c>
      <c r="AH313" s="42"/>
      <c r="AI313" s="42" t="str">
        <f>IFERROR(__xludf.DUMMYFUNCTION("vLOOKUP(A313,IMPORTRANGE(""https://docs.google.com/spreadsheets/d/1Rawwwdh8wntXGy8isdYNHxsNQS4n_rC8JSdPfj6vEq4"",""'500 объектов перенос на 2026'!A3:AB502""),13,0)"),"#REF!")</f>
        <v>#REF!</v>
      </c>
      <c r="AJ313" s="42" t="str">
        <f>IFERROR(__xludf.DUMMYFUNCTION("vLOOKUP(A313,IMPORTRANGE(""https://docs.google.com/spreadsheets/d/1Rawwwdh8wntXGy8isdYNHxsNQS4n_rC8JSdPfj6vEq4"",""'500 объектов перенос на 2026'!A3:AB502""),14,0)"),"#REF!")</f>
        <v>#REF!</v>
      </c>
      <c r="AK313" s="76" t="s">
        <v>114</v>
      </c>
      <c r="AL313" s="43"/>
      <c r="AM313" s="43"/>
      <c r="AN313" s="43"/>
      <c r="AO313" s="43"/>
    </row>
    <row r="314" hidden="1">
      <c r="A314" s="62" t="s">
        <v>2173</v>
      </c>
      <c r="B314" s="63" t="s">
        <v>225</v>
      </c>
      <c r="C314" s="64" t="s">
        <v>2174</v>
      </c>
      <c r="D314" s="47" t="s">
        <v>2175</v>
      </c>
      <c r="E314" s="64" t="s">
        <v>59</v>
      </c>
      <c r="F314" s="31" t="s">
        <v>60</v>
      </c>
      <c r="G314" s="31"/>
      <c r="H314" s="31"/>
      <c r="I314" s="31" t="s">
        <v>40</v>
      </c>
      <c r="J314" s="31" t="s">
        <v>102</v>
      </c>
      <c r="K314" s="31" t="s">
        <v>72</v>
      </c>
      <c r="L314" s="32">
        <f>IFERROR(__xludf.DUMMYFUNCTION("VLOOKUP($A314,IMPORTRANGE(""1PQtfbQLqBUP-rjYRznmgNFBLOjvAnhGzpIx7BJWq8rk"",""'Worksheet'!$B$2:$H""),7,FALSE)"),0.7)</f>
        <v>0.7</v>
      </c>
      <c r="M314" s="31" t="s">
        <v>45</v>
      </c>
      <c r="N314" s="49">
        <v>2.064545E7</v>
      </c>
      <c r="O314" s="49">
        <v>7128617.45</v>
      </c>
      <c r="P314" s="49">
        <f t="shared" si="44"/>
        <v>13516832.55</v>
      </c>
      <c r="Q314" s="34">
        <f t="shared" si="3"/>
        <v>0.6547124209</v>
      </c>
      <c r="R314" s="31"/>
      <c r="S314" s="31" t="s">
        <v>45</v>
      </c>
      <c r="T314" s="65" t="s">
        <v>2176</v>
      </c>
      <c r="U314" s="67" t="s">
        <v>2177</v>
      </c>
      <c r="V314" s="67" t="s">
        <v>2178</v>
      </c>
      <c r="W314" s="31"/>
      <c r="X314" s="52" t="s">
        <v>2179</v>
      </c>
      <c r="Y314" s="54" t="s">
        <v>2180</v>
      </c>
      <c r="Z314" s="54" t="s">
        <v>2181</v>
      </c>
      <c r="AA314" s="68">
        <v>46225.0</v>
      </c>
      <c r="AB314" s="56"/>
      <c r="AC314" s="38"/>
      <c r="AD314" s="39">
        <v>20645.45</v>
      </c>
      <c r="AE314" s="39">
        <v>7128.6159</v>
      </c>
      <c r="AF314" s="40">
        <v>13516.8341</v>
      </c>
      <c r="AG314" s="99" t="s">
        <v>2182</v>
      </c>
      <c r="AH314" s="42" t="s">
        <v>2183</v>
      </c>
      <c r="AI314" s="42" t="str">
        <f>IFERROR(__xludf.DUMMYFUNCTION("vLOOKUP(A314,IMPORTRANGE(""https://docs.google.com/spreadsheets/d/1Rawwwdh8wntXGy8isdYNHxsNQS4n_rC8JSdPfj6vEq4"",""'500 объектов перенос на 2026'!A3:AB502""),13,0)"),"#REF!")</f>
        <v>#REF!</v>
      </c>
      <c r="AJ314" s="42" t="str">
        <f>IFERROR(__xludf.DUMMYFUNCTION("vLOOKUP(A314,IMPORTRANGE(""https://docs.google.com/spreadsheets/d/1Rawwwdh8wntXGy8isdYNHxsNQS4n_rC8JSdPfj6vEq4"",""'500 объектов перенос на 2026'!A3:AB502""),14,0)"),"#REF!")</f>
        <v>#REF!</v>
      </c>
      <c r="AK314" s="76" t="s">
        <v>3449</v>
      </c>
      <c r="AL314" s="43"/>
      <c r="AM314" s="43"/>
      <c r="AN314" s="43"/>
      <c r="AO314" s="43"/>
    </row>
    <row r="315" hidden="1">
      <c r="A315" s="62" t="s">
        <v>2185</v>
      </c>
      <c r="B315" s="63" t="s">
        <v>703</v>
      </c>
      <c r="C315" s="64" t="s">
        <v>2186</v>
      </c>
      <c r="D315" s="47" t="s">
        <v>1523</v>
      </c>
      <c r="E315" s="64" t="s">
        <v>85</v>
      </c>
      <c r="F315" s="31" t="s">
        <v>60</v>
      </c>
      <c r="G315" s="31"/>
      <c r="H315" s="31"/>
      <c r="I315" s="31" t="s">
        <v>60</v>
      </c>
      <c r="J315" s="31"/>
      <c r="K315" s="31"/>
      <c r="L315" s="32">
        <f>IFERROR(__xludf.DUMMYFUNCTION("VLOOKUP($A315,IMPORTRANGE(""1PQtfbQLqBUP-rjYRznmgNFBLOjvAnhGzpIx7BJWq8rk"",""'Worksheet'!$B$2:$H""),7,FALSE)"),0.89)</f>
        <v>0.89</v>
      </c>
      <c r="M315" s="31" t="s">
        <v>60</v>
      </c>
      <c r="N315" s="49">
        <v>5951042.59</v>
      </c>
      <c r="O315" s="49">
        <v>5936832.29</v>
      </c>
      <c r="P315" s="49">
        <v>0.0</v>
      </c>
      <c r="Q315" s="34">
        <f t="shared" si="3"/>
        <v>0.0023878673</v>
      </c>
      <c r="R315" s="31"/>
      <c r="S315" s="31" t="s">
        <v>60</v>
      </c>
      <c r="T315" s="50">
        <v>0.0</v>
      </c>
      <c r="U315" s="51">
        <v>0.0</v>
      </c>
      <c r="V315" s="51">
        <v>0.0</v>
      </c>
      <c r="W315" s="31"/>
      <c r="X315" s="52" t="s">
        <v>209</v>
      </c>
      <c r="Y315" s="54" t="s">
        <v>114</v>
      </c>
      <c r="Z315" s="54"/>
      <c r="AA315" s="54" t="s">
        <v>114</v>
      </c>
      <c r="AB315" s="38" t="s">
        <v>3359</v>
      </c>
      <c r="AC315" s="38"/>
      <c r="AD315" s="39">
        <v>5951.04</v>
      </c>
      <c r="AE315" s="39">
        <v>5279.34427</v>
      </c>
      <c r="AF315" s="39">
        <v>671.69573</v>
      </c>
      <c r="AG315" s="99" t="s">
        <v>3450</v>
      </c>
      <c r="AH315" s="42"/>
      <c r="AI315" s="42" t="str">
        <f>IFERROR(__xludf.DUMMYFUNCTION("vLOOKUP(A315,IMPORTRANGE(""https://docs.google.com/spreadsheets/d/1Rawwwdh8wntXGy8isdYNHxsNQS4n_rC8JSdPfj6vEq4"",""'500 объектов перенос на 2026'!A3:AB502""),13,0)"),"#REF!")</f>
        <v>#REF!</v>
      </c>
      <c r="AJ315" s="42" t="str">
        <f>IFERROR(__xludf.DUMMYFUNCTION("vLOOKUP(A315,IMPORTRANGE(""https://docs.google.com/spreadsheets/d/1Rawwwdh8wntXGy8isdYNHxsNQS4n_rC8JSdPfj6vEq4"",""'500 объектов перенос на 2026'!A3:AB502""),14,0)"),"#REF!")</f>
        <v>#REF!</v>
      </c>
      <c r="AK315" s="76" t="s">
        <v>114</v>
      </c>
      <c r="AL315" s="43"/>
      <c r="AM315" s="43"/>
      <c r="AN315" s="43"/>
      <c r="AO315" s="43"/>
    </row>
    <row r="316" hidden="1">
      <c r="A316" s="62" t="s">
        <v>2188</v>
      </c>
      <c r="B316" s="63" t="s">
        <v>268</v>
      </c>
      <c r="C316" s="64" t="s">
        <v>2189</v>
      </c>
      <c r="D316" s="47" t="s">
        <v>323</v>
      </c>
      <c r="E316" s="64" t="s">
        <v>85</v>
      </c>
      <c r="F316" s="31" t="s">
        <v>40</v>
      </c>
      <c r="G316" s="31" t="s">
        <v>41</v>
      </c>
      <c r="H316" s="31" t="s">
        <v>828</v>
      </c>
      <c r="I316" s="31" t="s">
        <v>40</v>
      </c>
      <c r="J316" s="31" t="s">
        <v>61</v>
      </c>
      <c r="K316" s="31"/>
      <c r="L316" s="32">
        <f>IFERROR(__xludf.DUMMYFUNCTION("VLOOKUP($A316,IMPORTRANGE(""1PQtfbQLqBUP-rjYRznmgNFBLOjvAnhGzpIx7BJWq8rk"",""'Worksheet'!$B$2:$H""),7,FALSE)"),0.9)</f>
        <v>0.9</v>
      </c>
      <c r="M316" s="31" t="s">
        <v>40</v>
      </c>
      <c r="N316" s="49">
        <v>2.57151776E7</v>
      </c>
      <c r="O316" s="49">
        <v>1.260308032E7</v>
      </c>
      <c r="P316" s="49">
        <f t="shared" ref="P316:P319" si="45">N316-O316</f>
        <v>13112097.28</v>
      </c>
      <c r="Q316" s="34">
        <f t="shared" si="3"/>
        <v>0.5098972087</v>
      </c>
      <c r="R316" s="31"/>
      <c r="S316" s="31" t="s">
        <v>40</v>
      </c>
      <c r="T316" s="50" t="s">
        <v>2190</v>
      </c>
      <c r="U316" s="51">
        <v>0.0</v>
      </c>
      <c r="V316" s="51" t="s">
        <v>2190</v>
      </c>
      <c r="W316" s="31"/>
      <c r="X316" s="52" t="s">
        <v>49</v>
      </c>
      <c r="Y316" s="54" t="s">
        <v>2191</v>
      </c>
      <c r="Z316" s="54" t="s">
        <v>851</v>
      </c>
      <c r="AA316" s="68">
        <v>46251.0</v>
      </c>
      <c r="AB316" s="56"/>
      <c r="AC316" s="38"/>
      <c r="AD316" s="39">
        <v>25715.18</v>
      </c>
      <c r="AE316" s="39">
        <v>12603.08032</v>
      </c>
      <c r="AF316" s="40">
        <v>13112.09968</v>
      </c>
      <c r="AG316" s="57" t="s">
        <v>2192</v>
      </c>
      <c r="AH316" s="42" t="s">
        <v>49</v>
      </c>
      <c r="AI316" s="42" t="str">
        <f>IFERROR(__xludf.DUMMYFUNCTION("vLOOKUP(A316,IMPORTRANGE(""https://docs.google.com/spreadsheets/d/1Rawwwdh8wntXGy8isdYNHxsNQS4n_rC8JSdPfj6vEq4"",""'500 объектов перенос на 2026'!A3:AB502""),13,0)"),"#REF!")</f>
        <v>#REF!</v>
      </c>
      <c r="AJ316" s="42" t="str">
        <f>IFERROR(__xludf.DUMMYFUNCTION("vLOOKUP(A316,IMPORTRANGE(""https://docs.google.com/spreadsheets/d/1Rawwwdh8wntXGy8isdYNHxsNQS4n_rC8JSdPfj6vEq4"",""'500 объектов перенос на 2026'!A3:AB502""),14,0)"),"#REF!")</f>
        <v>#REF!</v>
      </c>
      <c r="AK316" s="151" t="s">
        <v>3441</v>
      </c>
      <c r="AL316" s="43"/>
      <c r="AM316" s="43"/>
      <c r="AN316" s="43"/>
      <c r="AO316" s="43"/>
    </row>
    <row r="317" hidden="1">
      <c r="A317" s="62" t="s">
        <v>2194</v>
      </c>
      <c r="B317" s="63" t="s">
        <v>703</v>
      </c>
      <c r="C317" s="64" t="s">
        <v>2195</v>
      </c>
      <c r="D317" s="47" t="s">
        <v>1523</v>
      </c>
      <c r="E317" s="64" t="s">
        <v>85</v>
      </c>
      <c r="F317" s="31" t="s">
        <v>60</v>
      </c>
      <c r="G317" s="31"/>
      <c r="H317" s="31"/>
      <c r="I317" s="31" t="s">
        <v>60</v>
      </c>
      <c r="J317" s="31"/>
      <c r="K317" s="31"/>
      <c r="L317" s="32">
        <f>IFERROR(__xludf.DUMMYFUNCTION("VLOOKUP($A317,IMPORTRANGE(""1PQtfbQLqBUP-rjYRznmgNFBLOjvAnhGzpIx7BJWq8rk"",""'Worksheet'!$B$2:$H""),7,FALSE)"),0.97)</f>
        <v>0.97</v>
      </c>
      <c r="M317" s="31" t="s">
        <v>60</v>
      </c>
      <c r="N317" s="49">
        <v>1.10336646E7</v>
      </c>
      <c r="O317" s="49">
        <v>1.10336646E7</v>
      </c>
      <c r="P317" s="49">
        <f t="shared" si="45"/>
        <v>0</v>
      </c>
      <c r="Q317" s="34">
        <f t="shared" si="3"/>
        <v>0</v>
      </c>
      <c r="R317" s="31"/>
      <c r="S317" s="31" t="s">
        <v>60</v>
      </c>
      <c r="T317" s="91"/>
      <c r="U317" s="51"/>
      <c r="V317" s="51"/>
      <c r="W317" s="31"/>
      <c r="X317" s="52" t="s">
        <v>803</v>
      </c>
      <c r="Y317" s="54" t="s">
        <v>114</v>
      </c>
      <c r="Z317" s="74"/>
      <c r="AA317" s="54" t="s">
        <v>114</v>
      </c>
      <c r="AB317" s="38" t="s">
        <v>3359</v>
      </c>
      <c r="AC317" s="38"/>
      <c r="AD317" s="39">
        <v>32322.88</v>
      </c>
      <c r="AE317" s="39">
        <v>19521.6346</v>
      </c>
      <c r="AF317" s="40">
        <v>12801.2454</v>
      </c>
      <c r="AG317" s="173" t="s">
        <v>2196</v>
      </c>
      <c r="AH317" s="42"/>
      <c r="AI317" s="42" t="str">
        <f>IFERROR(__xludf.DUMMYFUNCTION("vLOOKUP(A317,IMPORTRANGE(""https://docs.google.com/spreadsheets/d/1Rawwwdh8wntXGy8isdYNHxsNQS4n_rC8JSdPfj6vEq4"",""'500 объектов перенос на 2026'!A3:AB502""),13,0)"),"#REF!")</f>
        <v>#REF!</v>
      </c>
      <c r="AJ317" s="42" t="str">
        <f>IFERROR(__xludf.DUMMYFUNCTION("vLOOKUP(A317,IMPORTRANGE(""https://docs.google.com/spreadsheets/d/1Rawwwdh8wntXGy8isdYNHxsNQS4n_rC8JSdPfj6vEq4"",""'500 объектов перенос на 2026'!A3:AB502""),14,0)"),"#REF!")</f>
        <v>#REF!</v>
      </c>
      <c r="AK317" s="76" t="s">
        <v>114</v>
      </c>
      <c r="AL317" s="43"/>
      <c r="AM317" s="43"/>
      <c r="AN317" s="43"/>
      <c r="AO317" s="43"/>
    </row>
    <row r="318" hidden="1">
      <c r="A318" s="62" t="s">
        <v>2197</v>
      </c>
      <c r="B318" s="63" t="s">
        <v>1274</v>
      </c>
      <c r="C318" s="64" t="s">
        <v>2198</v>
      </c>
      <c r="D318" s="47" t="s">
        <v>112</v>
      </c>
      <c r="E318" s="64" t="s">
        <v>85</v>
      </c>
      <c r="F318" s="31" t="s">
        <v>60</v>
      </c>
      <c r="G318" s="31"/>
      <c r="H318" s="31"/>
      <c r="I318" s="31" t="s">
        <v>40</v>
      </c>
      <c r="J318" s="31" t="s">
        <v>61</v>
      </c>
      <c r="K318" s="31" t="s">
        <v>72</v>
      </c>
      <c r="L318" s="32">
        <f>IFERROR(__xludf.DUMMYFUNCTION("VLOOKUP($A318,IMPORTRANGE(""1PQtfbQLqBUP-rjYRznmgNFBLOjvAnhGzpIx7BJWq8rk"",""'Worksheet'!$B$2:$H""),7,FALSE)"),0.95)</f>
        <v>0.95</v>
      </c>
      <c r="M318" s="31" t="s">
        <v>45</v>
      </c>
      <c r="N318" s="49">
        <v>4.152331E7</v>
      </c>
      <c r="O318" s="49">
        <v>2.844084157E7</v>
      </c>
      <c r="P318" s="49">
        <f t="shared" si="45"/>
        <v>13082468.43</v>
      </c>
      <c r="Q318" s="34">
        <f t="shared" si="3"/>
        <v>0.3150632363</v>
      </c>
      <c r="R318" s="31"/>
      <c r="S318" s="31" t="s">
        <v>45</v>
      </c>
      <c r="T318" s="50" t="s">
        <v>2199</v>
      </c>
      <c r="U318" s="51" t="s">
        <v>2200</v>
      </c>
      <c r="V318" s="51" t="s">
        <v>2201</v>
      </c>
      <c r="W318" s="31"/>
      <c r="X318" s="52" t="s">
        <v>1453</v>
      </c>
      <c r="Y318" s="54" t="s">
        <v>2202</v>
      </c>
      <c r="Z318" s="54" t="s">
        <v>1455</v>
      </c>
      <c r="AA318" s="74">
        <v>46235.0</v>
      </c>
      <c r="AB318" s="56"/>
      <c r="AC318" s="38" t="s">
        <v>1349</v>
      </c>
      <c r="AD318" s="39">
        <v>41523.31</v>
      </c>
      <c r="AE318" s="39">
        <v>28440.84157</v>
      </c>
      <c r="AF318" s="40">
        <v>13082.46843</v>
      </c>
      <c r="AG318" s="99" t="s">
        <v>2203</v>
      </c>
      <c r="AH318" s="42"/>
      <c r="AI318" s="42" t="str">
        <f>IFERROR(__xludf.DUMMYFUNCTION("vLOOKUP(A318,IMPORTRANGE(""https://docs.google.com/spreadsheets/d/1Rawwwdh8wntXGy8isdYNHxsNQS4n_rC8JSdPfj6vEq4"",""'500 объектов перенос на 2026'!A3:AB502""),13,0)"),"#REF!")</f>
        <v>#REF!</v>
      </c>
      <c r="AJ318" s="42" t="str">
        <f>IFERROR(__xludf.DUMMYFUNCTION("vLOOKUP(A318,IMPORTRANGE(""https://docs.google.com/spreadsheets/d/1Rawwwdh8wntXGy8isdYNHxsNQS4n_rC8JSdPfj6vEq4"",""'500 объектов перенос на 2026'!A3:AB502""),14,0)"),"#REF!")</f>
        <v>#REF!</v>
      </c>
      <c r="AK318" s="76" t="s">
        <v>3451</v>
      </c>
      <c r="AL318" s="96"/>
      <c r="AM318" s="96"/>
      <c r="AN318" s="96"/>
      <c r="AO318" s="96"/>
    </row>
    <row r="319" hidden="1">
      <c r="A319" s="62" t="s">
        <v>2206</v>
      </c>
      <c r="B319" s="63" t="s">
        <v>703</v>
      </c>
      <c r="C319" s="64" t="s">
        <v>2207</v>
      </c>
      <c r="D319" s="47" t="s">
        <v>1523</v>
      </c>
      <c r="E319" s="64" t="s">
        <v>85</v>
      </c>
      <c r="F319" s="31" t="s">
        <v>60</v>
      </c>
      <c r="G319" s="31"/>
      <c r="H319" s="31"/>
      <c r="I319" s="31" t="s">
        <v>60</v>
      </c>
      <c r="J319" s="31"/>
      <c r="K319" s="31"/>
      <c r="L319" s="32" t="str">
        <f>IFERROR(__xludf.DUMMYFUNCTION("VLOOKUP($A319,IMPORTRANGE(""1PQtfbQLqBUP-rjYRznmgNFBLOjvAnhGzpIx7BJWq8rk"",""'Worksheet'!$B$2:$H""),7,FALSE)"),"#N/A")</f>
        <v>#N/A</v>
      </c>
      <c r="M319" s="31" t="s">
        <v>60</v>
      </c>
      <c r="N319" s="49">
        <v>2.103689436E7</v>
      </c>
      <c r="O319" s="49">
        <v>2.103689436E7</v>
      </c>
      <c r="P319" s="49">
        <f t="shared" si="45"/>
        <v>0</v>
      </c>
      <c r="Q319" s="34">
        <f t="shared" si="3"/>
        <v>0</v>
      </c>
      <c r="R319" s="31"/>
      <c r="S319" s="31" t="s">
        <v>60</v>
      </c>
      <c r="T319" s="91"/>
      <c r="U319" s="51"/>
      <c r="V319" s="51"/>
      <c r="W319" s="31"/>
      <c r="X319" s="52" t="s">
        <v>803</v>
      </c>
      <c r="Y319" s="54" t="s">
        <v>114</v>
      </c>
      <c r="Z319" s="74"/>
      <c r="AA319" s="54" t="s">
        <v>114</v>
      </c>
      <c r="AB319" s="38" t="s">
        <v>3359</v>
      </c>
      <c r="AC319" s="38"/>
      <c r="AD319" s="39">
        <v>81596.03</v>
      </c>
      <c r="AE319" s="39">
        <v>21036.89436</v>
      </c>
      <c r="AF319" s="40">
        <v>60559.13564</v>
      </c>
      <c r="AG319" s="173" t="s">
        <v>2208</v>
      </c>
      <c r="AH319" s="42"/>
      <c r="AI319" s="42" t="str">
        <f>IFERROR(__xludf.DUMMYFUNCTION("vLOOKUP(A319,IMPORTRANGE(""https://docs.google.com/spreadsheets/d/1Rawwwdh8wntXGy8isdYNHxsNQS4n_rC8JSdPfj6vEq4"",""'500 объектов перенос на 2026'!A3:AB502""),13,0)"),"#REF!")</f>
        <v>#REF!</v>
      </c>
      <c r="AJ319" s="42" t="str">
        <f>IFERROR(__xludf.DUMMYFUNCTION("vLOOKUP(A319,IMPORTRANGE(""https://docs.google.com/spreadsheets/d/1Rawwwdh8wntXGy8isdYNHxsNQS4n_rC8JSdPfj6vEq4"",""'500 объектов перенос на 2026'!A3:AB502""),14,0)"),"#REF!")</f>
        <v>#REF!</v>
      </c>
      <c r="AK319" s="76" t="s">
        <v>114</v>
      </c>
      <c r="AL319" s="43"/>
      <c r="AM319" s="43"/>
      <c r="AN319" s="43"/>
      <c r="AO319" s="43"/>
    </row>
    <row r="320" hidden="1">
      <c r="A320" s="62" t="s">
        <v>2209</v>
      </c>
      <c r="B320" s="63" t="s">
        <v>703</v>
      </c>
      <c r="C320" s="64" t="s">
        <v>2210</v>
      </c>
      <c r="D320" s="47" t="s">
        <v>1523</v>
      </c>
      <c r="E320" s="64" t="s">
        <v>85</v>
      </c>
      <c r="F320" s="31" t="s">
        <v>60</v>
      </c>
      <c r="G320" s="31"/>
      <c r="H320" s="31"/>
      <c r="I320" s="31" t="s">
        <v>60</v>
      </c>
      <c r="J320" s="31"/>
      <c r="K320" s="31"/>
      <c r="L320" s="32">
        <f>IFERROR(__xludf.DUMMYFUNCTION("VLOOKUP($A320,IMPORTRANGE(""1PQtfbQLqBUP-rjYRznmgNFBLOjvAnhGzpIx7BJWq8rk"",""'Worksheet'!$B$2:$H""),7,FALSE)"),0.97)</f>
        <v>0.97</v>
      </c>
      <c r="M320" s="31" t="s">
        <v>60</v>
      </c>
      <c r="N320" s="49">
        <v>1.2354662E7</v>
      </c>
      <c r="O320" s="49">
        <v>1.077994456E7</v>
      </c>
      <c r="P320" s="49">
        <v>0.0</v>
      </c>
      <c r="Q320" s="34">
        <f t="shared" si="3"/>
        <v>0.1274593704</v>
      </c>
      <c r="R320" s="31"/>
      <c r="S320" s="31" t="s">
        <v>60</v>
      </c>
      <c r="T320" s="50">
        <v>0.0</v>
      </c>
      <c r="U320" s="51">
        <v>0.0</v>
      </c>
      <c r="V320" s="51">
        <v>0.0</v>
      </c>
      <c r="W320" s="31"/>
      <c r="X320" s="52" t="s">
        <v>209</v>
      </c>
      <c r="Y320" s="54" t="s">
        <v>114</v>
      </c>
      <c r="Z320" s="54"/>
      <c r="AA320" s="54" t="s">
        <v>114</v>
      </c>
      <c r="AB320" s="38" t="s">
        <v>3359</v>
      </c>
      <c r="AC320" s="38"/>
      <c r="AD320" s="39">
        <v>12354.66</v>
      </c>
      <c r="AE320" s="39">
        <v>15000.90456</v>
      </c>
      <c r="AF320" s="39">
        <v>-2646.24456</v>
      </c>
      <c r="AG320" s="173" t="s">
        <v>3452</v>
      </c>
      <c r="AH320" s="42"/>
      <c r="AI320" s="42" t="str">
        <f>IFERROR(__xludf.DUMMYFUNCTION("vLOOKUP(A320,IMPORTRANGE(""https://docs.google.com/spreadsheets/d/1Rawwwdh8wntXGy8isdYNHxsNQS4n_rC8JSdPfj6vEq4"",""'500 объектов перенос на 2026'!A3:AB502""),13,0)"),"#REF!")</f>
        <v>#REF!</v>
      </c>
      <c r="AJ320" s="42" t="str">
        <f>IFERROR(__xludf.DUMMYFUNCTION("vLOOKUP(A320,IMPORTRANGE(""https://docs.google.com/spreadsheets/d/1Rawwwdh8wntXGy8isdYNHxsNQS4n_rC8JSdPfj6vEq4"",""'500 объектов перенос на 2026'!A3:AB502""),14,0)"),"#REF!")</f>
        <v>#REF!</v>
      </c>
      <c r="AK320" s="76" t="s">
        <v>114</v>
      </c>
      <c r="AL320" s="43"/>
      <c r="AM320" s="43"/>
      <c r="AN320" s="43"/>
      <c r="AO320" s="43"/>
    </row>
    <row r="321" hidden="1">
      <c r="A321" s="62" t="s">
        <v>2212</v>
      </c>
      <c r="B321" s="63" t="s">
        <v>703</v>
      </c>
      <c r="C321" s="64" t="s">
        <v>2213</v>
      </c>
      <c r="D321" s="47" t="s">
        <v>1523</v>
      </c>
      <c r="E321" s="64" t="s">
        <v>85</v>
      </c>
      <c r="F321" s="31" t="s">
        <v>60</v>
      </c>
      <c r="G321" s="31"/>
      <c r="H321" s="31"/>
      <c r="I321" s="31" t="s">
        <v>60</v>
      </c>
      <c r="J321" s="31"/>
      <c r="K321" s="31"/>
      <c r="L321" s="32">
        <f>IFERROR(__xludf.DUMMYFUNCTION("VLOOKUP($A321,IMPORTRANGE(""1PQtfbQLqBUP-rjYRznmgNFBLOjvAnhGzpIx7BJWq8rk"",""'Worksheet'!$B$2:$H""),7,FALSE)"),0.62)</f>
        <v>0.62</v>
      </c>
      <c r="M321" s="31" t="s">
        <v>60</v>
      </c>
      <c r="N321" s="49">
        <v>1845768.13</v>
      </c>
      <c r="O321" s="49">
        <v>1143599.25</v>
      </c>
      <c r="P321" s="49">
        <v>0.0</v>
      </c>
      <c r="Q321" s="34">
        <f t="shared" si="3"/>
        <v>0.3804209579</v>
      </c>
      <c r="R321" s="31"/>
      <c r="S321" s="31" t="s">
        <v>60</v>
      </c>
      <c r="T321" s="50">
        <v>0.0</v>
      </c>
      <c r="U321" s="117">
        <v>0.0</v>
      </c>
      <c r="V321" s="51">
        <v>0.0</v>
      </c>
      <c r="W321" s="31"/>
      <c r="X321" s="52" t="s">
        <v>209</v>
      </c>
      <c r="Y321" s="54" t="s">
        <v>114</v>
      </c>
      <c r="Z321" s="54"/>
      <c r="AA321" s="54" t="s">
        <v>114</v>
      </c>
      <c r="AB321" s="38" t="s">
        <v>3359</v>
      </c>
      <c r="AC321" s="38"/>
      <c r="AD321" s="39">
        <v>1845.77</v>
      </c>
      <c r="AE321" s="39">
        <v>1470.06925</v>
      </c>
      <c r="AF321" s="39">
        <v>375.70075</v>
      </c>
      <c r="AG321" s="173" t="s">
        <v>3453</v>
      </c>
      <c r="AH321" s="42"/>
      <c r="AI321" s="42" t="str">
        <f>IFERROR(__xludf.DUMMYFUNCTION("vLOOKUP(A321,IMPORTRANGE(""https://docs.google.com/spreadsheets/d/1Rawwwdh8wntXGy8isdYNHxsNQS4n_rC8JSdPfj6vEq4"",""'500 объектов перенос на 2026'!A3:AB502""),13,0)"),"#REF!")</f>
        <v>#REF!</v>
      </c>
      <c r="AJ321" s="42" t="str">
        <f>IFERROR(__xludf.DUMMYFUNCTION("vLOOKUP(A321,IMPORTRANGE(""https://docs.google.com/spreadsheets/d/1Rawwwdh8wntXGy8isdYNHxsNQS4n_rC8JSdPfj6vEq4"",""'500 объектов перенос на 2026'!A3:AB502""),14,0)"),"#REF!")</f>
        <v>#REF!</v>
      </c>
      <c r="AK321" s="76" t="s">
        <v>114</v>
      </c>
      <c r="AL321" s="43"/>
      <c r="AM321" s="43"/>
      <c r="AN321" s="43"/>
      <c r="AO321" s="43"/>
    </row>
    <row r="322" hidden="1">
      <c r="A322" s="62" t="s">
        <v>2215</v>
      </c>
      <c r="B322" s="63" t="s">
        <v>703</v>
      </c>
      <c r="C322" s="64" t="s">
        <v>2216</v>
      </c>
      <c r="D322" s="47" t="s">
        <v>1523</v>
      </c>
      <c r="E322" s="64" t="s">
        <v>85</v>
      </c>
      <c r="F322" s="31" t="s">
        <v>60</v>
      </c>
      <c r="G322" s="31"/>
      <c r="H322" s="31"/>
      <c r="I322" s="31" t="s">
        <v>60</v>
      </c>
      <c r="J322" s="31"/>
      <c r="K322" s="31"/>
      <c r="L322" s="32">
        <f>IFERROR(__xludf.DUMMYFUNCTION("VLOOKUP($A322,IMPORTRANGE(""1PQtfbQLqBUP-rjYRznmgNFBLOjvAnhGzpIx7BJWq8rk"",""'Worksheet'!$B$2:$H""),7,FALSE)"),1.0)</f>
        <v>1</v>
      </c>
      <c r="M322" s="31" t="s">
        <v>60</v>
      </c>
      <c r="N322" s="49">
        <v>5.6006323238E8</v>
      </c>
      <c r="O322" s="49">
        <v>4.3175027577E8</v>
      </c>
      <c r="P322" s="49">
        <v>0.0</v>
      </c>
      <c r="Q322" s="34">
        <f t="shared" si="3"/>
        <v>0.2291044103</v>
      </c>
      <c r="R322" s="31"/>
      <c r="S322" s="31" t="s">
        <v>60</v>
      </c>
      <c r="T322" s="50"/>
      <c r="U322" s="51"/>
      <c r="V322" s="51"/>
      <c r="W322" s="31"/>
      <c r="X322" s="52" t="s">
        <v>803</v>
      </c>
      <c r="Y322" s="54" t="s">
        <v>114</v>
      </c>
      <c r="Z322" s="74"/>
      <c r="AA322" s="54" t="s">
        <v>114</v>
      </c>
      <c r="AB322" s="38" t="s">
        <v>3359</v>
      </c>
      <c r="AC322" s="38"/>
      <c r="AD322" s="39">
        <v>560063.23</v>
      </c>
      <c r="AE322" s="39">
        <v>431750.2978</v>
      </c>
      <c r="AF322" s="40">
        <v>128312.9322</v>
      </c>
      <c r="AG322" s="173" t="s">
        <v>2217</v>
      </c>
      <c r="AH322" s="42"/>
      <c r="AI322" s="42" t="str">
        <f>IFERROR(__xludf.DUMMYFUNCTION("vLOOKUP(A322,IMPORTRANGE(""https://docs.google.com/spreadsheets/d/1Rawwwdh8wntXGy8isdYNHxsNQS4n_rC8JSdPfj6vEq4"",""'500 объектов перенос на 2026'!A3:AB502""),13,0)"),"#REF!")</f>
        <v>#REF!</v>
      </c>
      <c r="AJ322" s="42" t="str">
        <f>IFERROR(__xludf.DUMMYFUNCTION("vLOOKUP(A322,IMPORTRANGE(""https://docs.google.com/spreadsheets/d/1Rawwwdh8wntXGy8isdYNHxsNQS4n_rC8JSdPfj6vEq4"",""'500 объектов перенос на 2026'!A3:AB502""),14,0)"),"#REF!")</f>
        <v>#REF!</v>
      </c>
      <c r="AK322" s="76" t="s">
        <v>114</v>
      </c>
      <c r="AL322" s="43"/>
      <c r="AM322" s="43"/>
      <c r="AN322" s="43"/>
      <c r="AO322" s="43"/>
    </row>
    <row r="323" hidden="1">
      <c r="A323" s="62" t="s">
        <v>2218</v>
      </c>
      <c r="B323" s="63" t="s">
        <v>268</v>
      </c>
      <c r="C323" s="144" t="s">
        <v>2219</v>
      </c>
      <c r="D323" s="47" t="s">
        <v>1041</v>
      </c>
      <c r="E323" s="64" t="s">
        <v>85</v>
      </c>
      <c r="F323" s="31" t="s">
        <v>60</v>
      </c>
      <c r="G323" s="31"/>
      <c r="H323" s="31"/>
      <c r="I323" s="31" t="s">
        <v>60</v>
      </c>
      <c r="J323" s="31"/>
      <c r="K323" s="31"/>
      <c r="L323" s="32">
        <f>IFERROR(__xludf.DUMMYFUNCTION("VLOOKUP($A323,IMPORTRANGE(""1PQtfbQLqBUP-rjYRznmgNFBLOjvAnhGzpIx7BJWq8rk"",""'Worksheet'!$B$2:$H""),7,FALSE)"),0.92)</f>
        <v>0.92</v>
      </c>
      <c r="M323" s="31" t="s">
        <v>40</v>
      </c>
      <c r="N323" s="49">
        <v>2.420789E7</v>
      </c>
      <c r="O323" s="49">
        <v>1.117398509E7</v>
      </c>
      <c r="P323" s="49">
        <f t="shared" ref="P323:P324" si="46">N323-O323</f>
        <v>13033904.91</v>
      </c>
      <c r="Q323" s="34">
        <f t="shared" si="3"/>
        <v>0.5384155707</v>
      </c>
      <c r="R323" s="31"/>
      <c r="S323" s="31" t="s">
        <v>40</v>
      </c>
      <c r="T323" s="50" t="s">
        <v>2220</v>
      </c>
      <c r="U323" s="51">
        <v>0.0</v>
      </c>
      <c r="V323" s="51" t="s">
        <v>2220</v>
      </c>
      <c r="W323" s="31" t="s">
        <v>506</v>
      </c>
      <c r="X323" s="52" t="s">
        <v>1582</v>
      </c>
      <c r="Y323" s="54" t="s">
        <v>1569</v>
      </c>
      <c r="Z323" s="54" t="s">
        <v>851</v>
      </c>
      <c r="AA323" s="68">
        <v>46189.0</v>
      </c>
      <c r="AB323" s="56"/>
      <c r="AC323" s="38" t="s">
        <v>2221</v>
      </c>
      <c r="AD323" s="39">
        <v>24207.89</v>
      </c>
      <c r="AE323" s="39">
        <v>11173.98509</v>
      </c>
      <c r="AF323" s="40">
        <v>13033.90491</v>
      </c>
      <c r="AG323" s="57" t="s">
        <v>2222</v>
      </c>
      <c r="AH323" s="42" t="s">
        <v>49</v>
      </c>
      <c r="AI323" s="42" t="str">
        <f>IFERROR(__xludf.DUMMYFUNCTION("vLOOKUP(A323,IMPORTRANGE(""https://docs.google.com/spreadsheets/d/1Rawwwdh8wntXGy8isdYNHxsNQS4n_rC8JSdPfj6vEq4"",""'500 объектов перенос на 2026'!A3:AB502""),13,0)"),"#REF!")</f>
        <v>#REF!</v>
      </c>
      <c r="AJ323" s="42" t="str">
        <f>IFERROR(__xludf.DUMMYFUNCTION("vLOOKUP(A323,IMPORTRANGE(""https://docs.google.com/spreadsheets/d/1Rawwwdh8wntXGy8isdYNHxsNQS4n_rC8JSdPfj6vEq4"",""'500 объектов перенос на 2026'!A3:AB502""),14,0)"),"#REF!")</f>
        <v>#REF!</v>
      </c>
      <c r="AK323" s="151" t="s">
        <v>3389</v>
      </c>
      <c r="AL323" s="43"/>
      <c r="AM323" s="43"/>
      <c r="AN323" s="43"/>
      <c r="AO323" s="43"/>
    </row>
    <row r="324" hidden="1">
      <c r="A324" s="62" t="s">
        <v>2223</v>
      </c>
      <c r="B324" s="63" t="s">
        <v>1274</v>
      </c>
      <c r="C324" s="64" t="s">
        <v>2224</v>
      </c>
      <c r="D324" s="47" t="s">
        <v>112</v>
      </c>
      <c r="E324" s="64" t="s">
        <v>85</v>
      </c>
      <c r="F324" s="31" t="s">
        <v>40</v>
      </c>
      <c r="G324" s="31" t="s">
        <v>156</v>
      </c>
      <c r="H324" s="31" t="s">
        <v>157</v>
      </c>
      <c r="I324" s="31" t="s">
        <v>40</v>
      </c>
      <c r="J324" s="31" t="s">
        <v>61</v>
      </c>
      <c r="K324" s="31"/>
      <c r="L324" s="32">
        <f>IFERROR(__xludf.DUMMYFUNCTION("VLOOKUP($A324,IMPORTRANGE(""1PQtfbQLqBUP-rjYRznmgNFBLOjvAnhGzpIx7BJWq8rk"",""'Worksheet'!$B$2:$H""),7,FALSE)"),0.95)</f>
        <v>0.95</v>
      </c>
      <c r="M324" s="31" t="s">
        <v>40</v>
      </c>
      <c r="N324" s="49">
        <v>2.58704E7</v>
      </c>
      <c r="O324" s="49">
        <v>1.29352E7</v>
      </c>
      <c r="P324" s="49">
        <f t="shared" si="46"/>
        <v>12935200</v>
      </c>
      <c r="Q324" s="34">
        <f t="shared" si="3"/>
        <v>0.5</v>
      </c>
      <c r="R324" s="31"/>
      <c r="S324" s="31" t="s">
        <v>40</v>
      </c>
      <c r="T324" s="50" t="s">
        <v>2225</v>
      </c>
      <c r="U324" s="117">
        <v>0.0</v>
      </c>
      <c r="V324" s="51" t="s">
        <v>2225</v>
      </c>
      <c r="W324" s="31"/>
      <c r="X324" s="52" t="s">
        <v>2226</v>
      </c>
      <c r="Y324" s="54" t="s">
        <v>2227</v>
      </c>
      <c r="Z324" s="54" t="s">
        <v>1455</v>
      </c>
      <c r="AA324" s="74">
        <v>46266.0</v>
      </c>
      <c r="AB324" s="56"/>
      <c r="AC324" s="38"/>
      <c r="AD324" s="39">
        <v>25870.4</v>
      </c>
      <c r="AE324" s="39">
        <v>12935.2</v>
      </c>
      <c r="AF324" s="40">
        <v>12935.2</v>
      </c>
      <c r="AG324" s="99" t="s">
        <v>2228</v>
      </c>
      <c r="AH324" s="42"/>
      <c r="AI324" s="42" t="str">
        <f>IFERROR(__xludf.DUMMYFUNCTION("vLOOKUP(A324,IMPORTRANGE(""https://docs.google.com/spreadsheets/d/1Rawwwdh8wntXGy8isdYNHxsNQS4n_rC8JSdPfj6vEq4"",""'500 объектов перенос на 2026'!A3:AB502""),13,0)"),"#REF!")</f>
        <v>#REF!</v>
      </c>
      <c r="AJ324" s="42" t="str">
        <f>IFERROR(__xludf.DUMMYFUNCTION("vLOOKUP(A324,IMPORTRANGE(""https://docs.google.com/spreadsheets/d/1Rawwwdh8wntXGy8isdYNHxsNQS4n_rC8JSdPfj6vEq4"",""'500 объектов перенос на 2026'!A3:AB502""),14,0)"),"#REF!")</f>
        <v>#REF!</v>
      </c>
      <c r="AK324" s="76" t="s">
        <v>3454</v>
      </c>
      <c r="AL324" s="96"/>
      <c r="AM324" s="96"/>
      <c r="AN324" s="96"/>
      <c r="AO324" s="96"/>
    </row>
    <row r="325" hidden="1">
      <c r="A325" s="62" t="s">
        <v>2231</v>
      </c>
      <c r="B325" s="63" t="s">
        <v>703</v>
      </c>
      <c r="C325" s="64" t="s">
        <v>2232</v>
      </c>
      <c r="D325" s="47" t="s">
        <v>1523</v>
      </c>
      <c r="E325" s="64" t="s">
        <v>85</v>
      </c>
      <c r="F325" s="31" t="s">
        <v>60</v>
      </c>
      <c r="G325" s="31"/>
      <c r="H325" s="31"/>
      <c r="I325" s="31" t="s">
        <v>60</v>
      </c>
      <c r="J325" s="31"/>
      <c r="K325" s="31"/>
      <c r="L325" s="32">
        <f>IFERROR(__xludf.DUMMYFUNCTION("VLOOKUP($A325,IMPORTRANGE(""1PQtfbQLqBUP-rjYRznmgNFBLOjvAnhGzpIx7BJWq8rk"",""'Worksheet'!$B$2:$H""),7,FALSE)"),0.87)</f>
        <v>0.87</v>
      </c>
      <c r="M325" s="31" t="s">
        <v>60</v>
      </c>
      <c r="N325" s="49">
        <v>6113335.03</v>
      </c>
      <c r="O325" s="49">
        <v>5310281.59</v>
      </c>
      <c r="P325" s="49">
        <v>0.0</v>
      </c>
      <c r="Q325" s="34">
        <f t="shared" si="3"/>
        <v>0.1313609406</v>
      </c>
      <c r="R325" s="31"/>
      <c r="S325" s="31" t="s">
        <v>60</v>
      </c>
      <c r="T325" s="91">
        <v>0.0</v>
      </c>
      <c r="U325" s="51">
        <v>0.0</v>
      </c>
      <c r="V325" s="51">
        <v>0.0</v>
      </c>
      <c r="W325" s="31"/>
      <c r="X325" s="52" t="s">
        <v>209</v>
      </c>
      <c r="Y325" s="54" t="s">
        <v>114</v>
      </c>
      <c r="Z325" s="54"/>
      <c r="AA325" s="54" t="s">
        <v>114</v>
      </c>
      <c r="AB325" s="38" t="s">
        <v>3359</v>
      </c>
      <c r="AC325" s="38"/>
      <c r="AD325" s="39">
        <v>6113.34</v>
      </c>
      <c r="AE325" s="39">
        <v>5310.28159</v>
      </c>
      <c r="AF325" s="39">
        <v>803.05841</v>
      </c>
      <c r="AG325" s="99" t="s">
        <v>2233</v>
      </c>
      <c r="AH325" s="42"/>
      <c r="AI325" s="42" t="str">
        <f>IFERROR(__xludf.DUMMYFUNCTION("vLOOKUP(A325,IMPORTRANGE(""https://docs.google.com/spreadsheets/d/1Rawwwdh8wntXGy8isdYNHxsNQS4n_rC8JSdPfj6vEq4"",""'500 объектов перенос на 2026'!A3:AB502""),13,0)"),"#REF!")</f>
        <v>#REF!</v>
      </c>
      <c r="AJ325" s="42" t="str">
        <f>IFERROR(__xludf.DUMMYFUNCTION("vLOOKUP(A325,IMPORTRANGE(""https://docs.google.com/spreadsheets/d/1Rawwwdh8wntXGy8isdYNHxsNQS4n_rC8JSdPfj6vEq4"",""'500 объектов перенос на 2026'!A3:AB502""),14,0)"),"#REF!")</f>
        <v>#REF!</v>
      </c>
      <c r="AK325" s="76" t="s">
        <v>114</v>
      </c>
      <c r="AL325" s="43"/>
      <c r="AM325" s="43"/>
      <c r="AN325" s="43"/>
      <c r="AO325" s="43"/>
    </row>
    <row r="326" hidden="1">
      <c r="A326" s="62" t="s">
        <v>2234</v>
      </c>
      <c r="B326" s="63" t="s">
        <v>625</v>
      </c>
      <c r="C326" s="90" t="s">
        <v>2235</v>
      </c>
      <c r="D326" s="47" t="s">
        <v>2048</v>
      </c>
      <c r="E326" s="64" t="s">
        <v>85</v>
      </c>
      <c r="F326" s="31" t="s">
        <v>60</v>
      </c>
      <c r="G326" s="31"/>
      <c r="H326" s="31"/>
      <c r="I326" s="31" t="s">
        <v>40</v>
      </c>
      <c r="J326" s="31" t="s">
        <v>102</v>
      </c>
      <c r="K326" s="31" t="s">
        <v>62</v>
      </c>
      <c r="L326" s="32">
        <f>IFERROR(__xludf.DUMMYFUNCTION("VLOOKUP($A326,IMPORTRANGE(""1PQtfbQLqBUP-rjYRznmgNFBLOjvAnhGzpIx7BJWq8rk"",""'Worksheet'!$B$2:$H""),7,FALSE)"),0.57)</f>
        <v>0.57</v>
      </c>
      <c r="M326" s="31" t="s">
        <v>40</v>
      </c>
      <c r="N326" s="49">
        <v>2.01891566E7</v>
      </c>
      <c r="O326" s="49">
        <v>7311792.0</v>
      </c>
      <c r="P326" s="49">
        <f>N326-O326</f>
        <v>12877364.6</v>
      </c>
      <c r="Q326" s="34">
        <f t="shared" si="3"/>
        <v>0.6378356885</v>
      </c>
      <c r="R326" s="31"/>
      <c r="S326" s="31" t="s">
        <v>40</v>
      </c>
      <c r="T326" s="91" t="s">
        <v>2236</v>
      </c>
      <c r="U326" s="51">
        <v>0.0</v>
      </c>
      <c r="V326" s="51" t="s">
        <v>2236</v>
      </c>
      <c r="W326" s="31"/>
      <c r="X326" s="52" t="s">
        <v>2050</v>
      </c>
      <c r="Y326" s="54" t="s">
        <v>2237</v>
      </c>
      <c r="Z326" s="54" t="s">
        <v>274</v>
      </c>
      <c r="AA326" s="68">
        <v>46253.0</v>
      </c>
      <c r="AB326" s="56"/>
      <c r="AC326" s="38"/>
      <c r="AD326" s="39">
        <v>24372.64</v>
      </c>
      <c r="AE326" s="39">
        <v>7311.792</v>
      </c>
      <c r="AF326" s="40">
        <v>17060.848</v>
      </c>
      <c r="AG326" s="57" t="s">
        <v>2238</v>
      </c>
      <c r="AH326" s="42" t="s">
        <v>49</v>
      </c>
      <c r="AI326" s="42" t="str">
        <f>IFERROR(__xludf.DUMMYFUNCTION("vLOOKUP(A326,IMPORTRANGE(""https://docs.google.com/spreadsheets/d/1Rawwwdh8wntXGy8isdYNHxsNQS4n_rC8JSdPfj6vEq4"",""'500 объектов перенос на 2026'!A3:AB502""),13,0)"),"#REF!")</f>
        <v>#REF!</v>
      </c>
      <c r="AJ326" s="42" t="str">
        <f>IFERROR(__xludf.DUMMYFUNCTION("vLOOKUP(A326,IMPORTRANGE(""https://docs.google.com/spreadsheets/d/1Rawwwdh8wntXGy8isdYNHxsNQS4n_rC8JSdPfj6vEq4"",""'500 объектов перенос на 2026'!A3:AB502""),14,0)"),"#REF!")</f>
        <v>#REF!</v>
      </c>
      <c r="AK326" s="140"/>
      <c r="AL326" s="43"/>
      <c r="AM326" s="43"/>
      <c r="AN326" s="43"/>
      <c r="AO326" s="43"/>
    </row>
    <row r="327" hidden="1">
      <c r="A327" s="62" t="s">
        <v>2239</v>
      </c>
      <c r="B327" s="63" t="s">
        <v>703</v>
      </c>
      <c r="C327" s="64" t="s">
        <v>2240</v>
      </c>
      <c r="D327" s="47" t="s">
        <v>1523</v>
      </c>
      <c r="E327" s="64" t="s">
        <v>85</v>
      </c>
      <c r="F327" s="31" t="s">
        <v>60</v>
      </c>
      <c r="G327" s="31"/>
      <c r="H327" s="31"/>
      <c r="I327" s="31" t="s">
        <v>60</v>
      </c>
      <c r="J327" s="31"/>
      <c r="K327" s="31"/>
      <c r="L327" s="32">
        <f>IFERROR(__xludf.DUMMYFUNCTION("VLOOKUP($A327,IMPORTRANGE(""1PQtfbQLqBUP-rjYRznmgNFBLOjvAnhGzpIx7BJWq8rk"",""'Worksheet'!$B$2:$H""),7,FALSE)"),1.0)</f>
        <v>1</v>
      </c>
      <c r="M327" s="31" t="s">
        <v>60</v>
      </c>
      <c r="N327" s="49">
        <v>1642579.62</v>
      </c>
      <c r="O327" s="49">
        <v>1548426.85</v>
      </c>
      <c r="P327" s="49">
        <v>0.0</v>
      </c>
      <c r="Q327" s="34">
        <f t="shared" si="3"/>
        <v>0.05732006464</v>
      </c>
      <c r="R327" s="31"/>
      <c r="S327" s="31" t="s">
        <v>60</v>
      </c>
      <c r="T327" s="50">
        <v>0.0</v>
      </c>
      <c r="U327" s="51">
        <v>0.0</v>
      </c>
      <c r="V327" s="51">
        <v>0.0</v>
      </c>
      <c r="W327" s="31"/>
      <c r="X327" s="52" t="s">
        <v>209</v>
      </c>
      <c r="Y327" s="54" t="s">
        <v>114</v>
      </c>
      <c r="Z327" s="54"/>
      <c r="AA327" s="54" t="s">
        <v>114</v>
      </c>
      <c r="AB327" s="38" t="s">
        <v>3359</v>
      </c>
      <c r="AC327" s="38"/>
      <c r="AD327" s="39">
        <v>1642.58</v>
      </c>
      <c r="AE327" s="39">
        <v>1236.01494</v>
      </c>
      <c r="AF327" s="39">
        <v>406.56506</v>
      </c>
      <c r="AG327" s="99" t="s">
        <v>2241</v>
      </c>
      <c r="AH327" s="42"/>
      <c r="AI327" s="42" t="str">
        <f>IFERROR(__xludf.DUMMYFUNCTION("vLOOKUP(A327,IMPORTRANGE(""https://docs.google.com/spreadsheets/d/1Rawwwdh8wntXGy8isdYNHxsNQS4n_rC8JSdPfj6vEq4"",""'500 объектов перенос на 2026'!A3:AB502""),13,0)"),"#REF!")</f>
        <v>#REF!</v>
      </c>
      <c r="AJ327" s="42" t="str">
        <f>IFERROR(__xludf.DUMMYFUNCTION("vLOOKUP(A327,IMPORTRANGE(""https://docs.google.com/spreadsheets/d/1Rawwwdh8wntXGy8isdYNHxsNQS4n_rC8JSdPfj6vEq4"",""'500 объектов перенос на 2026'!A3:AB502""),14,0)"),"#REF!")</f>
        <v>#REF!</v>
      </c>
      <c r="AK327" s="76" t="s">
        <v>114</v>
      </c>
      <c r="AL327" s="43"/>
      <c r="AM327" s="43"/>
      <c r="AN327" s="43"/>
      <c r="AO327" s="43"/>
    </row>
    <row r="328" hidden="1">
      <c r="A328" s="62" t="s">
        <v>2242</v>
      </c>
      <c r="B328" s="63" t="s">
        <v>703</v>
      </c>
      <c r="C328" s="64" t="s">
        <v>2243</v>
      </c>
      <c r="D328" s="47" t="s">
        <v>1523</v>
      </c>
      <c r="E328" s="64" t="s">
        <v>85</v>
      </c>
      <c r="F328" s="31" t="s">
        <v>60</v>
      </c>
      <c r="G328" s="31"/>
      <c r="H328" s="31"/>
      <c r="I328" s="31" t="s">
        <v>60</v>
      </c>
      <c r="J328" s="31"/>
      <c r="K328" s="31"/>
      <c r="L328" s="32" t="str">
        <f>IFERROR(__xludf.DUMMYFUNCTION("VLOOKUP($A328,IMPORTRANGE(""1PQtfbQLqBUP-rjYRznmgNFBLOjvAnhGzpIx7BJWq8rk"",""'Worksheet'!$B$2:$H""),7,FALSE)"),"#N/A")</f>
        <v>#N/A</v>
      </c>
      <c r="M328" s="31" t="s">
        <v>60</v>
      </c>
      <c r="N328" s="49">
        <v>4063310.82</v>
      </c>
      <c r="O328" s="49">
        <v>4063310.82</v>
      </c>
      <c r="P328" s="49">
        <f t="shared" ref="P328:P333" si="47">N328-O328</f>
        <v>0</v>
      </c>
      <c r="Q328" s="34">
        <f t="shared" si="3"/>
        <v>0</v>
      </c>
      <c r="R328" s="31"/>
      <c r="S328" s="31" t="s">
        <v>60</v>
      </c>
      <c r="T328" s="50"/>
      <c r="U328" s="51"/>
      <c r="V328" s="51"/>
      <c r="W328" s="31"/>
      <c r="X328" s="52" t="s">
        <v>45</v>
      </c>
      <c r="Y328" s="54" t="s">
        <v>114</v>
      </c>
      <c r="Z328" s="74"/>
      <c r="AA328" s="54" t="s">
        <v>114</v>
      </c>
      <c r="AB328" s="38" t="s">
        <v>3359</v>
      </c>
      <c r="AC328" s="38"/>
      <c r="AD328" s="39">
        <v>24286.18</v>
      </c>
      <c r="AE328" s="39">
        <v>4063.31082</v>
      </c>
      <c r="AF328" s="40">
        <v>20222.86918</v>
      </c>
      <c r="AG328" s="173" t="s">
        <v>2244</v>
      </c>
      <c r="AH328" s="42"/>
      <c r="AI328" s="42" t="str">
        <f>IFERROR(__xludf.DUMMYFUNCTION("vLOOKUP(A328,IMPORTRANGE(""https://docs.google.com/spreadsheets/d/1Rawwwdh8wntXGy8isdYNHxsNQS4n_rC8JSdPfj6vEq4"",""'500 объектов перенос на 2026'!A3:AB502""),13,0)"),"#REF!")</f>
        <v>#REF!</v>
      </c>
      <c r="AJ328" s="42" t="str">
        <f>IFERROR(__xludf.DUMMYFUNCTION("vLOOKUP(A328,IMPORTRANGE(""https://docs.google.com/spreadsheets/d/1Rawwwdh8wntXGy8isdYNHxsNQS4n_rC8JSdPfj6vEq4"",""'500 объектов перенос на 2026'!A3:AB502""),14,0)"),"#REF!")</f>
        <v>#REF!</v>
      </c>
      <c r="AK328" s="76" t="s">
        <v>114</v>
      </c>
      <c r="AL328" s="43"/>
      <c r="AM328" s="43"/>
      <c r="AN328" s="43"/>
      <c r="AO328" s="43"/>
    </row>
    <row r="329" hidden="1">
      <c r="A329" s="62" t="s">
        <v>2245</v>
      </c>
      <c r="B329" s="63" t="s">
        <v>703</v>
      </c>
      <c r="C329" s="64" t="s">
        <v>2246</v>
      </c>
      <c r="D329" s="47" t="s">
        <v>1523</v>
      </c>
      <c r="E329" s="64" t="s">
        <v>85</v>
      </c>
      <c r="F329" s="31" t="s">
        <v>60</v>
      </c>
      <c r="G329" s="31"/>
      <c r="H329" s="31"/>
      <c r="I329" s="31" t="s">
        <v>60</v>
      </c>
      <c r="J329" s="31"/>
      <c r="K329" s="31"/>
      <c r="L329" s="32">
        <f>IFERROR(__xludf.DUMMYFUNCTION("VLOOKUP($A329,IMPORTRANGE(""1PQtfbQLqBUP-rjYRznmgNFBLOjvAnhGzpIx7BJWq8rk"",""'Worksheet'!$B$2:$H""),7,FALSE)"),1.0)</f>
        <v>1</v>
      </c>
      <c r="M329" s="31" t="s">
        <v>60</v>
      </c>
      <c r="N329" s="49">
        <v>1.338933922E7</v>
      </c>
      <c r="O329" s="49">
        <v>1.338933922E7</v>
      </c>
      <c r="P329" s="49">
        <f t="shared" si="47"/>
        <v>0</v>
      </c>
      <c r="Q329" s="34">
        <f t="shared" si="3"/>
        <v>0</v>
      </c>
      <c r="R329" s="31"/>
      <c r="S329" s="31" t="s">
        <v>60</v>
      </c>
      <c r="T329" s="50"/>
      <c r="U329" s="51"/>
      <c r="V329" s="51"/>
      <c r="W329" s="31"/>
      <c r="X329" s="52" t="s">
        <v>45</v>
      </c>
      <c r="Y329" s="54" t="s">
        <v>114</v>
      </c>
      <c r="Z329" s="74"/>
      <c r="AA329" s="54" t="s">
        <v>114</v>
      </c>
      <c r="AB329" s="38" t="s">
        <v>3359</v>
      </c>
      <c r="AC329" s="38"/>
      <c r="AD329" s="39">
        <v>38920.22</v>
      </c>
      <c r="AE329" s="39">
        <v>21173.37922</v>
      </c>
      <c r="AF329" s="40">
        <v>17746.84078</v>
      </c>
      <c r="AG329" s="173" t="s">
        <v>2247</v>
      </c>
      <c r="AH329" s="174"/>
      <c r="AI329" s="42" t="str">
        <f>IFERROR(__xludf.DUMMYFUNCTION("vLOOKUP(A329,IMPORTRANGE(""https://docs.google.com/spreadsheets/d/1Rawwwdh8wntXGy8isdYNHxsNQS4n_rC8JSdPfj6vEq4"",""'500 объектов перенос на 2026'!A3:AB502""),13,0)"),"#REF!")</f>
        <v>#REF!</v>
      </c>
      <c r="AJ329" s="42" t="str">
        <f>IFERROR(__xludf.DUMMYFUNCTION("vLOOKUP(A329,IMPORTRANGE(""https://docs.google.com/spreadsheets/d/1Rawwwdh8wntXGy8isdYNHxsNQS4n_rC8JSdPfj6vEq4"",""'500 объектов перенос на 2026'!A3:AB502""),14,0)"),"#REF!")</f>
        <v>#REF!</v>
      </c>
      <c r="AK329" s="76" t="s">
        <v>114</v>
      </c>
      <c r="AL329" s="43"/>
      <c r="AM329" s="43"/>
      <c r="AN329" s="43"/>
      <c r="AO329" s="43"/>
    </row>
    <row r="330" hidden="1">
      <c r="A330" s="62" t="s">
        <v>2248</v>
      </c>
      <c r="B330" s="63" t="s">
        <v>703</v>
      </c>
      <c r="C330" s="64" t="s">
        <v>2249</v>
      </c>
      <c r="D330" s="47" t="s">
        <v>1523</v>
      </c>
      <c r="E330" s="64" t="s">
        <v>85</v>
      </c>
      <c r="F330" s="31" t="s">
        <v>60</v>
      </c>
      <c r="G330" s="31"/>
      <c r="H330" s="31"/>
      <c r="I330" s="31" t="s">
        <v>60</v>
      </c>
      <c r="J330" s="31"/>
      <c r="K330" s="31"/>
      <c r="L330" s="32">
        <f>IFERROR(__xludf.DUMMYFUNCTION("VLOOKUP($A330,IMPORTRANGE(""1PQtfbQLqBUP-rjYRznmgNFBLOjvAnhGzpIx7BJWq8rk"",""'Worksheet'!$B$2:$H""),7,FALSE)"),1.0)</f>
        <v>1</v>
      </c>
      <c r="M330" s="31" t="s">
        <v>60</v>
      </c>
      <c r="N330" s="49">
        <v>2876109.64</v>
      </c>
      <c r="O330" s="49">
        <v>2876109.64</v>
      </c>
      <c r="P330" s="49">
        <f t="shared" si="47"/>
        <v>0</v>
      </c>
      <c r="Q330" s="34">
        <f t="shared" si="3"/>
        <v>0</v>
      </c>
      <c r="R330" s="31"/>
      <c r="S330" s="31" t="s">
        <v>60</v>
      </c>
      <c r="T330" s="50"/>
      <c r="U330" s="51"/>
      <c r="V330" s="51"/>
      <c r="W330" s="31"/>
      <c r="X330" s="52" t="s">
        <v>45</v>
      </c>
      <c r="Y330" s="54" t="s">
        <v>114</v>
      </c>
      <c r="Z330" s="74"/>
      <c r="AA330" s="54" t="s">
        <v>114</v>
      </c>
      <c r="AB330" s="38" t="s">
        <v>3359</v>
      </c>
      <c r="AC330" s="38"/>
      <c r="AD330" s="39">
        <v>6132.5</v>
      </c>
      <c r="AE330" s="39">
        <v>2876.10964</v>
      </c>
      <c r="AF330" s="40">
        <v>3256.39036</v>
      </c>
      <c r="AG330" s="173" t="s">
        <v>2250</v>
      </c>
      <c r="AH330" s="42"/>
      <c r="AI330" s="42" t="str">
        <f>IFERROR(__xludf.DUMMYFUNCTION("vLOOKUP(A330,IMPORTRANGE(""https://docs.google.com/spreadsheets/d/1Rawwwdh8wntXGy8isdYNHxsNQS4n_rC8JSdPfj6vEq4"",""'500 объектов перенос на 2026'!A3:AB502""),13,0)"),"#REF!")</f>
        <v>#REF!</v>
      </c>
      <c r="AJ330" s="42" t="str">
        <f>IFERROR(__xludf.DUMMYFUNCTION("vLOOKUP(A330,IMPORTRANGE(""https://docs.google.com/spreadsheets/d/1Rawwwdh8wntXGy8isdYNHxsNQS4n_rC8JSdPfj6vEq4"",""'500 объектов перенос на 2026'!A3:AB502""),14,0)"),"#REF!")</f>
        <v>#REF!</v>
      </c>
      <c r="AK330" s="76" t="s">
        <v>114</v>
      </c>
      <c r="AL330" s="43"/>
      <c r="AM330" s="43"/>
      <c r="AN330" s="43"/>
      <c r="AO330" s="43"/>
    </row>
    <row r="331" hidden="1">
      <c r="A331" s="62" t="s">
        <v>2251</v>
      </c>
      <c r="B331" s="63" t="s">
        <v>250</v>
      </c>
      <c r="C331" s="90" t="s">
        <v>2252</v>
      </c>
      <c r="D331" s="47" t="s">
        <v>1755</v>
      </c>
      <c r="E331" s="64" t="s">
        <v>85</v>
      </c>
      <c r="F331" s="31" t="s">
        <v>60</v>
      </c>
      <c r="G331" s="31"/>
      <c r="H331" s="31"/>
      <c r="I331" s="31" t="s">
        <v>60</v>
      </c>
      <c r="J331" s="31"/>
      <c r="K331" s="31"/>
      <c r="L331" s="32">
        <f>IFERROR(__xludf.DUMMYFUNCTION("VLOOKUP($A331,IMPORTRANGE(""1PQtfbQLqBUP-rjYRznmgNFBLOjvAnhGzpIx7BJWq8rk"",""'Worksheet'!$B$2:$H""),7,FALSE)"),0.99)</f>
        <v>0.99</v>
      </c>
      <c r="M331" s="31" t="s">
        <v>45</v>
      </c>
      <c r="N331" s="49">
        <v>7.599367913E7</v>
      </c>
      <c r="O331" s="49">
        <v>6.410232828E7</v>
      </c>
      <c r="P331" s="49">
        <f t="shared" si="47"/>
        <v>11891350.85</v>
      </c>
      <c r="Q331" s="34">
        <f t="shared" si="3"/>
        <v>0.1564781569</v>
      </c>
      <c r="R331" s="31"/>
      <c r="S331" s="31" t="s">
        <v>45</v>
      </c>
      <c r="T331" s="65">
        <v>6.622393913E7</v>
      </c>
      <c r="U331" s="67">
        <v>5.310516176E7</v>
      </c>
      <c r="V331" s="117">
        <v>1.311877737E7</v>
      </c>
      <c r="W331" s="31" t="s">
        <v>183</v>
      </c>
      <c r="X331" s="52" t="s">
        <v>1141</v>
      </c>
      <c r="Y331" s="54" t="s">
        <v>1756</v>
      </c>
      <c r="Z331" s="54" t="s">
        <v>75</v>
      </c>
      <c r="AA331" s="175">
        <v>46203.0</v>
      </c>
      <c r="AB331" s="56"/>
      <c r="AC331" s="38" t="s">
        <v>1143</v>
      </c>
      <c r="AD331" s="39">
        <v>75993.67</v>
      </c>
      <c r="AE331" s="39">
        <v>64102.32828</v>
      </c>
      <c r="AF331" s="40">
        <v>11891.34172</v>
      </c>
      <c r="AG331" s="57" t="s">
        <v>2253</v>
      </c>
      <c r="AH331" s="85" t="s">
        <v>789</v>
      </c>
      <c r="AI331" s="42" t="str">
        <f>IFERROR(__xludf.DUMMYFUNCTION("vLOOKUP(A331,IMPORTRANGE(""https://docs.google.com/spreadsheets/d/1Rawwwdh8wntXGy8isdYNHxsNQS4n_rC8JSdPfj6vEq4"",""'500 объектов перенос на 2026'!A3:AB502""),13,0)"),"#REF!")</f>
        <v>#REF!</v>
      </c>
      <c r="AJ331" s="42" t="str">
        <f>IFERROR(__xludf.DUMMYFUNCTION("vLOOKUP(A331,IMPORTRANGE(""https://docs.google.com/spreadsheets/d/1Rawwwdh8wntXGy8isdYNHxsNQS4n_rC8JSdPfj6vEq4"",""'500 объектов перенос на 2026'!A3:AB502""),14,0)"),"#REF!")</f>
        <v>#REF!</v>
      </c>
      <c r="AK331" s="76" t="s">
        <v>2254</v>
      </c>
      <c r="AL331" s="43"/>
      <c r="AM331" s="43"/>
      <c r="AN331" s="43"/>
      <c r="AO331" s="43"/>
    </row>
    <row r="332" hidden="1">
      <c r="A332" s="62" t="s">
        <v>2255</v>
      </c>
      <c r="B332" s="63" t="s">
        <v>225</v>
      </c>
      <c r="C332" s="64" t="s">
        <v>2256</v>
      </c>
      <c r="D332" s="47" t="s">
        <v>2175</v>
      </c>
      <c r="E332" s="64" t="s">
        <v>59</v>
      </c>
      <c r="F332" s="31" t="s">
        <v>60</v>
      </c>
      <c r="G332" s="31"/>
      <c r="H332" s="31"/>
      <c r="I332" s="31" t="s">
        <v>40</v>
      </c>
      <c r="J332" s="31" t="s">
        <v>102</v>
      </c>
      <c r="K332" s="31" t="s">
        <v>72</v>
      </c>
      <c r="L332" s="32">
        <f>IFERROR(__xludf.DUMMYFUNCTION("VLOOKUP($A332,IMPORTRANGE(""1PQtfbQLqBUP-rjYRznmgNFBLOjvAnhGzpIx7BJWq8rk"",""'Worksheet'!$B$2:$H""),7,FALSE)"),0.75)</f>
        <v>0.75</v>
      </c>
      <c r="M332" s="31" t="s">
        <v>45</v>
      </c>
      <c r="N332" s="49">
        <v>1.9035682E7</v>
      </c>
      <c r="O332" s="49">
        <v>7145789.44</v>
      </c>
      <c r="P332" s="49">
        <f t="shared" si="47"/>
        <v>11889892.56</v>
      </c>
      <c r="Q332" s="34">
        <f t="shared" si="3"/>
        <v>0.6246107999</v>
      </c>
      <c r="R332" s="31"/>
      <c r="S332" s="31" t="s">
        <v>45</v>
      </c>
      <c r="T332" s="65" t="s">
        <v>2257</v>
      </c>
      <c r="U332" s="67" t="s">
        <v>2258</v>
      </c>
      <c r="V332" s="67" t="s">
        <v>2259</v>
      </c>
      <c r="W332" s="31"/>
      <c r="X332" s="52" t="s">
        <v>2179</v>
      </c>
      <c r="Y332" s="54" t="s">
        <v>2180</v>
      </c>
      <c r="Z332" s="54" t="s">
        <v>2260</v>
      </c>
      <c r="AA332" s="68">
        <v>46225.0</v>
      </c>
      <c r="AB332" s="56"/>
      <c r="AC332" s="38"/>
      <c r="AD332" s="39">
        <v>19035.68</v>
      </c>
      <c r="AE332" s="39">
        <v>7145.78589</v>
      </c>
      <c r="AF332" s="40">
        <v>11889.89411</v>
      </c>
      <c r="AG332" s="99" t="s">
        <v>2261</v>
      </c>
      <c r="AH332" s="42" t="s">
        <v>2262</v>
      </c>
      <c r="AI332" s="42" t="str">
        <f>IFERROR(__xludf.DUMMYFUNCTION("vLOOKUP(A332,IMPORTRANGE(""https://docs.google.com/spreadsheets/d/1Rawwwdh8wntXGy8isdYNHxsNQS4n_rC8JSdPfj6vEq4"",""'500 объектов перенос на 2026'!A3:AB502""),13,0)"),"#REF!")</f>
        <v>#REF!</v>
      </c>
      <c r="AJ332" s="42" t="str">
        <f>IFERROR(__xludf.DUMMYFUNCTION("vLOOKUP(A332,IMPORTRANGE(""https://docs.google.com/spreadsheets/d/1Rawwwdh8wntXGy8isdYNHxsNQS4n_rC8JSdPfj6vEq4"",""'500 объектов перенос на 2026'!A3:AB502""),14,0)"),"#REF!")</f>
        <v>#REF!</v>
      </c>
      <c r="AK332" s="76" t="s">
        <v>3449</v>
      </c>
      <c r="AL332" s="43"/>
      <c r="AM332" s="43"/>
      <c r="AN332" s="43"/>
      <c r="AO332" s="43"/>
    </row>
    <row r="333" hidden="1">
      <c r="A333" s="62" t="s">
        <v>2264</v>
      </c>
      <c r="B333" s="63" t="s">
        <v>225</v>
      </c>
      <c r="C333" s="64" t="s">
        <v>2265</v>
      </c>
      <c r="D333" s="47" t="s">
        <v>2266</v>
      </c>
      <c r="E333" s="64" t="s">
        <v>85</v>
      </c>
      <c r="F333" s="31" t="s">
        <v>40</v>
      </c>
      <c r="G333" s="31" t="s">
        <v>156</v>
      </c>
      <c r="H333" s="31" t="s">
        <v>779</v>
      </c>
      <c r="I333" s="31" t="s">
        <v>60</v>
      </c>
      <c r="J333" s="31"/>
      <c r="K333" s="31"/>
      <c r="L333" s="32">
        <f>IFERROR(__xludf.DUMMYFUNCTION("VLOOKUP($A333,IMPORTRANGE(""1PQtfbQLqBUP-rjYRznmgNFBLOjvAnhGzpIx7BJWq8rk"",""'Worksheet'!$B$2:$H""),7,FALSE)"),0.99)</f>
        <v>0.99</v>
      </c>
      <c r="M333" s="31" t="s">
        <v>40</v>
      </c>
      <c r="N333" s="49">
        <v>1.697E7</v>
      </c>
      <c r="O333" s="49">
        <v>5091000.0</v>
      </c>
      <c r="P333" s="49">
        <f t="shared" si="47"/>
        <v>11879000</v>
      </c>
      <c r="Q333" s="34">
        <f t="shared" si="3"/>
        <v>0.7</v>
      </c>
      <c r="R333" s="31"/>
      <c r="S333" s="31" t="s">
        <v>40</v>
      </c>
      <c r="T333" s="155">
        <v>1.61215E7</v>
      </c>
      <c r="U333" s="172">
        <v>0.0</v>
      </c>
      <c r="V333" s="172">
        <v>1.61215E7</v>
      </c>
      <c r="W333" s="31"/>
      <c r="X333" s="52" t="s">
        <v>49</v>
      </c>
      <c r="Y333" s="54" t="s">
        <v>2267</v>
      </c>
      <c r="Z333" s="54" t="s">
        <v>3455</v>
      </c>
      <c r="AA333" s="68">
        <v>46225.0</v>
      </c>
      <c r="AB333" s="56"/>
      <c r="AC333" s="38"/>
      <c r="AD333" s="39">
        <v>16970.0</v>
      </c>
      <c r="AE333" s="39">
        <v>5091.0</v>
      </c>
      <c r="AF333" s="40">
        <v>11879.0</v>
      </c>
      <c r="AG333" s="57" t="s">
        <v>2269</v>
      </c>
      <c r="AH333" s="42" t="s">
        <v>2270</v>
      </c>
      <c r="AI333" s="42" t="str">
        <f>IFERROR(__xludf.DUMMYFUNCTION("vLOOKUP(A333,IMPORTRANGE(""https://docs.google.com/spreadsheets/d/1Rawwwdh8wntXGy8isdYNHxsNQS4n_rC8JSdPfj6vEq4"",""'500 объектов перенос на 2026'!A3:AB502""),13,0)"),"#REF!")</f>
        <v>#REF!</v>
      </c>
      <c r="AJ333" s="42" t="str">
        <f>IFERROR(__xludf.DUMMYFUNCTION("vLOOKUP(A333,IMPORTRANGE(""https://docs.google.com/spreadsheets/d/1Rawwwdh8wntXGy8isdYNHxsNQS4n_rC8JSdPfj6vEq4"",""'500 объектов перенос на 2026'!A3:AB502""),14,0)"),"#REF!")</f>
        <v>#REF!</v>
      </c>
      <c r="AK333" s="76" t="s">
        <v>2271</v>
      </c>
      <c r="AL333" s="43"/>
      <c r="AM333" s="43"/>
      <c r="AN333" s="43"/>
      <c r="AO333" s="43"/>
    </row>
    <row r="334" hidden="1">
      <c r="A334" s="62" t="s">
        <v>2272</v>
      </c>
      <c r="B334" s="63" t="s">
        <v>703</v>
      </c>
      <c r="C334" s="64" t="s">
        <v>2273</v>
      </c>
      <c r="D334" s="47" t="s">
        <v>1523</v>
      </c>
      <c r="E334" s="64" t="s">
        <v>85</v>
      </c>
      <c r="F334" s="31" t="s">
        <v>60</v>
      </c>
      <c r="G334" s="31"/>
      <c r="H334" s="31"/>
      <c r="I334" s="31" t="s">
        <v>60</v>
      </c>
      <c r="J334" s="31"/>
      <c r="K334" s="31"/>
      <c r="L334" s="32">
        <f>IFERROR(__xludf.DUMMYFUNCTION("VLOOKUP($A334,IMPORTRANGE(""1PQtfbQLqBUP-rjYRznmgNFBLOjvAnhGzpIx7BJWq8rk"",""'Worksheet'!$B$2:$H""),7,FALSE)"),0.97)</f>
        <v>0.97</v>
      </c>
      <c r="M334" s="31" t="s">
        <v>60</v>
      </c>
      <c r="N334" s="49">
        <v>1.955561735E7</v>
      </c>
      <c r="O334" s="49">
        <v>1.056586618E7</v>
      </c>
      <c r="P334" s="49">
        <v>0.0</v>
      </c>
      <c r="Q334" s="34">
        <f t="shared" si="3"/>
        <v>0.4597017322</v>
      </c>
      <c r="R334" s="31"/>
      <c r="S334" s="31" t="s">
        <v>60</v>
      </c>
      <c r="T334" s="91">
        <v>0.0</v>
      </c>
      <c r="U334" s="51">
        <v>0.0</v>
      </c>
      <c r="V334" s="51">
        <v>0.0</v>
      </c>
      <c r="W334" s="31"/>
      <c r="X334" s="52" t="s">
        <v>209</v>
      </c>
      <c r="Y334" s="54" t="s">
        <v>114</v>
      </c>
      <c r="Z334" s="54"/>
      <c r="AA334" s="54" t="s">
        <v>114</v>
      </c>
      <c r="AB334" s="38" t="s">
        <v>3359</v>
      </c>
      <c r="AC334" s="38"/>
      <c r="AD334" s="39">
        <v>19555.0</v>
      </c>
      <c r="AE334" s="39">
        <v>13886.23618</v>
      </c>
      <c r="AF334" s="39">
        <v>5668.76382</v>
      </c>
      <c r="AG334" s="99" t="s">
        <v>3456</v>
      </c>
      <c r="AH334" s="42"/>
      <c r="AI334" s="42" t="str">
        <f>IFERROR(__xludf.DUMMYFUNCTION("vLOOKUP(A334,IMPORTRANGE(""https://docs.google.com/spreadsheets/d/1Rawwwdh8wntXGy8isdYNHxsNQS4n_rC8JSdPfj6vEq4"",""'500 объектов перенос на 2026'!A3:AB502""),13,0)"),"#REF!")</f>
        <v>#REF!</v>
      </c>
      <c r="AJ334" s="42" t="str">
        <f>IFERROR(__xludf.DUMMYFUNCTION("vLOOKUP(A334,IMPORTRANGE(""https://docs.google.com/spreadsheets/d/1Rawwwdh8wntXGy8isdYNHxsNQS4n_rC8JSdPfj6vEq4"",""'500 объектов перенос на 2026'!A3:AB502""),14,0)"),"#REF!")</f>
        <v>#REF!</v>
      </c>
      <c r="AK334" s="76" t="s">
        <v>114</v>
      </c>
      <c r="AL334" s="43"/>
      <c r="AM334" s="43"/>
      <c r="AN334" s="43"/>
      <c r="AO334" s="43"/>
    </row>
    <row r="335" hidden="1">
      <c r="A335" s="62" t="s">
        <v>2275</v>
      </c>
      <c r="B335" s="63" t="s">
        <v>703</v>
      </c>
      <c r="C335" s="64" t="s">
        <v>2276</v>
      </c>
      <c r="D335" s="47" t="s">
        <v>1523</v>
      </c>
      <c r="E335" s="64" t="s">
        <v>85</v>
      </c>
      <c r="F335" s="31" t="s">
        <v>60</v>
      </c>
      <c r="G335" s="31"/>
      <c r="H335" s="31"/>
      <c r="I335" s="31" t="s">
        <v>60</v>
      </c>
      <c r="J335" s="31"/>
      <c r="K335" s="31"/>
      <c r="L335" s="32">
        <f>IFERROR(__xludf.DUMMYFUNCTION("VLOOKUP($A335,IMPORTRANGE(""1PQtfbQLqBUP-rjYRznmgNFBLOjvAnhGzpIx7BJWq8rk"",""'Worksheet'!$B$2:$H""),7,FALSE)"),1.0)</f>
        <v>1</v>
      </c>
      <c r="M335" s="31" t="s">
        <v>60</v>
      </c>
      <c r="N335" s="49">
        <v>9728411.03</v>
      </c>
      <c r="O335" s="49">
        <v>9476141.19</v>
      </c>
      <c r="P335" s="49">
        <v>0.0</v>
      </c>
      <c r="Q335" s="34">
        <f t="shared" si="3"/>
        <v>0.0259312481</v>
      </c>
      <c r="R335" s="31"/>
      <c r="S335" s="31" t="s">
        <v>60</v>
      </c>
      <c r="T335" s="91">
        <v>0.0</v>
      </c>
      <c r="U335" s="51">
        <v>0.0</v>
      </c>
      <c r="V335" s="51">
        <v>0.0</v>
      </c>
      <c r="W335" s="31"/>
      <c r="X335" s="52" t="s">
        <v>209</v>
      </c>
      <c r="Y335" s="54" t="s">
        <v>114</v>
      </c>
      <c r="Z335" s="54"/>
      <c r="AA335" s="54" t="s">
        <v>114</v>
      </c>
      <c r="AB335" s="38" t="s">
        <v>3359</v>
      </c>
      <c r="AC335" s="38"/>
      <c r="AD335" s="39">
        <v>9248.11</v>
      </c>
      <c r="AE335" s="39">
        <v>7266.77284</v>
      </c>
      <c r="AF335" s="39">
        <v>1981.33716</v>
      </c>
      <c r="AG335" s="173" t="s">
        <v>3457</v>
      </c>
      <c r="AH335" s="42"/>
      <c r="AI335" s="42" t="str">
        <f>IFERROR(__xludf.DUMMYFUNCTION("vLOOKUP(A335,IMPORTRANGE(""https://docs.google.com/spreadsheets/d/1Rawwwdh8wntXGy8isdYNHxsNQS4n_rC8JSdPfj6vEq4"",""'500 объектов перенос на 2026'!A3:AB502""),13,0)"),"#REF!")</f>
        <v>#REF!</v>
      </c>
      <c r="AJ335" s="42" t="str">
        <f>IFERROR(__xludf.DUMMYFUNCTION("vLOOKUP(A335,IMPORTRANGE(""https://docs.google.com/spreadsheets/d/1Rawwwdh8wntXGy8isdYNHxsNQS4n_rC8JSdPfj6vEq4"",""'500 объектов перенос на 2026'!A3:AB502""),14,0)"),"#REF!")</f>
        <v>#REF!</v>
      </c>
      <c r="AK335" s="76" t="s">
        <v>114</v>
      </c>
      <c r="AL335" s="43"/>
      <c r="AM335" s="43"/>
      <c r="AN335" s="43"/>
      <c r="AO335" s="43"/>
    </row>
    <row r="336" hidden="1">
      <c r="A336" s="62" t="s">
        <v>2278</v>
      </c>
      <c r="B336" s="63" t="s">
        <v>703</v>
      </c>
      <c r="C336" s="64" t="s">
        <v>2279</v>
      </c>
      <c r="D336" s="47" t="s">
        <v>1523</v>
      </c>
      <c r="E336" s="64" t="s">
        <v>85</v>
      </c>
      <c r="F336" s="31" t="s">
        <v>60</v>
      </c>
      <c r="G336" s="31"/>
      <c r="H336" s="31"/>
      <c r="I336" s="31" t="s">
        <v>60</v>
      </c>
      <c r="J336" s="31"/>
      <c r="K336" s="31"/>
      <c r="L336" s="32">
        <f>IFERROR(__xludf.DUMMYFUNCTION("VLOOKUP($A336,IMPORTRANGE(""1PQtfbQLqBUP-rjYRznmgNFBLOjvAnhGzpIx7BJWq8rk"",""'Worksheet'!$B$2:$H""),7,FALSE)"),0.97)</f>
        <v>0.97</v>
      </c>
      <c r="M336" s="31" t="s">
        <v>60</v>
      </c>
      <c r="N336" s="49">
        <v>1.639409168E7</v>
      </c>
      <c r="O336" s="49">
        <v>1.600472885E7</v>
      </c>
      <c r="P336" s="49">
        <v>0.0</v>
      </c>
      <c r="Q336" s="34">
        <f t="shared" si="3"/>
        <v>0.0237501923</v>
      </c>
      <c r="R336" s="31"/>
      <c r="S336" s="31" t="s">
        <v>60</v>
      </c>
      <c r="T336" s="91">
        <v>0.0</v>
      </c>
      <c r="U336" s="51">
        <v>0.0</v>
      </c>
      <c r="V336" s="51">
        <v>0.0</v>
      </c>
      <c r="W336" s="31"/>
      <c r="X336" s="52" t="s">
        <v>209</v>
      </c>
      <c r="Y336" s="54" t="s">
        <v>114</v>
      </c>
      <c r="Z336" s="54"/>
      <c r="AA336" s="54" t="s">
        <v>114</v>
      </c>
      <c r="AB336" s="38" t="s">
        <v>3359</v>
      </c>
      <c r="AC336" s="38"/>
      <c r="AD336" s="39">
        <v>16394.09</v>
      </c>
      <c r="AE336" s="39">
        <v>14295.45921</v>
      </c>
      <c r="AF336" s="39">
        <v>2098.63079</v>
      </c>
      <c r="AG336" s="99" t="s">
        <v>2280</v>
      </c>
      <c r="AH336" s="42"/>
      <c r="AI336" s="42" t="str">
        <f>IFERROR(__xludf.DUMMYFUNCTION("vLOOKUP(A336,IMPORTRANGE(""https://docs.google.com/spreadsheets/d/1Rawwwdh8wntXGy8isdYNHxsNQS4n_rC8JSdPfj6vEq4"",""'500 объектов перенос на 2026'!A3:AB502""),13,0)"),"#REF!")</f>
        <v>#REF!</v>
      </c>
      <c r="AJ336" s="42" t="str">
        <f>IFERROR(__xludf.DUMMYFUNCTION("vLOOKUP(A336,IMPORTRANGE(""https://docs.google.com/spreadsheets/d/1Rawwwdh8wntXGy8isdYNHxsNQS4n_rC8JSdPfj6vEq4"",""'500 объектов перенос на 2026'!A3:AB502""),14,0)"),"#REF!")</f>
        <v>#REF!</v>
      </c>
      <c r="AK336" s="76" t="s">
        <v>114</v>
      </c>
      <c r="AL336" s="43"/>
      <c r="AM336" s="43"/>
      <c r="AN336" s="43"/>
      <c r="AO336" s="43"/>
    </row>
    <row r="337" hidden="1">
      <c r="A337" s="62" t="s">
        <v>2281</v>
      </c>
      <c r="B337" s="63" t="s">
        <v>703</v>
      </c>
      <c r="C337" s="64" t="s">
        <v>2282</v>
      </c>
      <c r="D337" s="47" t="s">
        <v>1523</v>
      </c>
      <c r="E337" s="64" t="s">
        <v>85</v>
      </c>
      <c r="F337" s="31" t="s">
        <v>60</v>
      </c>
      <c r="G337" s="31"/>
      <c r="H337" s="31"/>
      <c r="I337" s="31" t="s">
        <v>60</v>
      </c>
      <c r="J337" s="31"/>
      <c r="K337" s="31"/>
      <c r="L337" s="32">
        <f>IFERROR(__xludf.DUMMYFUNCTION("VLOOKUP($A337,IMPORTRANGE(""1PQtfbQLqBUP-rjYRznmgNFBLOjvAnhGzpIx7BJWq8rk"",""'Worksheet'!$B$2:$H""),7,FALSE)"),1.0)</f>
        <v>1</v>
      </c>
      <c r="M337" s="31" t="s">
        <v>60</v>
      </c>
      <c r="N337" s="49">
        <v>2.392725967E7</v>
      </c>
      <c r="O337" s="49">
        <v>1.986378836E7</v>
      </c>
      <c r="P337" s="49">
        <v>0.0</v>
      </c>
      <c r="Q337" s="34">
        <f t="shared" si="3"/>
        <v>0.1698260213</v>
      </c>
      <c r="R337" s="31"/>
      <c r="S337" s="31" t="s">
        <v>60</v>
      </c>
      <c r="T337" s="91">
        <v>0.0</v>
      </c>
      <c r="U337" s="51">
        <v>0.0</v>
      </c>
      <c r="V337" s="51">
        <v>0.0</v>
      </c>
      <c r="W337" s="31"/>
      <c r="X337" s="52" t="s">
        <v>209</v>
      </c>
      <c r="Y337" s="54" t="s">
        <v>114</v>
      </c>
      <c r="Z337" s="54"/>
      <c r="AA337" s="54" t="s">
        <v>114</v>
      </c>
      <c r="AB337" s="38" t="s">
        <v>3359</v>
      </c>
      <c r="AC337" s="38"/>
      <c r="AD337" s="39">
        <v>23927.6</v>
      </c>
      <c r="AE337" s="39">
        <v>17655.5514</v>
      </c>
      <c r="AF337" s="39">
        <v>6272.0486</v>
      </c>
      <c r="AG337" s="99" t="s">
        <v>2283</v>
      </c>
      <c r="AH337" s="42"/>
      <c r="AI337" s="42" t="str">
        <f>IFERROR(__xludf.DUMMYFUNCTION("vLOOKUP(A337,IMPORTRANGE(""https://docs.google.com/spreadsheets/d/1Rawwwdh8wntXGy8isdYNHxsNQS4n_rC8JSdPfj6vEq4"",""'500 объектов перенос на 2026'!A3:AB502""),13,0)"),"#REF!")</f>
        <v>#REF!</v>
      </c>
      <c r="AJ337" s="42" t="str">
        <f>IFERROR(__xludf.DUMMYFUNCTION("vLOOKUP(A337,IMPORTRANGE(""https://docs.google.com/spreadsheets/d/1Rawwwdh8wntXGy8isdYNHxsNQS4n_rC8JSdPfj6vEq4"",""'500 объектов перенос на 2026'!A3:AB502""),14,0)"),"#REF!")</f>
        <v>#REF!</v>
      </c>
      <c r="AK337" s="76" t="s">
        <v>114</v>
      </c>
      <c r="AL337" s="43"/>
      <c r="AM337" s="43"/>
      <c r="AN337" s="43"/>
      <c r="AO337" s="43"/>
    </row>
    <row r="338" hidden="1">
      <c r="A338" s="62" t="s">
        <v>2284</v>
      </c>
      <c r="B338" s="63" t="s">
        <v>703</v>
      </c>
      <c r="C338" s="64" t="s">
        <v>2285</v>
      </c>
      <c r="D338" s="47" t="s">
        <v>1523</v>
      </c>
      <c r="E338" s="64" t="s">
        <v>85</v>
      </c>
      <c r="F338" s="31" t="s">
        <v>60</v>
      </c>
      <c r="G338" s="31"/>
      <c r="H338" s="31"/>
      <c r="I338" s="31" t="s">
        <v>60</v>
      </c>
      <c r="J338" s="31"/>
      <c r="K338" s="31"/>
      <c r="L338" s="32">
        <f>IFERROR(__xludf.DUMMYFUNCTION("VLOOKUP($A338,IMPORTRANGE(""1PQtfbQLqBUP-rjYRznmgNFBLOjvAnhGzpIx7BJWq8rk"",""'Worksheet'!$B$2:$H""),7,FALSE)"),0.99)</f>
        <v>0.99</v>
      </c>
      <c r="M338" s="31" t="s">
        <v>60</v>
      </c>
      <c r="N338" s="49">
        <v>5750611.28</v>
      </c>
      <c r="O338" s="49">
        <v>5505187.73</v>
      </c>
      <c r="P338" s="49">
        <v>0.0</v>
      </c>
      <c r="Q338" s="34">
        <f t="shared" si="3"/>
        <v>0.04267781946</v>
      </c>
      <c r="R338" s="31"/>
      <c r="S338" s="31" t="s">
        <v>60</v>
      </c>
      <c r="T338" s="91">
        <v>0.0</v>
      </c>
      <c r="U338" s="51">
        <v>0.0</v>
      </c>
      <c r="V338" s="51">
        <v>0.0</v>
      </c>
      <c r="W338" s="31"/>
      <c r="X338" s="52" t="s">
        <v>209</v>
      </c>
      <c r="Y338" s="54" t="s">
        <v>114</v>
      </c>
      <c r="Z338" s="54"/>
      <c r="AA338" s="54" t="s">
        <v>114</v>
      </c>
      <c r="AB338" s="38" t="s">
        <v>3359</v>
      </c>
      <c r="AC338" s="38"/>
      <c r="AD338" s="39">
        <v>5750.61</v>
      </c>
      <c r="AE338" s="39">
        <v>5505.18773</v>
      </c>
      <c r="AF338" s="39">
        <v>245.42227</v>
      </c>
      <c r="AG338" s="99" t="s">
        <v>2286</v>
      </c>
      <c r="AH338" s="42"/>
      <c r="AI338" s="42" t="str">
        <f>IFERROR(__xludf.DUMMYFUNCTION("vLOOKUP(A338,IMPORTRANGE(""https://docs.google.com/spreadsheets/d/1Rawwwdh8wntXGy8isdYNHxsNQS4n_rC8JSdPfj6vEq4"",""'500 объектов перенос на 2026'!A3:AB502""),13,0)"),"#REF!")</f>
        <v>#REF!</v>
      </c>
      <c r="AJ338" s="42" t="str">
        <f>IFERROR(__xludf.DUMMYFUNCTION("vLOOKUP(A338,IMPORTRANGE(""https://docs.google.com/spreadsheets/d/1Rawwwdh8wntXGy8isdYNHxsNQS4n_rC8JSdPfj6vEq4"",""'500 объектов перенос на 2026'!A3:AB502""),14,0)"),"#REF!")</f>
        <v>#REF!</v>
      </c>
      <c r="AK338" s="76" t="s">
        <v>114</v>
      </c>
      <c r="AL338" s="43"/>
      <c r="AM338" s="43"/>
      <c r="AN338" s="43"/>
      <c r="AO338" s="43"/>
    </row>
    <row r="339" hidden="1">
      <c r="A339" s="114" t="s">
        <v>2287</v>
      </c>
      <c r="B339" s="63" t="s">
        <v>703</v>
      </c>
      <c r="C339" s="64" t="s">
        <v>2288</v>
      </c>
      <c r="D339" s="47" t="s">
        <v>1523</v>
      </c>
      <c r="E339" s="64" t="s">
        <v>85</v>
      </c>
      <c r="F339" s="31" t="s">
        <v>60</v>
      </c>
      <c r="G339" s="31"/>
      <c r="H339" s="31"/>
      <c r="I339" s="31" t="s">
        <v>60</v>
      </c>
      <c r="J339" s="31"/>
      <c r="K339" s="31"/>
      <c r="L339" s="32">
        <f>IFERROR(__xludf.DUMMYFUNCTION("VLOOKUP($A339,IMPORTRANGE(""1PQtfbQLqBUP-rjYRznmgNFBLOjvAnhGzpIx7BJWq8rk"",""'Worksheet'!$B$2:$H""),7,FALSE)"),0.99)</f>
        <v>0.99</v>
      </c>
      <c r="M339" s="31" t="s">
        <v>60</v>
      </c>
      <c r="N339" s="49">
        <v>4114470.38</v>
      </c>
      <c r="O339" s="49">
        <v>4085583.64</v>
      </c>
      <c r="P339" s="49">
        <v>0.0</v>
      </c>
      <c r="Q339" s="34">
        <f t="shared" si="3"/>
        <v>0.007020767519</v>
      </c>
      <c r="R339" s="31"/>
      <c r="S339" s="31" t="s">
        <v>60</v>
      </c>
      <c r="T339" s="91">
        <v>0.0</v>
      </c>
      <c r="U339" s="51">
        <v>0.0</v>
      </c>
      <c r="V339" s="51">
        <v>0.0</v>
      </c>
      <c r="W339" s="31"/>
      <c r="X339" s="52" t="s">
        <v>209</v>
      </c>
      <c r="Y339" s="54" t="s">
        <v>114</v>
      </c>
      <c r="Z339" s="54"/>
      <c r="AA339" s="54" t="s">
        <v>114</v>
      </c>
      <c r="AB339" s="38" t="s">
        <v>3359</v>
      </c>
      <c r="AC339" s="38"/>
      <c r="AD339" s="39">
        <v>4114.47</v>
      </c>
      <c r="AE339" s="39">
        <v>4085.58824</v>
      </c>
      <c r="AF339" s="39">
        <v>28.88176</v>
      </c>
      <c r="AG339" s="99" t="s">
        <v>2289</v>
      </c>
      <c r="AH339" s="42"/>
      <c r="AI339" s="42" t="str">
        <f>IFERROR(__xludf.DUMMYFUNCTION("vLOOKUP(A339,IMPORTRANGE(""https://docs.google.com/spreadsheets/d/1Rawwwdh8wntXGy8isdYNHxsNQS4n_rC8JSdPfj6vEq4"",""'500 объектов перенос на 2026'!A3:AB502""),13,0)"),"#REF!")</f>
        <v>#REF!</v>
      </c>
      <c r="AJ339" s="42" t="str">
        <f>IFERROR(__xludf.DUMMYFUNCTION("vLOOKUP(A339,IMPORTRANGE(""https://docs.google.com/spreadsheets/d/1Rawwwdh8wntXGy8isdYNHxsNQS4n_rC8JSdPfj6vEq4"",""'500 объектов перенос на 2026'!A3:AB502""),14,0)"),"#REF!")</f>
        <v>#REF!</v>
      </c>
      <c r="AK339" s="76" t="s">
        <v>114</v>
      </c>
      <c r="AL339" s="43"/>
      <c r="AM339" s="43"/>
      <c r="AN339" s="43"/>
      <c r="AO339" s="43"/>
    </row>
    <row r="340" hidden="1">
      <c r="A340" s="62" t="s">
        <v>2290</v>
      </c>
      <c r="B340" s="63" t="s">
        <v>56</v>
      </c>
      <c r="C340" s="64" t="s">
        <v>2291</v>
      </c>
      <c r="D340" s="47" t="s">
        <v>311</v>
      </c>
      <c r="E340" s="64" t="s">
        <v>85</v>
      </c>
      <c r="F340" s="31" t="s">
        <v>60</v>
      </c>
      <c r="G340" s="31"/>
      <c r="H340" s="31"/>
      <c r="I340" s="31" t="s">
        <v>40</v>
      </c>
      <c r="J340" s="31" t="s">
        <v>61</v>
      </c>
      <c r="K340" s="31" t="s">
        <v>62</v>
      </c>
      <c r="L340" s="32">
        <f>IFERROR(__xludf.DUMMYFUNCTION("VLOOKUP($A340,IMPORTRANGE(""1PQtfbQLqBUP-rjYRznmgNFBLOjvAnhGzpIx7BJWq8rk"",""'Worksheet'!$B$2:$H""),7,FALSE)"),0.9)</f>
        <v>0.9</v>
      </c>
      <c r="M340" s="31" t="s">
        <v>45</v>
      </c>
      <c r="N340" s="49">
        <v>1.1299687267E8</v>
      </c>
      <c r="O340" s="49">
        <v>1.0143031375E8</v>
      </c>
      <c r="P340" s="49">
        <f t="shared" ref="P340:P357" si="48">N340-O340</f>
        <v>11566558.92</v>
      </c>
      <c r="Q340" s="34">
        <f t="shared" si="3"/>
        <v>0.1023617614</v>
      </c>
      <c r="R340" s="31"/>
      <c r="S340" s="31" t="s">
        <v>45</v>
      </c>
      <c r="T340" s="72" t="s">
        <v>2292</v>
      </c>
      <c r="U340" s="67" t="s">
        <v>2293</v>
      </c>
      <c r="V340" s="67" t="s">
        <v>2294</v>
      </c>
      <c r="W340" s="31"/>
      <c r="X340" s="52" t="s">
        <v>2295</v>
      </c>
      <c r="Y340" s="54" t="s">
        <v>2296</v>
      </c>
      <c r="Z340" s="74"/>
      <c r="AA340" s="68">
        <v>46233.0</v>
      </c>
      <c r="AB340" s="56"/>
      <c r="AC340" s="38"/>
      <c r="AD340" s="39">
        <v>112996.87</v>
      </c>
      <c r="AE340" s="39">
        <v>101430.3224</v>
      </c>
      <c r="AF340" s="40">
        <v>11566.54756</v>
      </c>
      <c r="AG340" s="99" t="s">
        <v>2297</v>
      </c>
      <c r="AH340" s="69" t="s">
        <v>66</v>
      </c>
      <c r="AI340" s="42" t="str">
        <f>IFERROR(__xludf.DUMMYFUNCTION("vLOOKUP(A340,IMPORTRANGE(""https://docs.google.com/spreadsheets/d/1Rawwwdh8wntXGy8isdYNHxsNQS4n_rC8JSdPfj6vEq4"",""'500 объектов перенос на 2026'!A3:AB502""),13,0)"),"#REF!")</f>
        <v>#REF!</v>
      </c>
      <c r="AJ340" s="42" t="str">
        <f>IFERROR(__xludf.DUMMYFUNCTION("vLOOKUP(A340,IMPORTRANGE(""https://docs.google.com/spreadsheets/d/1Rawwwdh8wntXGy8isdYNHxsNQS4n_rC8JSdPfj6vEq4"",""'500 объектов перенос на 2026'!A3:AB502""),14,0)"),"#REF!")</f>
        <v>#REF!</v>
      </c>
      <c r="AK340" s="76" t="s">
        <v>2009</v>
      </c>
      <c r="AL340" s="43"/>
      <c r="AM340" s="43"/>
      <c r="AN340" s="43"/>
      <c r="AO340" s="43"/>
    </row>
    <row r="341" hidden="1">
      <c r="A341" s="62" t="s">
        <v>2299</v>
      </c>
      <c r="B341" s="63" t="s">
        <v>826</v>
      </c>
      <c r="C341" s="64" t="s">
        <v>2300</v>
      </c>
      <c r="D341" s="47" t="s">
        <v>323</v>
      </c>
      <c r="E341" s="64" t="s">
        <v>85</v>
      </c>
      <c r="F341" s="31" t="s">
        <v>40</v>
      </c>
      <c r="G341" s="31" t="s">
        <v>41</v>
      </c>
      <c r="H341" s="31" t="s">
        <v>260</v>
      </c>
      <c r="I341" s="31" t="s">
        <v>60</v>
      </c>
      <c r="J341" s="31"/>
      <c r="K341" s="31"/>
      <c r="L341" s="32">
        <f>IFERROR(__xludf.DUMMYFUNCTION("VLOOKUP($A341,IMPORTRANGE(""1PQtfbQLqBUP-rjYRznmgNFBLOjvAnhGzpIx7BJWq8rk"",""'Worksheet'!$B$2:$H""),7,FALSE)"),0.9)</f>
        <v>0.9</v>
      </c>
      <c r="M341" s="31" t="s">
        <v>40</v>
      </c>
      <c r="N341" s="49">
        <v>2.1520561E7</v>
      </c>
      <c r="O341" s="49">
        <v>1.022872264E7</v>
      </c>
      <c r="P341" s="49">
        <f t="shared" si="48"/>
        <v>11291838.36</v>
      </c>
      <c r="Q341" s="34">
        <f t="shared" si="3"/>
        <v>0.5247000002</v>
      </c>
      <c r="R341" s="31"/>
      <c r="S341" s="31" t="s">
        <v>45</v>
      </c>
      <c r="T341" s="50">
        <v>2.044453295E7</v>
      </c>
      <c r="U341" s="51">
        <v>9717286.51</v>
      </c>
      <c r="V341" s="51">
        <f>T341-U341</f>
        <v>10727246.44</v>
      </c>
      <c r="W341" s="31"/>
      <c r="X341" s="52">
        <v>9717286.51</v>
      </c>
      <c r="Y341" s="54" t="s">
        <v>2043</v>
      </c>
      <c r="Z341" s="54" t="s">
        <v>1602</v>
      </c>
      <c r="AA341" s="74">
        <v>46266.0</v>
      </c>
      <c r="AB341" s="56"/>
      <c r="AC341" s="38"/>
      <c r="AD341" s="39">
        <v>21520.561</v>
      </c>
      <c r="AE341" s="39">
        <v>10228.72264</v>
      </c>
      <c r="AF341" s="40">
        <v>11291.83836</v>
      </c>
      <c r="AG341" s="57" t="s">
        <v>2301</v>
      </c>
      <c r="AH341" s="42" t="s">
        <v>49</v>
      </c>
      <c r="AI341" s="42" t="str">
        <f>IFERROR(__xludf.DUMMYFUNCTION("vLOOKUP(A341,IMPORTRANGE(""https://docs.google.com/spreadsheets/d/1Rawwwdh8wntXGy8isdYNHxsNQS4n_rC8JSdPfj6vEq4"",""'500 объектов перенос на 2026'!A3:AB502""),13,0)"),"#REF!")</f>
        <v>#REF!</v>
      </c>
      <c r="AJ341" s="42" t="str">
        <f>IFERROR(__xludf.DUMMYFUNCTION("vLOOKUP(A341,IMPORTRANGE(""https://docs.google.com/spreadsheets/d/1Rawwwdh8wntXGy8isdYNHxsNQS4n_rC8JSdPfj6vEq4"",""'500 объектов перенос на 2026'!A3:AB502""),14,0)"),"#REF!")</f>
        <v>#REF!</v>
      </c>
      <c r="AK341" s="262" t="s">
        <v>2043</v>
      </c>
      <c r="AL341" s="43"/>
      <c r="AM341" s="43"/>
      <c r="AN341" s="43"/>
      <c r="AO341" s="43"/>
    </row>
    <row r="342" hidden="1">
      <c r="A342" s="78" t="s">
        <v>2303</v>
      </c>
      <c r="B342" s="63" t="s">
        <v>653</v>
      </c>
      <c r="C342" s="64" t="s">
        <v>2304</v>
      </c>
      <c r="D342" s="47" t="s">
        <v>1546</v>
      </c>
      <c r="E342" s="64" t="s">
        <v>85</v>
      </c>
      <c r="F342" s="31" t="s">
        <v>60</v>
      </c>
      <c r="G342" s="31"/>
      <c r="H342" s="31"/>
      <c r="I342" s="31" t="s">
        <v>60</v>
      </c>
      <c r="J342" s="31"/>
      <c r="K342" s="31"/>
      <c r="L342" s="32" t="str">
        <f>IFERROR(__xludf.DUMMYFUNCTION("VLOOKUP($A342,IMPORTRANGE(""1PQtfbQLqBUP-rjYRznmgNFBLOjvAnhGzpIx7BJWq8rk"",""'Worksheet'!$B$2:$H""),7,FALSE)"),"#N/A")</f>
        <v>#N/A</v>
      </c>
      <c r="M342" s="31" t="s">
        <v>60</v>
      </c>
      <c r="N342" s="49">
        <v>8.1856E7</v>
      </c>
      <c r="O342" s="49">
        <v>8.1856E7</v>
      </c>
      <c r="P342" s="49">
        <f t="shared" si="48"/>
        <v>0</v>
      </c>
      <c r="Q342" s="34">
        <f t="shared" si="3"/>
        <v>0</v>
      </c>
      <c r="R342" s="31"/>
      <c r="S342" s="31" t="s">
        <v>60</v>
      </c>
      <c r="T342" s="91" t="s">
        <v>2305</v>
      </c>
      <c r="U342" s="117" t="s">
        <v>2306</v>
      </c>
      <c r="V342" s="51" t="s">
        <v>2307</v>
      </c>
      <c r="W342" s="31"/>
      <c r="X342" s="52" t="s">
        <v>2308</v>
      </c>
      <c r="Y342" s="54"/>
      <c r="Z342" s="54"/>
      <c r="AA342" s="54" t="s">
        <v>114</v>
      </c>
      <c r="AB342" s="38" t="s">
        <v>115</v>
      </c>
      <c r="AC342" s="38"/>
      <c r="AD342" s="39">
        <v>116889.53</v>
      </c>
      <c r="AE342" s="39">
        <v>86177.1613</v>
      </c>
      <c r="AF342" s="39">
        <v>30712.3687</v>
      </c>
      <c r="AG342" s="57" t="s">
        <v>2309</v>
      </c>
      <c r="AH342" s="42" t="s">
        <v>1191</v>
      </c>
      <c r="AI342" s="42" t="s">
        <v>1191</v>
      </c>
      <c r="AJ342" s="42" t="s">
        <v>1191</v>
      </c>
      <c r="AK342" s="76" t="s">
        <v>114</v>
      </c>
      <c r="AL342" s="43"/>
      <c r="AM342" s="43"/>
      <c r="AN342" s="43"/>
      <c r="AO342" s="43"/>
    </row>
    <row r="343" hidden="1">
      <c r="A343" s="62" t="s">
        <v>2310</v>
      </c>
      <c r="B343" s="63" t="s">
        <v>70</v>
      </c>
      <c r="C343" s="90" t="s">
        <v>2311</v>
      </c>
      <c r="D343" s="47" t="s">
        <v>38</v>
      </c>
      <c r="E343" s="64" t="s">
        <v>59</v>
      </c>
      <c r="F343" s="31" t="s">
        <v>60</v>
      </c>
      <c r="G343" s="31"/>
      <c r="H343" s="31"/>
      <c r="I343" s="31" t="s">
        <v>60</v>
      </c>
      <c r="J343" s="31"/>
      <c r="K343" s="31"/>
      <c r="L343" s="32">
        <f>IFERROR(__xludf.DUMMYFUNCTION("VLOOKUP($A343,IMPORTRANGE(""1PQtfbQLqBUP-rjYRznmgNFBLOjvAnhGzpIx7BJWq8rk"",""'Worksheet'!$B$2:$H""),7,FALSE)"),0.98)</f>
        <v>0.98</v>
      </c>
      <c r="M343" s="31" t="s">
        <v>45</v>
      </c>
      <c r="N343" s="49">
        <v>2.24775E7</v>
      </c>
      <c r="O343" s="49">
        <v>1.123875E7</v>
      </c>
      <c r="P343" s="49">
        <f t="shared" si="48"/>
        <v>11238750</v>
      </c>
      <c r="Q343" s="34">
        <f t="shared" si="3"/>
        <v>0.5</v>
      </c>
      <c r="R343" s="31"/>
      <c r="S343" s="31" t="s">
        <v>45</v>
      </c>
      <c r="T343" s="72">
        <v>1.992683594E7</v>
      </c>
      <c r="U343" s="51">
        <v>0.0</v>
      </c>
      <c r="V343" s="67">
        <v>1.992683594E7</v>
      </c>
      <c r="W343" s="31" t="s">
        <v>183</v>
      </c>
      <c r="X343" s="52" t="s">
        <v>507</v>
      </c>
      <c r="Y343" s="73" t="s">
        <v>2312</v>
      </c>
      <c r="Z343" s="54" t="s">
        <v>75</v>
      </c>
      <c r="AA343" s="74">
        <v>46185.0</v>
      </c>
      <c r="AB343" s="56"/>
      <c r="AC343" s="38"/>
      <c r="AD343" s="39">
        <v>22477.5</v>
      </c>
      <c r="AE343" s="39">
        <v>11238.75</v>
      </c>
      <c r="AF343" s="40">
        <v>11238.75</v>
      </c>
      <c r="AG343" s="57" t="s">
        <v>2313</v>
      </c>
      <c r="AH343" s="42" t="s">
        <v>66</v>
      </c>
      <c r="AI343" s="42" t="str">
        <f>IFERROR(__xludf.DUMMYFUNCTION("vLOOKUP(A343,IMPORTRANGE(""https://docs.google.com/spreadsheets/d/1Rawwwdh8wntXGy8isdYNHxsNQS4n_rC8JSdPfj6vEq4"",""'500 объектов перенос на 2026'!A3:AB502""),13,0)"),"#REF!")</f>
        <v>#REF!</v>
      </c>
      <c r="AJ343" s="42" t="str">
        <f>IFERROR(__xludf.DUMMYFUNCTION("vLOOKUP(A343,IMPORTRANGE(""https://docs.google.com/spreadsheets/d/1Rawwwdh8wntXGy8isdYNHxsNQS4n_rC8JSdPfj6vEq4"",""'500 объектов перенос на 2026'!A3:AB502""),14,0)"),"#REF!")</f>
        <v>#REF!</v>
      </c>
      <c r="AK343" s="76" t="s">
        <v>3458</v>
      </c>
      <c r="AL343" s="43"/>
      <c r="AM343" s="43"/>
      <c r="AN343" s="43"/>
      <c r="AO343" s="43"/>
    </row>
    <row r="344" hidden="1">
      <c r="A344" s="62" t="s">
        <v>2317</v>
      </c>
      <c r="B344" s="63" t="s">
        <v>400</v>
      </c>
      <c r="C344" s="64" t="s">
        <v>2318</v>
      </c>
      <c r="D344" s="47" t="s">
        <v>1048</v>
      </c>
      <c r="E344" s="64" t="s">
        <v>324</v>
      </c>
      <c r="F344" s="31" t="s">
        <v>60</v>
      </c>
      <c r="G344" s="31"/>
      <c r="H344" s="31"/>
      <c r="I344" s="31" t="s">
        <v>40</v>
      </c>
      <c r="J344" s="31" t="s">
        <v>102</v>
      </c>
      <c r="K344" s="31" t="s">
        <v>72</v>
      </c>
      <c r="L344" s="32">
        <f>IFERROR(__xludf.DUMMYFUNCTION("VLOOKUP($A344,IMPORTRANGE(""1PQtfbQLqBUP-rjYRznmgNFBLOjvAnhGzpIx7BJWq8rk"",""'Worksheet'!$B$2:$H""),7,FALSE)"),0.72)</f>
        <v>0.72</v>
      </c>
      <c r="M344" s="31" t="s">
        <v>45</v>
      </c>
      <c r="N344" s="49">
        <v>3.277325E7</v>
      </c>
      <c r="O344" s="49">
        <v>2.200142002E7</v>
      </c>
      <c r="P344" s="49">
        <f t="shared" si="48"/>
        <v>10771829.98</v>
      </c>
      <c r="Q344" s="34">
        <f t="shared" si="3"/>
        <v>0.3286775031</v>
      </c>
      <c r="R344" s="31"/>
      <c r="S344" s="31" t="s">
        <v>45</v>
      </c>
      <c r="T344" s="50"/>
      <c r="U344" s="51"/>
      <c r="V344" s="51"/>
      <c r="W344" s="31"/>
      <c r="X344" s="52" t="s">
        <v>113</v>
      </c>
      <c r="Y344" s="54" t="s">
        <v>2319</v>
      </c>
      <c r="Z344" s="54" t="s">
        <v>1749</v>
      </c>
      <c r="AA344" s="74">
        <v>46223.0</v>
      </c>
      <c r="AB344" s="56"/>
      <c r="AC344" s="38"/>
      <c r="AD344" s="39">
        <v>32773.25</v>
      </c>
      <c r="AE344" s="39">
        <v>22166.05482</v>
      </c>
      <c r="AF344" s="39">
        <v>10607.19518</v>
      </c>
      <c r="AG344" s="57" t="s">
        <v>2320</v>
      </c>
      <c r="AH344" s="42" t="s">
        <v>1054</v>
      </c>
      <c r="AI344" s="42" t="str">
        <f>IFERROR(__xludf.DUMMYFUNCTION("vLOOKUP(A344,IMPORTRANGE(""https://docs.google.com/spreadsheets/d/1Rawwwdh8wntXGy8isdYNHxsNQS4n_rC8JSdPfj6vEq4"",""'500 объектов перенос на 2026'!A3:AB502""),13,0)"),"#REF!")</f>
        <v>#REF!</v>
      </c>
      <c r="AJ344" s="42" t="str">
        <f>IFERROR(__xludf.DUMMYFUNCTION("vLOOKUP(A344,IMPORTRANGE(""https://docs.google.com/spreadsheets/d/1Rawwwdh8wntXGy8isdYNHxsNQS4n_rC8JSdPfj6vEq4"",""'500 объектов перенос на 2026'!A3:AB502""),14,0)"),"#REF!")</f>
        <v>#REF!</v>
      </c>
      <c r="AK344" s="76" t="s">
        <v>2321</v>
      </c>
      <c r="AL344" s="43"/>
      <c r="AM344" s="43"/>
      <c r="AN344" s="43"/>
      <c r="AO344" s="43"/>
    </row>
    <row r="345" hidden="1">
      <c r="A345" s="78" t="s">
        <v>2322</v>
      </c>
      <c r="B345" s="63" t="s">
        <v>653</v>
      </c>
      <c r="C345" s="64" t="s">
        <v>2323</v>
      </c>
      <c r="D345" s="47" t="s">
        <v>2083</v>
      </c>
      <c r="E345" s="64" t="s">
        <v>85</v>
      </c>
      <c r="F345" s="31" t="s">
        <v>60</v>
      </c>
      <c r="G345" s="31"/>
      <c r="H345" s="31"/>
      <c r="I345" s="31" t="s">
        <v>60</v>
      </c>
      <c r="J345" s="31"/>
      <c r="K345" s="31"/>
      <c r="L345" s="32" t="str">
        <f>IFERROR(__xludf.DUMMYFUNCTION("VLOOKUP($A345,IMPORTRANGE(""1PQtfbQLqBUP-rjYRznmgNFBLOjvAnhGzpIx7BJWq8rk"",""'Worksheet'!$B$2:$H""),7,FALSE)"),"#N/A")</f>
        <v>#N/A</v>
      </c>
      <c r="M345" s="31" t="s">
        <v>60</v>
      </c>
      <c r="N345" s="49">
        <v>1.512069323E7</v>
      </c>
      <c r="O345" s="49">
        <v>1.512069323E7</v>
      </c>
      <c r="P345" s="49">
        <f t="shared" si="48"/>
        <v>0</v>
      </c>
      <c r="Q345" s="34">
        <f t="shared" si="3"/>
        <v>0</v>
      </c>
      <c r="R345" s="31"/>
      <c r="S345" s="31" t="s">
        <v>60</v>
      </c>
      <c r="T345" s="91">
        <f>N345*0.95</f>
        <v>14364658.57</v>
      </c>
      <c r="U345" s="117">
        <f>T345</f>
        <v>14364658.57</v>
      </c>
      <c r="V345" s="51">
        <v>0.0</v>
      </c>
      <c r="W345" s="31"/>
      <c r="X345" s="52" t="s">
        <v>2308</v>
      </c>
      <c r="Y345" s="54"/>
      <c r="Z345" s="54"/>
      <c r="AA345" s="54" t="s">
        <v>114</v>
      </c>
      <c r="AB345" s="38" t="s">
        <v>115</v>
      </c>
      <c r="AC345" s="38"/>
      <c r="AD345" s="39">
        <v>22484.99</v>
      </c>
      <c r="AE345" s="39">
        <v>15120.69323</v>
      </c>
      <c r="AF345" s="39">
        <v>7364.29677</v>
      </c>
      <c r="AG345" s="57" t="s">
        <v>2324</v>
      </c>
      <c r="AH345" s="42" t="s">
        <v>1191</v>
      </c>
      <c r="AI345" s="42" t="s">
        <v>1191</v>
      </c>
      <c r="AJ345" s="42" t="s">
        <v>1191</v>
      </c>
      <c r="AK345" s="76" t="s">
        <v>114</v>
      </c>
      <c r="AL345" s="43"/>
      <c r="AM345" s="43"/>
      <c r="AN345" s="43"/>
      <c r="AO345" s="43"/>
    </row>
    <row r="346" hidden="1">
      <c r="A346" s="62" t="s">
        <v>2325</v>
      </c>
      <c r="B346" s="63" t="s">
        <v>1586</v>
      </c>
      <c r="C346" s="64" t="s">
        <v>2326</v>
      </c>
      <c r="D346" s="47" t="s">
        <v>1276</v>
      </c>
      <c r="E346" s="64" t="s">
        <v>85</v>
      </c>
      <c r="F346" s="31" t="s">
        <v>60</v>
      </c>
      <c r="G346" s="31"/>
      <c r="H346" s="31"/>
      <c r="I346" s="31" t="s">
        <v>40</v>
      </c>
      <c r="J346" s="31" t="s">
        <v>61</v>
      </c>
      <c r="K346" s="31" t="s">
        <v>72</v>
      </c>
      <c r="L346" s="32">
        <f>IFERROR(__xludf.DUMMYFUNCTION("VLOOKUP($A346,IMPORTRANGE(""1PQtfbQLqBUP-rjYRznmgNFBLOjvAnhGzpIx7BJWq8rk"",""'Worksheet'!$B$2:$H""),7,FALSE)"),0.9)</f>
        <v>0.9</v>
      </c>
      <c r="M346" s="31" t="s">
        <v>45</v>
      </c>
      <c r="N346" s="49">
        <v>4.237589033E7</v>
      </c>
      <c r="O346" s="49">
        <v>3.179114289E7</v>
      </c>
      <c r="P346" s="49">
        <f t="shared" si="48"/>
        <v>10584747.44</v>
      </c>
      <c r="Q346" s="34">
        <f t="shared" si="3"/>
        <v>0.2497823021</v>
      </c>
      <c r="R346" s="31"/>
      <c r="S346" s="31" t="s">
        <v>45</v>
      </c>
      <c r="T346" s="72" t="s">
        <v>2327</v>
      </c>
      <c r="U346" s="67" t="s">
        <v>2328</v>
      </c>
      <c r="V346" s="67" t="s">
        <v>2329</v>
      </c>
      <c r="W346" s="31"/>
      <c r="X346" s="52" t="s">
        <v>1592</v>
      </c>
      <c r="Y346" s="54" t="s">
        <v>3459</v>
      </c>
      <c r="Z346" s="54" t="s">
        <v>1594</v>
      </c>
      <c r="AA346" s="68">
        <v>46225.0</v>
      </c>
      <c r="AB346" s="56"/>
      <c r="AC346" s="38" t="s">
        <v>1595</v>
      </c>
      <c r="AD346" s="39">
        <v>55060.63</v>
      </c>
      <c r="AE346" s="39">
        <v>31791.14289</v>
      </c>
      <c r="AF346" s="40">
        <v>23269.48711</v>
      </c>
      <c r="AG346" s="57" t="s">
        <v>2330</v>
      </c>
      <c r="AH346" s="42" t="s">
        <v>2331</v>
      </c>
      <c r="AI346" s="42" t="str">
        <f>IFERROR(__xludf.DUMMYFUNCTION("vLOOKUP(A346,IMPORTRANGE(""https://docs.google.com/spreadsheets/d/1Rawwwdh8wntXGy8isdYNHxsNQS4n_rC8JSdPfj6vEq4"",""'500 объектов перенос на 2026'!A3:AB502""),13,0)"),"#REF!")</f>
        <v>#REF!</v>
      </c>
      <c r="AJ346" s="42" t="str">
        <f>IFERROR(__xludf.DUMMYFUNCTION("vLOOKUP(A346,IMPORTRANGE(""https://docs.google.com/spreadsheets/d/1Rawwwdh8wntXGy8isdYNHxsNQS4n_rC8JSdPfj6vEq4"",""'500 объектов перенос на 2026'!A3:AB502""),14,0)"),"#REF!")</f>
        <v>#REF!</v>
      </c>
      <c r="AK346" s="76" t="s">
        <v>2131</v>
      </c>
      <c r="AL346" s="43"/>
      <c r="AM346" s="43"/>
      <c r="AN346" s="43"/>
      <c r="AO346" s="43"/>
    </row>
    <row r="347" hidden="1">
      <c r="A347" s="62" t="s">
        <v>2333</v>
      </c>
      <c r="B347" s="63" t="s">
        <v>625</v>
      </c>
      <c r="C347" s="90" t="s">
        <v>2334</v>
      </c>
      <c r="D347" s="47" t="s">
        <v>705</v>
      </c>
      <c r="E347" s="64" t="s">
        <v>85</v>
      </c>
      <c r="F347" s="31" t="s">
        <v>60</v>
      </c>
      <c r="G347" s="31"/>
      <c r="H347" s="31"/>
      <c r="I347" s="31" t="s">
        <v>40</v>
      </c>
      <c r="J347" s="31" t="s">
        <v>61</v>
      </c>
      <c r="K347" s="31" t="s">
        <v>72</v>
      </c>
      <c r="L347" s="32">
        <f>IFERROR(__xludf.DUMMYFUNCTION("VLOOKUP($A347,IMPORTRANGE(""1PQtfbQLqBUP-rjYRznmgNFBLOjvAnhGzpIx7BJWq8rk"",""'Worksheet'!$B$2:$H""),7,FALSE)"),0.95)</f>
        <v>0.95</v>
      </c>
      <c r="M347" s="31" t="s">
        <v>45</v>
      </c>
      <c r="N347" s="49">
        <v>7.966045426E7</v>
      </c>
      <c r="O347" s="49">
        <v>6.929242482E7</v>
      </c>
      <c r="P347" s="49">
        <f t="shared" si="48"/>
        <v>10368029.44</v>
      </c>
      <c r="Q347" s="34">
        <f t="shared" si="3"/>
        <v>0.1301527783</v>
      </c>
      <c r="R347" s="31"/>
      <c r="S347" s="31" t="s">
        <v>45</v>
      </c>
      <c r="T347" s="91" t="s">
        <v>2335</v>
      </c>
      <c r="U347" s="117" t="s">
        <v>2336</v>
      </c>
      <c r="V347" s="51" t="s">
        <v>2337</v>
      </c>
      <c r="W347" s="31"/>
      <c r="X347" s="52" t="s">
        <v>2338</v>
      </c>
      <c r="Y347" s="54" t="s">
        <v>2339</v>
      </c>
      <c r="Z347" s="54" t="s">
        <v>274</v>
      </c>
      <c r="AA347" s="68">
        <v>46254.0</v>
      </c>
      <c r="AB347" s="56"/>
      <c r="AC347" s="38"/>
      <c r="AD347" s="39">
        <v>79660.54</v>
      </c>
      <c r="AE347" s="39">
        <v>69292.42482</v>
      </c>
      <c r="AF347" s="40">
        <v>10368.11518</v>
      </c>
      <c r="AG347" s="57" t="s">
        <v>2340</v>
      </c>
      <c r="AH347" s="42" t="s">
        <v>2341</v>
      </c>
      <c r="AI347" s="42" t="str">
        <f>IFERROR(__xludf.DUMMYFUNCTION("vLOOKUP(A347,IMPORTRANGE(""https://docs.google.com/spreadsheets/d/1Rawwwdh8wntXGy8isdYNHxsNQS4n_rC8JSdPfj6vEq4"",""'500 объектов перенос на 2026'!A3:AB502""),13,0)"),"#REF!")</f>
        <v>#REF!</v>
      </c>
      <c r="AJ347" s="42" t="str">
        <f>IFERROR(__xludf.DUMMYFUNCTION("vLOOKUP(A347,IMPORTRANGE(""https://docs.google.com/spreadsheets/d/1Rawwwdh8wntXGy8isdYNHxsNQS4n_rC8JSdPfj6vEq4"",""'500 объектов перенос на 2026'!A3:AB502""),14,0)"),"#REF!")</f>
        <v>#REF!</v>
      </c>
      <c r="AK347" s="140"/>
      <c r="AL347" s="43"/>
      <c r="AM347" s="43"/>
      <c r="AN347" s="43"/>
      <c r="AO347" s="43"/>
    </row>
    <row r="348" hidden="1">
      <c r="A348" s="62" t="s">
        <v>2342</v>
      </c>
      <c r="B348" s="63" t="s">
        <v>296</v>
      </c>
      <c r="C348" s="64" t="s">
        <v>2343</v>
      </c>
      <c r="D348" s="47" t="s">
        <v>246</v>
      </c>
      <c r="E348" s="64" t="s">
        <v>59</v>
      </c>
      <c r="F348" s="31" t="s">
        <v>60</v>
      </c>
      <c r="G348" s="31"/>
      <c r="H348" s="31"/>
      <c r="I348" s="31" t="s">
        <v>60</v>
      </c>
      <c r="J348" s="31"/>
      <c r="K348" s="31"/>
      <c r="L348" s="32" t="str">
        <f>IFERROR(__xludf.DUMMYFUNCTION("VLOOKUP($A348,IMPORTRANGE(""1PQtfbQLqBUP-rjYRznmgNFBLOjvAnhGzpIx7BJWq8rk"",""'Worksheet'!$B$2:$H""),7,FALSE)"),"#N/A")</f>
        <v>#N/A</v>
      </c>
      <c r="M348" s="31" t="s">
        <v>40</v>
      </c>
      <c r="N348" s="49">
        <v>2.274914972E7</v>
      </c>
      <c r="O348" s="49">
        <v>1.2612648E7</v>
      </c>
      <c r="P348" s="49">
        <f t="shared" si="48"/>
        <v>10136501.72</v>
      </c>
      <c r="Q348" s="34">
        <f t="shared" si="3"/>
        <v>0.4455771686</v>
      </c>
      <c r="R348" s="31"/>
      <c r="S348" s="31" t="s">
        <v>45</v>
      </c>
      <c r="T348" s="155">
        <f>N348-N348*0.05</f>
        <v>21611692.23</v>
      </c>
      <c r="U348" s="172">
        <v>0.0</v>
      </c>
      <c r="V348" s="51">
        <v>0.0</v>
      </c>
      <c r="W348" s="31" t="s">
        <v>183</v>
      </c>
      <c r="X348" s="52" t="s">
        <v>46</v>
      </c>
      <c r="Y348" s="73" t="s">
        <v>2344</v>
      </c>
      <c r="Z348" s="54" t="s">
        <v>2345</v>
      </c>
      <c r="AA348" s="68">
        <v>46225.0</v>
      </c>
      <c r="AB348" s="56"/>
      <c r="AC348" s="38"/>
      <c r="AD348" s="39">
        <v>39044.94</v>
      </c>
      <c r="AE348" s="102">
        <v>0.0</v>
      </c>
      <c r="AF348" s="40">
        <v>39044.94</v>
      </c>
      <c r="AG348" s="57" t="s">
        <v>2346</v>
      </c>
      <c r="AH348" s="57" t="s">
        <v>1515</v>
      </c>
      <c r="AI348" s="42" t="str">
        <f>IFERROR(__xludf.DUMMYFUNCTION("vLOOKUP(A348,IMPORTRANGE(""https://docs.google.com/spreadsheets/d/1Rawwwdh8wntXGy8isdYNHxsNQS4n_rC8JSdPfj6vEq4"",""'500 объектов перенос на 2026'!A3:AB502""),13,0)"),"#REF!")</f>
        <v>#REF!</v>
      </c>
      <c r="AJ348" s="42" t="str">
        <f>IFERROR(__xludf.DUMMYFUNCTION("vLOOKUP(A348,IMPORTRANGE(""https://docs.google.com/spreadsheets/d/1Rawwwdh8wntXGy8isdYNHxsNQS4n_rC8JSdPfj6vEq4"",""'500 объектов перенос на 2026'!A3:AB502""),14,0)"),"#REF!")</f>
        <v>#REF!</v>
      </c>
      <c r="AK348" s="76" t="s">
        <v>3460</v>
      </c>
      <c r="AL348" s="43"/>
      <c r="AM348" s="43"/>
      <c r="AN348" s="43"/>
      <c r="AO348" s="43"/>
    </row>
    <row r="349" hidden="1">
      <c r="A349" s="62" t="s">
        <v>2347</v>
      </c>
      <c r="B349" s="63" t="s">
        <v>400</v>
      </c>
      <c r="C349" s="64" t="s">
        <v>2348</v>
      </c>
      <c r="D349" s="47" t="s">
        <v>1041</v>
      </c>
      <c r="E349" s="90" t="s">
        <v>85</v>
      </c>
      <c r="F349" s="31" t="s">
        <v>60</v>
      </c>
      <c r="G349" s="31"/>
      <c r="H349" s="31"/>
      <c r="I349" s="31" t="s">
        <v>60</v>
      </c>
      <c r="J349" s="31"/>
      <c r="K349" s="31"/>
      <c r="L349" s="32">
        <f>IFERROR(__xludf.DUMMYFUNCTION("VLOOKUP($A349,IMPORTRANGE(""1PQtfbQLqBUP-rjYRznmgNFBLOjvAnhGzpIx7BJWq8rk"",""'Worksheet'!$B$2:$H""),7,FALSE)"),0.95)</f>
        <v>0.95</v>
      </c>
      <c r="M349" s="31" t="s">
        <v>45</v>
      </c>
      <c r="N349" s="49">
        <v>3.90280299E7</v>
      </c>
      <c r="O349" s="49">
        <v>2.891738034E7</v>
      </c>
      <c r="P349" s="49">
        <f t="shared" si="48"/>
        <v>10110649.56</v>
      </c>
      <c r="Q349" s="34">
        <f t="shared" si="3"/>
        <v>0.2590612333</v>
      </c>
      <c r="R349" s="31"/>
      <c r="S349" s="31" t="s">
        <v>45</v>
      </c>
      <c r="T349" s="91"/>
      <c r="U349" s="51" t="s">
        <v>2349</v>
      </c>
      <c r="V349" s="51"/>
      <c r="W349" s="31" t="s">
        <v>148</v>
      </c>
      <c r="X349" s="52" t="s">
        <v>803</v>
      </c>
      <c r="Y349" s="54" t="s">
        <v>2350</v>
      </c>
      <c r="Z349" s="54" t="s">
        <v>2351</v>
      </c>
      <c r="AA349" s="74">
        <v>46202.0</v>
      </c>
      <c r="AB349" s="56"/>
      <c r="AC349" s="38"/>
      <c r="AD349" s="39">
        <v>39028.04</v>
      </c>
      <c r="AE349" s="39">
        <v>28993.5499</v>
      </c>
      <c r="AF349" s="40">
        <v>10034.4901</v>
      </c>
      <c r="AG349" s="57" t="s">
        <v>2352</v>
      </c>
      <c r="AH349" s="42" t="s">
        <v>1338</v>
      </c>
      <c r="AI349" s="42" t="str">
        <f>IFERROR(__xludf.DUMMYFUNCTION("vLOOKUP(A349,IMPORTRANGE(""https://docs.google.com/spreadsheets/d/1Rawwwdh8wntXGy8isdYNHxsNQS4n_rC8JSdPfj6vEq4"",""'500 объектов перенос на 2026'!A3:AB502""),13,0)"),"#REF!")</f>
        <v>#REF!</v>
      </c>
      <c r="AJ349" s="42" t="str">
        <f>IFERROR(__xludf.DUMMYFUNCTION("vLOOKUP(A349,IMPORTRANGE(""https://docs.google.com/spreadsheets/d/1Rawwwdh8wntXGy8isdYNHxsNQS4n_rC8JSdPfj6vEq4"",""'500 объектов перенос на 2026'!A3:AB502""),14,0)"),"#REF!")</f>
        <v>#REF!</v>
      </c>
      <c r="AK349" s="76" t="s">
        <v>3461</v>
      </c>
      <c r="AL349" s="43"/>
      <c r="AM349" s="43"/>
      <c r="AN349" s="43"/>
      <c r="AO349" s="43"/>
    </row>
    <row r="350" hidden="1">
      <c r="A350" s="62" t="s">
        <v>2355</v>
      </c>
      <c r="B350" s="63" t="s">
        <v>605</v>
      </c>
      <c r="C350" s="64" t="s">
        <v>2356</v>
      </c>
      <c r="D350" s="30" t="s">
        <v>1210</v>
      </c>
      <c r="E350" s="64" t="s">
        <v>85</v>
      </c>
      <c r="F350" s="31" t="s">
        <v>40</v>
      </c>
      <c r="G350" s="31" t="s">
        <v>299</v>
      </c>
      <c r="H350" s="31" t="s">
        <v>343</v>
      </c>
      <c r="I350" s="31" t="s">
        <v>40</v>
      </c>
      <c r="J350" s="31" t="s">
        <v>102</v>
      </c>
      <c r="K350" s="31"/>
      <c r="L350" s="32">
        <f>IFERROR(__xludf.DUMMYFUNCTION("VLOOKUP($A350,IMPORTRANGE(""1PQtfbQLqBUP-rjYRznmgNFBLOjvAnhGzpIx7BJWq8rk"",""'Worksheet'!$B$2:$H""),7,FALSE)"),0.96)</f>
        <v>0.96</v>
      </c>
      <c r="M350" s="31" t="s">
        <v>40</v>
      </c>
      <c r="N350" s="49">
        <v>1.3851E7</v>
      </c>
      <c r="O350" s="49">
        <v>3906562.3</v>
      </c>
      <c r="P350" s="49">
        <f t="shared" si="48"/>
        <v>9944437.7</v>
      </c>
      <c r="Q350" s="34">
        <f t="shared" si="3"/>
        <v>0.7179581041</v>
      </c>
      <c r="R350" s="31"/>
      <c r="S350" s="31" t="s">
        <v>40</v>
      </c>
      <c r="T350" s="72" t="s">
        <v>2357</v>
      </c>
      <c r="U350" s="67">
        <v>0.0</v>
      </c>
      <c r="V350" s="67" t="s">
        <v>2357</v>
      </c>
      <c r="W350" s="31"/>
      <c r="X350" s="52" t="s">
        <v>49</v>
      </c>
      <c r="Y350" s="54" t="s">
        <v>2358</v>
      </c>
      <c r="Z350" s="54" t="s">
        <v>2359</v>
      </c>
      <c r="AA350" s="74">
        <v>46265.0</v>
      </c>
      <c r="AB350" s="56"/>
      <c r="AC350" s="38" t="s">
        <v>1214</v>
      </c>
      <c r="AD350" s="39">
        <v>13851.0</v>
      </c>
      <c r="AE350" s="39">
        <v>3906.5623</v>
      </c>
      <c r="AF350" s="40">
        <v>9944.4377</v>
      </c>
      <c r="AG350" s="99" t="s">
        <v>2360</v>
      </c>
      <c r="AH350" s="85"/>
      <c r="AI350" s="177" t="str">
        <f>IFERROR(__xludf.DUMMYFUNCTION("vLOOKUP(A350,IMPORTRANGE(""https://docs.google.com/spreadsheets/d/1Rawwwdh8wntXGy8isdYNHxsNQS4n_rC8JSdPfj6vEq4"",""'500 объектов перенос на 2026'!A3:AB502""),13,0)"),"#REF!")</f>
        <v>#REF!</v>
      </c>
      <c r="AJ350" s="177" t="str">
        <f>IFERROR(__xludf.DUMMYFUNCTION("vLOOKUP(A350,IMPORTRANGE(""https://docs.google.com/spreadsheets/d/1Rawwwdh8wntXGy8isdYNHxsNQS4n_rC8JSdPfj6vEq4"",""'500 объектов перенос на 2026'!A3:AB502""),14,0)"),"#REF!")</f>
        <v>#REF!</v>
      </c>
      <c r="AK350" s="151" t="s">
        <v>3462</v>
      </c>
      <c r="AL350" s="96"/>
      <c r="AM350" s="43"/>
      <c r="AN350" s="43"/>
      <c r="AO350" s="43"/>
    </row>
    <row r="351" hidden="1">
      <c r="A351" s="62" t="s">
        <v>2362</v>
      </c>
      <c r="B351" s="63" t="s">
        <v>653</v>
      </c>
      <c r="C351" s="64" t="s">
        <v>2363</v>
      </c>
      <c r="D351" s="47" t="s">
        <v>2364</v>
      </c>
      <c r="E351" s="64" t="s">
        <v>85</v>
      </c>
      <c r="F351" s="31" t="s">
        <v>40</v>
      </c>
      <c r="G351" s="31" t="s">
        <v>156</v>
      </c>
      <c r="H351" s="31" t="s">
        <v>779</v>
      </c>
      <c r="I351" s="31" t="s">
        <v>40</v>
      </c>
      <c r="J351" s="31" t="s">
        <v>61</v>
      </c>
      <c r="K351" s="31"/>
      <c r="L351" s="32">
        <f>IFERROR(__xludf.DUMMYFUNCTION("VLOOKUP($A351,IMPORTRANGE(""1PQtfbQLqBUP-rjYRznmgNFBLOjvAnhGzpIx7BJWq8rk"",""'Worksheet'!$B$2:$H""),7,FALSE)"),0.8)</f>
        <v>0.8</v>
      </c>
      <c r="M351" s="31" t="s">
        <v>40</v>
      </c>
      <c r="N351" s="49">
        <v>1.9841024E7</v>
      </c>
      <c r="O351" s="49">
        <v>9920512.0</v>
      </c>
      <c r="P351" s="49">
        <f t="shared" si="48"/>
        <v>9920512</v>
      </c>
      <c r="Q351" s="34">
        <f t="shared" si="3"/>
        <v>0.5</v>
      </c>
      <c r="R351" s="31"/>
      <c r="S351" s="31" t="s">
        <v>40</v>
      </c>
      <c r="T351" s="91" t="s">
        <v>2365</v>
      </c>
      <c r="U351" s="51">
        <v>0.0</v>
      </c>
      <c r="V351" s="51" t="s">
        <v>2365</v>
      </c>
      <c r="W351" s="31"/>
      <c r="X351" s="52" t="s">
        <v>2366</v>
      </c>
      <c r="Y351" s="54" t="s">
        <v>2367</v>
      </c>
      <c r="Z351" s="74"/>
      <c r="AA351" s="74">
        <v>46254.0</v>
      </c>
      <c r="AB351" s="56"/>
      <c r="AC351" s="38" t="s">
        <v>507</v>
      </c>
      <c r="AD351" s="39">
        <v>19841.02</v>
      </c>
      <c r="AE351" s="39">
        <v>9920.512</v>
      </c>
      <c r="AF351" s="40">
        <v>9920.508</v>
      </c>
      <c r="AG351" s="57" t="s">
        <v>2368</v>
      </c>
      <c r="AH351" s="42" t="s">
        <v>980</v>
      </c>
      <c r="AI351" s="42" t="str">
        <f>IFERROR(__xludf.DUMMYFUNCTION("vLOOKUP(A351,IMPORTRANGE(""https://docs.google.com/spreadsheets/d/1Rawwwdh8wntXGy8isdYNHxsNQS4n_rC8JSdPfj6vEq4"",""'500 объектов перенос на 2026'!A3:AB502""),13,0)"),"#REF!")</f>
        <v>#REF!</v>
      </c>
      <c r="AJ351" s="42" t="str">
        <f>IFERROR(__xludf.DUMMYFUNCTION("vLOOKUP(A351,IMPORTRANGE(""https://docs.google.com/spreadsheets/d/1Rawwwdh8wntXGy8isdYNHxsNQS4n_rC8JSdPfj6vEq4"",""'500 объектов перенос на 2026'!A3:AB502""),14,0)"),"#REF!")</f>
        <v>#REF!</v>
      </c>
      <c r="AK351" s="76" t="s">
        <v>2369</v>
      </c>
      <c r="AL351" s="43"/>
      <c r="AM351" s="43"/>
      <c r="AN351" s="43"/>
      <c r="AO351" s="43"/>
    </row>
    <row r="352" hidden="1">
      <c r="A352" s="78" t="s">
        <v>2370</v>
      </c>
      <c r="B352" s="63" t="s">
        <v>653</v>
      </c>
      <c r="C352" s="64" t="s">
        <v>2371</v>
      </c>
      <c r="D352" s="47" t="s">
        <v>1358</v>
      </c>
      <c r="E352" s="64" t="s">
        <v>85</v>
      </c>
      <c r="F352" s="31" t="s">
        <v>60</v>
      </c>
      <c r="G352" s="31"/>
      <c r="H352" s="31"/>
      <c r="I352" s="31" t="s">
        <v>60</v>
      </c>
      <c r="J352" s="31"/>
      <c r="K352" s="31"/>
      <c r="L352" s="32" t="str">
        <f>IFERROR(__xludf.DUMMYFUNCTION("VLOOKUP($A352,IMPORTRANGE(""1PQtfbQLqBUP-rjYRznmgNFBLOjvAnhGzpIx7BJWq8rk"",""'Worksheet'!$B$2:$H""),7,FALSE)"),"#N/A")</f>
        <v>#N/A</v>
      </c>
      <c r="M352" s="31" t="s">
        <v>60</v>
      </c>
      <c r="N352" s="49">
        <v>1.916934484E7</v>
      </c>
      <c r="O352" s="49">
        <v>1.916934484E7</v>
      </c>
      <c r="P352" s="49">
        <f t="shared" si="48"/>
        <v>0</v>
      </c>
      <c r="Q352" s="34">
        <f t="shared" si="3"/>
        <v>0</v>
      </c>
      <c r="R352" s="31"/>
      <c r="S352" s="31" t="s">
        <v>60</v>
      </c>
      <c r="T352" s="91">
        <f>N352*0.95</f>
        <v>18210877.6</v>
      </c>
      <c r="U352" s="117">
        <f>T352</f>
        <v>18210877.6</v>
      </c>
      <c r="V352" s="51">
        <v>0.0</v>
      </c>
      <c r="W352" s="31"/>
      <c r="X352" s="52" t="s">
        <v>2308</v>
      </c>
      <c r="Y352" s="54"/>
      <c r="Z352" s="54"/>
      <c r="AA352" s="54" t="s">
        <v>114</v>
      </c>
      <c r="AB352" s="38" t="s">
        <v>115</v>
      </c>
      <c r="AC352" s="38"/>
      <c r="AD352" s="39">
        <v>19240.0</v>
      </c>
      <c r="AE352" s="39">
        <v>19240.0</v>
      </c>
      <c r="AF352" s="39">
        <v>0.0</v>
      </c>
      <c r="AG352" s="57" t="s">
        <v>2372</v>
      </c>
      <c r="AH352" s="42" t="s">
        <v>1191</v>
      </c>
      <c r="AI352" s="42" t="s">
        <v>1191</v>
      </c>
      <c r="AJ352" s="42" t="s">
        <v>1191</v>
      </c>
      <c r="AK352" s="76" t="s">
        <v>114</v>
      </c>
      <c r="AL352" s="43"/>
      <c r="AM352" s="43"/>
      <c r="AN352" s="43"/>
      <c r="AO352" s="43"/>
    </row>
    <row r="353" hidden="1">
      <c r="A353" s="62" t="s">
        <v>2373</v>
      </c>
      <c r="B353" s="63" t="s">
        <v>1274</v>
      </c>
      <c r="C353" s="90" t="s">
        <v>2374</v>
      </c>
      <c r="D353" s="47" t="s">
        <v>1276</v>
      </c>
      <c r="E353" s="64" t="s">
        <v>324</v>
      </c>
      <c r="F353" s="31" t="s">
        <v>60</v>
      </c>
      <c r="G353" s="31"/>
      <c r="H353" s="31"/>
      <c r="I353" s="31" t="s">
        <v>40</v>
      </c>
      <c r="J353" s="31" t="s">
        <v>102</v>
      </c>
      <c r="K353" s="31" t="s">
        <v>72</v>
      </c>
      <c r="L353" s="32">
        <f>IFERROR(__xludf.DUMMYFUNCTION("VLOOKUP($A353,IMPORTRANGE(""1PQtfbQLqBUP-rjYRznmgNFBLOjvAnhGzpIx7BJWq8rk"",""'Worksheet'!$B$2:$H""),7,FALSE)"),0.78)</f>
        <v>0.78</v>
      </c>
      <c r="M353" s="31" t="s">
        <v>45</v>
      </c>
      <c r="N353" s="49">
        <v>8.018206229E7</v>
      </c>
      <c r="O353" s="49">
        <v>7.047116742E7</v>
      </c>
      <c r="P353" s="49">
        <f t="shared" si="48"/>
        <v>9710894.87</v>
      </c>
      <c r="Q353" s="34">
        <f t="shared" si="3"/>
        <v>0.121110565</v>
      </c>
      <c r="R353" s="31"/>
      <c r="S353" s="31" t="s">
        <v>45</v>
      </c>
      <c r="T353" s="50" t="s">
        <v>2375</v>
      </c>
      <c r="U353" s="51" t="s">
        <v>2376</v>
      </c>
      <c r="V353" s="51" t="s">
        <v>2377</v>
      </c>
      <c r="W353" s="31"/>
      <c r="X353" s="52" t="s">
        <v>1348</v>
      </c>
      <c r="Y353" s="54" t="s">
        <v>2378</v>
      </c>
      <c r="Z353" s="54" t="s">
        <v>2379</v>
      </c>
      <c r="AA353" s="68">
        <v>46266.0</v>
      </c>
      <c r="AB353" s="56"/>
      <c r="AC353" s="38" t="s">
        <v>1349</v>
      </c>
      <c r="AD353" s="39">
        <v>80471.18</v>
      </c>
      <c r="AE353" s="39">
        <v>63471.81644</v>
      </c>
      <c r="AF353" s="40">
        <v>16999.36356</v>
      </c>
      <c r="AG353" s="99" t="s">
        <v>2380</v>
      </c>
      <c r="AH353" s="42"/>
      <c r="AI353" s="42" t="str">
        <f>IFERROR(__xludf.DUMMYFUNCTION("vLOOKUP(A353,IMPORTRANGE(""https://docs.google.com/spreadsheets/d/1Rawwwdh8wntXGy8isdYNHxsNQS4n_rC8JSdPfj6vEq4"",""'500 объектов перенос на 2026'!A3:AB502""),13,0)"),"#REF!")</f>
        <v>#REF!</v>
      </c>
      <c r="AJ353" s="42" t="str">
        <f>IFERROR(__xludf.DUMMYFUNCTION("vLOOKUP(A353,IMPORTRANGE(""https://docs.google.com/spreadsheets/d/1Rawwwdh8wntXGy8isdYNHxsNQS4n_rC8JSdPfj6vEq4"",""'500 объектов перенос на 2026'!A3:AB502""),14,0)"),"#REF!")</f>
        <v>#REF!</v>
      </c>
      <c r="AK353" s="76" t="s">
        <v>2381</v>
      </c>
      <c r="AL353" s="96"/>
      <c r="AM353" s="96"/>
      <c r="AN353" s="96"/>
      <c r="AO353" s="96"/>
    </row>
    <row r="354" hidden="1">
      <c r="A354" s="62" t="s">
        <v>2382</v>
      </c>
      <c r="B354" s="63" t="s">
        <v>400</v>
      </c>
      <c r="C354" s="64" t="s">
        <v>2383</v>
      </c>
      <c r="D354" s="47" t="s">
        <v>1744</v>
      </c>
      <c r="E354" s="64" t="s">
        <v>85</v>
      </c>
      <c r="F354" s="31" t="s">
        <v>60</v>
      </c>
      <c r="G354" s="31"/>
      <c r="H354" s="31"/>
      <c r="I354" s="31" t="s">
        <v>60</v>
      </c>
      <c r="J354" s="31"/>
      <c r="K354" s="31"/>
      <c r="L354" s="32">
        <f>IFERROR(__xludf.DUMMYFUNCTION("VLOOKUP($A354,IMPORTRANGE(""1PQtfbQLqBUP-rjYRznmgNFBLOjvAnhGzpIx7BJWq8rk"",""'Worksheet'!$B$2:$H""),7,FALSE)"),0.98)</f>
        <v>0.98</v>
      </c>
      <c r="M354" s="31" t="s">
        <v>45</v>
      </c>
      <c r="N354" s="49">
        <v>6.077631141E7</v>
      </c>
      <c r="O354" s="49">
        <v>5.116110141E7</v>
      </c>
      <c r="P354" s="49">
        <f t="shared" si="48"/>
        <v>9615210</v>
      </c>
      <c r="Q354" s="34">
        <f t="shared" si="3"/>
        <v>0.158206541</v>
      </c>
      <c r="R354" s="31"/>
      <c r="S354" s="31" t="s">
        <v>45</v>
      </c>
      <c r="T354" s="50"/>
      <c r="U354" s="51"/>
      <c r="V354" s="51"/>
      <c r="W354" s="31" t="s">
        <v>506</v>
      </c>
      <c r="X354" s="52" t="s">
        <v>1155</v>
      </c>
      <c r="Y354" s="54" t="s">
        <v>1748</v>
      </c>
      <c r="Z354" s="54" t="s">
        <v>1749</v>
      </c>
      <c r="AA354" s="74">
        <v>46203.0</v>
      </c>
      <c r="AB354" s="56"/>
      <c r="AC354" s="38"/>
      <c r="AD354" s="39">
        <v>60776.32</v>
      </c>
      <c r="AE354" s="39">
        <v>51161.10141</v>
      </c>
      <c r="AF354" s="40">
        <v>9615.21859</v>
      </c>
      <c r="AG354" s="57" t="s">
        <v>2384</v>
      </c>
      <c r="AH354" s="42" t="s">
        <v>745</v>
      </c>
      <c r="AI354" s="42" t="str">
        <f>IFERROR(__xludf.DUMMYFUNCTION("vLOOKUP(A354,IMPORTRANGE(""https://docs.google.com/spreadsheets/d/1Rawwwdh8wntXGy8isdYNHxsNQS4n_rC8JSdPfj6vEq4"",""'500 объектов перенос на 2026'!A3:AB502""),13,0)"),"#REF!")</f>
        <v>#REF!</v>
      </c>
      <c r="AJ354" s="42" t="str">
        <f>IFERROR(__xludf.DUMMYFUNCTION("vLOOKUP(A354,IMPORTRANGE(""https://docs.google.com/spreadsheets/d/1Rawwwdh8wntXGy8isdYNHxsNQS4n_rC8JSdPfj6vEq4"",""'500 объектов перенос на 2026'!A3:AB502""),14,0)"),"#REF!")</f>
        <v>#REF!</v>
      </c>
      <c r="AK354" s="76" t="s">
        <v>1748</v>
      </c>
      <c r="AL354" s="43"/>
      <c r="AM354" s="43"/>
      <c r="AN354" s="43"/>
      <c r="AO354" s="43"/>
    </row>
    <row r="355" hidden="1">
      <c r="A355" s="62" t="s">
        <v>2385</v>
      </c>
      <c r="B355" s="63" t="s">
        <v>1299</v>
      </c>
      <c r="C355" s="64" t="s">
        <v>2386</v>
      </c>
      <c r="D355" s="47" t="s">
        <v>2048</v>
      </c>
      <c r="E355" s="64" t="s">
        <v>85</v>
      </c>
      <c r="F355" s="31" t="s">
        <v>60</v>
      </c>
      <c r="G355" s="31"/>
      <c r="H355" s="31"/>
      <c r="I355" s="31" t="s">
        <v>40</v>
      </c>
      <c r="J355" s="31" t="s">
        <v>102</v>
      </c>
      <c r="K355" s="31" t="s">
        <v>280</v>
      </c>
      <c r="L355" s="32">
        <f>IFERROR(__xludf.DUMMYFUNCTION("VLOOKUP($A355,IMPORTRANGE(""1PQtfbQLqBUP-rjYRznmgNFBLOjvAnhGzpIx7BJWq8rk"",""'Worksheet'!$B$2:$H""),7,FALSE)"),0.75)</f>
        <v>0.75</v>
      </c>
      <c r="M355" s="31" t="s">
        <v>284</v>
      </c>
      <c r="N355" s="49">
        <v>2.403697903E7</v>
      </c>
      <c r="O355" s="49">
        <v>1.4421771E7</v>
      </c>
      <c r="P355" s="49">
        <f t="shared" si="48"/>
        <v>9615208.03</v>
      </c>
      <c r="Q355" s="34">
        <f t="shared" si="3"/>
        <v>0.4000173241</v>
      </c>
      <c r="R355" s="31"/>
      <c r="S355" s="31" t="s">
        <v>45</v>
      </c>
      <c r="T355" s="72" t="s">
        <v>2387</v>
      </c>
      <c r="U355" s="67" t="s">
        <v>2388</v>
      </c>
      <c r="V355" s="67" t="s">
        <v>2389</v>
      </c>
      <c r="W355" s="31"/>
      <c r="X355" s="52" t="s">
        <v>2104</v>
      </c>
      <c r="Y355" s="54" t="s">
        <v>2390</v>
      </c>
      <c r="Z355" s="74"/>
      <c r="AA355" s="74">
        <v>46203.0</v>
      </c>
      <c r="AB355" s="56"/>
      <c r="AC355" s="38"/>
      <c r="AD355" s="39">
        <v>48072.57</v>
      </c>
      <c r="AE355" s="39">
        <v>14421.771</v>
      </c>
      <c r="AF355" s="40">
        <v>33650.799</v>
      </c>
      <c r="AG355" s="57" t="s">
        <v>2391</v>
      </c>
      <c r="AH355" s="42" t="s">
        <v>1308</v>
      </c>
      <c r="AI355" s="42" t="str">
        <f>IFERROR(__xludf.DUMMYFUNCTION("vLOOKUP(A355,IMPORTRANGE(""https://docs.google.com/spreadsheets/d/1Rawwwdh8wntXGy8isdYNHxsNQS4n_rC8JSdPfj6vEq4"",""'500 объектов перенос на 2026'!A3:AB502""),13,0)"),"#REF!")</f>
        <v>#REF!</v>
      </c>
      <c r="AJ355" s="42" t="str">
        <f>IFERROR(__xludf.DUMMYFUNCTION("vLOOKUP(A355,IMPORTRANGE(""https://docs.google.com/spreadsheets/d/1Rawwwdh8wntXGy8isdYNHxsNQS4n_rC8JSdPfj6vEq4"",""'500 объектов перенос на 2026'!A3:AB502""),14,0)"),"#REF!")</f>
        <v>#REF!</v>
      </c>
      <c r="AK355" s="76" t="s">
        <v>2392</v>
      </c>
      <c r="AL355" s="43"/>
      <c r="AM355" s="43"/>
      <c r="AN355" s="43"/>
      <c r="AO355" s="43"/>
    </row>
    <row r="356" hidden="1">
      <c r="A356" s="62" t="s">
        <v>2400</v>
      </c>
      <c r="B356" s="63" t="s">
        <v>1274</v>
      </c>
      <c r="C356" s="90" t="s">
        <v>2401</v>
      </c>
      <c r="D356" s="47" t="s">
        <v>1276</v>
      </c>
      <c r="E356" s="64" t="s">
        <v>324</v>
      </c>
      <c r="F356" s="31" t="s">
        <v>60</v>
      </c>
      <c r="G356" s="31"/>
      <c r="H356" s="31"/>
      <c r="I356" s="31" t="s">
        <v>40</v>
      </c>
      <c r="J356" s="31" t="s">
        <v>102</v>
      </c>
      <c r="K356" s="31" t="s">
        <v>72</v>
      </c>
      <c r="L356" s="32">
        <f>IFERROR(__xludf.DUMMYFUNCTION("VLOOKUP($A356,IMPORTRANGE(""1PQtfbQLqBUP-rjYRznmgNFBLOjvAnhGzpIx7BJWq8rk"",""'Worksheet'!$B$2:$H""),7,FALSE)"),0.87)</f>
        <v>0.87</v>
      </c>
      <c r="M356" s="31" t="s">
        <v>45</v>
      </c>
      <c r="N356" s="49">
        <v>7.590756282E7</v>
      </c>
      <c r="O356" s="49">
        <v>6.653918885E7</v>
      </c>
      <c r="P356" s="49">
        <f t="shared" si="48"/>
        <v>9368373.97</v>
      </c>
      <c r="Q356" s="34">
        <f t="shared" si="3"/>
        <v>0.1234181895</v>
      </c>
      <c r="R356" s="31"/>
      <c r="S356" s="31" t="s">
        <v>45</v>
      </c>
      <c r="T356" s="50" t="s">
        <v>2402</v>
      </c>
      <c r="U356" s="51" t="s">
        <v>2403</v>
      </c>
      <c r="V356" s="51" t="s">
        <v>2404</v>
      </c>
      <c r="W356" s="31"/>
      <c r="X356" s="52" t="s">
        <v>1348</v>
      </c>
      <c r="Y356" s="54" t="s">
        <v>2405</v>
      </c>
      <c r="Z356" s="54" t="s">
        <v>2379</v>
      </c>
      <c r="AA356" s="68">
        <v>46266.0</v>
      </c>
      <c r="AB356" s="56"/>
      <c r="AC356" s="38" t="s">
        <v>1349</v>
      </c>
      <c r="AD356" s="39">
        <v>76539.2</v>
      </c>
      <c r="AE356" s="39">
        <v>60632.03321</v>
      </c>
      <c r="AF356" s="40">
        <v>15907.16679</v>
      </c>
      <c r="AG356" s="99" t="s">
        <v>2406</v>
      </c>
      <c r="AH356" s="42"/>
      <c r="AI356" s="42" t="str">
        <f>IFERROR(__xludf.DUMMYFUNCTION("vLOOKUP(A356,IMPORTRANGE(""https://docs.google.com/spreadsheets/d/1Rawwwdh8wntXGy8isdYNHxsNQS4n_rC8JSdPfj6vEq4"",""'500 объектов перенос на 2026'!A3:AB502""),13,0)"),"#REF!")</f>
        <v>#REF!</v>
      </c>
      <c r="AJ356" s="42" t="str">
        <f>IFERROR(__xludf.DUMMYFUNCTION("vLOOKUP(A356,IMPORTRANGE(""https://docs.google.com/spreadsheets/d/1Rawwwdh8wntXGy8isdYNHxsNQS4n_rC8JSdPfj6vEq4"",""'500 объектов перенос на 2026'!A3:AB502""),14,0)"),"#REF!")</f>
        <v>#REF!</v>
      </c>
      <c r="AK356" s="76" t="s">
        <v>2407</v>
      </c>
      <c r="AL356" s="96"/>
      <c r="AM356" s="96"/>
      <c r="AN356" s="96"/>
      <c r="AO356" s="96"/>
    </row>
    <row r="357" hidden="1">
      <c r="A357" s="62" t="s">
        <v>2393</v>
      </c>
      <c r="B357" s="63" t="s">
        <v>1586</v>
      </c>
      <c r="C357" s="64" t="s">
        <v>2394</v>
      </c>
      <c r="D357" s="47" t="s">
        <v>1276</v>
      </c>
      <c r="E357" s="64" t="s">
        <v>85</v>
      </c>
      <c r="F357" s="31" t="s">
        <v>60</v>
      </c>
      <c r="G357" s="31"/>
      <c r="H357" s="31"/>
      <c r="I357" s="31" t="s">
        <v>40</v>
      </c>
      <c r="J357" s="31" t="s">
        <v>61</v>
      </c>
      <c r="K357" s="31" t="s">
        <v>72</v>
      </c>
      <c r="L357" s="32">
        <f>IFERROR(__xludf.DUMMYFUNCTION("VLOOKUP($A357,IMPORTRANGE(""1PQtfbQLqBUP-rjYRznmgNFBLOjvAnhGzpIx7BJWq8rk"",""'Worksheet'!$B$2:$H""),7,FALSE)"),0.9)</f>
        <v>0.9</v>
      </c>
      <c r="M357" s="31" t="s">
        <v>45</v>
      </c>
      <c r="N357" s="49">
        <v>4.790691513E7</v>
      </c>
      <c r="O357" s="49">
        <v>3.830777661E7</v>
      </c>
      <c r="P357" s="49">
        <f t="shared" si="48"/>
        <v>9599138.52</v>
      </c>
      <c r="Q357" s="34">
        <f t="shared" si="3"/>
        <v>0.2003706249</v>
      </c>
      <c r="R357" s="31"/>
      <c r="S357" s="31" t="s">
        <v>45</v>
      </c>
      <c r="T357" s="72" t="s">
        <v>2395</v>
      </c>
      <c r="U357" s="67" t="s">
        <v>2396</v>
      </c>
      <c r="V357" s="67" t="s">
        <v>2397</v>
      </c>
      <c r="W357" s="31"/>
      <c r="X357" s="52" t="s">
        <v>1592</v>
      </c>
      <c r="Y357" s="54" t="s">
        <v>3459</v>
      </c>
      <c r="Z357" s="54" t="s">
        <v>1594</v>
      </c>
      <c r="AA357" s="68">
        <v>46225.0</v>
      </c>
      <c r="AB357" s="56"/>
      <c r="AC357" s="38" t="s">
        <v>1595</v>
      </c>
      <c r="AD357" s="39">
        <v>65427.51</v>
      </c>
      <c r="AE357" s="39">
        <v>38307.77661</v>
      </c>
      <c r="AF357" s="40">
        <v>27119.73339</v>
      </c>
      <c r="AG357" s="57" t="s">
        <v>2398</v>
      </c>
      <c r="AH357" s="42" t="s">
        <v>2399</v>
      </c>
      <c r="AI357" s="42" t="str">
        <f>IFERROR(__xludf.DUMMYFUNCTION("vLOOKUP(A357,IMPORTRANGE(""https://docs.google.com/spreadsheets/d/1Rawwwdh8wntXGy8isdYNHxsNQS4n_rC8JSdPfj6vEq4"",""'500 объектов перенос на 2026'!A3:AB502""),13,0)"),"#REF!")</f>
        <v>#REF!</v>
      </c>
      <c r="AJ357" s="42" t="str">
        <f>IFERROR(__xludf.DUMMYFUNCTION("vLOOKUP(A357,IMPORTRANGE(""https://docs.google.com/spreadsheets/d/1Rawwwdh8wntXGy8isdYNHxsNQS4n_rC8JSdPfj6vEq4"",""'500 объектов перенос на 2026'!A3:AB502""),14,0)"),"#REF!")</f>
        <v>#REF!</v>
      </c>
      <c r="AK357" s="76" t="s">
        <v>2131</v>
      </c>
      <c r="AL357" s="43"/>
      <c r="AM357" s="43"/>
      <c r="AN357" s="43"/>
      <c r="AO357" s="43"/>
    </row>
    <row r="358" hidden="1">
      <c r="A358" s="78" t="s">
        <v>2408</v>
      </c>
      <c r="B358" s="63" t="s">
        <v>653</v>
      </c>
      <c r="C358" s="64" t="s">
        <v>2409</v>
      </c>
      <c r="D358" s="47" t="s">
        <v>1149</v>
      </c>
      <c r="E358" s="64" t="s">
        <v>85</v>
      </c>
      <c r="F358" s="31" t="s">
        <v>60</v>
      </c>
      <c r="G358" s="31"/>
      <c r="H358" s="31"/>
      <c r="I358" s="31" t="s">
        <v>60</v>
      </c>
      <c r="J358" s="31"/>
      <c r="K358" s="31"/>
      <c r="L358" s="32" t="str">
        <f>IFERROR(__xludf.DUMMYFUNCTION("VLOOKUP($A358,IMPORTRANGE(""1PQtfbQLqBUP-rjYRznmgNFBLOjvAnhGzpIx7BJWq8rk"",""'Worksheet'!$B$2:$H""),7,FALSE)"),"#N/A")</f>
        <v>#N/A</v>
      </c>
      <c r="M358" s="31" t="s">
        <v>60</v>
      </c>
      <c r="N358" s="49">
        <v>2.585184E7</v>
      </c>
      <c r="O358" s="49">
        <v>2.521436214E7</v>
      </c>
      <c r="P358" s="49">
        <v>0.0</v>
      </c>
      <c r="Q358" s="34">
        <f t="shared" si="3"/>
        <v>0.02465889701</v>
      </c>
      <c r="R358" s="31"/>
      <c r="S358" s="31" t="s">
        <v>60</v>
      </c>
      <c r="T358" s="91">
        <f t="shared" ref="T358:T359" si="49">N358*0.95</f>
        <v>24559248</v>
      </c>
      <c r="U358" s="117">
        <f t="shared" ref="U358:U359" si="50">T358</f>
        <v>24559248</v>
      </c>
      <c r="V358" s="51">
        <v>0.0</v>
      </c>
      <c r="W358" s="31"/>
      <c r="X358" s="52" t="s">
        <v>2308</v>
      </c>
      <c r="Y358" s="54"/>
      <c r="Z358" s="54"/>
      <c r="AA358" s="54" t="s">
        <v>114</v>
      </c>
      <c r="AB358" s="38" t="s">
        <v>115</v>
      </c>
      <c r="AC358" s="38"/>
      <c r="AD358" s="39">
        <v>25851.84</v>
      </c>
      <c r="AE358" s="39">
        <v>25270.02464</v>
      </c>
      <c r="AF358" s="39">
        <v>581.81536</v>
      </c>
      <c r="AG358" s="57" t="s">
        <v>2410</v>
      </c>
      <c r="AH358" s="42" t="s">
        <v>2411</v>
      </c>
      <c r="AI358" s="42" t="s">
        <v>2411</v>
      </c>
      <c r="AJ358" s="42" t="s">
        <v>2411</v>
      </c>
      <c r="AK358" s="76" t="s">
        <v>114</v>
      </c>
      <c r="AL358" s="43"/>
      <c r="AM358" s="43"/>
      <c r="AN358" s="43"/>
      <c r="AO358" s="43"/>
    </row>
    <row r="359" hidden="1">
      <c r="A359" s="78" t="s">
        <v>2412</v>
      </c>
      <c r="B359" s="63" t="s">
        <v>653</v>
      </c>
      <c r="C359" s="64" t="s">
        <v>2413</v>
      </c>
      <c r="D359" s="47" t="s">
        <v>871</v>
      </c>
      <c r="E359" s="64" t="s">
        <v>85</v>
      </c>
      <c r="F359" s="31" t="s">
        <v>60</v>
      </c>
      <c r="G359" s="31"/>
      <c r="H359" s="31"/>
      <c r="I359" s="31" t="s">
        <v>60</v>
      </c>
      <c r="J359" s="31"/>
      <c r="K359" s="31"/>
      <c r="L359" s="32" t="str">
        <f>IFERROR(__xludf.DUMMYFUNCTION("VLOOKUP($A359,IMPORTRANGE(""1PQtfbQLqBUP-rjYRznmgNFBLOjvAnhGzpIx7BJWq8rk"",""'Worksheet'!$B$2:$H""),7,FALSE)"),"#N/A")</f>
        <v>#N/A</v>
      </c>
      <c r="M359" s="31" t="s">
        <v>60</v>
      </c>
      <c r="N359" s="49">
        <v>3.531760245E7</v>
      </c>
      <c r="O359" s="49">
        <v>2.953390758E7</v>
      </c>
      <c r="P359" s="49">
        <v>0.0</v>
      </c>
      <c r="Q359" s="34">
        <f t="shared" si="3"/>
        <v>0.1637623867</v>
      </c>
      <c r="R359" s="31"/>
      <c r="S359" s="31" t="s">
        <v>60</v>
      </c>
      <c r="T359" s="91">
        <f t="shared" si="49"/>
        <v>33551722.33</v>
      </c>
      <c r="U359" s="117">
        <f t="shared" si="50"/>
        <v>33551722.33</v>
      </c>
      <c r="V359" s="51">
        <v>0.0</v>
      </c>
      <c r="W359" s="31"/>
      <c r="X359" s="52" t="s">
        <v>2308</v>
      </c>
      <c r="Y359" s="54"/>
      <c r="Z359" s="54"/>
      <c r="AA359" s="54" t="s">
        <v>114</v>
      </c>
      <c r="AB359" s="38" t="s">
        <v>115</v>
      </c>
      <c r="AC359" s="38"/>
      <c r="AD359" s="39">
        <v>30636.0</v>
      </c>
      <c r="AE359" s="39">
        <v>29645.09795</v>
      </c>
      <c r="AF359" s="39">
        <v>990.90205</v>
      </c>
      <c r="AG359" s="57" t="s">
        <v>2414</v>
      </c>
      <c r="AH359" s="42" t="s">
        <v>2411</v>
      </c>
      <c r="AI359" s="42" t="s">
        <v>2411</v>
      </c>
      <c r="AJ359" s="42" t="s">
        <v>2411</v>
      </c>
      <c r="AK359" s="76" t="s">
        <v>114</v>
      </c>
      <c r="AL359" s="43"/>
      <c r="AM359" s="43"/>
      <c r="AN359" s="43"/>
      <c r="AO359" s="43"/>
    </row>
    <row r="360" hidden="1">
      <c r="A360" s="62" t="s">
        <v>2415</v>
      </c>
      <c r="B360" s="63" t="s">
        <v>56</v>
      </c>
      <c r="C360" s="64" t="s">
        <v>2416</v>
      </c>
      <c r="D360" s="47" t="s">
        <v>1041</v>
      </c>
      <c r="E360" s="64" t="s">
        <v>85</v>
      </c>
      <c r="F360" s="31" t="s">
        <v>60</v>
      </c>
      <c r="G360" s="31"/>
      <c r="H360" s="31"/>
      <c r="I360" s="31" t="s">
        <v>40</v>
      </c>
      <c r="J360" s="31" t="s">
        <v>61</v>
      </c>
      <c r="K360" s="31" t="s">
        <v>62</v>
      </c>
      <c r="L360" s="32">
        <f>IFERROR(__xludf.DUMMYFUNCTION("VLOOKUP($A360,IMPORTRANGE(""1PQtfbQLqBUP-rjYRznmgNFBLOjvAnhGzpIx7BJWq8rk"",""'Worksheet'!$B$2:$H""),7,FALSE)"),0.95)</f>
        <v>0.95</v>
      </c>
      <c r="M360" s="31" t="s">
        <v>45</v>
      </c>
      <c r="N360" s="49">
        <v>3.496283E7</v>
      </c>
      <c r="O360" s="49">
        <v>2.574939144E7</v>
      </c>
      <c r="P360" s="49">
        <f t="shared" ref="P360:P361" si="51">N360-O360</f>
        <v>9213438.56</v>
      </c>
      <c r="Q360" s="34">
        <f t="shared" si="3"/>
        <v>0.263520961</v>
      </c>
      <c r="R360" s="31"/>
      <c r="S360" s="31" t="s">
        <v>45</v>
      </c>
      <c r="T360" s="72" t="s">
        <v>2417</v>
      </c>
      <c r="U360" s="67" t="s">
        <v>2418</v>
      </c>
      <c r="V360" s="67" t="s">
        <v>2419</v>
      </c>
      <c r="W360" s="31"/>
      <c r="X360" s="52" t="s">
        <v>2420</v>
      </c>
      <c r="Y360" s="54" t="s">
        <v>2421</v>
      </c>
      <c r="Z360" s="68"/>
      <c r="AA360" s="68">
        <v>46233.0</v>
      </c>
      <c r="AB360" s="56"/>
      <c r="AC360" s="38"/>
      <c r="AD360" s="39">
        <v>40972.93</v>
      </c>
      <c r="AE360" s="39">
        <v>25749.39144</v>
      </c>
      <c r="AF360" s="40">
        <v>15223.53856</v>
      </c>
      <c r="AG360" s="57" t="s">
        <v>2422</v>
      </c>
      <c r="AH360" s="69" t="s">
        <v>66</v>
      </c>
      <c r="AI360" s="42" t="str">
        <f>IFERROR(__xludf.DUMMYFUNCTION("vLOOKUP(A360,IMPORTRANGE(""https://docs.google.com/spreadsheets/d/1Rawwwdh8wntXGy8isdYNHxsNQS4n_rC8JSdPfj6vEq4"",""'500 объектов перенос на 2026'!A3:AB502""),13,0)"),"#REF!")</f>
        <v>#REF!</v>
      </c>
      <c r="AJ360" s="42" t="str">
        <f>IFERROR(__xludf.DUMMYFUNCTION("vLOOKUP(A360,IMPORTRANGE(""https://docs.google.com/spreadsheets/d/1Rawwwdh8wntXGy8isdYNHxsNQS4n_rC8JSdPfj6vEq4"",""'500 объектов перенос на 2026'!A3:AB502""),14,0)"),"#REF!")</f>
        <v>#REF!</v>
      </c>
      <c r="AK360" s="76" t="s">
        <v>3463</v>
      </c>
      <c r="AL360" s="43"/>
      <c r="AM360" s="43"/>
      <c r="AN360" s="43"/>
      <c r="AO360" s="43"/>
    </row>
    <row r="361" hidden="1">
      <c r="A361" s="62" t="s">
        <v>2426</v>
      </c>
      <c r="B361" s="63" t="s">
        <v>625</v>
      </c>
      <c r="C361" s="90" t="s">
        <v>2427</v>
      </c>
      <c r="D361" s="47" t="s">
        <v>2048</v>
      </c>
      <c r="E361" s="64" t="s">
        <v>85</v>
      </c>
      <c r="F361" s="31" t="s">
        <v>60</v>
      </c>
      <c r="G361" s="31"/>
      <c r="H361" s="31"/>
      <c r="I361" s="31" t="s">
        <v>40</v>
      </c>
      <c r="J361" s="31" t="s">
        <v>102</v>
      </c>
      <c r="K361" s="31" t="s">
        <v>62</v>
      </c>
      <c r="L361" s="32">
        <f>IFERROR(__xludf.DUMMYFUNCTION("VLOOKUP($A361,IMPORTRANGE(""1PQtfbQLqBUP-rjYRznmgNFBLOjvAnhGzpIx7BJWq8rk"",""'Worksheet'!$B$2:$H""),7,FALSE)"),0.57)</f>
        <v>0.57</v>
      </c>
      <c r="M361" s="31" t="s">
        <v>40</v>
      </c>
      <c r="N361" s="49">
        <v>1.356552868E7</v>
      </c>
      <c r="O361" s="49">
        <v>4493280.0</v>
      </c>
      <c r="P361" s="49">
        <f t="shared" si="51"/>
        <v>9072248.68</v>
      </c>
      <c r="Q361" s="34">
        <f t="shared" si="3"/>
        <v>0.6687722163</v>
      </c>
      <c r="R361" s="31"/>
      <c r="S361" s="31" t="s">
        <v>40</v>
      </c>
      <c r="T361" s="50" t="s">
        <v>2428</v>
      </c>
      <c r="U361" s="51">
        <v>0.0</v>
      </c>
      <c r="V361" s="51" t="s">
        <v>2428</v>
      </c>
      <c r="W361" s="31"/>
      <c r="X361" s="52" t="s">
        <v>2050</v>
      </c>
      <c r="Y361" s="54" t="s">
        <v>2237</v>
      </c>
      <c r="Z361" s="54" t="s">
        <v>274</v>
      </c>
      <c r="AA361" s="68">
        <v>46253.0</v>
      </c>
      <c r="AB361" s="56"/>
      <c r="AC361" s="38"/>
      <c r="AD361" s="39">
        <v>14977.6</v>
      </c>
      <c r="AE361" s="39">
        <v>4493.28</v>
      </c>
      <c r="AF361" s="40">
        <v>10484.32</v>
      </c>
      <c r="AG361" s="57" t="s">
        <v>2429</v>
      </c>
      <c r="AH361" s="42" t="s">
        <v>272</v>
      </c>
      <c r="AI361" s="42" t="str">
        <f>IFERROR(__xludf.DUMMYFUNCTION("vLOOKUP(A361,IMPORTRANGE(""https://docs.google.com/spreadsheets/d/1Rawwwdh8wntXGy8isdYNHxsNQS4n_rC8JSdPfj6vEq4"",""'500 объектов перенос на 2026'!A3:AB502""),13,0)"),"#REF!")</f>
        <v>#REF!</v>
      </c>
      <c r="AJ361" s="42" t="str">
        <f>IFERROR(__xludf.DUMMYFUNCTION("vLOOKUP(A361,IMPORTRANGE(""https://docs.google.com/spreadsheets/d/1Rawwwdh8wntXGy8isdYNHxsNQS4n_rC8JSdPfj6vEq4"",""'500 объектов перенос на 2026'!A3:AB502""),14,0)"),"#REF!")</f>
        <v>#REF!</v>
      </c>
      <c r="AK361" s="140"/>
      <c r="AL361" s="43"/>
      <c r="AM361" s="43"/>
      <c r="AN361" s="43"/>
      <c r="AO361" s="43"/>
    </row>
    <row r="362" hidden="1">
      <c r="A362" s="62" t="s">
        <v>2430</v>
      </c>
      <c r="B362" s="63" t="s">
        <v>2431</v>
      </c>
      <c r="C362" s="64" t="s">
        <v>2432</v>
      </c>
      <c r="D362" s="47" t="s">
        <v>1276</v>
      </c>
      <c r="E362" s="64" t="s">
        <v>85</v>
      </c>
      <c r="F362" s="31" t="s">
        <v>60</v>
      </c>
      <c r="G362" s="31"/>
      <c r="H362" s="31"/>
      <c r="I362" s="31" t="s">
        <v>60</v>
      </c>
      <c r="J362" s="31"/>
      <c r="K362" s="31"/>
      <c r="L362" s="32">
        <f>IFERROR(__xludf.DUMMYFUNCTION("VLOOKUP($A362,IMPORTRANGE(""1PQtfbQLqBUP-rjYRznmgNFBLOjvAnhGzpIx7BJWq8rk"",""'Worksheet'!$B$2:$H""),7,FALSE)"),0.95)</f>
        <v>0.95</v>
      </c>
      <c r="M362" s="31" t="s">
        <v>60</v>
      </c>
      <c r="N362" s="49">
        <v>1.5925677557E8</v>
      </c>
      <c r="O362" s="49">
        <v>1.510208035E8</v>
      </c>
      <c r="P362" s="49">
        <v>0.0</v>
      </c>
      <c r="Q362" s="34">
        <f t="shared" si="3"/>
        <v>0.05171504974</v>
      </c>
      <c r="R362" s="31"/>
      <c r="S362" s="31" t="s">
        <v>60</v>
      </c>
      <c r="T362" s="135" t="s">
        <v>2433</v>
      </c>
      <c r="U362" s="135" t="s">
        <v>2433</v>
      </c>
      <c r="V362" s="51">
        <v>0.0</v>
      </c>
      <c r="W362" s="31"/>
      <c r="X362" s="52" t="s">
        <v>2434</v>
      </c>
      <c r="Y362" s="54" t="s">
        <v>2435</v>
      </c>
      <c r="Z362" s="74"/>
      <c r="AA362" s="74"/>
      <c r="AB362" s="179"/>
      <c r="AC362" s="37"/>
      <c r="AD362" s="39">
        <v>159256.78</v>
      </c>
      <c r="AE362" s="39">
        <v>151020.7958</v>
      </c>
      <c r="AF362" s="40">
        <v>8235.98418</v>
      </c>
      <c r="AG362" s="99" t="s">
        <v>2436</v>
      </c>
      <c r="AH362" s="42" t="s">
        <v>2104</v>
      </c>
      <c r="AI362" s="42" t="str">
        <f>IFERROR(__xludf.DUMMYFUNCTION("vLOOKUP(A362,IMPORTRANGE(""https://docs.google.com/spreadsheets/d/1Rawwwdh8wntXGy8isdYNHxsNQS4n_rC8JSdPfj6vEq4"",""'500 объектов перенос на 2026'!A3:AB502""),13,0)"),"#REF!")</f>
        <v>#REF!</v>
      </c>
      <c r="AJ362" s="42" t="str">
        <f>IFERROR(__xludf.DUMMYFUNCTION("vLOOKUP(A362,IMPORTRANGE(""https://docs.google.com/spreadsheets/d/1Rawwwdh8wntXGy8isdYNHxsNQS4n_rC8JSdPfj6vEq4"",""'500 объектов перенос на 2026'!A3:AB502""),14,0)"),"#REF!")</f>
        <v>#REF!</v>
      </c>
      <c r="AK362" s="76" t="s">
        <v>2435</v>
      </c>
      <c r="AL362" s="43"/>
      <c r="AM362" s="43"/>
      <c r="AN362" s="43"/>
      <c r="AO362" s="43"/>
    </row>
    <row r="363" hidden="1">
      <c r="A363" s="78" t="s">
        <v>2437</v>
      </c>
      <c r="B363" s="63" t="s">
        <v>2431</v>
      </c>
      <c r="C363" s="64" t="s">
        <v>2438</v>
      </c>
      <c r="D363" s="47" t="s">
        <v>1276</v>
      </c>
      <c r="E363" s="64" t="s">
        <v>85</v>
      </c>
      <c r="F363" s="31" t="s">
        <v>60</v>
      </c>
      <c r="G363" s="31"/>
      <c r="H363" s="31"/>
      <c r="I363" s="31" t="s">
        <v>60</v>
      </c>
      <c r="J363" s="31"/>
      <c r="K363" s="31"/>
      <c r="L363" s="32" t="str">
        <f>IFERROR(__xludf.DUMMYFUNCTION("VLOOKUP($A363,IMPORTRANGE(""1PQtfbQLqBUP-rjYRznmgNFBLOjvAnhGzpIx7BJWq8rk"",""'Worksheet'!$B$2:$H""),7,FALSE)"),"#N/A")</f>
        <v>#N/A</v>
      </c>
      <c r="M363" s="31" t="s">
        <v>60</v>
      </c>
      <c r="N363" s="49">
        <v>3.198955E7</v>
      </c>
      <c r="O363" s="49">
        <v>3.137779691E7</v>
      </c>
      <c r="P363" s="49">
        <v>0.0</v>
      </c>
      <c r="Q363" s="34">
        <f t="shared" si="3"/>
        <v>0.01912352909</v>
      </c>
      <c r="R363" s="31"/>
      <c r="S363" s="31" t="s">
        <v>60</v>
      </c>
      <c r="T363" s="135" t="s">
        <v>2439</v>
      </c>
      <c r="U363" s="135" t="s">
        <v>2439</v>
      </c>
      <c r="V363" s="51">
        <v>0.0</v>
      </c>
      <c r="W363" s="31"/>
      <c r="X363" s="52" t="s">
        <v>209</v>
      </c>
      <c r="Y363" s="54"/>
      <c r="Z363" s="54"/>
      <c r="AA363" s="54" t="s">
        <v>114</v>
      </c>
      <c r="AB363" s="38" t="s">
        <v>115</v>
      </c>
      <c r="AC363" s="38"/>
      <c r="AD363" s="39">
        <v>31989.55</v>
      </c>
      <c r="AE363" s="39">
        <v>31377.79691</v>
      </c>
      <c r="AF363" s="39">
        <v>611.75309</v>
      </c>
      <c r="AG363" s="57" t="s">
        <v>2440</v>
      </c>
      <c r="AH363" s="42" t="s">
        <v>2441</v>
      </c>
      <c r="AI363" s="42" t="str">
        <f>IFERROR(__xludf.DUMMYFUNCTION("vLOOKUP(A363,IMPORTRANGE(""https://docs.google.com/spreadsheets/d/1Rawwwdh8wntXGy8isdYNHxsNQS4n_rC8JSdPfj6vEq4"",""'500 объектов перенос на 2026'!A3:AB502""),13,0)"),"#REF!")</f>
        <v>#REF!</v>
      </c>
      <c r="AJ363" s="42" t="str">
        <f>IFERROR(__xludf.DUMMYFUNCTION("vLOOKUP(A363,IMPORTRANGE(""https://docs.google.com/spreadsheets/d/1Rawwwdh8wntXGy8isdYNHxsNQS4n_rC8JSdPfj6vEq4"",""'500 объектов перенос на 2026'!A3:AB502""),14,0)"),"#REF!")</f>
        <v>#REF!</v>
      </c>
      <c r="AK363" s="76" t="s">
        <v>114</v>
      </c>
      <c r="AL363" s="43"/>
      <c r="AM363" s="43"/>
      <c r="AN363" s="43"/>
      <c r="AO363" s="43"/>
    </row>
    <row r="364" hidden="1">
      <c r="A364" s="78" t="s">
        <v>2442</v>
      </c>
      <c r="B364" s="63" t="s">
        <v>2431</v>
      </c>
      <c r="C364" s="90" t="s">
        <v>2443</v>
      </c>
      <c r="D364" s="47" t="s">
        <v>1276</v>
      </c>
      <c r="E364" s="64" t="s">
        <v>85</v>
      </c>
      <c r="F364" s="31" t="s">
        <v>60</v>
      </c>
      <c r="G364" s="31"/>
      <c r="H364" s="31"/>
      <c r="I364" s="31" t="s">
        <v>60</v>
      </c>
      <c r="J364" s="31"/>
      <c r="K364" s="31"/>
      <c r="L364" s="32" t="str">
        <f>IFERROR(__xludf.DUMMYFUNCTION("VLOOKUP($A364,IMPORTRANGE(""1PQtfbQLqBUP-rjYRznmgNFBLOjvAnhGzpIx7BJWq8rk"",""'Worksheet'!$B$2:$H""),7,FALSE)"),"#N/A")</f>
        <v>#N/A</v>
      </c>
      <c r="M364" s="31" t="s">
        <v>60</v>
      </c>
      <c r="N364" s="49">
        <v>5.861831E7</v>
      </c>
      <c r="O364" s="49">
        <v>4.985963579E7</v>
      </c>
      <c r="P364" s="49">
        <v>0.0</v>
      </c>
      <c r="Q364" s="34">
        <f t="shared" si="3"/>
        <v>0.1494187432</v>
      </c>
      <c r="R364" s="31"/>
      <c r="S364" s="31" t="s">
        <v>60</v>
      </c>
      <c r="T364" s="134" t="s">
        <v>2444</v>
      </c>
      <c r="U364" s="135" t="s">
        <v>2444</v>
      </c>
      <c r="V364" s="51">
        <v>0.0</v>
      </c>
      <c r="W364" s="31"/>
      <c r="X364" s="52" t="s">
        <v>209</v>
      </c>
      <c r="Y364" s="54"/>
      <c r="Z364" s="54"/>
      <c r="AA364" s="54" t="s">
        <v>114</v>
      </c>
      <c r="AB364" s="38" t="s">
        <v>115</v>
      </c>
      <c r="AC364" s="38"/>
      <c r="AD364" s="39">
        <v>58618.31</v>
      </c>
      <c r="AE364" s="39">
        <v>49859.63579</v>
      </c>
      <c r="AF364" s="39">
        <v>8758.67421</v>
      </c>
      <c r="AG364" s="57" t="s">
        <v>2445</v>
      </c>
      <c r="AH364" s="42" t="s">
        <v>2446</v>
      </c>
      <c r="AI364" s="42" t="str">
        <f>IFERROR(__xludf.DUMMYFUNCTION("vLOOKUP(A364,IMPORTRANGE(""https://docs.google.com/spreadsheets/d/1Rawwwdh8wntXGy8isdYNHxsNQS4n_rC8JSdPfj6vEq4"",""'500 объектов перенос на 2026'!A3:AB502""),13,0)"),"#REF!")</f>
        <v>#REF!</v>
      </c>
      <c r="AJ364" s="42" t="str">
        <f>IFERROR(__xludf.DUMMYFUNCTION("vLOOKUP(A364,IMPORTRANGE(""https://docs.google.com/spreadsheets/d/1Rawwwdh8wntXGy8isdYNHxsNQS4n_rC8JSdPfj6vEq4"",""'500 объектов перенос на 2026'!A3:AB502""),14,0)"),"#REF!")</f>
        <v>#REF!</v>
      </c>
      <c r="AK364" s="76" t="s">
        <v>114</v>
      </c>
      <c r="AL364" s="43"/>
      <c r="AM364" s="43"/>
      <c r="AN364" s="43"/>
      <c r="AO364" s="43"/>
    </row>
    <row r="365" hidden="1">
      <c r="A365" s="78" t="s">
        <v>2447</v>
      </c>
      <c r="B365" s="63" t="s">
        <v>2090</v>
      </c>
      <c r="C365" s="150" t="s">
        <v>2448</v>
      </c>
      <c r="D365" s="47" t="s">
        <v>727</v>
      </c>
      <c r="E365" s="64" t="s">
        <v>39</v>
      </c>
      <c r="F365" s="31" t="s">
        <v>60</v>
      </c>
      <c r="G365" s="31"/>
      <c r="H365" s="31"/>
      <c r="I365" s="31" t="s">
        <v>60</v>
      </c>
      <c r="J365" s="31"/>
      <c r="K365" s="31"/>
      <c r="L365" s="32" t="str">
        <f>IFERROR(__xludf.DUMMYFUNCTION("VLOOKUP($A365,IMPORTRANGE(""1PQtfbQLqBUP-rjYRznmgNFBLOjvAnhGzpIx7BJWq8rk"",""'Worksheet'!$B$2:$H""),7,FALSE)"),"#N/A")</f>
        <v>#N/A</v>
      </c>
      <c r="M365" s="31" t="s">
        <v>60</v>
      </c>
      <c r="N365" s="49">
        <v>2.586563585E7</v>
      </c>
      <c r="O365" s="49">
        <v>2.586563585E7</v>
      </c>
      <c r="P365" s="49">
        <f t="shared" ref="P365:P370" si="52">N365-O365</f>
        <v>0</v>
      </c>
      <c r="Q365" s="34">
        <f t="shared" si="3"/>
        <v>0</v>
      </c>
      <c r="R365" s="31"/>
      <c r="S365" s="31" t="s">
        <v>60</v>
      </c>
      <c r="T365" s="88" t="s">
        <v>2449</v>
      </c>
      <c r="U365" s="88" t="s">
        <v>2449</v>
      </c>
      <c r="V365" s="88">
        <v>0.0</v>
      </c>
      <c r="W365" s="31"/>
      <c r="X365" s="52" t="s">
        <v>113</v>
      </c>
      <c r="Y365" s="54"/>
      <c r="Z365" s="54"/>
      <c r="AA365" s="54" t="s">
        <v>114</v>
      </c>
      <c r="AB365" s="38" t="s">
        <v>115</v>
      </c>
      <c r="AC365" s="38"/>
      <c r="AD365" s="39">
        <v>11343.92</v>
      </c>
      <c r="AE365" s="39">
        <v>25865.63585</v>
      </c>
      <c r="AF365" s="39">
        <v>-14521.71585</v>
      </c>
      <c r="AG365" s="57" t="s">
        <v>2450</v>
      </c>
      <c r="AH365" s="42" t="s">
        <v>2446</v>
      </c>
      <c r="AI365" s="42" t="str">
        <f>IFERROR(__xludf.DUMMYFUNCTION("vLOOKUP(A365,IMPORTRANGE(""https://docs.google.com/spreadsheets/d/1Rawwwdh8wntXGy8isdYNHxsNQS4n_rC8JSdPfj6vEq4"",""'500 объектов перенос на 2026'!A3:AB502""),13,0)"),"#REF!")</f>
        <v>#REF!</v>
      </c>
      <c r="AJ365" s="42" t="str">
        <f>IFERROR(__xludf.DUMMYFUNCTION("vLOOKUP(A365,IMPORTRANGE(""https://docs.google.com/spreadsheets/d/1Rawwwdh8wntXGy8isdYNHxsNQS4n_rC8JSdPfj6vEq4"",""'500 объектов перенос на 2026'!A3:AB502""),14,0)"),"#REF!")</f>
        <v>#REF!</v>
      </c>
      <c r="AK365" s="76" t="s">
        <v>114</v>
      </c>
      <c r="AL365" s="43"/>
      <c r="AM365" s="43"/>
      <c r="AN365" s="43"/>
      <c r="AO365" s="43"/>
    </row>
    <row r="366" hidden="1">
      <c r="A366" s="78" t="s">
        <v>2451</v>
      </c>
      <c r="B366" s="63" t="s">
        <v>2090</v>
      </c>
      <c r="C366" s="150" t="s">
        <v>2452</v>
      </c>
      <c r="D366" s="47" t="s">
        <v>727</v>
      </c>
      <c r="E366" s="64" t="s">
        <v>39</v>
      </c>
      <c r="F366" s="31" t="s">
        <v>60</v>
      </c>
      <c r="G366" s="31"/>
      <c r="H366" s="31"/>
      <c r="I366" s="31" t="s">
        <v>60</v>
      </c>
      <c r="J366" s="31"/>
      <c r="K366" s="31"/>
      <c r="L366" s="32" t="str">
        <f>IFERROR(__xludf.DUMMYFUNCTION("VLOOKUP($A366,IMPORTRANGE(""1PQtfbQLqBUP-rjYRznmgNFBLOjvAnhGzpIx7BJWq8rk"",""'Worksheet'!$B$2:$H""),7,FALSE)"),"#N/A")</f>
        <v>#N/A</v>
      </c>
      <c r="M366" s="31" t="s">
        <v>60</v>
      </c>
      <c r="N366" s="49">
        <v>3.044298657E7</v>
      </c>
      <c r="O366" s="49">
        <v>3.044298657E7</v>
      </c>
      <c r="P366" s="49">
        <f t="shared" si="52"/>
        <v>0</v>
      </c>
      <c r="Q366" s="34">
        <f t="shared" si="3"/>
        <v>0</v>
      </c>
      <c r="R366" s="31"/>
      <c r="S366" s="31" t="s">
        <v>60</v>
      </c>
      <c r="T366" s="88" t="s">
        <v>2453</v>
      </c>
      <c r="U366" s="88" t="s">
        <v>2453</v>
      </c>
      <c r="V366" s="88">
        <v>0.0</v>
      </c>
      <c r="W366" s="31"/>
      <c r="X366" s="52" t="s">
        <v>113</v>
      </c>
      <c r="Y366" s="54"/>
      <c r="Z366" s="54"/>
      <c r="AA366" s="54" t="s">
        <v>114</v>
      </c>
      <c r="AB366" s="38" t="s">
        <v>115</v>
      </c>
      <c r="AC366" s="38"/>
      <c r="AD366" s="39">
        <v>30442.99</v>
      </c>
      <c r="AE366" s="39">
        <v>30442.98657</v>
      </c>
      <c r="AF366" s="39">
        <v>0.00343</v>
      </c>
      <c r="AG366" s="57" t="s">
        <v>2454</v>
      </c>
      <c r="AH366" s="42" t="s">
        <v>2446</v>
      </c>
      <c r="AI366" s="42" t="str">
        <f>IFERROR(__xludf.DUMMYFUNCTION("vLOOKUP(A366,IMPORTRANGE(""https://docs.google.com/spreadsheets/d/1Rawwwdh8wntXGy8isdYNHxsNQS4n_rC8JSdPfj6vEq4"",""'500 объектов перенос на 2026'!A3:AB502""),13,0)"),"#REF!")</f>
        <v>#REF!</v>
      </c>
      <c r="AJ366" s="42" t="str">
        <f>IFERROR(__xludf.DUMMYFUNCTION("vLOOKUP(A366,IMPORTRANGE(""https://docs.google.com/spreadsheets/d/1Rawwwdh8wntXGy8isdYNHxsNQS4n_rC8JSdPfj6vEq4"",""'500 объектов перенос на 2026'!A3:AB502""),14,0)"),"#REF!")</f>
        <v>#REF!</v>
      </c>
      <c r="AK366" s="76" t="s">
        <v>114</v>
      </c>
      <c r="AL366" s="43"/>
      <c r="AM366" s="43"/>
      <c r="AN366" s="43"/>
      <c r="AO366" s="43"/>
    </row>
    <row r="367" hidden="1">
      <c r="A367" s="62" t="s">
        <v>2455</v>
      </c>
      <c r="B367" s="63" t="s">
        <v>826</v>
      </c>
      <c r="C367" s="104" t="s">
        <v>2456</v>
      </c>
      <c r="D367" s="47" t="s">
        <v>727</v>
      </c>
      <c r="E367" s="64" t="s">
        <v>85</v>
      </c>
      <c r="F367" s="31" t="s">
        <v>60</v>
      </c>
      <c r="G367" s="31"/>
      <c r="H367" s="31"/>
      <c r="I367" s="31" t="s">
        <v>40</v>
      </c>
      <c r="J367" s="31" t="s">
        <v>61</v>
      </c>
      <c r="K367" s="31" t="s">
        <v>72</v>
      </c>
      <c r="L367" s="32">
        <f>IFERROR(__xludf.DUMMYFUNCTION("VLOOKUP($A367,IMPORTRANGE(""1PQtfbQLqBUP-rjYRznmgNFBLOjvAnhGzpIx7BJWq8rk"",""'Worksheet'!$B$2:$H""),7,FALSE)"),0.96)</f>
        <v>0.96</v>
      </c>
      <c r="M367" s="31" t="s">
        <v>40</v>
      </c>
      <c r="N367" s="49">
        <v>1.264E7</v>
      </c>
      <c r="O367" s="49">
        <v>3601766.08</v>
      </c>
      <c r="P367" s="49">
        <f t="shared" si="52"/>
        <v>9038233.92</v>
      </c>
      <c r="Q367" s="34">
        <f t="shared" si="3"/>
        <v>0.7150501519</v>
      </c>
      <c r="R367" s="31"/>
      <c r="S367" s="31" t="s">
        <v>45</v>
      </c>
      <c r="T367" s="84">
        <v>1.2008E7</v>
      </c>
      <c r="U367" s="84">
        <v>3421677.78</v>
      </c>
      <c r="V367" s="84">
        <f>T367-U367</f>
        <v>8586322.22</v>
      </c>
      <c r="W367" s="31"/>
      <c r="X367" s="52">
        <v>3421677.78</v>
      </c>
      <c r="Y367" s="54" t="s">
        <v>2457</v>
      </c>
      <c r="Z367" s="54" t="s">
        <v>830</v>
      </c>
      <c r="AA367" s="74">
        <v>46235.0</v>
      </c>
      <c r="AB367" s="56"/>
      <c r="AC367" s="38"/>
      <c r="AD367" s="39">
        <v>12640.0</v>
      </c>
      <c r="AE367" s="39">
        <v>3601.76608</v>
      </c>
      <c r="AF367" s="40">
        <v>9038.23392</v>
      </c>
      <c r="AG367" s="57" t="s">
        <v>2458</v>
      </c>
      <c r="AH367" s="42" t="s">
        <v>1120</v>
      </c>
      <c r="AI367" s="42" t="str">
        <f>IFERROR(__xludf.DUMMYFUNCTION("vLOOKUP(A367,IMPORTRANGE(""https://docs.google.com/spreadsheets/d/1Rawwwdh8wntXGy8isdYNHxsNQS4n_rC8JSdPfj6vEq4"",""'500 объектов перенос на 2026'!A3:AB502""),13,0)"),"#REF!")</f>
        <v>#REF!</v>
      </c>
      <c r="AJ367" s="42" t="str">
        <f>IFERROR(__xludf.DUMMYFUNCTION("vLOOKUP(A367,IMPORTRANGE(""https://docs.google.com/spreadsheets/d/1Rawwwdh8wntXGy8isdYNHxsNQS4n_rC8JSdPfj6vEq4"",""'500 объектов перенос на 2026'!A3:AB502""),14,0)"),"#REF!")</f>
        <v>#REF!</v>
      </c>
      <c r="AK367" s="76" t="s">
        <v>3464</v>
      </c>
      <c r="AL367" s="43"/>
      <c r="AM367" s="43"/>
      <c r="AN367" s="43"/>
      <c r="AO367" s="43"/>
    </row>
    <row r="368" hidden="1">
      <c r="A368" s="62" t="s">
        <v>2460</v>
      </c>
      <c r="B368" s="63" t="s">
        <v>725</v>
      </c>
      <c r="C368" s="180" t="s">
        <v>2461</v>
      </c>
      <c r="D368" s="47" t="s">
        <v>727</v>
      </c>
      <c r="E368" s="64" t="s">
        <v>85</v>
      </c>
      <c r="F368" s="31" t="s">
        <v>60</v>
      </c>
      <c r="G368" s="31"/>
      <c r="H368" s="31"/>
      <c r="I368" s="31" t="s">
        <v>60</v>
      </c>
      <c r="J368" s="31"/>
      <c r="K368" s="31"/>
      <c r="L368" s="32" t="str">
        <f>IFERROR(__xludf.DUMMYFUNCTION("VLOOKUP($A368,IMPORTRANGE(""1PQtfbQLqBUP-rjYRznmgNFBLOjvAnhGzpIx7BJWq8rk"",""'Worksheet'!$B$2:$H""),7,FALSE)"),"#N/A")</f>
        <v>#N/A</v>
      </c>
      <c r="M368" s="31" t="s">
        <v>40</v>
      </c>
      <c r="N368" s="49">
        <v>1.271881517E7</v>
      </c>
      <c r="O368" s="49">
        <v>3744158.69</v>
      </c>
      <c r="P368" s="49">
        <f t="shared" si="52"/>
        <v>8974656.48</v>
      </c>
      <c r="Q368" s="34">
        <f t="shared" si="3"/>
        <v>0.7056204812</v>
      </c>
      <c r="R368" s="31" t="s">
        <v>1032</v>
      </c>
      <c r="S368" s="31" t="s">
        <v>60</v>
      </c>
      <c r="T368" s="72" t="s">
        <v>2462</v>
      </c>
      <c r="U368" s="67" t="s">
        <v>2462</v>
      </c>
      <c r="V368" s="67">
        <v>0.0</v>
      </c>
      <c r="W368" s="31"/>
      <c r="X368" s="52" t="s">
        <v>2434</v>
      </c>
      <c r="Y368" s="54" t="s">
        <v>2463</v>
      </c>
      <c r="Z368" s="54" t="s">
        <v>1336</v>
      </c>
      <c r="AA368" s="74">
        <v>46235.0</v>
      </c>
      <c r="AB368" s="56"/>
      <c r="AC368" s="38"/>
      <c r="AD368" s="39">
        <v>12480.53</v>
      </c>
      <c r="AE368" s="39">
        <v>0.0</v>
      </c>
      <c r="AF368" s="40">
        <v>12480.53</v>
      </c>
      <c r="AG368" s="57" t="s">
        <v>2464</v>
      </c>
      <c r="AH368" s="85" t="s">
        <v>2465</v>
      </c>
      <c r="AI368" s="42" t="str">
        <f>IFERROR(__xludf.DUMMYFUNCTION("vLOOKUP(A368,IMPORTRANGE(""https://docs.google.com/spreadsheets/d/1Rawwwdh8wntXGy8isdYNHxsNQS4n_rC8JSdPfj6vEq4"",""'500 объектов перенос на 2026'!A3:AB502""),13,0)"),"#REF!")</f>
        <v>#REF!</v>
      </c>
      <c r="AJ368" s="42" t="str">
        <f>IFERROR(__xludf.DUMMYFUNCTION("vLOOKUP(A368,IMPORTRANGE(""https://docs.google.com/spreadsheets/d/1Rawwwdh8wntXGy8isdYNHxsNQS4n_rC8JSdPfj6vEq4"",""'500 объектов перенос на 2026'!A3:AB502""),14,0)"),"#REF!")</f>
        <v>#REF!</v>
      </c>
      <c r="AK368" s="76" t="s">
        <v>3465</v>
      </c>
      <c r="AL368" s="43"/>
      <c r="AM368" s="43"/>
      <c r="AN368" s="43"/>
      <c r="AO368" s="43"/>
    </row>
    <row r="369" hidden="1">
      <c r="A369" s="62" t="s">
        <v>2468</v>
      </c>
      <c r="B369" s="63" t="s">
        <v>99</v>
      </c>
      <c r="C369" s="144" t="s">
        <v>2469</v>
      </c>
      <c r="D369" s="47" t="s">
        <v>2470</v>
      </c>
      <c r="E369" s="64" t="s">
        <v>85</v>
      </c>
      <c r="F369" s="31" t="s">
        <v>60</v>
      </c>
      <c r="G369" s="31"/>
      <c r="H369" s="31"/>
      <c r="I369" s="31" t="s">
        <v>60</v>
      </c>
      <c r="J369" s="31"/>
      <c r="K369" s="31"/>
      <c r="L369" s="32">
        <f>IFERROR(__xludf.DUMMYFUNCTION("VLOOKUP($A369,IMPORTRANGE(""1PQtfbQLqBUP-rjYRznmgNFBLOjvAnhGzpIx7BJWq8rk"",""'Worksheet'!$B$2:$H""),7,FALSE)"),1.0)</f>
        <v>1</v>
      </c>
      <c r="M369" s="31" t="s">
        <v>40</v>
      </c>
      <c r="N369" s="49">
        <v>1.74384E7</v>
      </c>
      <c r="O369" s="49">
        <v>8719200.0</v>
      </c>
      <c r="P369" s="49">
        <f t="shared" si="52"/>
        <v>8719200</v>
      </c>
      <c r="Q369" s="34">
        <f t="shared" si="3"/>
        <v>0.5</v>
      </c>
      <c r="R369" s="31" t="s">
        <v>1761</v>
      </c>
      <c r="S369" s="31" t="s">
        <v>60</v>
      </c>
      <c r="T369" s="91">
        <f>N369*0.95</f>
        <v>16566480</v>
      </c>
      <c r="U369" s="51">
        <v>0.0</v>
      </c>
      <c r="V369" s="117">
        <v>1.656648E7</v>
      </c>
      <c r="W369" s="31"/>
      <c r="X369" s="52" t="s">
        <v>1150</v>
      </c>
      <c r="Y369" s="54" t="s">
        <v>1762</v>
      </c>
      <c r="Z369" s="54" t="s">
        <v>1152</v>
      </c>
      <c r="AA369" s="74">
        <v>46185.0</v>
      </c>
      <c r="AB369" s="56"/>
      <c r="AC369" s="38" t="s">
        <v>1153</v>
      </c>
      <c r="AD369" s="39">
        <v>17438.4</v>
      </c>
      <c r="AE369" s="39">
        <v>8719.2</v>
      </c>
      <c r="AF369" s="40">
        <v>8719.2</v>
      </c>
      <c r="AG369" s="57" t="s">
        <v>2471</v>
      </c>
      <c r="AH369" s="42" t="s">
        <v>1155</v>
      </c>
      <c r="AI369" s="42" t="str">
        <f>IFERROR(__xludf.DUMMYFUNCTION("vLOOKUP(A369,IMPORTRANGE(""https://docs.google.com/spreadsheets/d/1Rawwwdh8wntXGy8isdYNHxsNQS4n_rC8JSdPfj6vEq4"",""'500 объектов перенос на 2026'!A3:AB502""),13,0)"),"#REF!")</f>
        <v>#REF!</v>
      </c>
      <c r="AJ369" s="42" t="str">
        <f>IFERROR(__xludf.DUMMYFUNCTION("vLOOKUP(A369,IMPORTRANGE(""https://docs.google.com/spreadsheets/d/1Rawwwdh8wntXGy8isdYNHxsNQS4n_rC8JSdPfj6vEq4"",""'500 объектов перенос на 2026'!A3:AB502""),14,0)"),"#REF!")</f>
        <v>#REF!</v>
      </c>
      <c r="AK369" s="76" t="s">
        <v>3466</v>
      </c>
      <c r="AL369" s="43"/>
      <c r="AM369" s="43"/>
      <c r="AN369" s="43"/>
      <c r="AO369" s="43"/>
    </row>
    <row r="370" hidden="1">
      <c r="A370" s="62" t="s">
        <v>2473</v>
      </c>
      <c r="B370" s="63" t="s">
        <v>268</v>
      </c>
      <c r="C370" s="64" t="s">
        <v>2474</v>
      </c>
      <c r="D370" s="47" t="s">
        <v>323</v>
      </c>
      <c r="E370" s="64" t="s">
        <v>85</v>
      </c>
      <c r="F370" s="31" t="s">
        <v>40</v>
      </c>
      <c r="G370" s="31" t="s">
        <v>156</v>
      </c>
      <c r="H370" s="31" t="s">
        <v>828</v>
      </c>
      <c r="I370" s="31" t="s">
        <v>40</v>
      </c>
      <c r="J370" s="31" t="s">
        <v>61</v>
      </c>
      <c r="K370" s="31"/>
      <c r="L370" s="32">
        <f>IFERROR(__xludf.DUMMYFUNCTION("VLOOKUP($A370,IMPORTRANGE(""1PQtfbQLqBUP-rjYRznmgNFBLOjvAnhGzpIx7BJWq8rk"",""'Worksheet'!$B$2:$H""),7,FALSE)"),0.95)</f>
        <v>0.95</v>
      </c>
      <c r="M370" s="31" t="s">
        <v>40</v>
      </c>
      <c r="N370" s="49">
        <v>1.691788E7</v>
      </c>
      <c r="O370" s="49">
        <v>8291500.21</v>
      </c>
      <c r="P370" s="49">
        <f t="shared" si="52"/>
        <v>8626379.79</v>
      </c>
      <c r="Q370" s="34">
        <f t="shared" si="3"/>
        <v>0.5098972088</v>
      </c>
      <c r="R370" s="31"/>
      <c r="S370" s="31" t="s">
        <v>40</v>
      </c>
      <c r="T370" s="50" t="s">
        <v>2475</v>
      </c>
      <c r="U370" s="51">
        <v>0.0</v>
      </c>
      <c r="V370" s="51" t="s">
        <v>2475</v>
      </c>
      <c r="W370" s="31"/>
      <c r="X370" s="52" t="s">
        <v>49</v>
      </c>
      <c r="Y370" s="54" t="s">
        <v>2476</v>
      </c>
      <c r="Z370" s="54" t="s">
        <v>851</v>
      </c>
      <c r="AA370" s="68">
        <v>46251.0</v>
      </c>
      <c r="AB370" s="56"/>
      <c r="AC370" s="38"/>
      <c r="AD370" s="39">
        <v>16917.88</v>
      </c>
      <c r="AE370" s="39">
        <v>8291.50021</v>
      </c>
      <c r="AF370" s="40">
        <v>8626.37979</v>
      </c>
      <c r="AG370" s="57" t="s">
        <v>2477</v>
      </c>
      <c r="AH370" s="42" t="s">
        <v>49</v>
      </c>
      <c r="AI370" s="42" t="str">
        <f>IFERROR(__xludf.DUMMYFUNCTION("vLOOKUP(A370,IMPORTRANGE(""https://docs.google.com/spreadsheets/d/1Rawwwdh8wntXGy8isdYNHxsNQS4n_rC8JSdPfj6vEq4"",""'500 объектов перенос на 2026'!A3:AB502""),13,0)"),"#REF!")</f>
        <v>#REF!</v>
      </c>
      <c r="AJ370" s="42" t="str">
        <f>IFERROR(__xludf.DUMMYFUNCTION("vLOOKUP(A370,IMPORTRANGE(""https://docs.google.com/spreadsheets/d/1Rawwwdh8wntXGy8isdYNHxsNQS4n_rC8JSdPfj6vEq4"",""'500 объектов перенос на 2026'!A3:AB502""),14,0)"),"#REF!")</f>
        <v>#REF!</v>
      </c>
      <c r="AK370" s="151" t="s">
        <v>2659</v>
      </c>
      <c r="AL370" s="43"/>
      <c r="AM370" s="43"/>
      <c r="AN370" s="43"/>
      <c r="AO370" s="43"/>
    </row>
    <row r="371" hidden="1">
      <c r="A371" s="78" t="s">
        <v>2479</v>
      </c>
      <c r="B371" s="63" t="s">
        <v>894</v>
      </c>
      <c r="C371" s="64" t="s">
        <v>2480</v>
      </c>
      <c r="D371" s="47" t="s">
        <v>1331</v>
      </c>
      <c r="E371" s="64" t="s">
        <v>39</v>
      </c>
      <c r="F371" s="31" t="s">
        <v>60</v>
      </c>
      <c r="G371" s="31"/>
      <c r="H371" s="31"/>
      <c r="I371" s="31" t="s">
        <v>60</v>
      </c>
      <c r="J371" s="31"/>
      <c r="K371" s="31"/>
      <c r="L371" s="32" t="str">
        <f>IFERROR(__xludf.DUMMYFUNCTION("VLOOKUP($A371,IMPORTRANGE(""1PQtfbQLqBUP-rjYRznmgNFBLOjvAnhGzpIx7BJWq8rk"",""'Worksheet'!$B$2:$H""),7,FALSE)"),"#N/A")</f>
        <v>#N/A</v>
      </c>
      <c r="M371" s="31" t="s">
        <v>60</v>
      </c>
      <c r="N371" s="49">
        <v>2.200406E7</v>
      </c>
      <c r="O371" s="49">
        <v>1.968264354E7</v>
      </c>
      <c r="P371" s="49">
        <v>0.0</v>
      </c>
      <c r="Q371" s="34">
        <f t="shared" si="3"/>
        <v>0.1054994606</v>
      </c>
      <c r="R371" s="31"/>
      <c r="S371" s="31" t="s">
        <v>60</v>
      </c>
      <c r="T371" s="155">
        <f>N371</f>
        <v>22004060</v>
      </c>
      <c r="U371" s="172">
        <f t="shared" ref="U371:U372" si="53">T371</f>
        <v>22004060</v>
      </c>
      <c r="V371" s="51">
        <v>0.0</v>
      </c>
      <c r="W371" s="31"/>
      <c r="X371" s="52" t="s">
        <v>2308</v>
      </c>
      <c r="Y371" s="54"/>
      <c r="Z371" s="54"/>
      <c r="AA371" s="54" t="s">
        <v>114</v>
      </c>
      <c r="AB371" s="38" t="s">
        <v>115</v>
      </c>
      <c r="AC371" s="38"/>
      <c r="AD371" s="39">
        <v>22004.06</v>
      </c>
      <c r="AE371" s="39">
        <v>19834.10019</v>
      </c>
      <c r="AF371" s="39">
        <v>2169.95981</v>
      </c>
      <c r="AG371" s="57" t="s">
        <v>2481</v>
      </c>
      <c r="AH371" s="42" t="s">
        <v>2411</v>
      </c>
      <c r="AI371" s="42" t="s">
        <v>2411</v>
      </c>
      <c r="AJ371" s="42" t="s">
        <v>2411</v>
      </c>
      <c r="AK371" s="76" t="s">
        <v>114</v>
      </c>
      <c r="AL371" s="43"/>
      <c r="AM371" s="43"/>
      <c r="AN371" s="43"/>
      <c r="AO371" s="43"/>
    </row>
    <row r="372" hidden="1">
      <c r="A372" s="62" t="s">
        <v>2482</v>
      </c>
      <c r="B372" s="63" t="s">
        <v>894</v>
      </c>
      <c r="C372" s="64" t="s">
        <v>2483</v>
      </c>
      <c r="D372" s="47" t="s">
        <v>1331</v>
      </c>
      <c r="E372" s="64" t="s">
        <v>324</v>
      </c>
      <c r="F372" s="31" t="s">
        <v>60</v>
      </c>
      <c r="G372" s="31"/>
      <c r="H372" s="31"/>
      <c r="I372" s="31" t="s">
        <v>60</v>
      </c>
      <c r="J372" s="31"/>
      <c r="K372" s="31"/>
      <c r="L372" s="32">
        <f>IFERROR(__xludf.DUMMYFUNCTION("VLOOKUP($A372,IMPORTRANGE(""1PQtfbQLqBUP-rjYRznmgNFBLOjvAnhGzpIx7BJWq8rk"",""'Worksheet'!$B$2:$H""),7,FALSE)"),1.0)</f>
        <v>1</v>
      </c>
      <c r="M372" s="31" t="s">
        <v>60</v>
      </c>
      <c r="N372" s="49">
        <v>2.367253574E7</v>
      </c>
      <c r="O372" s="49">
        <v>2.010668897E7</v>
      </c>
      <c r="P372" s="49">
        <v>0.0</v>
      </c>
      <c r="Q372" s="34">
        <f t="shared" si="3"/>
        <v>0.1506322267</v>
      </c>
      <c r="R372" s="31"/>
      <c r="S372" s="31" t="s">
        <v>60</v>
      </c>
      <c r="T372" s="50">
        <f>0.95*N372</f>
        <v>22488908.95</v>
      </c>
      <c r="U372" s="50">
        <f t="shared" si="53"/>
        <v>22488908.95</v>
      </c>
      <c r="V372" s="51">
        <v>0.0</v>
      </c>
      <c r="W372" s="31"/>
      <c r="X372" s="52" t="s">
        <v>2308</v>
      </c>
      <c r="Y372" s="54"/>
      <c r="Z372" s="54"/>
      <c r="AA372" s="54" t="s">
        <v>114</v>
      </c>
      <c r="AB372" s="38" t="s">
        <v>115</v>
      </c>
      <c r="AC372" s="38"/>
      <c r="AD372" s="39">
        <v>23672.54</v>
      </c>
      <c r="AE372" s="39">
        <v>18908.94463</v>
      </c>
      <c r="AF372" s="40">
        <v>4763.59537</v>
      </c>
      <c r="AG372" s="57" t="s">
        <v>2484</v>
      </c>
      <c r="AH372" s="42" t="s">
        <v>11</v>
      </c>
      <c r="AI372" s="42" t="s">
        <v>11</v>
      </c>
      <c r="AJ372" s="42" t="s">
        <v>11</v>
      </c>
      <c r="AK372" s="76" t="s">
        <v>114</v>
      </c>
      <c r="AL372" s="43"/>
      <c r="AM372" s="43"/>
      <c r="AN372" s="43"/>
      <c r="AO372" s="43"/>
    </row>
    <row r="373" hidden="1">
      <c r="A373" s="62" t="s">
        <v>2485</v>
      </c>
      <c r="B373" s="63" t="s">
        <v>400</v>
      </c>
      <c r="C373" s="64" t="s">
        <v>2486</v>
      </c>
      <c r="D373" s="47" t="s">
        <v>1546</v>
      </c>
      <c r="E373" s="64" t="s">
        <v>85</v>
      </c>
      <c r="F373" s="31" t="s">
        <v>60</v>
      </c>
      <c r="G373" s="31"/>
      <c r="H373" s="31"/>
      <c r="I373" s="31" t="s">
        <v>60</v>
      </c>
      <c r="J373" s="31"/>
      <c r="K373" s="31"/>
      <c r="L373" s="32">
        <f>IFERROR(__xludf.DUMMYFUNCTION("VLOOKUP($A373,IMPORTRANGE(""1PQtfbQLqBUP-rjYRznmgNFBLOjvAnhGzpIx7BJWq8rk"",""'Worksheet'!$B$2:$H""),7,FALSE)"),1.0)</f>
        <v>1</v>
      </c>
      <c r="M373" s="31" t="s">
        <v>45</v>
      </c>
      <c r="N373" s="49">
        <v>2.501933275E7</v>
      </c>
      <c r="O373" s="49">
        <v>2.138397348E7</v>
      </c>
      <c r="P373" s="49">
        <f t="shared" ref="P373:P374" si="54">N373-O373</f>
        <v>3635359.27</v>
      </c>
      <c r="Q373" s="34">
        <f t="shared" si="3"/>
        <v>0.1453020073</v>
      </c>
      <c r="R373" s="31"/>
      <c r="S373" s="31" t="s">
        <v>60</v>
      </c>
      <c r="T373" s="50"/>
      <c r="U373" s="50" t="s">
        <v>2487</v>
      </c>
      <c r="V373" s="51" t="s">
        <v>2488</v>
      </c>
      <c r="W373" s="31" t="s">
        <v>148</v>
      </c>
      <c r="X373" s="52" t="s">
        <v>49</v>
      </c>
      <c r="Y373" s="54" t="s">
        <v>2489</v>
      </c>
      <c r="Z373" s="54" t="s">
        <v>2490</v>
      </c>
      <c r="AA373" s="54" t="s">
        <v>1219</v>
      </c>
      <c r="AB373" s="143"/>
      <c r="AC373" s="35"/>
      <c r="AD373" s="39">
        <v>25495.96</v>
      </c>
      <c r="AE373" s="39">
        <v>12747.98</v>
      </c>
      <c r="AF373" s="40">
        <v>12747.98</v>
      </c>
      <c r="AG373" s="57" t="s">
        <v>2491</v>
      </c>
      <c r="AH373" s="42" t="s">
        <v>51</v>
      </c>
      <c r="AI373" s="42" t="str">
        <f>IFERROR(__xludf.DUMMYFUNCTION("vLOOKUP(A373,IMPORTRANGE(""https://docs.google.com/spreadsheets/d/1Rawwwdh8wntXGy8isdYNHxsNQS4n_rC8JSdPfj6vEq4"",""'500 объектов перенос на 2026'!A3:AB502""),13,0)"),"#REF!")</f>
        <v>#REF!</v>
      </c>
      <c r="AJ373" s="42" t="str">
        <f>IFERROR(__xludf.DUMMYFUNCTION("vLOOKUP(A373,IMPORTRANGE(""https://docs.google.com/spreadsheets/d/1Rawwwdh8wntXGy8isdYNHxsNQS4n_rC8JSdPfj6vEq4"",""'500 объектов перенос на 2026'!A3:AB502""),14,0)"),"#REF!")</f>
        <v>#REF!</v>
      </c>
      <c r="AK373" s="138" t="s">
        <v>11</v>
      </c>
      <c r="AL373" s="181" t="s">
        <v>2492</v>
      </c>
      <c r="AM373" s="181"/>
      <c r="AN373" s="181"/>
      <c r="AO373" s="181"/>
    </row>
    <row r="374" hidden="1">
      <c r="A374" s="78" t="s">
        <v>2493</v>
      </c>
      <c r="B374" s="63" t="s">
        <v>894</v>
      </c>
      <c r="C374" s="64" t="s">
        <v>2494</v>
      </c>
      <c r="D374" s="47" t="s">
        <v>2495</v>
      </c>
      <c r="E374" s="64" t="s">
        <v>85</v>
      </c>
      <c r="F374" s="31" t="s">
        <v>60</v>
      </c>
      <c r="G374" s="31"/>
      <c r="H374" s="31"/>
      <c r="I374" s="31" t="s">
        <v>60</v>
      </c>
      <c r="J374" s="31"/>
      <c r="K374" s="31"/>
      <c r="L374" s="32" t="str">
        <f>IFERROR(__xludf.DUMMYFUNCTION("VLOOKUP($A374,IMPORTRANGE(""1PQtfbQLqBUP-rjYRznmgNFBLOjvAnhGzpIx7BJWq8rk"",""'Worksheet'!$B$2:$H""),7,FALSE)"),"#N/A")</f>
        <v>#N/A</v>
      </c>
      <c r="M374" s="31" t="s">
        <v>60</v>
      </c>
      <c r="N374" s="49">
        <v>9.648258645E7</v>
      </c>
      <c r="O374" s="49">
        <v>9.648258645E7</v>
      </c>
      <c r="P374" s="49">
        <f t="shared" si="54"/>
        <v>0</v>
      </c>
      <c r="Q374" s="34">
        <f t="shared" si="3"/>
        <v>0</v>
      </c>
      <c r="R374" s="31"/>
      <c r="S374" s="31" t="s">
        <v>60</v>
      </c>
      <c r="T374" s="50">
        <f t="shared" ref="T374:T376" si="55">0.95*N374</f>
        <v>91658457.13</v>
      </c>
      <c r="U374" s="51">
        <f t="shared" ref="U374:U376" si="56">T374</f>
        <v>91658457.13</v>
      </c>
      <c r="V374" s="51">
        <v>0.0</v>
      </c>
      <c r="W374" s="31"/>
      <c r="X374" s="52" t="s">
        <v>2308</v>
      </c>
      <c r="Y374" s="54"/>
      <c r="Z374" s="54"/>
      <c r="AA374" s="54" t="s">
        <v>114</v>
      </c>
      <c r="AB374" s="38" t="s">
        <v>115</v>
      </c>
      <c r="AC374" s="38"/>
      <c r="AD374" s="39">
        <v>99480.24</v>
      </c>
      <c r="AE374" s="39">
        <v>99480.24082</v>
      </c>
      <c r="AF374" s="39">
        <v>-8.2E-4</v>
      </c>
      <c r="AG374" s="57" t="s">
        <v>2496</v>
      </c>
      <c r="AH374" s="42" t="s">
        <v>1191</v>
      </c>
      <c r="AI374" s="42" t="s">
        <v>1191</v>
      </c>
      <c r="AJ374" s="42" t="s">
        <v>1191</v>
      </c>
      <c r="AK374" s="76" t="s">
        <v>114</v>
      </c>
      <c r="AL374" s="43"/>
      <c r="AM374" s="43"/>
      <c r="AN374" s="43"/>
      <c r="AO374" s="43"/>
    </row>
    <row r="375" hidden="1">
      <c r="A375" s="78" t="s">
        <v>2497</v>
      </c>
      <c r="B375" s="63" t="s">
        <v>894</v>
      </c>
      <c r="C375" s="64" t="s">
        <v>2498</v>
      </c>
      <c r="D375" s="47" t="s">
        <v>885</v>
      </c>
      <c r="E375" s="64" t="s">
        <v>85</v>
      </c>
      <c r="F375" s="31" t="s">
        <v>60</v>
      </c>
      <c r="G375" s="31"/>
      <c r="H375" s="31"/>
      <c r="I375" s="31" t="s">
        <v>60</v>
      </c>
      <c r="J375" s="31"/>
      <c r="K375" s="31"/>
      <c r="L375" s="32" t="str">
        <f>IFERROR(__xludf.DUMMYFUNCTION("VLOOKUP($A375,IMPORTRANGE(""1PQtfbQLqBUP-rjYRznmgNFBLOjvAnhGzpIx7BJWq8rk"",""'Worksheet'!$B$2:$H""),7,FALSE)"),"#N/A")</f>
        <v>#N/A</v>
      </c>
      <c r="M375" s="31" t="s">
        <v>60</v>
      </c>
      <c r="N375" s="49">
        <v>2.001495566E7</v>
      </c>
      <c r="O375" s="49">
        <v>1.130989587E7</v>
      </c>
      <c r="P375" s="49">
        <v>0.0</v>
      </c>
      <c r="Q375" s="34">
        <f t="shared" si="3"/>
        <v>0.4349277579</v>
      </c>
      <c r="R375" s="31"/>
      <c r="S375" s="31" t="s">
        <v>60</v>
      </c>
      <c r="T375" s="50">
        <f t="shared" si="55"/>
        <v>19014207.88</v>
      </c>
      <c r="U375" s="50">
        <f t="shared" si="56"/>
        <v>19014207.88</v>
      </c>
      <c r="V375" s="51">
        <v>0.0</v>
      </c>
      <c r="W375" s="31"/>
      <c r="X375" s="52" t="s">
        <v>2308</v>
      </c>
      <c r="Y375" s="54"/>
      <c r="Z375" s="54"/>
      <c r="AA375" s="54" t="s">
        <v>114</v>
      </c>
      <c r="AB375" s="38" t="s">
        <v>115</v>
      </c>
      <c r="AC375" s="38"/>
      <c r="AD375" s="39">
        <v>20014.96</v>
      </c>
      <c r="AE375" s="39">
        <v>11481.77611</v>
      </c>
      <c r="AF375" s="39">
        <v>8533.18389</v>
      </c>
      <c r="AG375" s="57" t="s">
        <v>2499</v>
      </c>
      <c r="AH375" s="42" t="s">
        <v>1191</v>
      </c>
      <c r="AI375" s="42" t="str">
        <f>IFERROR(__xludf.DUMMYFUNCTION("vLOOKUP(A375,IMPORTRANGE(""https://docs.google.com/spreadsheets/d/1Rawwwdh8wntXGy8isdYNHxsNQS4n_rC8JSdPfj6vEq4"",""'500 объектов перенос на 2026'!A3:AB502""),13,0)"),"#REF!")</f>
        <v>#REF!</v>
      </c>
      <c r="AJ375" s="42" t="str">
        <f>IFERROR(__xludf.DUMMYFUNCTION("vLOOKUP(A375,IMPORTRANGE(""https://docs.google.com/spreadsheets/d/1Rawwwdh8wntXGy8isdYNHxsNQS4n_rC8JSdPfj6vEq4"",""'500 объектов перенос на 2026'!A3:AB502""),14,0)"),"#REF!")</f>
        <v>#REF!</v>
      </c>
      <c r="AK375" s="76" t="s">
        <v>114</v>
      </c>
      <c r="AL375" s="43"/>
      <c r="AM375" s="43"/>
      <c r="AN375" s="43"/>
      <c r="AO375" s="43"/>
    </row>
    <row r="376" hidden="1">
      <c r="A376" s="78" t="s">
        <v>2500</v>
      </c>
      <c r="B376" s="63" t="s">
        <v>894</v>
      </c>
      <c r="C376" s="64" t="s">
        <v>2501</v>
      </c>
      <c r="D376" s="47" t="s">
        <v>885</v>
      </c>
      <c r="E376" s="64" t="s">
        <v>85</v>
      </c>
      <c r="F376" s="31" t="s">
        <v>60</v>
      </c>
      <c r="G376" s="31"/>
      <c r="H376" s="31"/>
      <c r="I376" s="31" t="s">
        <v>60</v>
      </c>
      <c r="J376" s="31"/>
      <c r="K376" s="31"/>
      <c r="L376" s="32" t="str">
        <f>IFERROR(__xludf.DUMMYFUNCTION("VLOOKUP($A376,IMPORTRANGE(""1PQtfbQLqBUP-rjYRznmgNFBLOjvAnhGzpIx7BJWq8rk"",""'Worksheet'!$B$2:$H""),7,FALSE)"),"#N/A")</f>
        <v>#N/A</v>
      </c>
      <c r="M376" s="31" t="s">
        <v>60</v>
      </c>
      <c r="N376" s="49">
        <v>1.239055E7</v>
      </c>
      <c r="O376" s="49">
        <v>5587696.84</v>
      </c>
      <c r="P376" s="49">
        <v>0.0</v>
      </c>
      <c r="Q376" s="34">
        <f t="shared" si="3"/>
        <v>0.5490356086</v>
      </c>
      <c r="R376" s="31"/>
      <c r="S376" s="31" t="s">
        <v>60</v>
      </c>
      <c r="T376" s="50">
        <f t="shared" si="55"/>
        <v>11771022.5</v>
      </c>
      <c r="U376" s="51">
        <f t="shared" si="56"/>
        <v>11771022.5</v>
      </c>
      <c r="V376" s="51">
        <v>0.0</v>
      </c>
      <c r="W376" s="31"/>
      <c r="X376" s="52" t="s">
        <v>2308</v>
      </c>
      <c r="Y376" s="54"/>
      <c r="Z376" s="54"/>
      <c r="AA376" s="54" t="s">
        <v>114</v>
      </c>
      <c r="AB376" s="38" t="s">
        <v>115</v>
      </c>
      <c r="AC376" s="38"/>
      <c r="AD376" s="39">
        <v>12390.55</v>
      </c>
      <c r="AE376" s="39">
        <v>5629.58832</v>
      </c>
      <c r="AF376" s="39">
        <v>6760.96168</v>
      </c>
      <c r="AG376" s="57" t="s">
        <v>2502</v>
      </c>
      <c r="AH376" s="42" t="s">
        <v>1191</v>
      </c>
      <c r="AI376" s="42" t="str">
        <f>IFERROR(__xludf.DUMMYFUNCTION("vLOOKUP(A376,IMPORTRANGE(""https://docs.google.com/spreadsheets/d/1Rawwwdh8wntXGy8isdYNHxsNQS4n_rC8JSdPfj6vEq4"",""'500 объектов перенос на 2026'!A3:AB502""),13,0)"),"#REF!")</f>
        <v>#REF!</v>
      </c>
      <c r="AJ376" s="42" t="str">
        <f>IFERROR(__xludf.DUMMYFUNCTION("vLOOKUP(A376,IMPORTRANGE(""https://docs.google.com/spreadsheets/d/1Rawwwdh8wntXGy8isdYNHxsNQS4n_rC8JSdPfj6vEq4"",""'500 объектов перенос на 2026'!A3:AB502""),14,0)"),"#REF!")</f>
        <v>#REF!</v>
      </c>
      <c r="AK376" s="76" t="s">
        <v>114</v>
      </c>
      <c r="AL376" s="43"/>
      <c r="AM376" s="43"/>
      <c r="AN376" s="43"/>
      <c r="AO376" s="43"/>
    </row>
    <row r="377" hidden="1">
      <c r="A377" s="62" t="s">
        <v>2503</v>
      </c>
      <c r="B377" s="63" t="s">
        <v>56</v>
      </c>
      <c r="C377" s="64" t="s">
        <v>2504</v>
      </c>
      <c r="D377" s="47" t="s">
        <v>957</v>
      </c>
      <c r="E377" s="64" t="s">
        <v>39</v>
      </c>
      <c r="F377" s="31" t="s">
        <v>60</v>
      </c>
      <c r="G377" s="31"/>
      <c r="H377" s="31"/>
      <c r="I377" s="31" t="s">
        <v>60</v>
      </c>
      <c r="J377" s="31"/>
      <c r="K377" s="31"/>
      <c r="L377" s="32">
        <f>IFERROR(__xludf.DUMMYFUNCTION("VLOOKUP($A377,IMPORTRANGE(""1PQtfbQLqBUP-rjYRznmgNFBLOjvAnhGzpIx7BJWq8rk"",""'Worksheet'!$B$2:$H""),7,FALSE)"),1.0)</f>
        <v>1</v>
      </c>
      <c r="M377" s="31" t="s">
        <v>45</v>
      </c>
      <c r="N377" s="49">
        <v>8.105215824E7</v>
      </c>
      <c r="O377" s="49">
        <v>7.244893431E7</v>
      </c>
      <c r="P377" s="49">
        <f t="shared" ref="P377:P378" si="57">N377-O377</f>
        <v>8603223.93</v>
      </c>
      <c r="Q377" s="34">
        <f t="shared" si="3"/>
        <v>0.1061442917</v>
      </c>
      <c r="R377" s="31" t="s">
        <v>2505</v>
      </c>
      <c r="S377" s="31" t="s">
        <v>60</v>
      </c>
      <c r="T377" s="72" t="s">
        <v>2506</v>
      </c>
      <c r="U377" s="67" t="s">
        <v>2506</v>
      </c>
      <c r="V377" s="51">
        <v>0.0</v>
      </c>
      <c r="W377" s="31"/>
      <c r="X377" s="182" t="s">
        <v>2507</v>
      </c>
      <c r="Y377" s="54" t="s">
        <v>2508</v>
      </c>
      <c r="Z377" s="68"/>
      <c r="AA377" s="68">
        <v>46325.0</v>
      </c>
      <c r="AB377" s="56"/>
      <c r="AC377" s="38" t="s">
        <v>2509</v>
      </c>
      <c r="AD377" s="39">
        <v>81052.16</v>
      </c>
      <c r="AE377" s="39">
        <v>72448.93431</v>
      </c>
      <c r="AF377" s="40">
        <v>8603.22569</v>
      </c>
      <c r="AG377" s="57" t="s">
        <v>2510</v>
      </c>
      <c r="AH377" s="69" t="s">
        <v>1906</v>
      </c>
      <c r="AI377" s="42" t="str">
        <f>IFERROR(__xludf.DUMMYFUNCTION("vLOOKUP(A377,IMPORTRANGE(""https://docs.google.com/spreadsheets/d/1Rawwwdh8wntXGy8isdYNHxsNQS4n_rC8JSdPfj6vEq4"",""'500 объектов перенос на 2026'!A3:AB502""),13,0)"),"#REF!")</f>
        <v>#REF!</v>
      </c>
      <c r="AJ377" s="42" t="str">
        <f>IFERROR(__xludf.DUMMYFUNCTION("vLOOKUP(A377,IMPORTRANGE(""https://docs.google.com/spreadsheets/d/1Rawwwdh8wntXGy8isdYNHxsNQS4n_rC8JSdPfj6vEq4"",""'500 объектов перенос на 2026'!A3:AB502""),14,0)"),"#REF!")</f>
        <v>#REF!</v>
      </c>
      <c r="AK377" s="76" t="s">
        <v>2508</v>
      </c>
      <c r="AL377" s="184"/>
      <c r="AM377" s="184"/>
      <c r="AN377" s="184"/>
      <c r="AO377" s="184"/>
    </row>
    <row r="378" hidden="1">
      <c r="A378" s="62" t="s">
        <v>2512</v>
      </c>
      <c r="B378" s="63" t="s">
        <v>992</v>
      </c>
      <c r="C378" s="64" t="s">
        <v>2513</v>
      </c>
      <c r="D378" s="47" t="s">
        <v>848</v>
      </c>
      <c r="E378" s="64" t="s">
        <v>85</v>
      </c>
      <c r="F378" s="31" t="s">
        <v>40</v>
      </c>
      <c r="G378" s="31" t="s">
        <v>41</v>
      </c>
      <c r="H378" s="31" t="s">
        <v>343</v>
      </c>
      <c r="I378" s="31" t="s">
        <v>40</v>
      </c>
      <c r="J378" s="31" t="s">
        <v>61</v>
      </c>
      <c r="K378" s="31"/>
      <c r="L378" s="32">
        <f>IFERROR(__xludf.DUMMYFUNCTION("VLOOKUP($A378,IMPORTRANGE(""1PQtfbQLqBUP-rjYRznmgNFBLOjvAnhGzpIx7BJWq8rk"",""'Worksheet'!$B$2:$H""),7,FALSE)"),0.74)</f>
        <v>0.74</v>
      </c>
      <c r="M378" s="31" t="s">
        <v>40</v>
      </c>
      <c r="N378" s="49">
        <v>1.16301E7</v>
      </c>
      <c r="O378" s="49">
        <v>3316829.31</v>
      </c>
      <c r="P378" s="49">
        <f t="shared" si="57"/>
        <v>8313270.69</v>
      </c>
      <c r="Q378" s="34">
        <f t="shared" si="3"/>
        <v>0.7148064668</v>
      </c>
      <c r="R378" s="31"/>
      <c r="S378" s="31" t="s">
        <v>40</v>
      </c>
      <c r="T378" s="88" t="s">
        <v>2514</v>
      </c>
      <c r="U378" s="51">
        <v>0.0</v>
      </c>
      <c r="V378" s="88" t="s">
        <v>2514</v>
      </c>
      <c r="W378" s="31"/>
      <c r="X378" s="52" t="s">
        <v>2515</v>
      </c>
      <c r="Y378" s="73" t="s">
        <v>2516</v>
      </c>
      <c r="Z378" s="68"/>
      <c r="AA378" s="68">
        <v>46265.0</v>
      </c>
      <c r="AB378" s="56"/>
      <c r="AC378" s="38" t="s">
        <v>2517</v>
      </c>
      <c r="AD378" s="39">
        <v>11630.1</v>
      </c>
      <c r="AE378" s="39">
        <v>3316.82931</v>
      </c>
      <c r="AF378" s="40">
        <v>8313.27069</v>
      </c>
      <c r="AG378" s="57" t="s">
        <v>2518</v>
      </c>
      <c r="AH378" s="42" t="s">
        <v>2519</v>
      </c>
      <c r="AI378" s="42" t="str">
        <f>IFERROR(__xludf.DUMMYFUNCTION("vLOOKUP(A378,IMPORTRANGE(""https://docs.google.com/spreadsheets/d/1Rawwwdh8wntXGy8isdYNHxsNQS4n_rC8JSdPfj6vEq4"",""'500 объектов перенос на 2026'!A3:AB502""),13,0)"),"#REF!")</f>
        <v>#REF!</v>
      </c>
      <c r="AJ378" s="42" t="str">
        <f>IFERROR(__xludf.DUMMYFUNCTION("vLOOKUP(A378,IMPORTRANGE(""https://docs.google.com/spreadsheets/d/1Rawwwdh8wntXGy8isdYNHxsNQS4n_rC8JSdPfj6vEq4"",""'500 объектов перенос на 2026'!A3:AB502""),14,0)"),"#REF!")</f>
        <v>#REF!</v>
      </c>
      <c r="AK378" s="86" t="s">
        <v>3467</v>
      </c>
      <c r="AL378" s="43"/>
      <c r="AM378" s="43"/>
      <c r="AN378" s="43"/>
      <c r="AO378" s="43"/>
    </row>
    <row r="379" hidden="1">
      <c r="A379" s="62" t="s">
        <v>2521</v>
      </c>
      <c r="B379" s="63" t="s">
        <v>894</v>
      </c>
      <c r="C379" s="64" t="s">
        <v>2522</v>
      </c>
      <c r="D379" s="47" t="s">
        <v>1331</v>
      </c>
      <c r="E379" s="64" t="s">
        <v>85</v>
      </c>
      <c r="F379" s="31" t="s">
        <v>60</v>
      </c>
      <c r="G379" s="31"/>
      <c r="H379" s="31"/>
      <c r="I379" s="31" t="s">
        <v>60</v>
      </c>
      <c r="J379" s="31"/>
      <c r="K379" s="31"/>
      <c r="L379" s="32">
        <f>IFERROR(__xludf.DUMMYFUNCTION("VLOOKUP($A379,IMPORTRANGE(""1PQtfbQLqBUP-rjYRznmgNFBLOjvAnhGzpIx7BJWq8rk"",""'Worksheet'!$B$2:$H""),7,FALSE)"),0.93)</f>
        <v>0.93</v>
      </c>
      <c r="M379" s="31" t="s">
        <v>60</v>
      </c>
      <c r="N379" s="49">
        <v>8.517680556E7</v>
      </c>
      <c r="O379" s="49">
        <v>6.881294014E7</v>
      </c>
      <c r="P379" s="49">
        <v>0.0</v>
      </c>
      <c r="Q379" s="34">
        <f t="shared" si="3"/>
        <v>0.192116449</v>
      </c>
      <c r="R379" s="31"/>
      <c r="S379" s="31" t="s">
        <v>60</v>
      </c>
      <c r="T379" s="50" t="s">
        <v>2523</v>
      </c>
      <c r="U379" s="51" t="s">
        <v>2524</v>
      </c>
      <c r="V379" s="51" t="s">
        <v>2525</v>
      </c>
      <c r="W379" s="31"/>
      <c r="X379" s="52" t="s">
        <v>2526</v>
      </c>
      <c r="Y379" s="54"/>
      <c r="Z379" s="54"/>
      <c r="AA379" s="54" t="s">
        <v>114</v>
      </c>
      <c r="AB379" s="38" t="s">
        <v>115</v>
      </c>
      <c r="AC379" s="38" t="s">
        <v>901</v>
      </c>
      <c r="AD379" s="39">
        <v>85176.81</v>
      </c>
      <c r="AE379" s="39">
        <v>64022.76607</v>
      </c>
      <c r="AF379" s="40">
        <v>21154.04393</v>
      </c>
      <c r="AG379" s="57" t="s">
        <v>2527</v>
      </c>
      <c r="AH379" s="42" t="s">
        <v>1219</v>
      </c>
      <c r="AI379" s="42" t="s">
        <v>1219</v>
      </c>
      <c r="AJ379" s="42" t="s">
        <v>1219</v>
      </c>
      <c r="AK379" s="76" t="s">
        <v>114</v>
      </c>
      <c r="AL379" s="43"/>
      <c r="AM379" s="43"/>
      <c r="AN379" s="43"/>
      <c r="AO379" s="43"/>
    </row>
    <row r="380" hidden="1">
      <c r="A380" s="78" t="s">
        <v>2528</v>
      </c>
      <c r="B380" s="63" t="s">
        <v>2529</v>
      </c>
      <c r="C380" s="64" t="s">
        <v>2530</v>
      </c>
      <c r="D380" s="47" t="s">
        <v>1947</v>
      </c>
      <c r="E380" s="64" t="s">
        <v>324</v>
      </c>
      <c r="F380" s="31" t="s">
        <v>60</v>
      </c>
      <c r="G380" s="31"/>
      <c r="H380" s="31"/>
      <c r="I380" s="31" t="s">
        <v>60</v>
      </c>
      <c r="J380" s="31"/>
      <c r="K380" s="31"/>
      <c r="L380" s="32" t="str">
        <f>IFERROR(__xludf.DUMMYFUNCTION("VLOOKUP($A380,IMPORTRANGE(""1PQtfbQLqBUP-rjYRznmgNFBLOjvAnhGzpIx7BJWq8rk"",""'Worksheet'!$B$2:$H""),7,FALSE)"),"#N/A")</f>
        <v>#N/A</v>
      </c>
      <c r="M380" s="31" t="s">
        <v>60</v>
      </c>
      <c r="N380" s="49">
        <v>3.593970534E7</v>
      </c>
      <c r="O380" s="49">
        <v>3.593970534E7</v>
      </c>
      <c r="P380" s="49">
        <f t="shared" ref="P380:P383" si="59">N380-O380</f>
        <v>0</v>
      </c>
      <c r="Q380" s="34">
        <f t="shared" si="3"/>
        <v>0</v>
      </c>
      <c r="R380" s="31"/>
      <c r="S380" s="31" t="s">
        <v>60</v>
      </c>
      <c r="T380" s="50">
        <f t="shared" ref="T380:U380" si="58">N380*0.95</f>
        <v>34142720.07</v>
      </c>
      <c r="U380" s="50">
        <f t="shared" si="58"/>
        <v>34142720.07</v>
      </c>
      <c r="V380" s="51">
        <v>0.0</v>
      </c>
      <c r="W380" s="31"/>
      <c r="X380" s="52" t="s">
        <v>113</v>
      </c>
      <c r="Y380" s="54"/>
      <c r="Z380" s="54"/>
      <c r="AA380" s="54" t="s">
        <v>114</v>
      </c>
      <c r="AB380" s="38" t="s">
        <v>115</v>
      </c>
      <c r="AC380" s="38"/>
      <c r="AD380" s="39">
        <v>35939.71</v>
      </c>
      <c r="AE380" s="39">
        <v>8211.0</v>
      </c>
      <c r="AF380" s="39">
        <v>27728.71</v>
      </c>
      <c r="AG380" s="57" t="s">
        <v>2531</v>
      </c>
      <c r="AH380" s="42" t="s">
        <v>2532</v>
      </c>
      <c r="AI380" s="42" t="str">
        <f>IFERROR(__xludf.DUMMYFUNCTION("vLOOKUP(A380,IMPORTRANGE(""https://docs.google.com/spreadsheets/d/1Rawwwdh8wntXGy8isdYNHxsNQS4n_rC8JSdPfj6vEq4"",""'500 объектов перенос на 2026'!A3:AB502""),13,0)"),"#REF!")</f>
        <v>#REF!</v>
      </c>
      <c r="AJ380" s="42" t="str">
        <f>IFERROR(__xludf.DUMMYFUNCTION("vLOOKUP(A380,IMPORTRANGE(""https://docs.google.com/spreadsheets/d/1Rawwwdh8wntXGy8isdYNHxsNQS4n_rC8JSdPfj6vEq4"",""'500 объектов перенос на 2026'!A3:AB502""),14,0)"),"#REF!")</f>
        <v>#REF!</v>
      </c>
      <c r="AK380" s="76" t="s">
        <v>114</v>
      </c>
      <c r="AL380" s="43"/>
      <c r="AM380" s="43"/>
      <c r="AN380" s="43"/>
      <c r="AO380" s="43"/>
    </row>
    <row r="381" hidden="1">
      <c r="A381" s="62" t="s">
        <v>2533</v>
      </c>
      <c r="B381" s="63" t="s">
        <v>605</v>
      </c>
      <c r="C381" s="64" t="s">
        <v>2534</v>
      </c>
      <c r="D381" s="47" t="s">
        <v>1210</v>
      </c>
      <c r="E381" s="64" t="s">
        <v>85</v>
      </c>
      <c r="F381" s="31" t="s">
        <v>40</v>
      </c>
      <c r="G381" s="31" t="s">
        <v>299</v>
      </c>
      <c r="H381" s="31" t="s">
        <v>260</v>
      </c>
      <c r="I381" s="31" t="s">
        <v>40</v>
      </c>
      <c r="J381" s="31" t="s">
        <v>61</v>
      </c>
      <c r="K381" s="31"/>
      <c r="L381" s="32">
        <f>IFERROR(__xludf.DUMMYFUNCTION("VLOOKUP($A381,IMPORTRANGE(""1PQtfbQLqBUP-rjYRznmgNFBLOjvAnhGzpIx7BJWq8rk"",""'Worksheet'!$B$2:$H""),7,FALSE)"),0.96)</f>
        <v>0.96</v>
      </c>
      <c r="M381" s="31" t="s">
        <v>40</v>
      </c>
      <c r="N381" s="49">
        <v>1.099492E7</v>
      </c>
      <c r="O381" s="49">
        <v>3133550.0</v>
      </c>
      <c r="P381" s="49">
        <f t="shared" si="59"/>
        <v>7861370</v>
      </c>
      <c r="Q381" s="34">
        <f t="shared" si="3"/>
        <v>0.7150002001</v>
      </c>
      <c r="R381" s="31"/>
      <c r="S381" s="31" t="s">
        <v>40</v>
      </c>
      <c r="T381" s="72" t="s">
        <v>2535</v>
      </c>
      <c r="U381" s="67">
        <v>0.0</v>
      </c>
      <c r="V381" s="72" t="s">
        <v>2535</v>
      </c>
      <c r="W381" s="31"/>
      <c r="X381" s="52" t="s">
        <v>49</v>
      </c>
      <c r="Y381" s="124" t="s">
        <v>2536</v>
      </c>
      <c r="Z381" s="54" t="s">
        <v>1213</v>
      </c>
      <c r="AA381" s="74">
        <v>46280.0</v>
      </c>
      <c r="AB381" s="56"/>
      <c r="AC381" s="38" t="s">
        <v>1214</v>
      </c>
      <c r="AD381" s="39">
        <v>10994.92</v>
      </c>
      <c r="AE381" s="39">
        <v>3133.55</v>
      </c>
      <c r="AF381" s="40">
        <v>7861.37</v>
      </c>
      <c r="AG381" s="99" t="s">
        <v>2537</v>
      </c>
      <c r="AH381" s="85"/>
      <c r="AI381" s="42" t="str">
        <f>IFERROR(__xludf.DUMMYFUNCTION("vLOOKUP(A381,IMPORTRANGE(""https://docs.google.com/spreadsheets/d/1Rawwwdh8wntXGy8isdYNHxsNQS4n_rC8JSdPfj6vEq4"",""'500 объектов перенос на 2026'!A3:AB502""),13,0)"),"#REF!")</f>
        <v>#REF!</v>
      </c>
      <c r="AJ381" s="42" t="str">
        <f>IFERROR(__xludf.DUMMYFUNCTION("vLOOKUP(A381,IMPORTRANGE(""https://docs.google.com/spreadsheets/d/1Rawwwdh8wntXGy8isdYNHxsNQS4n_rC8JSdPfj6vEq4"",""'500 объектов перенос на 2026'!A3:AB502""),14,0)"),"#REF!")</f>
        <v>#REF!</v>
      </c>
      <c r="AK381" s="151" t="s">
        <v>3468</v>
      </c>
      <c r="AL381" s="96"/>
      <c r="AM381" s="43"/>
      <c r="AN381" s="43"/>
      <c r="AO381" s="43"/>
    </row>
    <row r="382" hidden="1">
      <c r="A382" s="62" t="s">
        <v>2539</v>
      </c>
      <c r="B382" s="111" t="s">
        <v>70</v>
      </c>
      <c r="C382" s="144" t="s">
        <v>2540</v>
      </c>
      <c r="D382" s="47" t="s">
        <v>2541</v>
      </c>
      <c r="E382" s="64" t="s">
        <v>85</v>
      </c>
      <c r="F382" s="31" t="s">
        <v>60</v>
      </c>
      <c r="G382" s="31"/>
      <c r="H382" s="31"/>
      <c r="I382" s="31" t="s">
        <v>40</v>
      </c>
      <c r="J382" s="31" t="s">
        <v>102</v>
      </c>
      <c r="K382" s="31" t="s">
        <v>280</v>
      </c>
      <c r="L382" s="32">
        <f>IFERROR(__xludf.DUMMYFUNCTION("VLOOKUP($A382,IMPORTRANGE(""1PQtfbQLqBUP-rjYRznmgNFBLOjvAnhGzpIx7BJWq8rk"",""'Worksheet'!$B$2:$H""),7,FALSE)"),0.43)</f>
        <v>0.43</v>
      </c>
      <c r="M382" s="31" t="s">
        <v>284</v>
      </c>
      <c r="N382" s="49">
        <v>9.3216E7</v>
      </c>
      <c r="O382" s="49">
        <v>4.6608E7</v>
      </c>
      <c r="P382" s="49">
        <f t="shared" si="59"/>
        <v>46608000</v>
      </c>
      <c r="Q382" s="34">
        <f t="shared" si="3"/>
        <v>0.5</v>
      </c>
      <c r="R382" s="31"/>
      <c r="S382" s="31" t="s">
        <v>45</v>
      </c>
      <c r="T382" s="50">
        <v>8.85552E7</v>
      </c>
      <c r="U382" s="51">
        <v>4.42776E7</v>
      </c>
      <c r="V382" s="51">
        <v>4.42776E7</v>
      </c>
      <c r="W382" s="31"/>
      <c r="X382" s="52" t="s">
        <v>2542</v>
      </c>
      <c r="Y382" s="54" t="s">
        <v>2543</v>
      </c>
      <c r="Z382" s="54"/>
      <c r="AA382" s="54"/>
      <c r="AB382" s="56"/>
      <c r="AC382" s="38" t="s">
        <v>284</v>
      </c>
      <c r="AD382" s="39">
        <v>93216.0</v>
      </c>
      <c r="AE382" s="39">
        <v>46608.0</v>
      </c>
      <c r="AF382" s="39">
        <v>46608.0</v>
      </c>
      <c r="AG382" s="57" t="s">
        <v>2544</v>
      </c>
      <c r="AH382" s="42" t="s">
        <v>284</v>
      </c>
      <c r="AI382" s="42" t="str">
        <f>IFERROR(__xludf.DUMMYFUNCTION("vLOOKUP(A382,IMPORTRANGE(""https://docs.google.com/spreadsheets/d/1Rawwwdh8wntXGy8isdYNHxsNQS4n_rC8JSdPfj6vEq4"",""'500 объектов перенос на 2026'!A3:AB502""),13,0)"),"#REF!")</f>
        <v>#REF!</v>
      </c>
      <c r="AJ382" s="42" t="str">
        <f>IFERROR(__xludf.DUMMYFUNCTION("vLOOKUP(A382,IMPORTRANGE(""https://docs.google.com/spreadsheets/d/1Rawwwdh8wntXGy8isdYNHxsNQS4n_rC8JSdPfj6vEq4"",""'500 объектов перенос на 2026'!A3:AB502""),14,0)"),"#REF!")</f>
        <v>#REF!</v>
      </c>
      <c r="AK382" s="76" t="s">
        <v>2545</v>
      </c>
      <c r="AL382" s="43"/>
      <c r="AM382" s="43"/>
      <c r="AN382" s="43"/>
      <c r="AO382" s="43"/>
    </row>
    <row r="383" hidden="1">
      <c r="A383" s="78" t="s">
        <v>2546</v>
      </c>
      <c r="B383" s="63" t="s">
        <v>70</v>
      </c>
      <c r="C383" s="64" t="s">
        <v>2547</v>
      </c>
      <c r="D383" s="47" t="s">
        <v>38</v>
      </c>
      <c r="E383" s="64" t="s">
        <v>85</v>
      </c>
      <c r="F383" s="31" t="s">
        <v>60</v>
      </c>
      <c r="G383" s="31"/>
      <c r="H383" s="31"/>
      <c r="I383" s="31" t="s">
        <v>60</v>
      </c>
      <c r="J383" s="31"/>
      <c r="K383" s="31"/>
      <c r="L383" s="32" t="str">
        <f>IFERROR(__xludf.DUMMYFUNCTION("VLOOKUP($A383,IMPORTRANGE(""1PQtfbQLqBUP-rjYRznmgNFBLOjvAnhGzpIx7BJWq8rk"",""'Worksheet'!$B$2:$H""),7,FALSE)"),"#N/A")</f>
        <v>#N/A</v>
      </c>
      <c r="M383" s="185" t="s">
        <v>60</v>
      </c>
      <c r="N383" s="49">
        <v>2.06576778858E9</v>
      </c>
      <c r="O383" s="49">
        <v>2.06576778858E9</v>
      </c>
      <c r="P383" s="49">
        <f t="shared" si="59"/>
        <v>0</v>
      </c>
      <c r="Q383" s="34">
        <f t="shared" si="3"/>
        <v>0</v>
      </c>
      <c r="R383" s="31"/>
      <c r="S383" s="31" t="s">
        <v>45</v>
      </c>
      <c r="T383" s="88">
        <v>2.00916548058E9</v>
      </c>
      <c r="U383" s="88">
        <v>9.0663611138E8</v>
      </c>
      <c r="V383" s="88">
        <v>1.1025293692E9</v>
      </c>
      <c r="W383" s="31" t="s">
        <v>183</v>
      </c>
      <c r="X383" s="52" t="s">
        <v>2548</v>
      </c>
      <c r="Y383" s="54" t="s">
        <v>2549</v>
      </c>
      <c r="Z383" s="54" t="s">
        <v>2550</v>
      </c>
      <c r="AA383" s="54" t="s">
        <v>114</v>
      </c>
      <c r="AB383" s="38" t="s">
        <v>115</v>
      </c>
      <c r="AC383" s="38"/>
      <c r="AD383" s="39">
        <v>2065767.78</v>
      </c>
      <c r="AE383" s="39">
        <v>2065767.793</v>
      </c>
      <c r="AF383" s="39">
        <v>-0.01348</v>
      </c>
      <c r="AG383" s="57" t="s">
        <v>2551</v>
      </c>
      <c r="AH383" s="42" t="s">
        <v>66</v>
      </c>
      <c r="AI383" s="42" t="str">
        <f>IFERROR(__xludf.DUMMYFUNCTION("vLOOKUP(A383,IMPORTRANGE(""https://docs.google.com/spreadsheets/d/1Rawwwdh8wntXGy8isdYNHxsNQS4n_rC8JSdPfj6vEq4"",""'500 объектов перенос на 2026'!A3:AB502""),13,0)"),"#REF!")</f>
        <v>#REF!</v>
      </c>
      <c r="AJ383" s="42" t="str">
        <f>IFERROR(__xludf.DUMMYFUNCTION("vLOOKUP(A383,IMPORTRANGE(""https://docs.google.com/spreadsheets/d/1Rawwwdh8wntXGy8isdYNHxsNQS4n_rC8JSdPfj6vEq4"",""'500 объектов перенос на 2026'!A3:AB502""),14,0)"),"#REF!")</f>
        <v>#REF!</v>
      </c>
      <c r="AK383" s="76" t="s">
        <v>3469</v>
      </c>
      <c r="AL383" s="43"/>
      <c r="AM383" s="43"/>
      <c r="AN383" s="43"/>
      <c r="AO383" s="43"/>
    </row>
    <row r="384" hidden="1">
      <c r="A384" s="78" t="s">
        <v>2553</v>
      </c>
      <c r="B384" s="63" t="s">
        <v>70</v>
      </c>
      <c r="C384" s="64" t="s">
        <v>2554</v>
      </c>
      <c r="D384" s="47" t="s">
        <v>227</v>
      </c>
      <c r="E384" s="64" t="s">
        <v>59</v>
      </c>
      <c r="F384" s="31" t="s">
        <v>60</v>
      </c>
      <c r="G384" s="31"/>
      <c r="H384" s="31"/>
      <c r="I384" s="31" t="s">
        <v>60</v>
      </c>
      <c r="J384" s="31"/>
      <c r="K384" s="31"/>
      <c r="L384" s="32" t="str">
        <f>IFERROR(__xludf.DUMMYFUNCTION("VLOOKUP($A384,IMPORTRANGE(""1PQtfbQLqBUP-rjYRznmgNFBLOjvAnhGzpIx7BJWq8rk"",""'Worksheet'!$B$2:$H""),7,FALSE)"),"#N/A")</f>
        <v>#N/A</v>
      </c>
      <c r="M384" s="31" t="s">
        <v>60</v>
      </c>
      <c r="N384" s="49">
        <v>7.81336E7</v>
      </c>
      <c r="O384" s="49">
        <v>7.315448555E7</v>
      </c>
      <c r="P384" s="49">
        <v>0.0</v>
      </c>
      <c r="Q384" s="34">
        <f t="shared" si="3"/>
        <v>0.06372565004</v>
      </c>
      <c r="R384" s="31"/>
      <c r="S384" s="31" t="s">
        <v>60</v>
      </c>
      <c r="T384" s="50">
        <v>7.422692E7</v>
      </c>
      <c r="U384" s="51">
        <v>6.949676127E7</v>
      </c>
      <c r="V384" s="51">
        <v>4730158.73</v>
      </c>
      <c r="W384" s="31"/>
      <c r="X384" s="52" t="s">
        <v>113</v>
      </c>
      <c r="Y384" s="54"/>
      <c r="Z384" s="54"/>
      <c r="AA384" s="54" t="s">
        <v>114</v>
      </c>
      <c r="AB384" s="38" t="s">
        <v>115</v>
      </c>
      <c r="AC384" s="38" t="s">
        <v>284</v>
      </c>
      <c r="AD384" s="39">
        <v>78133.6</v>
      </c>
      <c r="AE384" s="39">
        <v>73154.48555</v>
      </c>
      <c r="AF384" s="39">
        <v>4979.11445</v>
      </c>
      <c r="AG384" s="57" t="s">
        <v>2555</v>
      </c>
      <c r="AH384" s="42" t="s">
        <v>284</v>
      </c>
      <c r="AI384" s="42" t="str">
        <f>IFERROR(__xludf.DUMMYFUNCTION("vLOOKUP(A384,IMPORTRANGE(""https://docs.google.com/spreadsheets/d/1Rawwwdh8wntXGy8isdYNHxsNQS4n_rC8JSdPfj6vEq4"",""'500 объектов перенос на 2026'!A3:AB502""),13,0)"),"#REF!")</f>
        <v>#REF!</v>
      </c>
      <c r="AJ384" s="42" t="str">
        <f>IFERROR(__xludf.DUMMYFUNCTION("vLOOKUP(A384,IMPORTRANGE(""https://docs.google.com/spreadsheets/d/1Rawwwdh8wntXGy8isdYNHxsNQS4n_rC8JSdPfj6vEq4"",""'500 объектов перенос на 2026'!A3:AB502""),14,0)"),"#REF!")</f>
        <v>#REF!</v>
      </c>
      <c r="AK384" s="76" t="s">
        <v>114</v>
      </c>
      <c r="AL384" s="43"/>
      <c r="AM384" s="43"/>
      <c r="AN384" s="43"/>
      <c r="AO384" s="43"/>
    </row>
    <row r="385" hidden="1">
      <c r="A385" s="62" t="s">
        <v>2556</v>
      </c>
      <c r="B385" s="63" t="s">
        <v>1274</v>
      </c>
      <c r="C385" s="90" t="s">
        <v>2557</v>
      </c>
      <c r="D385" s="47" t="s">
        <v>1276</v>
      </c>
      <c r="E385" s="64" t="s">
        <v>324</v>
      </c>
      <c r="F385" s="31" t="s">
        <v>60</v>
      </c>
      <c r="G385" s="31"/>
      <c r="H385" s="31"/>
      <c r="I385" s="31" t="s">
        <v>40</v>
      </c>
      <c r="J385" s="31" t="s">
        <v>102</v>
      </c>
      <c r="K385" s="31" t="s">
        <v>72</v>
      </c>
      <c r="L385" s="32">
        <f>IFERROR(__xludf.DUMMYFUNCTION("VLOOKUP($A385,IMPORTRANGE(""1PQtfbQLqBUP-rjYRznmgNFBLOjvAnhGzpIx7BJWq8rk"",""'Worksheet'!$B$2:$H""),7,FALSE)"),0.92)</f>
        <v>0.92</v>
      </c>
      <c r="M385" s="31" t="s">
        <v>45</v>
      </c>
      <c r="N385" s="49">
        <v>6.932492527E7</v>
      </c>
      <c r="O385" s="49">
        <v>6.146888004E7</v>
      </c>
      <c r="P385" s="49">
        <f t="shared" ref="P385:P391" si="60">N385-O385</f>
        <v>7856045.23</v>
      </c>
      <c r="Q385" s="34">
        <f t="shared" si="3"/>
        <v>0.1133220872</v>
      </c>
      <c r="R385" s="31"/>
      <c r="S385" s="31" t="s">
        <v>45</v>
      </c>
      <c r="T385" s="84" t="s">
        <v>2558</v>
      </c>
      <c r="U385" s="51" t="s">
        <v>2559</v>
      </c>
      <c r="V385" s="84" t="s">
        <v>2560</v>
      </c>
      <c r="W385" s="31"/>
      <c r="X385" s="52" t="s">
        <v>1348</v>
      </c>
      <c r="Y385" s="54" t="s">
        <v>2561</v>
      </c>
      <c r="Z385" s="54" t="s">
        <v>2379</v>
      </c>
      <c r="AA385" s="68">
        <v>46266.0</v>
      </c>
      <c r="AB385" s="56"/>
      <c r="AC385" s="38" t="s">
        <v>1349</v>
      </c>
      <c r="AD385" s="39">
        <v>71468.89</v>
      </c>
      <c r="AE385" s="39">
        <v>59108.49122</v>
      </c>
      <c r="AF385" s="40">
        <v>12360.39878</v>
      </c>
      <c r="AG385" s="99" t="s">
        <v>2562</v>
      </c>
      <c r="AH385" s="42"/>
      <c r="AI385" s="42" t="str">
        <f>IFERROR(__xludf.DUMMYFUNCTION("vLOOKUP(A385,IMPORTRANGE(""https://docs.google.com/spreadsheets/d/1Rawwwdh8wntXGy8isdYNHxsNQS4n_rC8JSdPfj6vEq4"",""'500 объектов перенос на 2026'!A3:AB502""),13,0)"),"#REF!")</f>
        <v>#REF!</v>
      </c>
      <c r="AJ385" s="42" t="str">
        <f>IFERROR(__xludf.DUMMYFUNCTION("vLOOKUP(A385,IMPORTRANGE(""https://docs.google.com/spreadsheets/d/1Rawwwdh8wntXGy8isdYNHxsNQS4n_rC8JSdPfj6vEq4"",""'500 объектов перенос на 2026'!A3:AB502""),14,0)"),"#REF!")</f>
        <v>#REF!</v>
      </c>
      <c r="AK385" s="76" t="s">
        <v>2563</v>
      </c>
      <c r="AL385" s="96"/>
      <c r="AM385" s="96"/>
      <c r="AN385" s="96"/>
      <c r="AO385" s="96"/>
    </row>
    <row r="386" hidden="1">
      <c r="A386" s="62" t="s">
        <v>2564</v>
      </c>
      <c r="B386" s="63" t="s">
        <v>400</v>
      </c>
      <c r="C386" s="64" t="s">
        <v>2565</v>
      </c>
      <c r="D386" s="47" t="s">
        <v>1041</v>
      </c>
      <c r="E386" s="64" t="s">
        <v>85</v>
      </c>
      <c r="F386" s="31" t="s">
        <v>60</v>
      </c>
      <c r="G386" s="31"/>
      <c r="H386" s="31"/>
      <c r="I386" s="31" t="s">
        <v>60</v>
      </c>
      <c r="J386" s="31"/>
      <c r="K386" s="31"/>
      <c r="L386" s="32">
        <f>IFERROR(__xludf.DUMMYFUNCTION("VLOOKUP($A386,IMPORTRANGE(""1PQtfbQLqBUP-rjYRznmgNFBLOjvAnhGzpIx7BJWq8rk"",""'Worksheet'!$B$2:$H""),7,FALSE)"),0.98)</f>
        <v>0.98</v>
      </c>
      <c r="M386" s="31" t="s">
        <v>45</v>
      </c>
      <c r="N386" s="49">
        <v>1.513642375E7</v>
      </c>
      <c r="O386" s="49">
        <v>7346320.51</v>
      </c>
      <c r="P386" s="49">
        <f t="shared" si="60"/>
        <v>7790103.24</v>
      </c>
      <c r="Q386" s="34">
        <f t="shared" si="3"/>
        <v>0.5146594314</v>
      </c>
      <c r="R386" s="31"/>
      <c r="S386" s="31" t="s">
        <v>45</v>
      </c>
      <c r="T386" s="145"/>
      <c r="U386" s="51"/>
      <c r="V386" s="84"/>
      <c r="W386" s="31" t="s">
        <v>183</v>
      </c>
      <c r="X386" s="52" t="s">
        <v>803</v>
      </c>
      <c r="Y386" s="54" t="s">
        <v>2350</v>
      </c>
      <c r="Z386" s="54" t="s">
        <v>2351</v>
      </c>
      <c r="AA386" s="74">
        <v>46195.0</v>
      </c>
      <c r="AB386" s="56"/>
      <c r="AC386" s="38"/>
      <c r="AD386" s="39">
        <v>13881.78</v>
      </c>
      <c r="AE386" s="39">
        <v>7438.18375</v>
      </c>
      <c r="AF386" s="40">
        <v>6443.59625</v>
      </c>
      <c r="AG386" s="57" t="s">
        <v>2566</v>
      </c>
      <c r="AH386" s="42" t="s">
        <v>745</v>
      </c>
      <c r="AI386" s="42" t="str">
        <f>IFERROR(__xludf.DUMMYFUNCTION("vLOOKUP(A386,IMPORTRANGE(""https://docs.google.com/spreadsheets/d/1Rawwwdh8wntXGy8isdYNHxsNQS4n_rC8JSdPfj6vEq4"",""'500 объектов перенос на 2026'!A3:AB502""),13,0)"),"#REF!")</f>
        <v>#REF!</v>
      </c>
      <c r="AJ386" s="42" t="str">
        <f>IFERROR(__xludf.DUMMYFUNCTION("vLOOKUP(A386,IMPORTRANGE(""https://docs.google.com/spreadsheets/d/1Rawwwdh8wntXGy8isdYNHxsNQS4n_rC8JSdPfj6vEq4"",""'500 объектов перенос на 2026'!A3:AB502""),14,0)"),"#REF!")</f>
        <v>#REF!</v>
      </c>
      <c r="AK386" s="76" t="s">
        <v>3470</v>
      </c>
      <c r="AL386" s="43"/>
      <c r="AM386" s="43"/>
      <c r="AN386" s="43"/>
      <c r="AO386" s="43"/>
    </row>
    <row r="387" hidden="1">
      <c r="A387" s="62" t="s">
        <v>2567</v>
      </c>
      <c r="B387" s="63" t="s">
        <v>268</v>
      </c>
      <c r="C387" s="64" t="s">
        <v>2568</v>
      </c>
      <c r="D387" s="47" t="s">
        <v>1041</v>
      </c>
      <c r="E387" s="64" t="s">
        <v>85</v>
      </c>
      <c r="F387" s="31" t="s">
        <v>40</v>
      </c>
      <c r="G387" s="31" t="s">
        <v>41</v>
      </c>
      <c r="H387" s="31" t="s">
        <v>343</v>
      </c>
      <c r="I387" s="31" t="s">
        <v>40</v>
      </c>
      <c r="J387" s="31" t="s">
        <v>61</v>
      </c>
      <c r="K387" s="31"/>
      <c r="L387" s="32">
        <f>IFERROR(__xludf.DUMMYFUNCTION("VLOOKUP($A387,IMPORTRANGE(""1PQtfbQLqBUP-rjYRznmgNFBLOjvAnhGzpIx7BJWq8rk"",""'Worksheet'!$B$2:$H""),7,FALSE)"),0.97)</f>
        <v>0.97</v>
      </c>
      <c r="M387" s="31" t="s">
        <v>40</v>
      </c>
      <c r="N387" s="49">
        <v>1.438668E7</v>
      </c>
      <c r="O387" s="49">
        <v>6761739.6</v>
      </c>
      <c r="P387" s="49">
        <f t="shared" si="60"/>
        <v>7624940.4</v>
      </c>
      <c r="Q387" s="34">
        <f t="shared" si="3"/>
        <v>0.53</v>
      </c>
      <c r="R387" s="31"/>
      <c r="S387" s="31" t="s">
        <v>40</v>
      </c>
      <c r="T387" s="84" t="s">
        <v>2569</v>
      </c>
      <c r="U387" s="84">
        <v>0.0</v>
      </c>
      <c r="V387" s="84" t="s">
        <v>2569</v>
      </c>
      <c r="W387" s="31" t="s">
        <v>506</v>
      </c>
      <c r="X387" s="52" t="s">
        <v>49</v>
      </c>
      <c r="Y387" s="160" t="s">
        <v>2570</v>
      </c>
      <c r="Z387" s="54" t="s">
        <v>851</v>
      </c>
      <c r="AA387" s="68">
        <v>46235.0</v>
      </c>
      <c r="AB387" s="56"/>
      <c r="AC387" s="38" t="s">
        <v>2571</v>
      </c>
      <c r="AD387" s="39">
        <v>14386.68</v>
      </c>
      <c r="AE387" s="39">
        <v>6761.7396</v>
      </c>
      <c r="AF387" s="40">
        <v>7624.9404</v>
      </c>
      <c r="AG387" s="57" t="s">
        <v>2572</v>
      </c>
      <c r="AH387" s="42" t="s">
        <v>49</v>
      </c>
      <c r="AI387" s="42" t="str">
        <f>IFERROR(__xludf.DUMMYFUNCTION("vLOOKUP(A387,IMPORTRANGE(""https://docs.google.com/spreadsheets/d/1Rawwwdh8wntXGy8isdYNHxsNQS4n_rC8JSdPfj6vEq4"",""'500 объектов перенос на 2026'!A3:AB502""),13,0)"),"#REF!")</f>
        <v>#REF!</v>
      </c>
      <c r="AJ387" s="42" t="str">
        <f>IFERROR(__xludf.DUMMYFUNCTION("vLOOKUP(A387,IMPORTRANGE(""https://docs.google.com/spreadsheets/d/1Rawwwdh8wntXGy8isdYNHxsNQS4n_rC8JSdPfj6vEq4"",""'500 объектов перенос на 2026'!A3:AB502""),14,0)"),"#REF!")</f>
        <v>#REF!</v>
      </c>
      <c r="AK387" s="151" t="s">
        <v>3471</v>
      </c>
      <c r="AL387" s="43"/>
      <c r="AM387" s="43"/>
      <c r="AN387" s="43"/>
      <c r="AO387" s="43"/>
    </row>
    <row r="388" hidden="1">
      <c r="A388" s="62" t="s">
        <v>2574</v>
      </c>
      <c r="B388" s="63" t="s">
        <v>99</v>
      </c>
      <c r="C388" s="144" t="s">
        <v>2575</v>
      </c>
      <c r="D388" s="47" t="s">
        <v>2470</v>
      </c>
      <c r="E388" s="64" t="s">
        <v>85</v>
      </c>
      <c r="F388" s="31" t="s">
        <v>60</v>
      </c>
      <c r="G388" s="31"/>
      <c r="H388" s="31"/>
      <c r="I388" s="31" t="s">
        <v>60</v>
      </c>
      <c r="J388" s="31"/>
      <c r="K388" s="31"/>
      <c r="L388" s="32">
        <f>IFERROR(__xludf.DUMMYFUNCTION("VLOOKUP($A388,IMPORTRANGE(""1PQtfbQLqBUP-rjYRznmgNFBLOjvAnhGzpIx7BJWq8rk"",""'Worksheet'!$B$2:$H""),7,FALSE)"),1.0)</f>
        <v>1</v>
      </c>
      <c r="M388" s="31" t="s">
        <v>60</v>
      </c>
      <c r="N388" s="49">
        <v>1.243193254E7</v>
      </c>
      <c r="O388" s="49">
        <v>9832554.3</v>
      </c>
      <c r="P388" s="49">
        <f t="shared" si="60"/>
        <v>2599378.24</v>
      </c>
      <c r="Q388" s="34">
        <f t="shared" si="3"/>
        <v>0.2090888309</v>
      </c>
      <c r="R388" s="31"/>
      <c r="S388" s="31" t="s">
        <v>60</v>
      </c>
      <c r="T388" s="145">
        <f>N388*0.95</f>
        <v>11810335.91</v>
      </c>
      <c r="U388" s="84">
        <v>0.0</v>
      </c>
      <c r="V388" s="145">
        <v>1.1810335912999999E7</v>
      </c>
      <c r="W388" s="31"/>
      <c r="X388" s="52" t="s">
        <v>1150</v>
      </c>
      <c r="Y388" s="54" t="s">
        <v>2576</v>
      </c>
      <c r="Z388" s="54" t="s">
        <v>1152</v>
      </c>
      <c r="AA388" s="74">
        <v>46185.0</v>
      </c>
      <c r="AB388" s="56"/>
      <c r="AC388" s="38" t="s">
        <v>1153</v>
      </c>
      <c r="AD388" s="39">
        <v>14977.6</v>
      </c>
      <c r="AE388" s="39">
        <v>5242.16</v>
      </c>
      <c r="AF388" s="40">
        <v>9735.44</v>
      </c>
      <c r="AG388" s="57" t="s">
        <v>2577</v>
      </c>
      <c r="AH388" s="42" t="s">
        <v>1155</v>
      </c>
      <c r="AI388" s="42" t="str">
        <f>IFERROR(__xludf.DUMMYFUNCTION("vLOOKUP(A388,IMPORTRANGE(""https://docs.google.com/spreadsheets/d/1Rawwwdh8wntXGy8isdYNHxsNQS4n_rC8JSdPfj6vEq4"",""'500 объектов перенос на 2026'!A3:AB502""),13,0)"),"#REF!")</f>
        <v>#REF!</v>
      </c>
      <c r="AJ388" s="42" t="str">
        <f>IFERROR(__xludf.DUMMYFUNCTION("vLOOKUP(A388,IMPORTRANGE(""https://docs.google.com/spreadsheets/d/1Rawwwdh8wntXGy8isdYNHxsNQS4n_rC8JSdPfj6vEq4"",""'500 объектов перенос на 2026'!A3:AB502""),14,0)"),"#REF!")</f>
        <v>#REF!</v>
      </c>
      <c r="AK388" s="76" t="s">
        <v>2578</v>
      </c>
      <c r="AL388" s="43"/>
      <c r="AM388" s="43"/>
      <c r="AN388" s="43"/>
      <c r="AO388" s="43"/>
    </row>
    <row r="389" hidden="1">
      <c r="A389" s="78" t="s">
        <v>2579</v>
      </c>
      <c r="B389" s="63" t="s">
        <v>82</v>
      </c>
      <c r="C389" s="64" t="s">
        <v>2580</v>
      </c>
      <c r="D389" s="47" t="s">
        <v>2581</v>
      </c>
      <c r="E389" s="64" t="s">
        <v>85</v>
      </c>
      <c r="F389" s="31" t="s">
        <v>60</v>
      </c>
      <c r="G389" s="31"/>
      <c r="H389" s="31"/>
      <c r="I389" s="31" t="s">
        <v>60</v>
      </c>
      <c r="J389" s="31"/>
      <c r="K389" s="31"/>
      <c r="L389" s="32">
        <f>IFERROR(__xludf.DUMMYFUNCTION("VLOOKUP($A389,IMPORTRANGE(""1PQtfbQLqBUP-rjYRznmgNFBLOjvAnhGzpIx7BJWq8rk"",""'Worksheet'!$B$2:$H""),7,FALSE)"),1.0)</f>
        <v>1</v>
      </c>
      <c r="M389" s="31" t="s">
        <v>60</v>
      </c>
      <c r="N389" s="49">
        <v>6.296607428E7</v>
      </c>
      <c r="O389" s="49">
        <v>6.296607428E7</v>
      </c>
      <c r="P389" s="49">
        <f t="shared" si="60"/>
        <v>0</v>
      </c>
      <c r="Q389" s="34">
        <f t="shared" si="3"/>
        <v>0</v>
      </c>
      <c r="R389" s="31"/>
      <c r="S389" s="31" t="s">
        <v>60</v>
      </c>
      <c r="T389" s="50">
        <f>0.95*N389</f>
        <v>59817770.57</v>
      </c>
      <c r="U389" s="51">
        <v>5.9817770566E7</v>
      </c>
      <c r="V389" s="51">
        <v>0.0</v>
      </c>
      <c r="W389" s="31"/>
      <c r="X389" s="52" t="s">
        <v>113</v>
      </c>
      <c r="Y389" s="54"/>
      <c r="Z389" s="54"/>
      <c r="AA389" s="54" t="s">
        <v>114</v>
      </c>
      <c r="AB389" s="38" t="s">
        <v>115</v>
      </c>
      <c r="AC389" s="38"/>
      <c r="AD389" s="39">
        <v>51858.5</v>
      </c>
      <c r="AE389" s="39">
        <v>62966.07428</v>
      </c>
      <c r="AF389" s="39">
        <v>-11107.57428</v>
      </c>
      <c r="AG389" s="57" t="s">
        <v>2582</v>
      </c>
      <c r="AH389" s="42" t="s">
        <v>2532</v>
      </c>
      <c r="AI389" s="42" t="str">
        <f>IFERROR(__xludf.DUMMYFUNCTION("vLOOKUP(A389,IMPORTRANGE(""https://docs.google.com/spreadsheets/d/1Rawwwdh8wntXGy8isdYNHxsNQS4n_rC8JSdPfj6vEq4"",""'500 объектов перенос на 2026'!A3:AB502""),13,0)"),"#REF!")</f>
        <v>#REF!</v>
      </c>
      <c r="AJ389" s="42" t="str">
        <f>IFERROR(__xludf.DUMMYFUNCTION("vLOOKUP(A389,IMPORTRANGE(""https://docs.google.com/spreadsheets/d/1Rawwwdh8wntXGy8isdYNHxsNQS4n_rC8JSdPfj6vEq4"",""'500 объектов перенос на 2026'!A3:AB502""),14,0)"),"#REF!")</f>
        <v>#REF!</v>
      </c>
      <c r="AK389" s="76" t="s">
        <v>114</v>
      </c>
      <c r="AL389" s="43"/>
      <c r="AM389" s="43"/>
      <c r="AN389" s="43"/>
      <c r="AO389" s="43"/>
    </row>
    <row r="390" hidden="1">
      <c r="A390" s="62" t="s">
        <v>2583</v>
      </c>
      <c r="B390" s="63" t="s">
        <v>635</v>
      </c>
      <c r="C390" s="144" t="s">
        <v>2584</v>
      </c>
      <c r="D390" s="47" t="s">
        <v>1210</v>
      </c>
      <c r="E390" s="64" t="s">
        <v>85</v>
      </c>
      <c r="F390" s="31" t="s">
        <v>60</v>
      </c>
      <c r="G390" s="31"/>
      <c r="H390" s="31"/>
      <c r="I390" s="31" t="s">
        <v>60</v>
      </c>
      <c r="J390" s="31"/>
      <c r="K390" s="31"/>
      <c r="L390" s="32">
        <f>IFERROR(__xludf.DUMMYFUNCTION("VLOOKUP($A390,IMPORTRANGE(""1PQtfbQLqBUP-rjYRznmgNFBLOjvAnhGzpIx7BJWq8rk"",""'Worksheet'!$B$2:$H""),7,FALSE)"),0.98)</f>
        <v>0.98</v>
      </c>
      <c r="M390" s="31" t="s">
        <v>45</v>
      </c>
      <c r="N390" s="49">
        <v>1.131926474E7</v>
      </c>
      <c r="O390" s="49">
        <v>4000447.56</v>
      </c>
      <c r="P390" s="49">
        <f t="shared" si="60"/>
        <v>7318817.18</v>
      </c>
      <c r="Q390" s="34">
        <f t="shared" si="3"/>
        <v>0.646580617</v>
      </c>
      <c r="R390" s="31" t="s">
        <v>1678</v>
      </c>
      <c r="S390" s="31" t="s">
        <v>60</v>
      </c>
      <c r="T390" s="50" t="s">
        <v>3472</v>
      </c>
      <c r="U390" s="51" t="s">
        <v>3472</v>
      </c>
      <c r="V390" s="51">
        <v>0.0</v>
      </c>
      <c r="W390" s="31"/>
      <c r="X390" s="52" t="s">
        <v>1243</v>
      </c>
      <c r="Y390" s="54" t="s">
        <v>1244</v>
      </c>
      <c r="Z390" s="54" t="s">
        <v>1245</v>
      </c>
      <c r="AA390" s="68">
        <v>46204.0</v>
      </c>
      <c r="AB390" s="56"/>
      <c r="AC390" s="38" t="s">
        <v>1246</v>
      </c>
      <c r="AD390" s="39">
        <v>11319.26</v>
      </c>
      <c r="AE390" s="39">
        <v>4092.7598</v>
      </c>
      <c r="AF390" s="40">
        <v>7226.5002</v>
      </c>
      <c r="AG390" s="57" t="s">
        <v>3473</v>
      </c>
      <c r="AH390" s="42" t="s">
        <v>1693</v>
      </c>
      <c r="AI390" s="42" t="str">
        <f>IFERROR(__xludf.DUMMYFUNCTION("vLOOKUP(A390,IMPORTRANGE(""https://docs.google.com/spreadsheets/d/1Rawwwdh8wntXGy8isdYNHxsNQS4n_rC8JSdPfj6vEq4"",""'500 объектов перенос на 2026'!A3:AB502""),13,0)"),"#REF!")</f>
        <v>#REF!</v>
      </c>
      <c r="AJ390" s="42" t="str">
        <f>IFERROR(__xludf.DUMMYFUNCTION("vLOOKUP(A390,IMPORTRANGE(""https://docs.google.com/spreadsheets/d/1Rawwwdh8wntXGy8isdYNHxsNQS4n_rC8JSdPfj6vEq4"",""'500 объектов перенос на 2026'!A3:AB502""),14,0)"),"#REF!")</f>
        <v>#REF!</v>
      </c>
      <c r="AK390" s="140"/>
      <c r="AL390" s="43"/>
      <c r="AM390" s="43"/>
      <c r="AN390" s="43"/>
      <c r="AO390" s="43"/>
    </row>
    <row r="391" hidden="1">
      <c r="A391" s="78" t="s">
        <v>2589</v>
      </c>
      <c r="B391" s="63" t="s">
        <v>82</v>
      </c>
      <c r="C391" s="64" t="s">
        <v>2590</v>
      </c>
      <c r="D391" s="47" t="s">
        <v>2591</v>
      </c>
      <c r="E391" s="64" t="s">
        <v>324</v>
      </c>
      <c r="F391" s="31" t="s">
        <v>60</v>
      </c>
      <c r="G391" s="31"/>
      <c r="H391" s="31"/>
      <c r="I391" s="31" t="s">
        <v>60</v>
      </c>
      <c r="J391" s="31"/>
      <c r="K391" s="31"/>
      <c r="L391" s="32" t="str">
        <f>IFERROR(__xludf.DUMMYFUNCTION("VLOOKUP($A391,IMPORTRANGE(""1PQtfbQLqBUP-rjYRznmgNFBLOjvAnhGzpIx7BJWq8rk"",""'Worksheet'!$B$2:$H""),7,FALSE)"),"#N/A")</f>
        <v>#N/A</v>
      </c>
      <c r="M391" s="31" t="s">
        <v>60</v>
      </c>
      <c r="N391" s="49">
        <v>1.821590698E7</v>
      </c>
      <c r="O391" s="49">
        <v>1.821590698E7</v>
      </c>
      <c r="P391" s="49">
        <f t="shared" si="60"/>
        <v>0</v>
      </c>
      <c r="Q391" s="34">
        <f t="shared" si="3"/>
        <v>0</v>
      </c>
      <c r="R391" s="31"/>
      <c r="S391" s="31" t="s">
        <v>60</v>
      </c>
      <c r="T391" s="50" t="s">
        <v>2592</v>
      </c>
      <c r="U391" s="50" t="s">
        <v>2592</v>
      </c>
      <c r="V391" s="50">
        <v>0.0</v>
      </c>
      <c r="W391" s="31"/>
      <c r="X391" s="52" t="s">
        <v>113</v>
      </c>
      <c r="Y391" s="54"/>
      <c r="Z391" s="54"/>
      <c r="AA391" s="54" t="s">
        <v>114</v>
      </c>
      <c r="AB391" s="38" t="s">
        <v>115</v>
      </c>
      <c r="AC391" s="38"/>
      <c r="AD391" s="39">
        <v>22610.0</v>
      </c>
      <c r="AE391" s="39">
        <v>18215.90698</v>
      </c>
      <c r="AF391" s="39">
        <v>4394.09302</v>
      </c>
      <c r="AG391" s="57"/>
      <c r="AH391" s="42" t="s">
        <v>2593</v>
      </c>
      <c r="AI391" s="42" t="str">
        <f>IFERROR(__xludf.DUMMYFUNCTION("vLOOKUP(A391,IMPORTRANGE(""https://docs.google.com/spreadsheets/d/1Rawwwdh8wntXGy8isdYNHxsNQS4n_rC8JSdPfj6vEq4"",""'500 объектов перенос на 2026'!A3:AB502""),13,0)"),"#REF!")</f>
        <v>#REF!</v>
      </c>
      <c r="AJ391" s="42" t="str">
        <f>IFERROR(__xludf.DUMMYFUNCTION("vLOOKUP(A391,IMPORTRANGE(""https://docs.google.com/spreadsheets/d/1Rawwwdh8wntXGy8isdYNHxsNQS4n_rC8JSdPfj6vEq4"",""'500 объектов перенос на 2026'!A3:AB502""),14,0)"),"#REF!")</f>
        <v>#REF!</v>
      </c>
      <c r="AK391" s="76" t="s">
        <v>114</v>
      </c>
      <c r="AL391" s="43"/>
      <c r="AM391" s="43"/>
      <c r="AN391" s="43"/>
      <c r="AO391" s="43"/>
    </row>
    <row r="392" hidden="1">
      <c r="A392" s="78" t="s">
        <v>2594</v>
      </c>
      <c r="B392" s="63" t="s">
        <v>82</v>
      </c>
      <c r="C392" s="64" t="s">
        <v>2595</v>
      </c>
      <c r="D392" s="47" t="s">
        <v>2581</v>
      </c>
      <c r="E392" s="64" t="s">
        <v>85</v>
      </c>
      <c r="F392" s="31" t="s">
        <v>60</v>
      </c>
      <c r="G392" s="31"/>
      <c r="H392" s="31"/>
      <c r="I392" s="31" t="s">
        <v>60</v>
      </c>
      <c r="J392" s="31"/>
      <c r="K392" s="31"/>
      <c r="L392" s="32" t="str">
        <f>IFERROR(__xludf.DUMMYFUNCTION("VLOOKUP($A392,IMPORTRANGE(""1PQtfbQLqBUP-rjYRznmgNFBLOjvAnhGzpIx7BJWq8rk"",""'Worksheet'!$B$2:$H""),7,FALSE)"),"#N/A")</f>
        <v>#N/A</v>
      </c>
      <c r="M392" s="31" t="s">
        <v>60</v>
      </c>
      <c r="N392" s="49">
        <v>2.654096E7</v>
      </c>
      <c r="O392" s="49">
        <v>2.630810785E7</v>
      </c>
      <c r="P392" s="49">
        <v>0.0</v>
      </c>
      <c r="Q392" s="34">
        <f t="shared" si="3"/>
        <v>0.008773313023</v>
      </c>
      <c r="R392" s="31"/>
      <c r="S392" s="31" t="s">
        <v>60</v>
      </c>
      <c r="T392" s="50">
        <f>0.95*N392</f>
        <v>25213912</v>
      </c>
      <c r="U392" s="51">
        <v>2.5213912E7</v>
      </c>
      <c r="V392" s="51">
        <v>0.0</v>
      </c>
      <c r="W392" s="31"/>
      <c r="X392" s="52" t="s">
        <v>113</v>
      </c>
      <c r="Y392" s="54"/>
      <c r="Z392" s="54"/>
      <c r="AA392" s="54" t="s">
        <v>114</v>
      </c>
      <c r="AB392" s="38" t="s">
        <v>115</v>
      </c>
      <c r="AC392" s="38"/>
      <c r="AD392" s="39">
        <v>26540.96</v>
      </c>
      <c r="AE392" s="39">
        <v>26308.10785</v>
      </c>
      <c r="AF392" s="39">
        <v>232.85215</v>
      </c>
      <c r="AG392" s="57" t="s">
        <v>2596</v>
      </c>
      <c r="AH392" s="42" t="s">
        <v>253</v>
      </c>
      <c r="AI392" s="42" t="str">
        <f>IFERROR(__xludf.DUMMYFUNCTION("vLOOKUP(A392,IMPORTRANGE(""https://docs.google.com/spreadsheets/d/1Rawwwdh8wntXGy8isdYNHxsNQS4n_rC8JSdPfj6vEq4"",""'500 объектов перенос на 2026'!A3:AB502""),13,0)"),"#REF!")</f>
        <v>#REF!</v>
      </c>
      <c r="AJ392" s="42" t="str">
        <f>IFERROR(__xludf.DUMMYFUNCTION("vLOOKUP(A392,IMPORTRANGE(""https://docs.google.com/spreadsheets/d/1Rawwwdh8wntXGy8isdYNHxsNQS4n_rC8JSdPfj6vEq4"",""'500 объектов перенос на 2026'!A3:AB502""),14,0)"),"#REF!")</f>
        <v>#REF!</v>
      </c>
      <c r="AK392" s="76" t="s">
        <v>114</v>
      </c>
      <c r="AL392" s="43"/>
      <c r="AM392" s="43"/>
      <c r="AN392" s="43"/>
      <c r="AO392" s="43"/>
    </row>
    <row r="393" hidden="1">
      <c r="A393" s="122" t="s">
        <v>2597</v>
      </c>
      <c r="B393" s="63" t="s">
        <v>503</v>
      </c>
      <c r="C393" s="64" t="s">
        <v>2598</v>
      </c>
      <c r="D393" s="47" t="s">
        <v>2069</v>
      </c>
      <c r="E393" s="64" t="s">
        <v>59</v>
      </c>
      <c r="F393" s="31" t="s">
        <v>60</v>
      </c>
      <c r="G393" s="31"/>
      <c r="H393" s="31"/>
      <c r="I393" s="31" t="s">
        <v>60</v>
      </c>
      <c r="J393" s="31"/>
      <c r="K393" s="31"/>
      <c r="L393" s="32">
        <f>IFERROR(__xludf.DUMMYFUNCTION("VLOOKUP($A393,IMPORTRANGE(""1PQtfbQLqBUP-rjYRznmgNFBLOjvAnhGzpIx7BJWq8rk"",""'Worksheet'!$B$2:$H""),7,FALSE)"),1.0)</f>
        <v>1</v>
      </c>
      <c r="M393" s="31" t="s">
        <v>40</v>
      </c>
      <c r="N393" s="49">
        <v>1.037917E7</v>
      </c>
      <c r="O393" s="49">
        <v>3113751.0</v>
      </c>
      <c r="P393" s="49">
        <f>N393-O393</f>
        <v>7265419</v>
      </c>
      <c r="Q393" s="34">
        <f t="shared" si="3"/>
        <v>0.7</v>
      </c>
      <c r="R393" s="31"/>
      <c r="S393" s="31" t="s">
        <v>45</v>
      </c>
      <c r="T393" s="91"/>
      <c r="U393" s="50"/>
      <c r="V393" s="50"/>
      <c r="W393" s="31" t="s">
        <v>1503</v>
      </c>
      <c r="X393" s="52" t="s">
        <v>2599</v>
      </c>
      <c r="Y393" s="187" t="s">
        <v>2600</v>
      </c>
      <c r="Z393" s="54" t="s">
        <v>2601</v>
      </c>
      <c r="AA393" s="74">
        <v>46296.0</v>
      </c>
      <c r="AB393" s="56"/>
      <c r="AC393" s="38"/>
      <c r="AD393" s="39">
        <v>10379.17</v>
      </c>
      <c r="AE393" s="39">
        <v>3113.751</v>
      </c>
      <c r="AF393" s="40">
        <v>7265.419</v>
      </c>
      <c r="AG393" s="57" t="s">
        <v>2602</v>
      </c>
      <c r="AH393" s="42" t="s">
        <v>2603</v>
      </c>
      <c r="AI393" s="42" t="str">
        <f>IFERROR(__xludf.DUMMYFUNCTION("vLOOKUP(A393,IMPORTRANGE(""https://docs.google.com/spreadsheets/d/1Rawwwdh8wntXGy8isdYNHxsNQS4n_rC8JSdPfj6vEq4"",""'500 объектов перенос на 2026'!A3:AB502""),13,0)"),"#REF!")</f>
        <v>#REF!</v>
      </c>
      <c r="AJ393" s="42" t="str">
        <f>IFERROR(__xludf.DUMMYFUNCTION("vLOOKUP(A393,IMPORTRANGE(""https://docs.google.com/spreadsheets/d/1Rawwwdh8wntXGy8isdYNHxsNQS4n_rC8JSdPfj6vEq4"",""'500 объектов перенос на 2026'!A3:AB502""),14,0)"),"#REF!")</f>
        <v>#REF!</v>
      </c>
      <c r="AK393" s="188" t="s">
        <v>2600</v>
      </c>
      <c r="AL393" s="43"/>
      <c r="AM393" s="43"/>
      <c r="AN393" s="43"/>
      <c r="AO393" s="43"/>
    </row>
    <row r="394" hidden="1">
      <c r="A394" s="78" t="s">
        <v>2604</v>
      </c>
      <c r="B394" s="63" t="s">
        <v>82</v>
      </c>
      <c r="C394" s="64" t="s">
        <v>2605</v>
      </c>
      <c r="D394" s="47" t="s">
        <v>227</v>
      </c>
      <c r="E394" s="64" t="s">
        <v>39</v>
      </c>
      <c r="F394" s="31" t="s">
        <v>60</v>
      </c>
      <c r="G394" s="31"/>
      <c r="H394" s="31"/>
      <c r="I394" s="31" t="s">
        <v>60</v>
      </c>
      <c r="J394" s="31"/>
      <c r="K394" s="31"/>
      <c r="L394" s="32" t="str">
        <f>IFERROR(__xludf.DUMMYFUNCTION("VLOOKUP($A394,IMPORTRANGE(""1PQtfbQLqBUP-rjYRznmgNFBLOjvAnhGzpIx7BJWq8rk"",""'Worksheet'!$B$2:$H""),7,FALSE)"),"#N/A")</f>
        <v>#N/A</v>
      </c>
      <c r="M394" s="31" t="s">
        <v>60</v>
      </c>
      <c r="N394" s="49">
        <v>9.986902E7</v>
      </c>
      <c r="O394" s="49">
        <v>9.518599254E7</v>
      </c>
      <c r="P394" s="49">
        <v>0.0</v>
      </c>
      <c r="Q394" s="34">
        <f t="shared" si="3"/>
        <v>0.04689169334</v>
      </c>
      <c r="R394" s="31"/>
      <c r="S394" s="31" t="s">
        <v>60</v>
      </c>
      <c r="T394" s="50">
        <f>N394*0.95</f>
        <v>94875569</v>
      </c>
      <c r="U394" s="51">
        <v>9.4875569E7</v>
      </c>
      <c r="V394" s="51">
        <v>0.0</v>
      </c>
      <c r="W394" s="31"/>
      <c r="X394" s="52" t="s">
        <v>113</v>
      </c>
      <c r="Y394" s="54"/>
      <c r="Z394" s="54"/>
      <c r="AA394" s="54" t="s">
        <v>114</v>
      </c>
      <c r="AB394" s="38" t="s">
        <v>115</v>
      </c>
      <c r="AC394" s="38"/>
      <c r="AD394" s="39">
        <v>99869.02</v>
      </c>
      <c r="AE394" s="39">
        <v>95185.99254</v>
      </c>
      <c r="AF394" s="39">
        <v>4683.02746</v>
      </c>
      <c r="AG394" s="57" t="s">
        <v>2606</v>
      </c>
      <c r="AH394" s="42" t="s">
        <v>253</v>
      </c>
      <c r="AI394" s="42" t="str">
        <f>IFERROR(__xludf.DUMMYFUNCTION("vLOOKUP(A394,IMPORTRANGE(""https://docs.google.com/spreadsheets/d/1Rawwwdh8wntXGy8isdYNHxsNQS4n_rC8JSdPfj6vEq4"",""'500 объектов перенос на 2026'!A3:AB502""),13,0)"),"#REF!")</f>
        <v>#REF!</v>
      </c>
      <c r="AJ394" s="42" t="str">
        <f>IFERROR(__xludf.DUMMYFUNCTION("vLOOKUP(A394,IMPORTRANGE(""https://docs.google.com/spreadsheets/d/1Rawwwdh8wntXGy8isdYNHxsNQS4n_rC8JSdPfj6vEq4"",""'500 объектов перенос на 2026'!A3:AB502""),14,0)"),"#REF!")</f>
        <v>#REF!</v>
      </c>
      <c r="AK394" s="76" t="s">
        <v>114</v>
      </c>
      <c r="AL394" s="43"/>
      <c r="AM394" s="43"/>
      <c r="AN394" s="43"/>
      <c r="AO394" s="43"/>
    </row>
    <row r="395" hidden="1">
      <c r="A395" s="62" t="s">
        <v>2607</v>
      </c>
      <c r="B395" s="63" t="s">
        <v>268</v>
      </c>
      <c r="C395" s="144" t="s">
        <v>2608</v>
      </c>
      <c r="D395" s="47" t="s">
        <v>1041</v>
      </c>
      <c r="E395" s="64" t="s">
        <v>85</v>
      </c>
      <c r="F395" s="31" t="s">
        <v>60</v>
      </c>
      <c r="G395" s="31"/>
      <c r="H395" s="31"/>
      <c r="I395" s="31" t="s">
        <v>60</v>
      </c>
      <c r="J395" s="31"/>
      <c r="K395" s="31"/>
      <c r="L395" s="32">
        <f>IFERROR(__xludf.DUMMYFUNCTION("VLOOKUP($A395,IMPORTRANGE(""1PQtfbQLqBUP-rjYRznmgNFBLOjvAnhGzpIx7BJWq8rk"",""'Worksheet'!$B$2:$H""),7,FALSE)"),0.93)</f>
        <v>0.93</v>
      </c>
      <c r="M395" s="31" t="s">
        <v>40</v>
      </c>
      <c r="N395" s="49">
        <v>1.3609192E7</v>
      </c>
      <c r="O395" s="49">
        <v>6396320.24</v>
      </c>
      <c r="P395" s="49">
        <f t="shared" ref="P395:P396" si="61">N395-O395</f>
        <v>7212871.76</v>
      </c>
      <c r="Q395" s="34">
        <f t="shared" si="3"/>
        <v>0.53</v>
      </c>
      <c r="R395" s="31"/>
      <c r="S395" s="31" t="s">
        <v>40</v>
      </c>
      <c r="T395" s="50" t="s">
        <v>2609</v>
      </c>
      <c r="U395" s="50">
        <v>0.0</v>
      </c>
      <c r="V395" s="50" t="s">
        <v>2609</v>
      </c>
      <c r="W395" s="31" t="s">
        <v>506</v>
      </c>
      <c r="X395" s="52" t="s">
        <v>1582</v>
      </c>
      <c r="Y395" s="54" t="s">
        <v>2610</v>
      </c>
      <c r="Z395" s="54" t="s">
        <v>851</v>
      </c>
      <c r="AA395" s="74">
        <v>46218.0</v>
      </c>
      <c r="AB395" s="56"/>
      <c r="AC395" s="38"/>
      <c r="AD395" s="39">
        <v>13609.19</v>
      </c>
      <c r="AE395" s="39">
        <v>6396.32024</v>
      </c>
      <c r="AF395" s="40">
        <v>7212.86976</v>
      </c>
      <c r="AG395" s="57" t="s">
        <v>2611</v>
      </c>
      <c r="AH395" s="42" t="s">
        <v>2612</v>
      </c>
      <c r="AI395" s="42" t="str">
        <f>IFERROR(__xludf.DUMMYFUNCTION("vLOOKUP(A395,IMPORTRANGE(""https://docs.google.com/spreadsheets/d/1Rawwwdh8wntXGy8isdYNHxsNQS4n_rC8JSdPfj6vEq4"",""'500 объектов перенос на 2026'!A3:AB502""),13,0)"),"#REF!")</f>
        <v>#REF!</v>
      </c>
      <c r="AJ395" s="42" t="str">
        <f>IFERROR(__xludf.DUMMYFUNCTION("vLOOKUP(A395,IMPORTRANGE(""https://docs.google.com/spreadsheets/d/1Rawwwdh8wntXGy8isdYNHxsNQS4n_rC8JSdPfj6vEq4"",""'500 объектов перенос на 2026'!A3:AB502""),14,0)"),"#REF!")</f>
        <v>#REF!</v>
      </c>
      <c r="AK395" s="151" t="s">
        <v>3474</v>
      </c>
      <c r="AL395" s="43"/>
      <c r="AM395" s="43"/>
      <c r="AN395" s="43"/>
      <c r="AO395" s="43"/>
    </row>
    <row r="396" hidden="1">
      <c r="A396" s="62" t="s">
        <v>2614</v>
      </c>
      <c r="B396" s="63" t="s">
        <v>1586</v>
      </c>
      <c r="C396" s="64" t="s">
        <v>2615</v>
      </c>
      <c r="D396" s="47" t="s">
        <v>1276</v>
      </c>
      <c r="E396" s="64" t="s">
        <v>85</v>
      </c>
      <c r="F396" s="31" t="s">
        <v>60</v>
      </c>
      <c r="G396" s="31"/>
      <c r="H396" s="31"/>
      <c r="I396" s="31" t="s">
        <v>40</v>
      </c>
      <c r="J396" s="31" t="s">
        <v>61</v>
      </c>
      <c r="K396" s="31" t="s">
        <v>72</v>
      </c>
      <c r="L396" s="32">
        <f>IFERROR(__xludf.DUMMYFUNCTION("VLOOKUP($A396,IMPORTRANGE(""1PQtfbQLqBUP-rjYRznmgNFBLOjvAnhGzpIx7BJWq8rk"",""'Worksheet'!$B$2:$H""),7,FALSE)"),0.9)</f>
        <v>0.9</v>
      </c>
      <c r="M396" s="31" t="s">
        <v>45</v>
      </c>
      <c r="N396" s="49">
        <v>2.454445162E7</v>
      </c>
      <c r="O396" s="49">
        <v>1.767796582E7</v>
      </c>
      <c r="P396" s="49">
        <f t="shared" si="61"/>
        <v>6866485.8</v>
      </c>
      <c r="Q396" s="34">
        <f t="shared" si="3"/>
        <v>0.2797571486</v>
      </c>
      <c r="R396" s="31"/>
      <c r="S396" s="31" t="s">
        <v>45</v>
      </c>
      <c r="T396" s="50" t="s">
        <v>2616</v>
      </c>
      <c r="U396" s="50" t="s">
        <v>2617</v>
      </c>
      <c r="V396" s="50" t="s">
        <v>2618</v>
      </c>
      <c r="W396" s="31"/>
      <c r="X396" s="52" t="s">
        <v>1592</v>
      </c>
      <c r="Y396" s="54" t="s">
        <v>3459</v>
      </c>
      <c r="Z396" s="54" t="s">
        <v>1594</v>
      </c>
      <c r="AA396" s="68">
        <v>46225.0</v>
      </c>
      <c r="AB396" s="56"/>
      <c r="AC396" s="38" t="s">
        <v>1595</v>
      </c>
      <c r="AD396" s="39">
        <v>20628.24</v>
      </c>
      <c r="AE396" s="39">
        <v>17677.96582</v>
      </c>
      <c r="AF396" s="40">
        <v>2950.27418</v>
      </c>
      <c r="AG396" s="57" t="s">
        <v>2619</v>
      </c>
      <c r="AH396" s="42" t="s">
        <v>2620</v>
      </c>
      <c r="AI396" s="42" t="str">
        <f>IFERROR(__xludf.DUMMYFUNCTION("vLOOKUP(A396,IMPORTRANGE(""https://docs.google.com/spreadsheets/d/1Rawwwdh8wntXGy8isdYNHxsNQS4n_rC8JSdPfj6vEq4"",""'500 объектов перенос на 2026'!A3:AB502""),13,0)"),"#REF!")</f>
        <v>#REF!</v>
      </c>
      <c r="AJ396" s="42" t="str">
        <f>IFERROR(__xludf.DUMMYFUNCTION("vLOOKUP(A396,IMPORTRANGE(""https://docs.google.com/spreadsheets/d/1Rawwwdh8wntXGy8isdYNHxsNQS4n_rC8JSdPfj6vEq4"",""'500 объектов перенос на 2026'!A3:AB502""),14,0)"),"#REF!")</f>
        <v>#REF!</v>
      </c>
      <c r="AK396" s="76" t="s">
        <v>2131</v>
      </c>
      <c r="AL396" s="96">
        <v>67938.0</v>
      </c>
      <c r="AM396" s="96"/>
      <c r="AN396" s="96"/>
      <c r="AO396" s="96"/>
    </row>
    <row r="397" hidden="1">
      <c r="A397" s="78" t="s">
        <v>2621</v>
      </c>
      <c r="B397" s="63" t="s">
        <v>82</v>
      </c>
      <c r="C397" s="64" t="s">
        <v>2622</v>
      </c>
      <c r="D397" s="47" t="s">
        <v>2623</v>
      </c>
      <c r="E397" s="64" t="s">
        <v>85</v>
      </c>
      <c r="F397" s="31" t="s">
        <v>60</v>
      </c>
      <c r="G397" s="31"/>
      <c r="H397" s="31"/>
      <c r="I397" s="31" t="s">
        <v>60</v>
      </c>
      <c r="J397" s="31"/>
      <c r="K397" s="31"/>
      <c r="L397" s="32" t="str">
        <f>IFERROR(__xludf.DUMMYFUNCTION("VLOOKUP($A397,IMPORTRANGE(""1PQtfbQLqBUP-rjYRznmgNFBLOjvAnhGzpIx7BJWq8rk"",""'Worksheet'!$B$2:$H""),7,FALSE)"),"#N/A")</f>
        <v>#N/A</v>
      </c>
      <c r="M397" s="31" t="s">
        <v>60</v>
      </c>
      <c r="N397" s="49">
        <v>2.539287E7</v>
      </c>
      <c r="O397" s="49">
        <v>2.443136368E7</v>
      </c>
      <c r="P397" s="49">
        <v>0.0</v>
      </c>
      <c r="Q397" s="34">
        <f t="shared" si="3"/>
        <v>0.03786520862</v>
      </c>
      <c r="R397" s="31"/>
      <c r="S397" s="31" t="s">
        <v>60</v>
      </c>
      <c r="T397" s="50">
        <f>0.95*N397</f>
        <v>24123226.5</v>
      </c>
      <c r="U397" s="51">
        <v>2.41232265E7</v>
      </c>
      <c r="V397" s="51">
        <v>0.0</v>
      </c>
      <c r="W397" s="31"/>
      <c r="X397" s="52" t="s">
        <v>113</v>
      </c>
      <c r="Y397" s="54"/>
      <c r="Z397" s="54"/>
      <c r="AA397" s="54" t="s">
        <v>114</v>
      </c>
      <c r="AB397" s="38" t="s">
        <v>115</v>
      </c>
      <c r="AC397" s="38"/>
      <c r="AD397" s="39">
        <v>25392.87</v>
      </c>
      <c r="AE397" s="39">
        <v>24431.36368</v>
      </c>
      <c r="AF397" s="39">
        <v>961.50632</v>
      </c>
      <c r="AG397" s="57" t="s">
        <v>2624</v>
      </c>
      <c r="AH397" s="42" t="s">
        <v>253</v>
      </c>
      <c r="AI397" s="42" t="str">
        <f>IFERROR(__xludf.DUMMYFUNCTION("vLOOKUP(A397,IMPORTRANGE(""https://docs.google.com/spreadsheets/d/1Rawwwdh8wntXGy8isdYNHxsNQS4n_rC8JSdPfj6vEq4"",""'500 объектов перенос на 2026'!A3:AB502""),13,0)"),"#REF!")</f>
        <v>#REF!</v>
      </c>
      <c r="AJ397" s="42" t="str">
        <f>IFERROR(__xludf.DUMMYFUNCTION("vLOOKUP(A397,IMPORTRANGE(""https://docs.google.com/spreadsheets/d/1Rawwwdh8wntXGy8isdYNHxsNQS4n_rC8JSdPfj6vEq4"",""'500 объектов перенос на 2026'!A3:AB502""),14,0)"),"#REF!")</f>
        <v>#REF!</v>
      </c>
      <c r="AK397" s="76" t="s">
        <v>114</v>
      </c>
      <c r="AL397" s="43"/>
      <c r="AM397" s="43"/>
      <c r="AN397" s="43"/>
      <c r="AO397" s="43"/>
    </row>
    <row r="398" hidden="1">
      <c r="A398" s="62" t="s">
        <v>2625</v>
      </c>
      <c r="B398" s="63" t="s">
        <v>142</v>
      </c>
      <c r="C398" s="64" t="s">
        <v>2626</v>
      </c>
      <c r="D398" s="47" t="s">
        <v>427</v>
      </c>
      <c r="E398" s="64" t="s">
        <v>59</v>
      </c>
      <c r="F398" s="31" t="s">
        <v>60</v>
      </c>
      <c r="G398" s="31"/>
      <c r="H398" s="31"/>
      <c r="I398" s="31" t="s">
        <v>60</v>
      </c>
      <c r="J398" s="31"/>
      <c r="K398" s="31"/>
      <c r="L398" s="32">
        <f>IFERROR(__xludf.DUMMYFUNCTION("VLOOKUP($A398,IMPORTRANGE(""1PQtfbQLqBUP-rjYRznmgNFBLOjvAnhGzpIx7BJWq8rk"",""'Worksheet'!$B$2:$H""),7,FALSE)"),0.92)</f>
        <v>0.92</v>
      </c>
      <c r="M398" s="31" t="s">
        <v>45</v>
      </c>
      <c r="N398" s="49">
        <v>3.722059242E7</v>
      </c>
      <c r="O398" s="49">
        <v>3.036841493E7</v>
      </c>
      <c r="P398" s="49">
        <f t="shared" ref="P398:P399" si="62">N398-O398</f>
        <v>6852177.49</v>
      </c>
      <c r="Q398" s="34">
        <f t="shared" si="3"/>
        <v>0.1840964113</v>
      </c>
      <c r="R398" s="31"/>
      <c r="S398" s="31" t="s">
        <v>45</v>
      </c>
      <c r="T398" s="72" t="s">
        <v>2627</v>
      </c>
      <c r="U398" s="72" t="s">
        <v>2628</v>
      </c>
      <c r="V398" s="72" t="s">
        <v>2629</v>
      </c>
      <c r="W398" s="31" t="s">
        <v>183</v>
      </c>
      <c r="X398" s="52" t="s">
        <v>1615</v>
      </c>
      <c r="Y398" s="89" t="s">
        <v>2630</v>
      </c>
      <c r="Z398" s="55"/>
      <c r="AA398" s="55">
        <v>46204.0</v>
      </c>
      <c r="AB398" s="56"/>
      <c r="AC398" s="38"/>
      <c r="AD398" s="39">
        <v>29512.61</v>
      </c>
      <c r="AE398" s="39">
        <v>42814.99493</v>
      </c>
      <c r="AF398" s="40">
        <v>-13302.38493</v>
      </c>
      <c r="AG398" s="57" t="s">
        <v>2631</v>
      </c>
      <c r="AH398" s="85" t="s">
        <v>46</v>
      </c>
      <c r="AI398" s="42" t="str">
        <f>IFERROR(__xludf.DUMMYFUNCTION("vLOOKUP(A398,IMPORTRANGE(""https://docs.google.com/spreadsheets/d/1Rawwwdh8wntXGy8isdYNHxsNQS4n_rC8JSdPfj6vEq4"",""'500 объектов перенос на 2026'!A3:AB502""),13,0)"),"#REF!")</f>
        <v>#REF!</v>
      </c>
      <c r="AJ398" s="42" t="str">
        <f>IFERROR(__xludf.DUMMYFUNCTION("vLOOKUP(A398,IMPORTRANGE(""https://docs.google.com/spreadsheets/d/1Rawwwdh8wntXGy8isdYNHxsNQS4n_rC8JSdPfj6vEq4"",""'500 объектов перенос на 2026'!A3:AB502""),14,0)"),"#REF!")</f>
        <v>#REF!</v>
      </c>
      <c r="AK398" s="138" t="s">
        <v>3475</v>
      </c>
      <c r="AL398" s="43"/>
      <c r="AM398" s="43"/>
      <c r="AN398" s="43"/>
      <c r="AO398" s="43"/>
    </row>
    <row r="399" hidden="1">
      <c r="A399" s="78" t="s">
        <v>2633</v>
      </c>
      <c r="B399" s="63" t="s">
        <v>82</v>
      </c>
      <c r="C399" s="64" t="s">
        <v>2634</v>
      </c>
      <c r="D399" s="47" t="s">
        <v>2623</v>
      </c>
      <c r="E399" s="64" t="s">
        <v>85</v>
      </c>
      <c r="F399" s="31" t="s">
        <v>60</v>
      </c>
      <c r="G399" s="31"/>
      <c r="H399" s="31"/>
      <c r="I399" s="31" t="s">
        <v>60</v>
      </c>
      <c r="J399" s="31"/>
      <c r="K399" s="31"/>
      <c r="L399" s="32" t="str">
        <f>IFERROR(__xludf.DUMMYFUNCTION("VLOOKUP($A399,IMPORTRANGE(""1PQtfbQLqBUP-rjYRznmgNFBLOjvAnhGzpIx7BJWq8rk"",""'Worksheet'!$B$2:$H""),7,FALSE)"),"#N/A")</f>
        <v>#N/A</v>
      </c>
      <c r="M399" s="31" t="s">
        <v>60</v>
      </c>
      <c r="N399" s="49">
        <v>7067134.53</v>
      </c>
      <c r="O399" s="49">
        <v>7067134.53</v>
      </c>
      <c r="P399" s="49">
        <f t="shared" si="62"/>
        <v>0</v>
      </c>
      <c r="Q399" s="34">
        <f t="shared" si="3"/>
        <v>0</v>
      </c>
      <c r="R399" s="31"/>
      <c r="S399" s="31" t="s">
        <v>60</v>
      </c>
      <c r="T399" s="50">
        <f>0.95*N399</f>
        <v>6713777.804</v>
      </c>
      <c r="U399" s="51">
        <v>6713777.8035</v>
      </c>
      <c r="V399" s="51">
        <v>0.0</v>
      </c>
      <c r="W399" s="31"/>
      <c r="X399" s="52" t="s">
        <v>113</v>
      </c>
      <c r="Y399" s="54"/>
      <c r="Z399" s="54"/>
      <c r="AA399" s="54" t="s">
        <v>114</v>
      </c>
      <c r="AB399" s="38" t="s">
        <v>115</v>
      </c>
      <c r="AC399" s="38"/>
      <c r="AD399" s="39">
        <v>7067.13</v>
      </c>
      <c r="AE399" s="39">
        <v>7067.13453</v>
      </c>
      <c r="AF399" s="39">
        <v>-0.00453</v>
      </c>
      <c r="AG399" s="57" t="s">
        <v>2635</v>
      </c>
      <c r="AH399" s="42" t="s">
        <v>2636</v>
      </c>
      <c r="AI399" s="42" t="str">
        <f>IFERROR(__xludf.DUMMYFUNCTION("vLOOKUP(A399,IMPORTRANGE(""https://docs.google.com/spreadsheets/d/1Rawwwdh8wntXGy8isdYNHxsNQS4n_rC8JSdPfj6vEq4"",""'500 объектов перенос на 2026'!A3:AB502""),13,0)"),"#REF!")</f>
        <v>#REF!</v>
      </c>
      <c r="AJ399" s="42" t="str">
        <f>IFERROR(__xludf.DUMMYFUNCTION("vLOOKUP(A399,IMPORTRANGE(""https://docs.google.com/spreadsheets/d/1Rawwwdh8wntXGy8isdYNHxsNQS4n_rC8JSdPfj6vEq4"",""'500 объектов перенос на 2026'!A3:AB502""),14,0)"),"#REF!")</f>
        <v>#REF!</v>
      </c>
      <c r="AK399" s="76" t="s">
        <v>114</v>
      </c>
      <c r="AL399" s="43"/>
      <c r="AM399" s="43"/>
      <c r="AN399" s="43"/>
      <c r="AO399" s="43"/>
    </row>
    <row r="400" hidden="1">
      <c r="A400" s="78" t="s">
        <v>2637</v>
      </c>
      <c r="B400" s="63" t="s">
        <v>82</v>
      </c>
      <c r="C400" s="64" t="s">
        <v>2638</v>
      </c>
      <c r="D400" s="47" t="s">
        <v>2639</v>
      </c>
      <c r="E400" s="64" t="s">
        <v>85</v>
      </c>
      <c r="F400" s="31" t="s">
        <v>60</v>
      </c>
      <c r="G400" s="31"/>
      <c r="H400" s="31"/>
      <c r="I400" s="31" t="s">
        <v>60</v>
      </c>
      <c r="J400" s="31"/>
      <c r="K400" s="31"/>
      <c r="L400" s="32" t="str">
        <f>IFERROR(__xludf.DUMMYFUNCTION("VLOOKUP($A400,IMPORTRANGE(""1PQtfbQLqBUP-rjYRznmgNFBLOjvAnhGzpIx7BJWq8rk"",""'Worksheet'!$B$2:$H""),7,FALSE)"),"#N/A")</f>
        <v>#N/A</v>
      </c>
      <c r="M400" s="31" t="s">
        <v>60</v>
      </c>
      <c r="N400" s="49">
        <v>7228230.0</v>
      </c>
      <c r="O400" s="49">
        <v>7119068.45</v>
      </c>
      <c r="P400" s="49">
        <v>0.0</v>
      </c>
      <c r="Q400" s="34">
        <f t="shared" si="3"/>
        <v>0.01510211352</v>
      </c>
      <c r="R400" s="31"/>
      <c r="S400" s="31" t="s">
        <v>60</v>
      </c>
      <c r="T400" s="50">
        <f>N400*0.95</f>
        <v>6866818.5</v>
      </c>
      <c r="U400" s="51">
        <v>6866818.5</v>
      </c>
      <c r="V400" s="51">
        <v>0.0</v>
      </c>
      <c r="W400" s="31"/>
      <c r="X400" s="52" t="s">
        <v>113</v>
      </c>
      <c r="Y400" s="54"/>
      <c r="Z400" s="54"/>
      <c r="AA400" s="54" t="s">
        <v>114</v>
      </c>
      <c r="AB400" s="38" t="s">
        <v>115</v>
      </c>
      <c r="AC400" s="38"/>
      <c r="AD400" s="39">
        <v>7228.23</v>
      </c>
      <c r="AE400" s="39">
        <v>7119.06845</v>
      </c>
      <c r="AF400" s="39">
        <v>109.16155</v>
      </c>
      <c r="AG400" s="57" t="s">
        <v>2640</v>
      </c>
      <c r="AH400" s="42"/>
      <c r="AI400" s="42" t="str">
        <f>IFERROR(__xludf.DUMMYFUNCTION("vLOOKUP(A400,IMPORTRANGE(""https://docs.google.com/spreadsheets/d/1Rawwwdh8wntXGy8isdYNHxsNQS4n_rC8JSdPfj6vEq4"",""'500 объектов перенос на 2026'!A3:AB502""),13,0)"),"#REF!")</f>
        <v>#REF!</v>
      </c>
      <c r="AJ400" s="42" t="str">
        <f>IFERROR(__xludf.DUMMYFUNCTION("vLOOKUP(A400,IMPORTRANGE(""https://docs.google.com/spreadsheets/d/1Rawwwdh8wntXGy8isdYNHxsNQS4n_rC8JSdPfj6vEq4"",""'500 объектов перенос на 2026'!A3:AB502""),14,0)"),"#REF!")</f>
        <v>#REF!</v>
      </c>
      <c r="AK400" s="76" t="s">
        <v>114</v>
      </c>
      <c r="AL400" s="43"/>
      <c r="AM400" s="43"/>
      <c r="AN400" s="43"/>
      <c r="AO400" s="43"/>
    </row>
    <row r="401" hidden="1">
      <c r="A401" s="62" t="s">
        <v>2641</v>
      </c>
      <c r="B401" s="63" t="s">
        <v>400</v>
      </c>
      <c r="C401" s="64" t="s">
        <v>2642</v>
      </c>
      <c r="D401" s="47" t="s">
        <v>1041</v>
      </c>
      <c r="E401" s="64" t="s">
        <v>85</v>
      </c>
      <c r="F401" s="31" t="s">
        <v>60</v>
      </c>
      <c r="G401" s="31"/>
      <c r="H401" s="31"/>
      <c r="I401" s="31" t="s">
        <v>60</v>
      </c>
      <c r="J401" s="31"/>
      <c r="K401" s="31"/>
      <c r="L401" s="32">
        <f>IFERROR(__xludf.DUMMYFUNCTION("VLOOKUP($A401,IMPORTRANGE(""1PQtfbQLqBUP-rjYRznmgNFBLOjvAnhGzpIx7BJWq8rk"",""'Worksheet'!$B$2:$H""),7,FALSE)"),0.95)</f>
        <v>0.95</v>
      </c>
      <c r="M401" s="31" t="s">
        <v>45</v>
      </c>
      <c r="N401" s="49">
        <v>1.217830197E7</v>
      </c>
      <c r="O401" s="49">
        <v>5439701.61</v>
      </c>
      <c r="P401" s="49">
        <f t="shared" ref="P401:P402" si="63">N401-O401</f>
        <v>6738600.36</v>
      </c>
      <c r="Q401" s="34">
        <f t="shared" si="3"/>
        <v>0.5533284013</v>
      </c>
      <c r="R401" s="31"/>
      <c r="S401" s="31" t="s">
        <v>45</v>
      </c>
      <c r="T401" s="50"/>
      <c r="U401" s="50"/>
      <c r="V401" s="50"/>
      <c r="W401" s="31" t="s">
        <v>506</v>
      </c>
      <c r="X401" s="52" t="s">
        <v>2643</v>
      </c>
      <c r="Y401" s="54" t="s">
        <v>2644</v>
      </c>
      <c r="Z401" s="54" t="s">
        <v>2645</v>
      </c>
      <c r="AA401" s="74">
        <v>46198.0</v>
      </c>
      <c r="AB401" s="56"/>
      <c r="AC401" s="38"/>
      <c r="AD401" s="39">
        <v>12178.31</v>
      </c>
      <c r="AE401" s="39">
        <v>5562.00197</v>
      </c>
      <c r="AF401" s="40">
        <v>6616.30803</v>
      </c>
      <c r="AG401" s="57" t="s">
        <v>2646</v>
      </c>
      <c r="AH401" s="42" t="s">
        <v>2647</v>
      </c>
      <c r="AI401" s="42" t="str">
        <f>IFERROR(__xludf.DUMMYFUNCTION("vLOOKUP(A401,IMPORTRANGE(""https://docs.google.com/spreadsheets/d/1Rawwwdh8wntXGy8isdYNHxsNQS4n_rC8JSdPfj6vEq4"",""'500 объектов перенос на 2026'!A3:AB502""),13,0)"),"#REF!")</f>
        <v>#REF!</v>
      </c>
      <c r="AJ401" s="42" t="str">
        <f>IFERROR(__xludf.DUMMYFUNCTION("vLOOKUP(A401,IMPORTRANGE(""https://docs.google.com/spreadsheets/d/1Rawwwdh8wntXGy8isdYNHxsNQS4n_rC8JSdPfj6vEq4"",""'500 объектов перенос на 2026'!A3:AB502""),14,0)"),"#REF!")</f>
        <v>#REF!</v>
      </c>
      <c r="AK401" s="76" t="s">
        <v>3476</v>
      </c>
      <c r="AL401" s="43"/>
      <c r="AM401" s="43"/>
      <c r="AN401" s="43"/>
      <c r="AO401" s="43"/>
    </row>
    <row r="402" hidden="1">
      <c r="A402" s="78" t="s">
        <v>2648</v>
      </c>
      <c r="B402" s="63" t="s">
        <v>82</v>
      </c>
      <c r="C402" s="90" t="s">
        <v>2649</v>
      </c>
      <c r="D402" s="47" t="s">
        <v>2623</v>
      </c>
      <c r="E402" s="64" t="s">
        <v>85</v>
      </c>
      <c r="F402" s="31" t="s">
        <v>60</v>
      </c>
      <c r="G402" s="31"/>
      <c r="H402" s="31"/>
      <c r="I402" s="31" t="s">
        <v>60</v>
      </c>
      <c r="J402" s="31"/>
      <c r="K402" s="31"/>
      <c r="L402" s="32" t="str">
        <f>IFERROR(__xludf.DUMMYFUNCTION("VLOOKUP($A402,IMPORTRANGE(""1PQtfbQLqBUP-rjYRznmgNFBLOjvAnhGzpIx7BJWq8rk"",""'Worksheet'!$B$2:$H""),7,FALSE)"),"#N/A")</f>
        <v>#N/A</v>
      </c>
      <c r="M402" s="31" t="s">
        <v>60</v>
      </c>
      <c r="N402" s="49">
        <v>4.527958476E7</v>
      </c>
      <c r="O402" s="49">
        <v>4.527958476E7</v>
      </c>
      <c r="P402" s="49">
        <f t="shared" si="63"/>
        <v>0</v>
      </c>
      <c r="Q402" s="34">
        <f t="shared" si="3"/>
        <v>0</v>
      </c>
      <c r="R402" s="31"/>
      <c r="S402" s="31" t="s">
        <v>60</v>
      </c>
      <c r="T402" s="50">
        <f>0.95*N402</f>
        <v>43015605.52</v>
      </c>
      <c r="U402" s="51">
        <v>4.301560552199999E7</v>
      </c>
      <c r="V402" s="51">
        <v>0.0</v>
      </c>
      <c r="W402" s="31"/>
      <c r="X402" s="52" t="s">
        <v>113</v>
      </c>
      <c r="Y402" s="54"/>
      <c r="Z402" s="54"/>
      <c r="AA402" s="54" t="s">
        <v>114</v>
      </c>
      <c r="AB402" s="38" t="s">
        <v>115</v>
      </c>
      <c r="AC402" s="38"/>
      <c r="AD402" s="39">
        <v>44646.11</v>
      </c>
      <c r="AE402" s="39">
        <v>45279.58476</v>
      </c>
      <c r="AF402" s="39">
        <v>-633.47476</v>
      </c>
      <c r="AG402" s="57" t="s">
        <v>2650</v>
      </c>
      <c r="AH402" s="42" t="s">
        <v>253</v>
      </c>
      <c r="AI402" s="42" t="str">
        <f>IFERROR(__xludf.DUMMYFUNCTION("vLOOKUP(A402,IMPORTRANGE(""https://docs.google.com/spreadsheets/d/1Rawwwdh8wntXGy8isdYNHxsNQS4n_rC8JSdPfj6vEq4"",""'500 объектов перенос на 2026'!A3:AB502""),13,0)"),"#REF!")</f>
        <v>#REF!</v>
      </c>
      <c r="AJ402" s="42" t="str">
        <f>IFERROR(__xludf.DUMMYFUNCTION("vLOOKUP(A402,IMPORTRANGE(""https://docs.google.com/spreadsheets/d/1Rawwwdh8wntXGy8isdYNHxsNQS4n_rC8JSdPfj6vEq4"",""'500 объектов перенос на 2026'!A3:AB502""),14,0)"),"#REF!")</f>
        <v>#REF!</v>
      </c>
      <c r="AK402" s="76" t="s">
        <v>114</v>
      </c>
      <c r="AL402" s="43"/>
      <c r="AM402" s="43"/>
      <c r="AN402" s="43"/>
      <c r="AO402" s="43"/>
    </row>
    <row r="403" hidden="1">
      <c r="A403" s="78" t="s">
        <v>2651</v>
      </c>
      <c r="B403" s="63" t="s">
        <v>82</v>
      </c>
      <c r="C403" s="64" t="s">
        <v>2652</v>
      </c>
      <c r="D403" s="47" t="s">
        <v>505</v>
      </c>
      <c r="E403" s="64" t="s">
        <v>59</v>
      </c>
      <c r="F403" s="31" t="s">
        <v>60</v>
      </c>
      <c r="G403" s="31"/>
      <c r="H403" s="31"/>
      <c r="I403" s="31" t="s">
        <v>60</v>
      </c>
      <c r="J403" s="31"/>
      <c r="K403" s="31"/>
      <c r="L403" s="32" t="str">
        <f>IFERROR(__xludf.DUMMYFUNCTION("VLOOKUP($A403,IMPORTRANGE(""1PQtfbQLqBUP-rjYRznmgNFBLOjvAnhGzpIx7BJWq8rk"",""'Worksheet'!$B$2:$H""),7,FALSE)"),"#N/A")</f>
        <v>#N/A</v>
      </c>
      <c r="M403" s="31" t="s">
        <v>60</v>
      </c>
      <c r="N403" s="49">
        <v>1.539165E7</v>
      </c>
      <c r="O403" s="49">
        <v>1.479210041E7</v>
      </c>
      <c r="P403" s="49">
        <v>0.0</v>
      </c>
      <c r="Q403" s="34">
        <f t="shared" si="3"/>
        <v>0.03895291213</v>
      </c>
      <c r="R403" s="31"/>
      <c r="S403" s="31" t="s">
        <v>60</v>
      </c>
      <c r="T403" s="50">
        <f>N403*0.95</f>
        <v>14622067.5</v>
      </c>
      <c r="U403" s="51">
        <v>1.46220675E7</v>
      </c>
      <c r="V403" s="51">
        <v>0.0</v>
      </c>
      <c r="W403" s="31"/>
      <c r="X403" s="52" t="s">
        <v>113</v>
      </c>
      <c r="Y403" s="54"/>
      <c r="Z403" s="54"/>
      <c r="AA403" s="54" t="s">
        <v>114</v>
      </c>
      <c r="AB403" s="38" t="s">
        <v>115</v>
      </c>
      <c r="AC403" s="38"/>
      <c r="AD403" s="39">
        <v>15391.65</v>
      </c>
      <c r="AE403" s="39">
        <v>14792.10041</v>
      </c>
      <c r="AF403" s="39">
        <v>599.54959</v>
      </c>
      <c r="AG403" s="57" t="s">
        <v>2653</v>
      </c>
      <c r="AH403" s="42" t="s">
        <v>253</v>
      </c>
      <c r="AI403" s="42" t="str">
        <f>IFERROR(__xludf.DUMMYFUNCTION("vLOOKUP(A403,IMPORTRANGE(""https://docs.google.com/spreadsheets/d/1Rawwwdh8wntXGy8isdYNHxsNQS4n_rC8JSdPfj6vEq4"",""'500 объектов перенос на 2026'!A3:AB502""),13,0)"),"#REF!")</f>
        <v>#REF!</v>
      </c>
      <c r="AJ403" s="42" t="str">
        <f>IFERROR(__xludf.DUMMYFUNCTION("vLOOKUP(A403,IMPORTRANGE(""https://docs.google.com/spreadsheets/d/1Rawwwdh8wntXGy8isdYNHxsNQS4n_rC8JSdPfj6vEq4"",""'500 объектов перенос на 2026'!A3:AB502""),14,0)"),"#REF!")</f>
        <v>#REF!</v>
      </c>
      <c r="AK403" s="76" t="s">
        <v>114</v>
      </c>
      <c r="AL403" s="43"/>
      <c r="AM403" s="43"/>
      <c r="AN403" s="43"/>
      <c r="AO403" s="43"/>
    </row>
    <row r="404" hidden="1">
      <c r="A404" s="62" t="s">
        <v>2654</v>
      </c>
      <c r="B404" s="63" t="s">
        <v>268</v>
      </c>
      <c r="C404" s="64" t="s">
        <v>2655</v>
      </c>
      <c r="D404" s="47" t="s">
        <v>1041</v>
      </c>
      <c r="E404" s="64" t="s">
        <v>85</v>
      </c>
      <c r="F404" s="31" t="s">
        <v>40</v>
      </c>
      <c r="G404" s="31" t="s">
        <v>41</v>
      </c>
      <c r="H404" s="31" t="s">
        <v>343</v>
      </c>
      <c r="I404" s="31" t="s">
        <v>60</v>
      </c>
      <c r="J404" s="31"/>
      <c r="K404" s="31"/>
      <c r="L404" s="32">
        <f>IFERROR(__xludf.DUMMYFUNCTION("VLOOKUP($A404,IMPORTRANGE(""1PQtfbQLqBUP-rjYRznmgNFBLOjvAnhGzpIx7BJWq8rk"",""'Worksheet'!$B$2:$H""),7,FALSE)"),0.98)</f>
        <v>0.98</v>
      </c>
      <c r="M404" s="31" t="s">
        <v>40</v>
      </c>
      <c r="N404" s="49">
        <v>1.2491261E7</v>
      </c>
      <c r="O404" s="49">
        <v>5870892.67</v>
      </c>
      <c r="P404" s="49">
        <f t="shared" ref="P404:P407" si="64">N404-O404</f>
        <v>6620368.33</v>
      </c>
      <c r="Q404" s="34">
        <f t="shared" si="3"/>
        <v>0.53</v>
      </c>
      <c r="R404" s="31"/>
      <c r="S404" s="31" t="s">
        <v>40</v>
      </c>
      <c r="T404" s="50" t="s">
        <v>2656</v>
      </c>
      <c r="U404" s="50">
        <v>0.0</v>
      </c>
      <c r="V404" s="50" t="s">
        <v>2656</v>
      </c>
      <c r="W404" s="31" t="s">
        <v>506</v>
      </c>
      <c r="X404" s="52" t="s">
        <v>49</v>
      </c>
      <c r="Y404" s="54" t="s">
        <v>2657</v>
      </c>
      <c r="Z404" s="54" t="s">
        <v>851</v>
      </c>
      <c r="AA404" s="68">
        <v>46280.0</v>
      </c>
      <c r="AB404" s="56"/>
      <c r="AC404" s="38" t="s">
        <v>2571</v>
      </c>
      <c r="AD404" s="39">
        <v>12491.26</v>
      </c>
      <c r="AE404" s="39">
        <v>5870.89267</v>
      </c>
      <c r="AF404" s="40">
        <v>6620.36733</v>
      </c>
      <c r="AG404" s="57" t="s">
        <v>2658</v>
      </c>
      <c r="AH404" s="42" t="s">
        <v>854</v>
      </c>
      <c r="AI404" s="42" t="str">
        <f>IFERROR(__xludf.DUMMYFUNCTION("vLOOKUP(A404,IMPORTRANGE(""https://docs.google.com/spreadsheets/d/1Rawwwdh8wntXGy8isdYNHxsNQS4n_rC8JSdPfj6vEq4"",""'500 объектов перенос на 2026'!A3:AB502""),13,0)"),"#REF!")</f>
        <v>#REF!</v>
      </c>
      <c r="AJ404" s="42" t="str">
        <f>IFERROR(__xludf.DUMMYFUNCTION("vLOOKUP(A404,IMPORTRANGE(""https://docs.google.com/spreadsheets/d/1Rawwwdh8wntXGy8isdYNHxsNQS4n_rC8JSdPfj6vEq4"",""'500 объектов перенос на 2026'!A3:AB502""),14,0)"),"#REF!")</f>
        <v>#REF!</v>
      </c>
      <c r="AK404" s="151" t="s">
        <v>2659</v>
      </c>
      <c r="AL404" s="43"/>
      <c r="AM404" s="43"/>
      <c r="AN404" s="43"/>
      <c r="AO404" s="43"/>
    </row>
    <row r="405" hidden="1">
      <c r="A405" s="62" t="s">
        <v>2660</v>
      </c>
      <c r="B405" s="63" t="s">
        <v>82</v>
      </c>
      <c r="C405" s="64" t="s">
        <v>2661</v>
      </c>
      <c r="D405" s="47" t="s">
        <v>2591</v>
      </c>
      <c r="E405" s="64" t="s">
        <v>324</v>
      </c>
      <c r="F405" s="31" t="s">
        <v>40</v>
      </c>
      <c r="G405" s="31" t="s">
        <v>41</v>
      </c>
      <c r="H405" s="31" t="s">
        <v>260</v>
      </c>
      <c r="I405" s="31" t="s">
        <v>60</v>
      </c>
      <c r="J405" s="31"/>
      <c r="K405" s="31"/>
      <c r="L405" s="32">
        <f>IFERROR(__xludf.DUMMYFUNCTION("VLOOKUP($A405,IMPORTRANGE(""1PQtfbQLqBUP-rjYRznmgNFBLOjvAnhGzpIx7BJWq8rk"",""'Worksheet'!$B$2:$H""),7,FALSE)"),0.98)</f>
        <v>0.98</v>
      </c>
      <c r="M405" s="31" t="s">
        <v>40</v>
      </c>
      <c r="N405" s="49">
        <v>1.295406E7</v>
      </c>
      <c r="O405" s="49">
        <v>6477030.0</v>
      </c>
      <c r="P405" s="49">
        <f t="shared" si="64"/>
        <v>6477030</v>
      </c>
      <c r="Q405" s="34">
        <f t="shared" si="3"/>
        <v>0.5</v>
      </c>
      <c r="R405" s="31"/>
      <c r="S405" s="31" t="s">
        <v>40</v>
      </c>
      <c r="T405" s="50">
        <f>N405*0.95</f>
        <v>12306357</v>
      </c>
      <c r="U405" s="50">
        <v>0.0</v>
      </c>
      <c r="V405" s="50">
        <v>1.2306357E7</v>
      </c>
      <c r="W405" s="31"/>
      <c r="X405" s="52" t="s">
        <v>2662</v>
      </c>
      <c r="Y405" s="54" t="s">
        <v>2663</v>
      </c>
      <c r="Z405" s="74"/>
      <c r="AA405" s="74">
        <v>46264.0</v>
      </c>
      <c r="AB405" s="56"/>
      <c r="AC405" s="38" t="s">
        <v>2664</v>
      </c>
      <c r="AD405" s="39">
        <v>12954.06</v>
      </c>
      <c r="AE405" s="39">
        <v>6477.03</v>
      </c>
      <c r="AF405" s="40">
        <v>6477.03</v>
      </c>
      <c r="AG405" s="57" t="s">
        <v>2665</v>
      </c>
      <c r="AH405" s="42" t="s">
        <v>103</v>
      </c>
      <c r="AI405" s="42" t="str">
        <f>IFERROR(__xludf.DUMMYFUNCTION("vLOOKUP(A405,IMPORTRANGE(""https://docs.google.com/spreadsheets/d/1Rawwwdh8wntXGy8isdYNHxsNQS4n_rC8JSdPfj6vEq4"",""'500 объектов перенос на 2026'!A3:AB502""),13,0)"),"#REF!")</f>
        <v>#REF!</v>
      </c>
      <c r="AJ405" s="42" t="str">
        <f>IFERROR(__xludf.DUMMYFUNCTION("vLOOKUP(A405,IMPORTRANGE(""https://docs.google.com/spreadsheets/d/1Rawwwdh8wntXGy8isdYNHxsNQS4n_rC8JSdPfj6vEq4"",""'500 объектов перенос на 2026'!A3:AB502""),14,0)"),"#REF!")</f>
        <v>#REF!</v>
      </c>
      <c r="AK405" s="76" t="s">
        <v>3477</v>
      </c>
      <c r="AL405" s="43"/>
      <c r="AM405" s="43"/>
      <c r="AN405" s="43"/>
      <c r="AO405" s="43"/>
    </row>
    <row r="406" hidden="1">
      <c r="A406" s="62" t="s">
        <v>2667</v>
      </c>
      <c r="B406" s="63" t="s">
        <v>725</v>
      </c>
      <c r="C406" s="104" t="s">
        <v>2668</v>
      </c>
      <c r="D406" s="47" t="s">
        <v>727</v>
      </c>
      <c r="E406" s="64" t="s">
        <v>85</v>
      </c>
      <c r="F406" s="31" t="s">
        <v>60</v>
      </c>
      <c r="G406" s="31"/>
      <c r="H406" s="31"/>
      <c r="I406" s="31" t="s">
        <v>40</v>
      </c>
      <c r="J406" s="31" t="s">
        <v>61</v>
      </c>
      <c r="K406" s="31" t="s">
        <v>72</v>
      </c>
      <c r="L406" s="32">
        <v>0.95</v>
      </c>
      <c r="M406" s="31" t="s">
        <v>40</v>
      </c>
      <c r="N406" s="49">
        <v>9203493.71</v>
      </c>
      <c r="O406" s="49">
        <v>2761048.11</v>
      </c>
      <c r="P406" s="49">
        <f t="shared" si="64"/>
        <v>6442445.6</v>
      </c>
      <c r="Q406" s="34">
        <f t="shared" si="3"/>
        <v>0.7000000003</v>
      </c>
      <c r="R406" s="31"/>
      <c r="S406" s="31" t="s">
        <v>40</v>
      </c>
      <c r="T406" s="72" t="s">
        <v>2669</v>
      </c>
      <c r="U406" s="72" t="s">
        <v>2670</v>
      </c>
      <c r="V406" s="72" t="s">
        <v>2671</v>
      </c>
      <c r="W406" s="31"/>
      <c r="X406" s="52" t="s">
        <v>2434</v>
      </c>
      <c r="Y406" s="89" t="s">
        <v>2672</v>
      </c>
      <c r="Z406" s="54" t="s">
        <v>731</v>
      </c>
      <c r="AA406" s="74">
        <v>46235.0</v>
      </c>
      <c r="AB406" s="56"/>
      <c r="AC406" s="38"/>
      <c r="AD406" s="39">
        <v>9203.49</v>
      </c>
      <c r="AE406" s="39">
        <v>0.0</v>
      </c>
      <c r="AF406" s="40">
        <v>9203.49</v>
      </c>
      <c r="AG406" s="191"/>
      <c r="AH406" s="42" t="s">
        <v>595</v>
      </c>
      <c r="AI406" s="42" t="str">
        <f>IFERROR(__xludf.DUMMYFUNCTION("vLOOKUP(A406,IMPORTRANGE(""https://docs.google.com/spreadsheets/d/1Rawwwdh8wntXGy8isdYNHxsNQS4n_rC8JSdPfj6vEq4"",""'500 объектов перенос на 2026'!A3:AB502""),13,0)"),"#REF!")</f>
        <v>#REF!</v>
      </c>
      <c r="AJ406" s="42" t="str">
        <f>IFERROR(__xludf.DUMMYFUNCTION("vLOOKUP(A406,IMPORTRANGE(""https://docs.google.com/spreadsheets/d/1Rawwwdh8wntXGy8isdYNHxsNQS4n_rC8JSdPfj6vEq4"",""'500 объектов перенос на 2026'!A3:AB502""),14,0)"),"#REF!")</f>
        <v>#REF!</v>
      </c>
      <c r="AK406" s="138" t="s">
        <v>3478</v>
      </c>
      <c r="AL406" s="43"/>
      <c r="AM406" s="43"/>
      <c r="AN406" s="43"/>
      <c r="AO406" s="43"/>
    </row>
    <row r="407" hidden="1">
      <c r="A407" s="62" t="s">
        <v>2675</v>
      </c>
      <c r="B407" s="63" t="s">
        <v>605</v>
      </c>
      <c r="C407" s="64" t="s">
        <v>2676</v>
      </c>
      <c r="D407" s="47" t="s">
        <v>1210</v>
      </c>
      <c r="E407" s="64" t="s">
        <v>85</v>
      </c>
      <c r="F407" s="31" t="s">
        <v>40</v>
      </c>
      <c r="G407" s="31" t="s">
        <v>299</v>
      </c>
      <c r="H407" s="31" t="s">
        <v>260</v>
      </c>
      <c r="I407" s="31" t="s">
        <v>40</v>
      </c>
      <c r="J407" s="31" t="s">
        <v>61</v>
      </c>
      <c r="K407" s="31"/>
      <c r="L407" s="32">
        <f>IFERROR(__xludf.DUMMYFUNCTION("VLOOKUP($A407,IMPORTRANGE(""1PQtfbQLqBUP-rjYRznmgNFBLOjvAnhGzpIx7BJWq8rk"",""'Worksheet'!$B$2:$H""),7,FALSE)"),0.92)</f>
        <v>0.92</v>
      </c>
      <c r="M407" s="31" t="s">
        <v>40</v>
      </c>
      <c r="N407" s="49">
        <v>1.177335E7</v>
      </c>
      <c r="O407" s="49">
        <v>5534296.59</v>
      </c>
      <c r="P407" s="49">
        <f t="shared" si="64"/>
        <v>6239053.41</v>
      </c>
      <c r="Q407" s="34">
        <f t="shared" si="3"/>
        <v>0.5299301737</v>
      </c>
      <c r="R407" s="31"/>
      <c r="S407" s="31" t="s">
        <v>40</v>
      </c>
      <c r="T407" s="72" t="s">
        <v>2677</v>
      </c>
      <c r="U407" s="72">
        <v>0.0</v>
      </c>
      <c r="V407" s="72" t="s">
        <v>2677</v>
      </c>
      <c r="W407" s="31"/>
      <c r="X407" s="52" t="s">
        <v>1169</v>
      </c>
      <c r="Y407" s="124" t="s">
        <v>2678</v>
      </c>
      <c r="Z407" s="54" t="s">
        <v>2359</v>
      </c>
      <c r="AA407" s="74">
        <v>46265.0</v>
      </c>
      <c r="AB407" s="56"/>
      <c r="AC407" s="38" t="s">
        <v>1349</v>
      </c>
      <c r="AD407" s="39">
        <v>12393.0</v>
      </c>
      <c r="AE407" s="39">
        <v>6153.94659</v>
      </c>
      <c r="AF407" s="40">
        <v>6239.05341</v>
      </c>
      <c r="AG407" s="99" t="s">
        <v>2679</v>
      </c>
      <c r="AH407" s="85"/>
      <c r="AI407" s="42" t="str">
        <f>IFERROR(__xludf.DUMMYFUNCTION("vLOOKUP(A407,IMPORTRANGE(""https://docs.google.com/spreadsheets/d/1Rawwwdh8wntXGy8isdYNHxsNQS4n_rC8JSdPfj6vEq4"",""'500 объектов перенос на 2026'!A3:AB502""),13,0)"),"#REF!")</f>
        <v>#REF!</v>
      </c>
      <c r="AJ407" s="42" t="str">
        <f>IFERROR(__xludf.DUMMYFUNCTION("vLOOKUP(A407,IMPORTRANGE(""https://docs.google.com/spreadsheets/d/1Rawwwdh8wntXGy8isdYNHxsNQS4n_rC8JSdPfj6vEq4"",""'500 объектов перенос на 2026'!A3:AB502""),14,0)"),"#REF!")</f>
        <v>#REF!</v>
      </c>
      <c r="AK407" s="151" t="s">
        <v>3479</v>
      </c>
      <c r="AL407" s="96"/>
      <c r="AM407" s="43"/>
      <c r="AN407" s="43"/>
      <c r="AO407" s="43"/>
    </row>
    <row r="408" hidden="1">
      <c r="A408" s="78" t="s">
        <v>2681</v>
      </c>
      <c r="B408" s="63" t="s">
        <v>625</v>
      </c>
      <c r="C408" s="90" t="s">
        <v>2682</v>
      </c>
      <c r="D408" s="47" t="s">
        <v>1523</v>
      </c>
      <c r="E408" s="64" t="s">
        <v>85</v>
      </c>
      <c r="F408" s="31" t="s">
        <v>60</v>
      </c>
      <c r="G408" s="31"/>
      <c r="H408" s="31"/>
      <c r="I408" s="31" t="s">
        <v>60</v>
      </c>
      <c r="J408" s="31"/>
      <c r="K408" s="31"/>
      <c r="L408" s="32" t="str">
        <f>IFERROR(__xludf.DUMMYFUNCTION("VLOOKUP($A408,IMPORTRANGE(""1PQtfbQLqBUP-rjYRznmgNFBLOjvAnhGzpIx7BJWq8rk"",""'Worksheet'!$B$2:$H""),7,FALSE)"),"#N/A")</f>
        <v>#N/A</v>
      </c>
      <c r="M408" s="31" t="s">
        <v>60</v>
      </c>
      <c r="N408" s="49">
        <v>2.1800384754E8</v>
      </c>
      <c r="O408" s="49">
        <v>1.4525089973E8</v>
      </c>
      <c r="P408" s="49">
        <v>0.0</v>
      </c>
      <c r="Q408" s="34">
        <f t="shared" si="3"/>
        <v>0.3337232284</v>
      </c>
      <c r="R408" s="31"/>
      <c r="S408" s="31" t="s">
        <v>60</v>
      </c>
      <c r="T408" s="50" t="s">
        <v>2683</v>
      </c>
      <c r="U408" s="117" t="s">
        <v>2683</v>
      </c>
      <c r="V408" s="51">
        <v>0.0</v>
      </c>
      <c r="W408" s="31"/>
      <c r="X408" s="52" t="s">
        <v>113</v>
      </c>
      <c r="Y408" s="54" t="s">
        <v>437</v>
      </c>
      <c r="Z408" s="54" t="s">
        <v>437</v>
      </c>
      <c r="AA408" s="54" t="s">
        <v>114</v>
      </c>
      <c r="AB408" s="38" t="s">
        <v>115</v>
      </c>
      <c r="AC408" s="38"/>
      <c r="AD408" s="39">
        <v>218003.85</v>
      </c>
      <c r="AE408" s="39">
        <v>169375.2171</v>
      </c>
      <c r="AF408" s="39">
        <v>48628.63291</v>
      </c>
      <c r="AG408" s="57" t="s">
        <v>2684</v>
      </c>
      <c r="AH408" s="85" t="s">
        <v>2411</v>
      </c>
      <c r="AI408" s="85" t="s">
        <v>2685</v>
      </c>
      <c r="AJ408" s="85" t="s">
        <v>2411</v>
      </c>
      <c r="AK408" s="76" t="s">
        <v>114</v>
      </c>
      <c r="AL408" s="43"/>
      <c r="AM408" s="43"/>
      <c r="AN408" s="43"/>
      <c r="AO408" s="43"/>
    </row>
    <row r="409" hidden="1">
      <c r="A409" s="78" t="s">
        <v>2686</v>
      </c>
      <c r="B409" s="63" t="s">
        <v>625</v>
      </c>
      <c r="C409" s="90" t="s">
        <v>2687</v>
      </c>
      <c r="D409" s="47" t="s">
        <v>2048</v>
      </c>
      <c r="E409" s="64" t="s">
        <v>85</v>
      </c>
      <c r="F409" s="31" t="s">
        <v>60</v>
      </c>
      <c r="G409" s="31"/>
      <c r="H409" s="31"/>
      <c r="I409" s="31" t="s">
        <v>60</v>
      </c>
      <c r="J409" s="31"/>
      <c r="K409" s="31"/>
      <c r="L409" s="32" t="str">
        <f>IFERROR(__xludf.DUMMYFUNCTION("VLOOKUP($A409,IMPORTRANGE(""1PQtfbQLqBUP-rjYRznmgNFBLOjvAnhGzpIx7BJWq8rk"",""'Worksheet'!$B$2:$H""),7,FALSE)"),"#N/A")</f>
        <v>#N/A</v>
      </c>
      <c r="M409" s="31" t="s">
        <v>60</v>
      </c>
      <c r="N409" s="49">
        <v>8.909268E7</v>
      </c>
      <c r="O409" s="49">
        <v>6.831186572E7</v>
      </c>
      <c r="P409" s="49">
        <v>0.0</v>
      </c>
      <c r="Q409" s="34">
        <f t="shared" si="3"/>
        <v>0.2332494014</v>
      </c>
      <c r="R409" s="31"/>
      <c r="S409" s="31" t="s">
        <v>60</v>
      </c>
      <c r="T409" s="50" t="s">
        <v>2688</v>
      </c>
      <c r="U409" s="51" t="s">
        <v>2689</v>
      </c>
      <c r="V409" s="51" t="s">
        <v>2690</v>
      </c>
      <c r="W409" s="31"/>
      <c r="X409" s="52" t="s">
        <v>113</v>
      </c>
      <c r="Y409" s="54" t="s">
        <v>2691</v>
      </c>
      <c r="Z409" s="54" t="s">
        <v>274</v>
      </c>
      <c r="AA409" s="54" t="s">
        <v>114</v>
      </c>
      <c r="AB409" s="38" t="s">
        <v>115</v>
      </c>
      <c r="AC409" s="38"/>
      <c r="AD409" s="39">
        <v>89092.68</v>
      </c>
      <c r="AE409" s="39">
        <v>66768.7154</v>
      </c>
      <c r="AF409" s="39">
        <v>22323.9646</v>
      </c>
      <c r="AG409" s="57" t="s">
        <v>2692</v>
      </c>
      <c r="AH409" s="85" t="s">
        <v>2685</v>
      </c>
      <c r="AI409" s="85" t="s">
        <v>2685</v>
      </c>
      <c r="AJ409" s="85" t="s">
        <v>2685</v>
      </c>
      <c r="AK409" s="76" t="s">
        <v>114</v>
      </c>
      <c r="AL409" s="96"/>
      <c r="AM409" s="96"/>
      <c r="AN409" s="96"/>
      <c r="AO409" s="96"/>
    </row>
    <row r="410" hidden="1">
      <c r="A410" s="62" t="s">
        <v>2693</v>
      </c>
      <c r="B410" s="63" t="s">
        <v>1586</v>
      </c>
      <c r="C410" s="64" t="s">
        <v>2694</v>
      </c>
      <c r="D410" s="47" t="s">
        <v>1276</v>
      </c>
      <c r="E410" s="64" t="s">
        <v>85</v>
      </c>
      <c r="F410" s="31" t="s">
        <v>60</v>
      </c>
      <c r="G410" s="31"/>
      <c r="H410" s="31"/>
      <c r="I410" s="31" t="s">
        <v>40</v>
      </c>
      <c r="J410" s="31" t="s">
        <v>61</v>
      </c>
      <c r="K410" s="31" t="s">
        <v>72</v>
      </c>
      <c r="L410" s="32">
        <f>IFERROR(__xludf.DUMMYFUNCTION("VLOOKUP($A410,IMPORTRANGE(""1PQtfbQLqBUP-rjYRznmgNFBLOjvAnhGzpIx7BJWq8rk"",""'Worksheet'!$B$2:$H""),7,FALSE)"),0.9)</f>
        <v>0.9</v>
      </c>
      <c r="M410" s="31" t="s">
        <v>45</v>
      </c>
      <c r="N410" s="49">
        <v>1.87264969E7</v>
      </c>
      <c r="O410" s="49">
        <v>1.2490749E7</v>
      </c>
      <c r="P410" s="49">
        <f t="shared" ref="P410:P418" si="65">N410-O410</f>
        <v>6235747.9</v>
      </c>
      <c r="Q410" s="34">
        <f t="shared" si="3"/>
        <v>0.3329906246</v>
      </c>
      <c r="R410" s="31"/>
      <c r="S410" s="31" t="s">
        <v>45</v>
      </c>
      <c r="T410" s="65" t="s">
        <v>2695</v>
      </c>
      <c r="U410" s="67">
        <v>0.0</v>
      </c>
      <c r="V410" s="67" t="s">
        <v>2695</v>
      </c>
      <c r="W410" s="31"/>
      <c r="X410" s="52" t="s">
        <v>1592</v>
      </c>
      <c r="Y410" s="54" t="s">
        <v>3459</v>
      </c>
      <c r="Z410" s="54" t="s">
        <v>1594</v>
      </c>
      <c r="AA410" s="68">
        <v>46225.0</v>
      </c>
      <c r="AB410" s="56"/>
      <c r="AC410" s="38" t="s">
        <v>1595</v>
      </c>
      <c r="AD410" s="39">
        <v>17496.56</v>
      </c>
      <c r="AE410" s="39">
        <v>12490.749</v>
      </c>
      <c r="AF410" s="40">
        <v>5005.811</v>
      </c>
      <c r="AG410" s="57" t="s">
        <v>2696</v>
      </c>
      <c r="AH410" s="42" t="s">
        <v>2697</v>
      </c>
      <c r="AI410" s="42" t="str">
        <f>IFERROR(__xludf.DUMMYFUNCTION("vLOOKUP(A410,IMPORTRANGE(""https://docs.google.com/spreadsheets/d/1Rawwwdh8wntXGy8isdYNHxsNQS4n_rC8JSdPfj6vEq4"",""'500 объектов перенос на 2026'!A3:AB502""),13,0)"),"#REF!")</f>
        <v>#REF!</v>
      </c>
      <c r="AJ410" s="42" t="str">
        <f>IFERROR(__xludf.DUMMYFUNCTION("vLOOKUP(A410,IMPORTRANGE(""https://docs.google.com/spreadsheets/d/1Rawwwdh8wntXGy8isdYNHxsNQS4n_rC8JSdPfj6vEq4"",""'500 объектов перенос на 2026'!A3:AB502""),14,0)"),"#REF!")</f>
        <v>#REF!</v>
      </c>
      <c r="AK410" s="76" t="s">
        <v>2131</v>
      </c>
      <c r="AL410" s="43"/>
      <c r="AM410" s="43"/>
      <c r="AN410" s="43"/>
      <c r="AO410" s="43"/>
    </row>
    <row r="411" hidden="1">
      <c r="A411" s="62" t="s">
        <v>2698</v>
      </c>
      <c r="B411" s="63" t="s">
        <v>625</v>
      </c>
      <c r="C411" s="90" t="s">
        <v>2699</v>
      </c>
      <c r="D411" s="47" t="s">
        <v>2048</v>
      </c>
      <c r="E411" s="64" t="s">
        <v>85</v>
      </c>
      <c r="F411" s="31" t="s">
        <v>60</v>
      </c>
      <c r="G411" s="31"/>
      <c r="H411" s="31"/>
      <c r="I411" s="31" t="s">
        <v>40</v>
      </c>
      <c r="J411" s="31" t="s">
        <v>102</v>
      </c>
      <c r="K411" s="31" t="s">
        <v>280</v>
      </c>
      <c r="L411" s="32">
        <f>IFERROR(__xludf.DUMMYFUNCTION("VLOOKUP($A411,IMPORTRANGE(""1PQtfbQLqBUP-rjYRznmgNFBLOjvAnhGzpIx7BJWq8rk"",""'Worksheet'!$B$2:$H""),7,FALSE)"),0.65)</f>
        <v>0.65</v>
      </c>
      <c r="M411" s="31" t="s">
        <v>284</v>
      </c>
      <c r="N411" s="49">
        <v>1.776888E7</v>
      </c>
      <c r="O411" s="49">
        <v>5330664.0</v>
      </c>
      <c r="P411" s="49">
        <f t="shared" si="65"/>
        <v>12438216</v>
      </c>
      <c r="Q411" s="34">
        <f t="shared" si="3"/>
        <v>0.7</v>
      </c>
      <c r="R411" s="31"/>
      <c r="S411" s="31" t="s">
        <v>40</v>
      </c>
      <c r="T411" s="50" t="s">
        <v>2700</v>
      </c>
      <c r="U411" s="51">
        <v>0.0</v>
      </c>
      <c r="V411" s="51" t="s">
        <v>2700</v>
      </c>
      <c r="W411" s="31"/>
      <c r="X411" s="52" t="s">
        <v>2701</v>
      </c>
      <c r="Y411" s="54" t="s">
        <v>2702</v>
      </c>
      <c r="Z411" s="54" t="s">
        <v>274</v>
      </c>
      <c r="AA411" s="68">
        <v>46253.0</v>
      </c>
      <c r="AB411" s="56"/>
      <c r="AC411" s="38"/>
      <c r="AD411" s="39">
        <v>17768.88</v>
      </c>
      <c r="AE411" s="39">
        <v>5330.664</v>
      </c>
      <c r="AF411" s="40">
        <v>12438.216</v>
      </c>
      <c r="AG411" s="57" t="s">
        <v>2703</v>
      </c>
      <c r="AH411" s="42" t="s">
        <v>2704</v>
      </c>
      <c r="AI411" s="42" t="str">
        <f>IFERROR(__xludf.DUMMYFUNCTION("vLOOKUP(A411,IMPORTRANGE(""https://docs.google.com/spreadsheets/d/1Rawwwdh8wntXGy8isdYNHxsNQS4n_rC8JSdPfj6vEq4"",""'500 объектов перенос на 2026'!A3:AB502""),13,0)"),"#REF!")</f>
        <v>#REF!</v>
      </c>
      <c r="AJ411" s="42" t="str">
        <f>IFERROR(__xludf.DUMMYFUNCTION("vLOOKUP(A411,IMPORTRANGE(""https://docs.google.com/spreadsheets/d/1Rawwwdh8wntXGy8isdYNHxsNQS4n_rC8JSdPfj6vEq4"",""'500 объектов перенос на 2026'!A3:AB502""),14,0)"),"#REF!")</f>
        <v>#REF!</v>
      </c>
      <c r="AK411" s="140"/>
      <c r="AL411" s="43"/>
      <c r="AM411" s="43"/>
      <c r="AN411" s="43"/>
      <c r="AO411" s="43"/>
    </row>
    <row r="412" hidden="1">
      <c r="A412" s="62" t="s">
        <v>2705</v>
      </c>
      <c r="B412" s="63" t="s">
        <v>826</v>
      </c>
      <c r="C412" s="64" t="s">
        <v>2706</v>
      </c>
      <c r="D412" s="47" t="s">
        <v>323</v>
      </c>
      <c r="E412" s="64" t="s">
        <v>85</v>
      </c>
      <c r="F412" s="31" t="s">
        <v>40</v>
      </c>
      <c r="G412" s="31" t="s">
        <v>41</v>
      </c>
      <c r="H412" s="31" t="s">
        <v>260</v>
      </c>
      <c r="I412" s="31" t="s">
        <v>40</v>
      </c>
      <c r="J412" s="31" t="s">
        <v>61</v>
      </c>
      <c r="K412" s="31"/>
      <c r="L412" s="32">
        <f>IFERROR(__xludf.DUMMYFUNCTION("VLOOKUP($A412,IMPORTRANGE(""1PQtfbQLqBUP-rjYRznmgNFBLOjvAnhGzpIx7BJWq8rk"",""'Worksheet'!$B$2:$H""),7,FALSE)"),0.87)</f>
        <v>0.87</v>
      </c>
      <c r="M412" s="31" t="s">
        <v>40</v>
      </c>
      <c r="N412" s="49">
        <v>1.185604434E7</v>
      </c>
      <c r="O412" s="49">
        <v>5631969.21</v>
      </c>
      <c r="P412" s="49">
        <f t="shared" si="65"/>
        <v>6224075.13</v>
      </c>
      <c r="Q412" s="34">
        <f t="shared" si="3"/>
        <v>0.5249706354</v>
      </c>
      <c r="R412" s="31"/>
      <c r="S412" s="31" t="s">
        <v>45</v>
      </c>
      <c r="T412" s="50">
        <v>1.126324212E7</v>
      </c>
      <c r="U412" s="51">
        <v>5350370.75</v>
      </c>
      <c r="V412" s="51">
        <f>T412-U412</f>
        <v>5912871.37</v>
      </c>
      <c r="W412" s="31"/>
      <c r="X412" s="52">
        <v>5350370.75</v>
      </c>
      <c r="Y412" s="54" t="s">
        <v>2707</v>
      </c>
      <c r="Z412" s="54" t="s">
        <v>2708</v>
      </c>
      <c r="AA412" s="74">
        <v>46266.0</v>
      </c>
      <c r="AB412" s="56"/>
      <c r="AC412" s="38"/>
      <c r="AD412" s="39">
        <v>11856.04</v>
      </c>
      <c r="AE412" s="39">
        <v>5631.96921</v>
      </c>
      <c r="AF412" s="40">
        <v>6224.07079</v>
      </c>
      <c r="AG412" s="57" t="s">
        <v>2709</v>
      </c>
      <c r="AH412" s="42" t="s">
        <v>49</v>
      </c>
      <c r="AI412" s="42" t="str">
        <f>IFERROR(__xludf.DUMMYFUNCTION("vLOOKUP(A412,IMPORTRANGE(""https://docs.google.com/spreadsheets/d/1Rawwwdh8wntXGy8isdYNHxsNQS4n_rC8JSdPfj6vEq4"",""'500 объектов перенос на 2026'!A3:AB502""),13,0)"),"#REF!")</f>
        <v>#REF!</v>
      </c>
      <c r="AJ412" s="42" t="str">
        <f>IFERROR(__xludf.DUMMYFUNCTION("vLOOKUP(A412,IMPORTRANGE(""https://docs.google.com/spreadsheets/d/1Rawwwdh8wntXGy8isdYNHxsNQS4n_rC8JSdPfj6vEq4"",""'500 объектов перенос на 2026'!A3:AB502""),14,0)"),"#REF!")</f>
        <v>#REF!</v>
      </c>
      <c r="AK412" s="76" t="s">
        <v>2707</v>
      </c>
      <c r="AL412" s="43"/>
      <c r="AM412" s="43"/>
      <c r="AN412" s="43"/>
      <c r="AO412" s="43"/>
    </row>
    <row r="413" hidden="1">
      <c r="A413" s="62" t="s">
        <v>2711</v>
      </c>
      <c r="B413" s="63" t="s">
        <v>605</v>
      </c>
      <c r="C413" s="64" t="s">
        <v>2712</v>
      </c>
      <c r="D413" s="47" t="s">
        <v>1210</v>
      </c>
      <c r="E413" s="64" t="s">
        <v>85</v>
      </c>
      <c r="F413" s="31" t="s">
        <v>40</v>
      </c>
      <c r="G413" s="31" t="s">
        <v>299</v>
      </c>
      <c r="H413" s="31" t="s">
        <v>260</v>
      </c>
      <c r="I413" s="31" t="s">
        <v>40</v>
      </c>
      <c r="J413" s="31" t="s">
        <v>61</v>
      </c>
      <c r="K413" s="31"/>
      <c r="L413" s="32">
        <f>IFERROR(__xludf.DUMMYFUNCTION("VLOOKUP($A413,IMPORTRANGE(""1PQtfbQLqBUP-rjYRznmgNFBLOjvAnhGzpIx7BJWq8rk"",""'Worksheet'!$B$2:$H""),7,FALSE)"),0.96)</f>
        <v>0.96</v>
      </c>
      <c r="M413" s="31" t="s">
        <v>40</v>
      </c>
      <c r="N413" s="49">
        <v>1.070975814E7</v>
      </c>
      <c r="O413" s="49">
        <v>5087135.12</v>
      </c>
      <c r="P413" s="49">
        <f t="shared" si="65"/>
        <v>5622623.02</v>
      </c>
      <c r="Q413" s="34">
        <f t="shared" si="3"/>
        <v>0.5249999997</v>
      </c>
      <c r="R413" s="31"/>
      <c r="S413" s="31" t="s">
        <v>40</v>
      </c>
      <c r="T413" s="72" t="s">
        <v>2713</v>
      </c>
      <c r="U413" s="67">
        <v>0.0</v>
      </c>
      <c r="V413" s="67" t="s">
        <v>2713</v>
      </c>
      <c r="W413" s="31"/>
      <c r="X413" s="52" t="s">
        <v>49</v>
      </c>
      <c r="Y413" s="124" t="s">
        <v>2714</v>
      </c>
      <c r="Z413" s="54" t="s">
        <v>2359</v>
      </c>
      <c r="AA413" s="74">
        <v>46280.0</v>
      </c>
      <c r="AB413" s="56"/>
      <c r="AC413" s="38" t="s">
        <v>1214</v>
      </c>
      <c r="AD413" s="39">
        <v>10709.76</v>
      </c>
      <c r="AE413" s="39">
        <v>5087.13512</v>
      </c>
      <c r="AF413" s="40">
        <v>5622.62488</v>
      </c>
      <c r="AG413" s="99" t="s">
        <v>2715</v>
      </c>
      <c r="AH413" s="85"/>
      <c r="AI413" s="42" t="str">
        <f>IFERROR(__xludf.DUMMYFUNCTION("vLOOKUP(A413,IMPORTRANGE(""https://docs.google.com/spreadsheets/d/1Rawwwdh8wntXGy8isdYNHxsNQS4n_rC8JSdPfj6vEq4"",""'500 объектов перенос на 2026'!A3:AB502""),13,0)"),"#REF!")</f>
        <v>#REF!</v>
      </c>
      <c r="AJ413" s="42" t="str">
        <f>IFERROR(__xludf.DUMMYFUNCTION("vLOOKUP(A413,IMPORTRANGE(""https://docs.google.com/spreadsheets/d/1Rawwwdh8wntXGy8isdYNHxsNQS4n_rC8JSdPfj6vEq4"",""'500 объектов перенос на 2026'!A3:AB502""),14,0)"),"#REF!")</f>
        <v>#REF!</v>
      </c>
      <c r="AK413" s="151" t="s">
        <v>3479</v>
      </c>
      <c r="AL413" s="96"/>
      <c r="AM413" s="43"/>
      <c r="AN413" s="43"/>
      <c r="AO413" s="43"/>
    </row>
    <row r="414" hidden="1">
      <c r="A414" s="62" t="s">
        <v>2716</v>
      </c>
      <c r="B414" s="63" t="s">
        <v>268</v>
      </c>
      <c r="C414" s="144" t="s">
        <v>2717</v>
      </c>
      <c r="D414" s="47" t="s">
        <v>1041</v>
      </c>
      <c r="E414" s="64" t="s">
        <v>85</v>
      </c>
      <c r="F414" s="31" t="s">
        <v>60</v>
      </c>
      <c r="G414" s="31"/>
      <c r="H414" s="31"/>
      <c r="I414" s="31" t="s">
        <v>60</v>
      </c>
      <c r="J414" s="31"/>
      <c r="K414" s="31"/>
      <c r="L414" s="32">
        <f>IFERROR(__xludf.DUMMYFUNCTION("VLOOKUP($A414,IMPORTRANGE(""1PQtfbQLqBUP-rjYRznmgNFBLOjvAnhGzpIx7BJWq8rk"",""'Worksheet'!$B$2:$H""),7,FALSE)"),0.9)</f>
        <v>0.9</v>
      </c>
      <c r="M414" s="31" t="s">
        <v>40</v>
      </c>
      <c r="N414" s="49">
        <v>9889991.55</v>
      </c>
      <c r="O414" s="49">
        <v>4648296.02</v>
      </c>
      <c r="P414" s="49">
        <f t="shared" si="65"/>
        <v>5241695.53</v>
      </c>
      <c r="Q414" s="34">
        <f t="shared" si="3"/>
        <v>0.5300000009</v>
      </c>
      <c r="R414" s="31"/>
      <c r="S414" s="31" t="s">
        <v>40</v>
      </c>
      <c r="T414" s="50" t="s">
        <v>2718</v>
      </c>
      <c r="U414" s="51">
        <v>0.0</v>
      </c>
      <c r="V414" s="51" t="s">
        <v>2718</v>
      </c>
      <c r="W414" s="31" t="s">
        <v>506</v>
      </c>
      <c r="X414" s="52" t="s">
        <v>1582</v>
      </c>
      <c r="Y414" s="54" t="s">
        <v>1569</v>
      </c>
      <c r="Z414" s="54" t="s">
        <v>851</v>
      </c>
      <c r="AA414" s="68">
        <v>46251.0</v>
      </c>
      <c r="AB414" s="56"/>
      <c r="AC414" s="38"/>
      <c r="AD414" s="39">
        <v>9889.99155</v>
      </c>
      <c r="AE414" s="39">
        <v>4648.29602</v>
      </c>
      <c r="AF414" s="40">
        <v>5241.69553</v>
      </c>
      <c r="AG414" s="57" t="s">
        <v>2719</v>
      </c>
      <c r="AH414" s="42" t="s">
        <v>49</v>
      </c>
      <c r="AI414" s="42" t="str">
        <f>IFERROR(__xludf.DUMMYFUNCTION("vLOOKUP(A414,IMPORTRANGE(""https://docs.google.com/spreadsheets/d/1Rawwwdh8wntXGy8isdYNHxsNQS4n_rC8JSdPfj6vEq4"",""'500 объектов перенос на 2026'!A3:AB502""),13,0)"),"#REF!")</f>
        <v>#REF!</v>
      </c>
      <c r="AJ414" s="42" t="str">
        <f>IFERROR(__xludf.DUMMYFUNCTION("vLOOKUP(A414,IMPORTRANGE(""https://docs.google.com/spreadsheets/d/1Rawwwdh8wntXGy8isdYNHxsNQS4n_rC8JSdPfj6vEq4"",""'500 объектов перенос на 2026'!A3:AB502""),14,0)"),"#REF!")</f>
        <v>#REF!</v>
      </c>
      <c r="AK414" s="151" t="s">
        <v>3480</v>
      </c>
      <c r="AL414" s="43"/>
      <c r="AM414" s="43"/>
      <c r="AN414" s="43"/>
      <c r="AO414" s="43"/>
    </row>
    <row r="415" hidden="1">
      <c r="A415" s="62" t="s">
        <v>2721</v>
      </c>
      <c r="B415" s="63" t="s">
        <v>826</v>
      </c>
      <c r="C415" s="64" t="s">
        <v>2722</v>
      </c>
      <c r="D415" s="47" t="s">
        <v>323</v>
      </c>
      <c r="E415" s="64" t="s">
        <v>85</v>
      </c>
      <c r="F415" s="31" t="s">
        <v>40</v>
      </c>
      <c r="G415" s="31" t="s">
        <v>41</v>
      </c>
      <c r="H415" s="31" t="s">
        <v>260</v>
      </c>
      <c r="I415" s="31" t="s">
        <v>60</v>
      </c>
      <c r="J415" s="31"/>
      <c r="K415" s="31"/>
      <c r="L415" s="32">
        <f>IFERROR(__xludf.DUMMYFUNCTION("VLOOKUP($A415,IMPORTRANGE(""1PQtfbQLqBUP-rjYRznmgNFBLOjvAnhGzpIx7BJWq8rk"",""'Worksheet'!$B$2:$H""),7,FALSE)"),0.98)</f>
        <v>0.98</v>
      </c>
      <c r="M415" s="31" t="s">
        <v>40</v>
      </c>
      <c r="N415" s="49">
        <v>9812370.4</v>
      </c>
      <c r="O415" s="49">
        <v>4661164.2</v>
      </c>
      <c r="P415" s="49">
        <f t="shared" si="65"/>
        <v>5151206.2</v>
      </c>
      <c r="Q415" s="34">
        <f t="shared" si="3"/>
        <v>0.5249706228</v>
      </c>
      <c r="R415" s="31"/>
      <c r="S415" s="31" t="s">
        <v>45</v>
      </c>
      <c r="T415" s="50">
        <v>9321751.88</v>
      </c>
      <c r="U415" s="51">
        <v>4428105.99</v>
      </c>
      <c r="V415" s="51">
        <f>T415-U415</f>
        <v>4893645.89</v>
      </c>
      <c r="W415" s="31"/>
      <c r="X415" s="52">
        <v>4428105.99</v>
      </c>
      <c r="Y415" s="54" t="s">
        <v>2043</v>
      </c>
      <c r="Z415" s="54" t="s">
        <v>1602</v>
      </c>
      <c r="AA415" s="74">
        <v>46266.0</v>
      </c>
      <c r="AB415" s="56"/>
      <c r="AC415" s="38"/>
      <c r="AD415" s="39">
        <v>9812.37</v>
      </c>
      <c r="AE415" s="39">
        <v>4661.1642</v>
      </c>
      <c r="AF415" s="40">
        <v>5151.2058</v>
      </c>
      <c r="AG415" s="57" t="s">
        <v>2723</v>
      </c>
      <c r="AH415" s="42" t="s">
        <v>49</v>
      </c>
      <c r="AI415" s="42" t="str">
        <f>IFERROR(__xludf.DUMMYFUNCTION("vLOOKUP(A415,IMPORTRANGE(""https://docs.google.com/spreadsheets/d/1Rawwwdh8wntXGy8isdYNHxsNQS4n_rC8JSdPfj6vEq4"",""'500 объектов перенос на 2026'!A3:AB502""),13,0)"),"#REF!")</f>
        <v>#REF!</v>
      </c>
      <c r="AJ415" s="42" t="str">
        <f>IFERROR(__xludf.DUMMYFUNCTION("vLOOKUP(A415,IMPORTRANGE(""https://docs.google.com/spreadsheets/d/1Rawwwdh8wntXGy8isdYNHxsNQS4n_rC8JSdPfj6vEq4"",""'500 объектов перенос на 2026'!A3:AB502""),14,0)"),"#REF!")</f>
        <v>#REF!</v>
      </c>
      <c r="AK415" s="76" t="s">
        <v>2043</v>
      </c>
      <c r="AL415" s="43"/>
      <c r="AM415" s="43"/>
      <c r="AN415" s="43"/>
      <c r="AO415" s="43"/>
    </row>
    <row r="416" hidden="1">
      <c r="A416" s="62" t="s">
        <v>2725</v>
      </c>
      <c r="B416" s="63" t="s">
        <v>1586</v>
      </c>
      <c r="C416" s="64" t="s">
        <v>2726</v>
      </c>
      <c r="D416" s="47" t="s">
        <v>1276</v>
      </c>
      <c r="E416" s="64" t="s">
        <v>39</v>
      </c>
      <c r="F416" s="31" t="s">
        <v>60</v>
      </c>
      <c r="G416" s="31"/>
      <c r="H416" s="31"/>
      <c r="I416" s="31" t="s">
        <v>40</v>
      </c>
      <c r="J416" s="31" t="s">
        <v>43</v>
      </c>
      <c r="K416" s="31" t="s">
        <v>72</v>
      </c>
      <c r="L416" s="32">
        <f>IFERROR(__xludf.DUMMYFUNCTION("VLOOKUP($A416,IMPORTRANGE(""1PQtfbQLqBUP-rjYRznmgNFBLOjvAnhGzpIx7BJWq8rk"",""'Worksheet'!$B$2:$H""),7,FALSE)"),0.91)</f>
        <v>0.91</v>
      </c>
      <c r="M416" s="31" t="s">
        <v>45</v>
      </c>
      <c r="N416" s="49">
        <v>1.0079142703E8</v>
      </c>
      <c r="O416" s="49">
        <v>9.573673184E7</v>
      </c>
      <c r="P416" s="49">
        <f t="shared" si="65"/>
        <v>5054695.19</v>
      </c>
      <c r="Q416" s="34">
        <f t="shared" si="3"/>
        <v>0.05015005084</v>
      </c>
      <c r="R416" s="31"/>
      <c r="S416" s="31" t="s">
        <v>45</v>
      </c>
      <c r="T416" s="72" t="s">
        <v>2727</v>
      </c>
      <c r="U416" s="67" t="s">
        <v>2728</v>
      </c>
      <c r="V416" s="67" t="s">
        <v>2729</v>
      </c>
      <c r="W416" s="31"/>
      <c r="X416" s="52" t="s">
        <v>1592</v>
      </c>
      <c r="Y416" s="54" t="s">
        <v>3481</v>
      </c>
      <c r="Z416" s="54" t="s">
        <v>1594</v>
      </c>
      <c r="AA416" s="74">
        <v>46249.0</v>
      </c>
      <c r="AB416" s="56"/>
      <c r="AC416" s="38" t="s">
        <v>1595</v>
      </c>
      <c r="AD416" s="39">
        <v>100791.43</v>
      </c>
      <c r="AE416" s="39">
        <v>95736.73184</v>
      </c>
      <c r="AF416" s="40">
        <v>5054.69816</v>
      </c>
      <c r="AG416" s="57" t="s">
        <v>2731</v>
      </c>
      <c r="AH416" s="42" t="s">
        <v>2732</v>
      </c>
      <c r="AI416" s="42" t="str">
        <f>IFERROR(__xludf.DUMMYFUNCTION("vLOOKUP(A416,IMPORTRANGE(""https://docs.google.com/spreadsheets/d/1Rawwwdh8wntXGy8isdYNHxsNQS4n_rC8JSdPfj6vEq4"",""'500 объектов перенос на 2026'!A3:AB502""),13,0)"),"#REF!")</f>
        <v>#REF!</v>
      </c>
      <c r="AJ416" s="42" t="str">
        <f>IFERROR(__xludf.DUMMYFUNCTION("vLOOKUP(A416,IMPORTRANGE(""https://docs.google.com/spreadsheets/d/1Rawwwdh8wntXGy8isdYNHxsNQS4n_rC8JSdPfj6vEq4"",""'500 объектов перенос на 2026'!A3:AB502""),14,0)"),"#REF!")</f>
        <v>#REF!</v>
      </c>
      <c r="AK416" s="76" t="s">
        <v>2733</v>
      </c>
      <c r="AL416" s="43"/>
      <c r="AM416" s="43"/>
      <c r="AN416" s="43"/>
      <c r="AO416" s="43"/>
    </row>
    <row r="417" hidden="1">
      <c r="A417" s="62" t="s">
        <v>2734</v>
      </c>
      <c r="B417" s="63" t="s">
        <v>400</v>
      </c>
      <c r="C417" s="64" t="s">
        <v>2735</v>
      </c>
      <c r="D417" s="47" t="s">
        <v>1041</v>
      </c>
      <c r="E417" s="64" t="s">
        <v>85</v>
      </c>
      <c r="F417" s="31" t="s">
        <v>60</v>
      </c>
      <c r="G417" s="31"/>
      <c r="H417" s="31"/>
      <c r="I417" s="31" t="s">
        <v>60</v>
      </c>
      <c r="J417" s="31"/>
      <c r="K417" s="31"/>
      <c r="L417" s="32">
        <f>IFERROR(__xludf.DUMMYFUNCTION("VLOOKUP($A417,IMPORTRANGE(""1PQtfbQLqBUP-rjYRznmgNFBLOjvAnhGzpIx7BJWq8rk"",""'Worksheet'!$B$2:$H""),7,FALSE)"),0.95)</f>
        <v>0.95</v>
      </c>
      <c r="M417" s="31" t="s">
        <v>45</v>
      </c>
      <c r="N417" s="49">
        <v>1.011414809E7</v>
      </c>
      <c r="O417" s="49">
        <v>5096809.2</v>
      </c>
      <c r="P417" s="49">
        <f t="shared" si="65"/>
        <v>5017338.89</v>
      </c>
      <c r="Q417" s="34">
        <f t="shared" si="3"/>
        <v>0.4960713295</v>
      </c>
      <c r="R417" s="31"/>
      <c r="S417" s="31" t="s">
        <v>45</v>
      </c>
      <c r="T417" s="50"/>
      <c r="U417" s="51"/>
      <c r="V417" s="51"/>
      <c r="W417" s="31" t="s">
        <v>506</v>
      </c>
      <c r="X417" s="52" t="s">
        <v>803</v>
      </c>
      <c r="Y417" s="89" t="s">
        <v>2736</v>
      </c>
      <c r="Z417" s="54" t="s">
        <v>2351</v>
      </c>
      <c r="AA417" s="74">
        <v>46202.0</v>
      </c>
      <c r="AB417" s="56"/>
      <c r="AC417" s="38"/>
      <c r="AD417" s="39">
        <v>10960.88</v>
      </c>
      <c r="AE417" s="39">
        <v>5096.8092</v>
      </c>
      <c r="AF417" s="40">
        <v>5864.0708</v>
      </c>
      <c r="AG417" s="57" t="s">
        <v>2737</v>
      </c>
      <c r="AH417" s="42" t="s">
        <v>745</v>
      </c>
      <c r="AI417" s="42" t="str">
        <f>IFERROR(__xludf.DUMMYFUNCTION("vLOOKUP(A417,IMPORTRANGE(""https://docs.google.com/spreadsheets/d/1Rawwwdh8wntXGy8isdYNHxsNQS4n_rC8JSdPfj6vEq4"",""'500 объектов перенос на 2026'!A3:AB502""),13,0)"),"#REF!")</f>
        <v>#REF!</v>
      </c>
      <c r="AJ417" s="42" t="str">
        <f>IFERROR(__xludf.DUMMYFUNCTION("vLOOKUP(A417,IMPORTRANGE(""https://docs.google.com/spreadsheets/d/1Rawwwdh8wntXGy8isdYNHxsNQS4n_rC8JSdPfj6vEq4"",""'500 объектов перенос на 2026'!A3:AB502""),14,0)"),"#REF!")</f>
        <v>#REF!</v>
      </c>
      <c r="AK417" s="76" t="s">
        <v>3476</v>
      </c>
      <c r="AL417" s="43"/>
      <c r="AM417" s="43"/>
      <c r="AN417" s="43"/>
      <c r="AO417" s="43"/>
    </row>
    <row r="418" hidden="1">
      <c r="A418" s="62" t="s">
        <v>2738</v>
      </c>
      <c r="B418" s="63" t="s">
        <v>605</v>
      </c>
      <c r="C418" s="64" t="s">
        <v>2739</v>
      </c>
      <c r="D418" s="47" t="s">
        <v>1210</v>
      </c>
      <c r="E418" s="90" t="s">
        <v>85</v>
      </c>
      <c r="F418" s="31" t="s">
        <v>40</v>
      </c>
      <c r="G418" s="31" t="s">
        <v>299</v>
      </c>
      <c r="H418" s="31" t="s">
        <v>260</v>
      </c>
      <c r="I418" s="31" t="s">
        <v>40</v>
      </c>
      <c r="J418" s="31" t="s">
        <v>61</v>
      </c>
      <c r="K418" s="31"/>
      <c r="L418" s="32">
        <f>IFERROR(__xludf.DUMMYFUNCTION("VLOOKUP($A418,IMPORTRANGE(""1PQtfbQLqBUP-rjYRznmgNFBLOjvAnhGzpIx7BJWq8rk"",""'Worksheet'!$B$2:$H""),7,FALSE)"),0.87)</f>
        <v>0.87</v>
      </c>
      <c r="M418" s="31" t="s">
        <v>40</v>
      </c>
      <c r="N418" s="49">
        <v>7012240.0</v>
      </c>
      <c r="O418" s="49">
        <v>1998200.0</v>
      </c>
      <c r="P418" s="49">
        <f t="shared" si="65"/>
        <v>5014040</v>
      </c>
      <c r="Q418" s="34">
        <f t="shared" si="3"/>
        <v>0.7150411281</v>
      </c>
      <c r="R418" s="31"/>
      <c r="S418" s="31" t="s">
        <v>40</v>
      </c>
      <c r="T418" s="72" t="s">
        <v>2740</v>
      </c>
      <c r="U418" s="67">
        <v>0.0</v>
      </c>
      <c r="V418" s="67" t="s">
        <v>2740</v>
      </c>
      <c r="W418" s="31"/>
      <c r="X418" s="52" t="s">
        <v>46</v>
      </c>
      <c r="Y418" s="124" t="s">
        <v>2741</v>
      </c>
      <c r="Z418" s="54" t="s">
        <v>2359</v>
      </c>
      <c r="AA418" s="74">
        <v>46265.0</v>
      </c>
      <c r="AB418" s="56"/>
      <c r="AC418" s="38" t="s">
        <v>2742</v>
      </c>
      <c r="AD418" s="39">
        <v>7011.24</v>
      </c>
      <c r="AE418" s="39">
        <v>1998.2</v>
      </c>
      <c r="AF418" s="40">
        <v>5013.04</v>
      </c>
      <c r="AG418" s="162" t="s">
        <v>2743</v>
      </c>
      <c r="AH418" s="85"/>
      <c r="AI418" s="42" t="str">
        <f>IFERROR(__xludf.DUMMYFUNCTION("vLOOKUP(A418,IMPORTRANGE(""https://docs.google.com/spreadsheets/d/1Rawwwdh8wntXGy8isdYNHxsNQS4n_rC8JSdPfj6vEq4"",""'500 объектов перенос на 2026'!A3:AB502""),13,0)"),"#REF!")</f>
        <v>#REF!</v>
      </c>
      <c r="AJ418" s="42" t="str">
        <f>IFERROR(__xludf.DUMMYFUNCTION("vLOOKUP(A418,IMPORTRANGE(""https://docs.google.com/spreadsheets/d/1Rawwwdh8wntXGy8isdYNHxsNQS4n_rC8JSdPfj6vEq4"",""'500 объектов перенос на 2026'!A3:AB502""),14,0)"),"#REF!")</f>
        <v>#REF!</v>
      </c>
      <c r="AK418" s="151" t="s">
        <v>3468</v>
      </c>
      <c r="AL418" s="96"/>
      <c r="AM418" s="43"/>
      <c r="AN418" s="43"/>
      <c r="AO418" s="43"/>
    </row>
    <row r="419" hidden="1">
      <c r="A419" s="78" t="s">
        <v>2744</v>
      </c>
      <c r="B419" s="63" t="s">
        <v>2745</v>
      </c>
      <c r="C419" s="64" t="s">
        <v>2746</v>
      </c>
      <c r="D419" s="47" t="s">
        <v>2747</v>
      </c>
      <c r="E419" s="64" t="s">
        <v>85</v>
      </c>
      <c r="F419" s="31" t="s">
        <v>60</v>
      </c>
      <c r="G419" s="31"/>
      <c r="H419" s="31"/>
      <c r="I419" s="31" t="s">
        <v>60</v>
      </c>
      <c r="J419" s="31"/>
      <c r="K419" s="31"/>
      <c r="L419" s="32" t="str">
        <f>IFERROR(__xludf.DUMMYFUNCTION("VLOOKUP($A419,IMPORTRANGE(""1PQtfbQLqBUP-rjYRznmgNFBLOjvAnhGzpIx7BJWq8rk"",""'Worksheet'!$B$2:$H""),7,FALSE)"),"#N/A")</f>
        <v>#N/A</v>
      </c>
      <c r="M419" s="31" t="s">
        <v>60</v>
      </c>
      <c r="N419" s="49">
        <v>1701310.0</v>
      </c>
      <c r="O419" s="49">
        <v>1173116.44</v>
      </c>
      <c r="P419" s="49">
        <v>0.0</v>
      </c>
      <c r="Q419" s="34">
        <f t="shared" si="3"/>
        <v>0.3104628551</v>
      </c>
      <c r="R419" s="31"/>
      <c r="S419" s="31" t="s">
        <v>60</v>
      </c>
      <c r="T419" s="50">
        <f t="shared" ref="T419:T426" si="66">0.95*N419</f>
        <v>1616244.5</v>
      </c>
      <c r="U419" s="51">
        <f t="shared" ref="U419:U427" si="67">T419</f>
        <v>1616244.5</v>
      </c>
      <c r="V419" s="51">
        <v>0.0</v>
      </c>
      <c r="W419" s="31"/>
      <c r="X419" s="52" t="s">
        <v>2308</v>
      </c>
      <c r="Y419" s="54"/>
      <c r="Z419" s="54"/>
      <c r="AA419" s="54" t="s">
        <v>114</v>
      </c>
      <c r="AB419" s="38" t="s">
        <v>115</v>
      </c>
      <c r="AC419" s="38"/>
      <c r="AD419" s="39">
        <v>1701.31</v>
      </c>
      <c r="AE419" s="39">
        <v>1173.11644</v>
      </c>
      <c r="AF419" s="39">
        <v>528.19356</v>
      </c>
      <c r="AG419" s="57" t="s">
        <v>2748</v>
      </c>
      <c r="AH419" s="42" t="s">
        <v>2411</v>
      </c>
      <c r="AI419" s="42" t="s">
        <v>2411</v>
      </c>
      <c r="AJ419" s="42" t="s">
        <v>2411</v>
      </c>
      <c r="AK419" s="76" t="s">
        <v>114</v>
      </c>
      <c r="AL419" s="43"/>
      <c r="AM419" s="43"/>
      <c r="AN419" s="43"/>
      <c r="AO419" s="43"/>
    </row>
    <row r="420" hidden="1">
      <c r="A420" s="78" t="s">
        <v>2749</v>
      </c>
      <c r="B420" s="63" t="s">
        <v>2745</v>
      </c>
      <c r="C420" s="64" t="s">
        <v>2750</v>
      </c>
      <c r="D420" s="47" t="s">
        <v>2747</v>
      </c>
      <c r="E420" s="64" t="s">
        <v>85</v>
      </c>
      <c r="F420" s="31" t="s">
        <v>60</v>
      </c>
      <c r="G420" s="31"/>
      <c r="H420" s="31"/>
      <c r="I420" s="31" t="s">
        <v>60</v>
      </c>
      <c r="J420" s="31"/>
      <c r="K420" s="31"/>
      <c r="L420" s="32" t="str">
        <f>IFERROR(__xludf.DUMMYFUNCTION("VLOOKUP($A420,IMPORTRANGE(""1PQtfbQLqBUP-rjYRznmgNFBLOjvAnhGzpIx7BJWq8rk"",""'Worksheet'!$B$2:$H""),7,FALSE)"),"#N/A")</f>
        <v>#N/A</v>
      </c>
      <c r="M420" s="31" t="s">
        <v>60</v>
      </c>
      <c r="N420" s="49">
        <v>1391000.0</v>
      </c>
      <c r="O420" s="49">
        <v>1144724.98</v>
      </c>
      <c r="P420" s="49">
        <v>0.0</v>
      </c>
      <c r="Q420" s="34">
        <f t="shared" si="3"/>
        <v>0.1770489001</v>
      </c>
      <c r="R420" s="31"/>
      <c r="S420" s="31" t="s">
        <v>60</v>
      </c>
      <c r="T420" s="50">
        <f t="shared" si="66"/>
        <v>1321450</v>
      </c>
      <c r="U420" s="51">
        <f t="shared" si="67"/>
        <v>1321450</v>
      </c>
      <c r="V420" s="51">
        <v>0.0</v>
      </c>
      <c r="W420" s="31"/>
      <c r="X420" s="52" t="s">
        <v>2308</v>
      </c>
      <c r="Y420" s="54"/>
      <c r="Z420" s="54"/>
      <c r="AA420" s="54" t="s">
        <v>114</v>
      </c>
      <c r="AB420" s="38" t="s">
        <v>115</v>
      </c>
      <c r="AC420" s="38"/>
      <c r="AD420" s="39">
        <v>1391.0</v>
      </c>
      <c r="AE420" s="39">
        <v>1144.72498</v>
      </c>
      <c r="AF420" s="39">
        <v>246.27502</v>
      </c>
      <c r="AG420" s="57" t="s">
        <v>2751</v>
      </c>
      <c r="AH420" s="42" t="s">
        <v>2411</v>
      </c>
      <c r="AI420" s="42" t="s">
        <v>2411</v>
      </c>
      <c r="AJ420" s="42" t="s">
        <v>2411</v>
      </c>
      <c r="AK420" s="76" t="s">
        <v>114</v>
      </c>
      <c r="AL420" s="43"/>
      <c r="AM420" s="43"/>
      <c r="AN420" s="43"/>
      <c r="AO420" s="43"/>
    </row>
    <row r="421" hidden="1">
      <c r="A421" s="78" t="s">
        <v>2752</v>
      </c>
      <c r="B421" s="63" t="s">
        <v>2745</v>
      </c>
      <c r="C421" s="64" t="s">
        <v>2753</v>
      </c>
      <c r="D421" s="47" t="s">
        <v>2747</v>
      </c>
      <c r="E421" s="64" t="s">
        <v>85</v>
      </c>
      <c r="F421" s="31" t="s">
        <v>60</v>
      </c>
      <c r="G421" s="31"/>
      <c r="H421" s="31"/>
      <c r="I421" s="31" t="s">
        <v>60</v>
      </c>
      <c r="J421" s="31"/>
      <c r="K421" s="31"/>
      <c r="L421" s="32" t="str">
        <f>IFERROR(__xludf.DUMMYFUNCTION("VLOOKUP($A421,IMPORTRANGE(""1PQtfbQLqBUP-rjYRznmgNFBLOjvAnhGzpIx7BJWq8rk"",""'Worksheet'!$B$2:$H""),7,FALSE)"),"#N/A")</f>
        <v>#N/A</v>
      </c>
      <c r="M421" s="31" t="s">
        <v>60</v>
      </c>
      <c r="N421" s="49">
        <v>838500.0</v>
      </c>
      <c r="O421" s="49">
        <v>632651.89</v>
      </c>
      <c r="P421" s="49">
        <v>0.0</v>
      </c>
      <c r="Q421" s="34">
        <f t="shared" si="3"/>
        <v>0.2454956589</v>
      </c>
      <c r="R421" s="31"/>
      <c r="S421" s="31" t="s">
        <v>60</v>
      </c>
      <c r="T421" s="50">
        <f t="shared" si="66"/>
        <v>796575</v>
      </c>
      <c r="U421" s="51">
        <f t="shared" si="67"/>
        <v>796575</v>
      </c>
      <c r="V421" s="51">
        <v>0.0</v>
      </c>
      <c r="W421" s="31"/>
      <c r="X421" s="52" t="s">
        <v>2308</v>
      </c>
      <c r="Y421" s="54"/>
      <c r="Z421" s="54"/>
      <c r="AA421" s="54" t="s">
        <v>114</v>
      </c>
      <c r="AB421" s="38" t="s">
        <v>115</v>
      </c>
      <c r="AC421" s="38"/>
      <c r="AD421" s="39">
        <v>838.5</v>
      </c>
      <c r="AE421" s="39">
        <v>699.80334</v>
      </c>
      <c r="AF421" s="39">
        <v>138.69666</v>
      </c>
      <c r="AG421" s="57" t="s">
        <v>2754</v>
      </c>
      <c r="AH421" s="42" t="s">
        <v>2411</v>
      </c>
      <c r="AI421" s="42" t="s">
        <v>2411</v>
      </c>
      <c r="AJ421" s="42" t="s">
        <v>2411</v>
      </c>
      <c r="AK421" s="76" t="s">
        <v>114</v>
      </c>
      <c r="AL421" s="43"/>
      <c r="AM421" s="43"/>
      <c r="AN421" s="43"/>
      <c r="AO421" s="43"/>
    </row>
    <row r="422" hidden="1">
      <c r="A422" s="78" t="s">
        <v>2755</v>
      </c>
      <c r="B422" s="63" t="s">
        <v>2745</v>
      </c>
      <c r="C422" s="64" t="s">
        <v>2756</v>
      </c>
      <c r="D422" s="47" t="s">
        <v>2747</v>
      </c>
      <c r="E422" s="64" t="s">
        <v>85</v>
      </c>
      <c r="F422" s="31" t="s">
        <v>60</v>
      </c>
      <c r="G422" s="31"/>
      <c r="H422" s="31"/>
      <c r="I422" s="31" t="s">
        <v>60</v>
      </c>
      <c r="J422" s="31"/>
      <c r="K422" s="31"/>
      <c r="L422" s="32" t="str">
        <f>IFERROR(__xludf.DUMMYFUNCTION("VLOOKUP($A422,IMPORTRANGE(""1PQtfbQLqBUP-rjYRznmgNFBLOjvAnhGzpIx7BJWq8rk"",""'Worksheet'!$B$2:$H""),7,FALSE)"),"#N/A")</f>
        <v>#N/A</v>
      </c>
      <c r="M422" s="31" t="s">
        <v>60</v>
      </c>
      <c r="N422" s="49">
        <v>1846000.0</v>
      </c>
      <c r="O422" s="49">
        <v>1662958.06</v>
      </c>
      <c r="P422" s="49">
        <v>0.0</v>
      </c>
      <c r="Q422" s="34">
        <f t="shared" si="3"/>
        <v>0.0991559805</v>
      </c>
      <c r="R422" s="31"/>
      <c r="S422" s="31" t="s">
        <v>60</v>
      </c>
      <c r="T422" s="50">
        <f t="shared" si="66"/>
        <v>1753700</v>
      </c>
      <c r="U422" s="51">
        <f t="shared" si="67"/>
        <v>1753700</v>
      </c>
      <c r="V422" s="51">
        <v>0.0</v>
      </c>
      <c r="W422" s="31"/>
      <c r="X422" s="52" t="s">
        <v>2308</v>
      </c>
      <c r="Y422" s="54"/>
      <c r="Z422" s="54"/>
      <c r="AA422" s="54" t="s">
        <v>114</v>
      </c>
      <c r="AB422" s="38" t="s">
        <v>115</v>
      </c>
      <c r="AC422" s="38"/>
      <c r="AD422" s="39">
        <v>1846.0</v>
      </c>
      <c r="AE422" s="39">
        <v>1662.95806</v>
      </c>
      <c r="AF422" s="39">
        <v>183.04194</v>
      </c>
      <c r="AG422" s="57" t="s">
        <v>2757</v>
      </c>
      <c r="AH422" s="42" t="s">
        <v>2411</v>
      </c>
      <c r="AI422" s="42" t="s">
        <v>2411</v>
      </c>
      <c r="AJ422" s="42" t="s">
        <v>2411</v>
      </c>
      <c r="AK422" s="76" t="s">
        <v>114</v>
      </c>
      <c r="AL422" s="43"/>
      <c r="AM422" s="43"/>
      <c r="AN422" s="43"/>
      <c r="AO422" s="43"/>
    </row>
    <row r="423" hidden="1">
      <c r="A423" s="78" t="s">
        <v>2758</v>
      </c>
      <c r="B423" s="63" t="s">
        <v>2745</v>
      </c>
      <c r="C423" s="64" t="s">
        <v>2759</v>
      </c>
      <c r="D423" s="47" t="s">
        <v>2747</v>
      </c>
      <c r="E423" s="64" t="s">
        <v>85</v>
      </c>
      <c r="F423" s="31" t="s">
        <v>60</v>
      </c>
      <c r="G423" s="31"/>
      <c r="H423" s="31"/>
      <c r="I423" s="31" t="s">
        <v>60</v>
      </c>
      <c r="J423" s="31"/>
      <c r="K423" s="31"/>
      <c r="L423" s="32" t="str">
        <f>IFERROR(__xludf.DUMMYFUNCTION("VLOOKUP($A423,IMPORTRANGE(""1PQtfbQLqBUP-rjYRznmgNFBLOjvAnhGzpIx7BJWq8rk"",""'Worksheet'!$B$2:$H""),7,FALSE)"),"#N/A")</f>
        <v>#N/A</v>
      </c>
      <c r="M423" s="31" t="s">
        <v>60</v>
      </c>
      <c r="N423" s="49">
        <v>1651000.0</v>
      </c>
      <c r="O423" s="49">
        <v>1387745.16</v>
      </c>
      <c r="P423" s="49">
        <v>0.0</v>
      </c>
      <c r="Q423" s="34">
        <f t="shared" si="3"/>
        <v>0.1594517505</v>
      </c>
      <c r="R423" s="31"/>
      <c r="S423" s="31" t="s">
        <v>60</v>
      </c>
      <c r="T423" s="50">
        <f t="shared" si="66"/>
        <v>1568450</v>
      </c>
      <c r="U423" s="51">
        <f t="shared" si="67"/>
        <v>1568450</v>
      </c>
      <c r="V423" s="51">
        <v>0.0</v>
      </c>
      <c r="W423" s="31"/>
      <c r="X423" s="52" t="s">
        <v>2308</v>
      </c>
      <c r="Y423" s="54"/>
      <c r="Z423" s="54"/>
      <c r="AA423" s="54" t="s">
        <v>114</v>
      </c>
      <c r="AB423" s="38" t="s">
        <v>115</v>
      </c>
      <c r="AC423" s="38"/>
      <c r="AD423" s="39">
        <v>1651.0</v>
      </c>
      <c r="AE423" s="39">
        <v>1538.98616</v>
      </c>
      <c r="AF423" s="39">
        <v>112.01384</v>
      </c>
      <c r="AG423" s="57" t="s">
        <v>2760</v>
      </c>
      <c r="AH423" s="42" t="s">
        <v>2411</v>
      </c>
      <c r="AI423" s="42" t="s">
        <v>2411</v>
      </c>
      <c r="AJ423" s="42" t="s">
        <v>2411</v>
      </c>
      <c r="AK423" s="76" t="s">
        <v>114</v>
      </c>
      <c r="AL423" s="43"/>
      <c r="AM423" s="43"/>
      <c r="AN423" s="43"/>
      <c r="AO423" s="43"/>
    </row>
    <row r="424" hidden="1">
      <c r="A424" s="78" t="s">
        <v>2761</v>
      </c>
      <c r="B424" s="63" t="s">
        <v>2745</v>
      </c>
      <c r="C424" s="64" t="s">
        <v>2762</v>
      </c>
      <c r="D424" s="47" t="s">
        <v>2747</v>
      </c>
      <c r="E424" s="64" t="s">
        <v>85</v>
      </c>
      <c r="F424" s="31" t="s">
        <v>60</v>
      </c>
      <c r="G424" s="31"/>
      <c r="H424" s="31"/>
      <c r="I424" s="31" t="s">
        <v>60</v>
      </c>
      <c r="J424" s="31"/>
      <c r="K424" s="31"/>
      <c r="L424" s="32" t="str">
        <f>IFERROR(__xludf.DUMMYFUNCTION("VLOOKUP($A424,IMPORTRANGE(""1PQtfbQLqBUP-rjYRznmgNFBLOjvAnhGzpIx7BJWq8rk"",""'Worksheet'!$B$2:$H""),7,FALSE)"),"#N/A")</f>
        <v>#N/A</v>
      </c>
      <c r="M424" s="31" t="s">
        <v>60</v>
      </c>
      <c r="N424" s="49">
        <v>1139500.0</v>
      </c>
      <c r="O424" s="49">
        <v>990477.46</v>
      </c>
      <c r="P424" s="49">
        <v>0.0</v>
      </c>
      <c r="Q424" s="34">
        <f t="shared" si="3"/>
        <v>0.1307788855</v>
      </c>
      <c r="R424" s="31"/>
      <c r="S424" s="31" t="s">
        <v>60</v>
      </c>
      <c r="T424" s="50">
        <f t="shared" si="66"/>
        <v>1082525</v>
      </c>
      <c r="U424" s="51">
        <f t="shared" si="67"/>
        <v>1082525</v>
      </c>
      <c r="V424" s="51">
        <v>0.0</v>
      </c>
      <c r="W424" s="31"/>
      <c r="X424" s="52" t="s">
        <v>2308</v>
      </c>
      <c r="Y424" s="54"/>
      <c r="Z424" s="54"/>
      <c r="AA424" s="54" t="s">
        <v>114</v>
      </c>
      <c r="AB424" s="38" t="s">
        <v>115</v>
      </c>
      <c r="AC424" s="38"/>
      <c r="AD424" s="39">
        <v>1139.5</v>
      </c>
      <c r="AE424" s="39">
        <v>990.47746</v>
      </c>
      <c r="AF424" s="39">
        <v>149.02254</v>
      </c>
      <c r="AG424" s="57" t="s">
        <v>2763</v>
      </c>
      <c r="AH424" s="42" t="s">
        <v>2411</v>
      </c>
      <c r="AI424" s="42" t="s">
        <v>2411</v>
      </c>
      <c r="AJ424" s="42" t="s">
        <v>2411</v>
      </c>
      <c r="AK424" s="76" t="s">
        <v>114</v>
      </c>
      <c r="AL424" s="43"/>
      <c r="AM424" s="43"/>
      <c r="AN424" s="43"/>
      <c r="AO424" s="43"/>
    </row>
    <row r="425" hidden="1">
      <c r="A425" s="78" t="s">
        <v>2764</v>
      </c>
      <c r="B425" s="63" t="s">
        <v>2745</v>
      </c>
      <c r="C425" s="64" t="s">
        <v>2765</v>
      </c>
      <c r="D425" s="47" t="s">
        <v>2747</v>
      </c>
      <c r="E425" s="64" t="s">
        <v>85</v>
      </c>
      <c r="F425" s="31" t="s">
        <v>60</v>
      </c>
      <c r="G425" s="31"/>
      <c r="H425" s="31"/>
      <c r="I425" s="31" t="s">
        <v>60</v>
      </c>
      <c r="J425" s="31"/>
      <c r="K425" s="31"/>
      <c r="L425" s="32" t="str">
        <f>IFERROR(__xludf.DUMMYFUNCTION("VLOOKUP($A425,IMPORTRANGE(""1PQtfbQLqBUP-rjYRznmgNFBLOjvAnhGzpIx7BJWq8rk"",""'Worksheet'!$B$2:$H""),7,FALSE)"),"#N/A")</f>
        <v>#N/A</v>
      </c>
      <c r="M425" s="31" t="s">
        <v>60</v>
      </c>
      <c r="N425" s="49">
        <v>3740000.0</v>
      </c>
      <c r="O425" s="49">
        <v>2116493.79</v>
      </c>
      <c r="P425" s="49">
        <v>0.0</v>
      </c>
      <c r="Q425" s="34">
        <f t="shared" si="3"/>
        <v>0.4340925695</v>
      </c>
      <c r="R425" s="31"/>
      <c r="S425" s="31" t="s">
        <v>60</v>
      </c>
      <c r="T425" s="50">
        <f t="shared" si="66"/>
        <v>3553000</v>
      </c>
      <c r="U425" s="51">
        <f t="shared" si="67"/>
        <v>3553000</v>
      </c>
      <c r="V425" s="51">
        <v>0.0</v>
      </c>
      <c r="W425" s="31"/>
      <c r="X425" s="52" t="s">
        <v>2308</v>
      </c>
      <c r="Y425" s="54"/>
      <c r="Z425" s="54"/>
      <c r="AA425" s="54" t="s">
        <v>114</v>
      </c>
      <c r="AB425" s="38" t="s">
        <v>115</v>
      </c>
      <c r="AC425" s="38"/>
      <c r="AD425" s="39">
        <v>3740.0</v>
      </c>
      <c r="AE425" s="39">
        <v>2150.28189</v>
      </c>
      <c r="AF425" s="39">
        <v>1589.71811</v>
      </c>
      <c r="AG425" s="57" t="s">
        <v>2766</v>
      </c>
      <c r="AH425" s="42" t="s">
        <v>2411</v>
      </c>
      <c r="AI425" s="42" t="s">
        <v>2411</v>
      </c>
      <c r="AJ425" s="42" t="s">
        <v>2411</v>
      </c>
      <c r="AK425" s="76" t="s">
        <v>114</v>
      </c>
      <c r="AL425" s="43"/>
      <c r="AM425" s="43"/>
      <c r="AN425" s="43"/>
      <c r="AO425" s="43"/>
    </row>
    <row r="426" hidden="1">
      <c r="A426" s="78" t="s">
        <v>2767</v>
      </c>
      <c r="B426" s="63" t="s">
        <v>2745</v>
      </c>
      <c r="C426" s="64" t="s">
        <v>2768</v>
      </c>
      <c r="D426" s="105" t="s">
        <v>1058</v>
      </c>
      <c r="E426" s="64" t="s">
        <v>85</v>
      </c>
      <c r="F426" s="31" t="s">
        <v>60</v>
      </c>
      <c r="G426" s="31"/>
      <c r="H426" s="31"/>
      <c r="I426" s="31" t="s">
        <v>60</v>
      </c>
      <c r="J426" s="31"/>
      <c r="K426" s="31"/>
      <c r="L426" s="32" t="str">
        <f>IFERROR(__xludf.DUMMYFUNCTION("VLOOKUP($A426,IMPORTRANGE(""1PQtfbQLqBUP-rjYRznmgNFBLOjvAnhGzpIx7BJWq8rk"",""'Worksheet'!$B$2:$H""),7,FALSE)"),"#N/A")</f>
        <v>#N/A</v>
      </c>
      <c r="M426" s="31" t="s">
        <v>60</v>
      </c>
      <c r="N426" s="49">
        <v>1.320543E7</v>
      </c>
      <c r="O426" s="49">
        <v>1.223297714E7</v>
      </c>
      <c r="P426" s="49">
        <v>0.0</v>
      </c>
      <c r="Q426" s="34">
        <f t="shared" si="3"/>
        <v>0.07364037824</v>
      </c>
      <c r="R426" s="31"/>
      <c r="S426" s="31" t="s">
        <v>60</v>
      </c>
      <c r="T426" s="50">
        <f t="shared" si="66"/>
        <v>12545158.5</v>
      </c>
      <c r="U426" s="51">
        <f t="shared" si="67"/>
        <v>12545158.5</v>
      </c>
      <c r="V426" s="51">
        <v>0.0</v>
      </c>
      <c r="W426" s="31"/>
      <c r="X426" s="52" t="s">
        <v>2308</v>
      </c>
      <c r="Y426" s="54"/>
      <c r="Z426" s="54"/>
      <c r="AA426" s="54" t="s">
        <v>114</v>
      </c>
      <c r="AB426" s="38" t="s">
        <v>115</v>
      </c>
      <c r="AC426" s="38"/>
      <c r="AD426" s="39">
        <v>13205.43</v>
      </c>
      <c r="AE426" s="39">
        <v>12242.97714</v>
      </c>
      <c r="AF426" s="39">
        <v>962.45286</v>
      </c>
      <c r="AG426" s="57" t="s">
        <v>2769</v>
      </c>
      <c r="AH426" s="42" t="s">
        <v>2411</v>
      </c>
      <c r="AI426" s="42" t="s">
        <v>2411</v>
      </c>
      <c r="AJ426" s="42" t="s">
        <v>2411</v>
      </c>
      <c r="AK426" s="76" t="s">
        <v>114</v>
      </c>
      <c r="AL426" s="43"/>
      <c r="AM426" s="43"/>
      <c r="AN426" s="43"/>
      <c r="AO426" s="43"/>
    </row>
    <row r="427" hidden="1">
      <c r="A427" s="78" t="s">
        <v>2770</v>
      </c>
      <c r="B427" s="63" t="s">
        <v>2745</v>
      </c>
      <c r="C427" s="64" t="s">
        <v>2771</v>
      </c>
      <c r="D427" s="47" t="s">
        <v>2772</v>
      </c>
      <c r="E427" s="64" t="s">
        <v>85</v>
      </c>
      <c r="F427" s="31" t="s">
        <v>60</v>
      </c>
      <c r="G427" s="31"/>
      <c r="H427" s="31"/>
      <c r="I427" s="31" t="s">
        <v>60</v>
      </c>
      <c r="J427" s="31"/>
      <c r="K427" s="31"/>
      <c r="L427" s="32" t="str">
        <f>IFERROR(__xludf.DUMMYFUNCTION("VLOOKUP($A427,IMPORTRANGE(""1PQtfbQLqBUP-rjYRznmgNFBLOjvAnhGzpIx7BJWq8rk"",""'Worksheet'!$B$2:$H""),7,FALSE)"),"#N/A")</f>
        <v>#N/A</v>
      </c>
      <c r="M427" s="31" t="s">
        <v>60</v>
      </c>
      <c r="N427" s="49">
        <v>1283200.0</v>
      </c>
      <c r="O427" s="49">
        <v>1238809.57</v>
      </c>
      <c r="P427" s="49">
        <v>0.0</v>
      </c>
      <c r="Q427" s="34">
        <f t="shared" si="3"/>
        <v>0.03459353959</v>
      </c>
      <c r="R427" s="31"/>
      <c r="S427" s="31" t="s">
        <v>60</v>
      </c>
      <c r="T427" s="155">
        <f>N427</f>
        <v>1283200</v>
      </c>
      <c r="U427" s="172">
        <f t="shared" si="67"/>
        <v>1283200</v>
      </c>
      <c r="V427" s="51">
        <v>0.0</v>
      </c>
      <c r="W427" s="31"/>
      <c r="X427" s="52" t="s">
        <v>2308</v>
      </c>
      <c r="Y427" s="54"/>
      <c r="Z427" s="54"/>
      <c r="AA427" s="54" t="s">
        <v>114</v>
      </c>
      <c r="AB427" s="38" t="s">
        <v>115</v>
      </c>
      <c r="AC427" s="38"/>
      <c r="AD427" s="39">
        <v>1283.2</v>
      </c>
      <c r="AE427" s="39">
        <v>1238.80957</v>
      </c>
      <c r="AF427" s="39">
        <v>44.39043</v>
      </c>
      <c r="AG427" s="57" t="s">
        <v>2773</v>
      </c>
      <c r="AH427" s="42" t="s">
        <v>2411</v>
      </c>
      <c r="AI427" s="42" t="s">
        <v>2411</v>
      </c>
      <c r="AJ427" s="42" t="s">
        <v>2411</v>
      </c>
      <c r="AK427" s="76" t="s">
        <v>114</v>
      </c>
      <c r="AL427" s="43"/>
      <c r="AM427" s="43"/>
      <c r="AN427" s="43"/>
      <c r="AO427" s="43"/>
    </row>
    <row r="428" hidden="1">
      <c r="A428" s="78" t="s">
        <v>2774</v>
      </c>
      <c r="B428" s="63" t="s">
        <v>1299</v>
      </c>
      <c r="C428" s="64" t="s">
        <v>2775</v>
      </c>
      <c r="D428" s="47" t="s">
        <v>1546</v>
      </c>
      <c r="E428" s="64" t="s">
        <v>85</v>
      </c>
      <c r="F428" s="31" t="s">
        <v>60</v>
      </c>
      <c r="G428" s="31"/>
      <c r="H428" s="31"/>
      <c r="I428" s="31" t="s">
        <v>60</v>
      </c>
      <c r="J428" s="31"/>
      <c r="K428" s="31"/>
      <c r="L428" s="32" t="str">
        <f>IFERROR(__xludf.DUMMYFUNCTION("VLOOKUP($A428,IMPORTRANGE(""1PQtfbQLqBUP-rjYRznmgNFBLOjvAnhGzpIx7BJWq8rk"",""'Worksheet'!$B$2:$H""),7,FALSE)"),"#N/A")</f>
        <v>#N/A</v>
      </c>
      <c r="M428" s="31" t="s">
        <v>60</v>
      </c>
      <c r="N428" s="49">
        <v>9.099255E7</v>
      </c>
      <c r="O428" s="49">
        <v>6.640286574E7</v>
      </c>
      <c r="P428" s="49">
        <v>0.0</v>
      </c>
      <c r="Q428" s="34">
        <f t="shared" si="3"/>
        <v>0.2702384345</v>
      </c>
      <c r="R428" s="31"/>
      <c r="S428" s="31" t="s">
        <v>60</v>
      </c>
      <c r="T428" s="51">
        <v>7.0216535E7</v>
      </c>
      <c r="U428" s="51">
        <v>7.0216535E7</v>
      </c>
      <c r="V428" s="51">
        <f>T428-U428</f>
        <v>0</v>
      </c>
      <c r="W428" s="31"/>
      <c r="X428" s="52" t="s">
        <v>113</v>
      </c>
      <c r="Y428" s="54"/>
      <c r="Z428" s="54"/>
      <c r="AA428" s="54" t="s">
        <v>114</v>
      </c>
      <c r="AB428" s="38" t="s">
        <v>115</v>
      </c>
      <c r="AC428" s="38"/>
      <c r="AD428" s="39">
        <v>90992.55</v>
      </c>
      <c r="AE428" s="39">
        <v>70216.535</v>
      </c>
      <c r="AF428" s="39">
        <v>20776.015</v>
      </c>
      <c r="AG428" s="57" t="s">
        <v>2776</v>
      </c>
      <c r="AH428" s="42" t="s">
        <v>2777</v>
      </c>
      <c r="AI428" s="42" t="str">
        <f>IFERROR(__xludf.DUMMYFUNCTION("vLOOKUP(A428,IMPORTRANGE(""https://docs.google.com/spreadsheets/d/1Rawwwdh8wntXGy8isdYNHxsNQS4n_rC8JSdPfj6vEq4"",""'500 объектов перенос на 2026'!A3:AB502""),13,0)"),"#REF!")</f>
        <v>#REF!</v>
      </c>
      <c r="AJ428" s="42" t="str">
        <f>IFERROR(__xludf.DUMMYFUNCTION("vLOOKUP(A428,IMPORTRANGE(""https://docs.google.com/spreadsheets/d/1Rawwwdh8wntXGy8isdYNHxsNQS4n_rC8JSdPfj6vEq4"",""'500 объектов перенос на 2026'!A3:AB502""),14,0)"),"#REF!")</f>
        <v>#REF!</v>
      </c>
      <c r="AK428" s="76" t="s">
        <v>114</v>
      </c>
      <c r="AL428" s="43"/>
      <c r="AM428" s="43"/>
      <c r="AN428" s="43"/>
      <c r="AO428" s="43"/>
    </row>
    <row r="429" hidden="1">
      <c r="A429" s="78" t="s">
        <v>2778</v>
      </c>
      <c r="B429" s="63" t="s">
        <v>1299</v>
      </c>
      <c r="C429" s="64" t="s">
        <v>2779</v>
      </c>
      <c r="D429" s="47" t="s">
        <v>1546</v>
      </c>
      <c r="E429" s="64" t="s">
        <v>85</v>
      </c>
      <c r="F429" s="31" t="s">
        <v>60</v>
      </c>
      <c r="G429" s="31"/>
      <c r="H429" s="31"/>
      <c r="I429" s="31" t="s">
        <v>60</v>
      </c>
      <c r="J429" s="31"/>
      <c r="K429" s="31"/>
      <c r="L429" s="32" t="str">
        <f>IFERROR(__xludf.DUMMYFUNCTION("VLOOKUP($A429,IMPORTRANGE(""1PQtfbQLqBUP-rjYRznmgNFBLOjvAnhGzpIx7BJWq8rk"",""'Worksheet'!$B$2:$H""),7,FALSE)"),"#N/A")</f>
        <v>#N/A</v>
      </c>
      <c r="M429" s="31" t="s">
        <v>60</v>
      </c>
      <c r="N429" s="49">
        <v>1.0732177E8</v>
      </c>
      <c r="O429" s="49">
        <v>1.003195982E8</v>
      </c>
      <c r="P429" s="49">
        <v>0.0</v>
      </c>
      <c r="Q429" s="34">
        <f t="shared" si="3"/>
        <v>0.06524465446</v>
      </c>
      <c r="R429" s="31"/>
      <c r="S429" s="31" t="s">
        <v>60</v>
      </c>
      <c r="T429" s="135" t="s">
        <v>2780</v>
      </c>
      <c r="U429" s="135" t="s">
        <v>2780</v>
      </c>
      <c r="V429" s="51">
        <v>0.0</v>
      </c>
      <c r="W429" s="31"/>
      <c r="X429" s="52" t="s">
        <v>113</v>
      </c>
      <c r="Y429" s="54"/>
      <c r="Z429" s="54"/>
      <c r="AA429" s="54" t="s">
        <v>114</v>
      </c>
      <c r="AB429" s="38" t="s">
        <v>115</v>
      </c>
      <c r="AC429" s="38"/>
      <c r="AD429" s="39">
        <v>107321.77</v>
      </c>
      <c r="AE429" s="39">
        <v>102834.0708</v>
      </c>
      <c r="AF429" s="39">
        <v>4487.69916</v>
      </c>
      <c r="AG429" s="57" t="s">
        <v>2781</v>
      </c>
      <c r="AH429" s="42" t="s">
        <v>2777</v>
      </c>
      <c r="AI429" s="42" t="str">
        <f>IFERROR(__xludf.DUMMYFUNCTION("vLOOKUP(A429,IMPORTRANGE(""https://docs.google.com/spreadsheets/d/1Rawwwdh8wntXGy8isdYNHxsNQS4n_rC8JSdPfj6vEq4"",""'500 объектов перенос на 2026'!A3:AB502""),13,0)"),"#REF!")</f>
        <v>#REF!</v>
      </c>
      <c r="AJ429" s="42" t="str">
        <f>IFERROR(__xludf.DUMMYFUNCTION("vLOOKUP(A429,IMPORTRANGE(""https://docs.google.com/spreadsheets/d/1Rawwwdh8wntXGy8isdYNHxsNQS4n_rC8JSdPfj6vEq4"",""'500 объектов перенос на 2026'!A3:AB502""),14,0)"),"#REF!")</f>
        <v>#REF!</v>
      </c>
      <c r="AK429" s="76" t="s">
        <v>114</v>
      </c>
      <c r="AL429" s="43"/>
      <c r="AM429" s="43"/>
      <c r="AN429" s="43"/>
      <c r="AO429" s="43"/>
    </row>
    <row r="430" hidden="1">
      <c r="A430" s="78" t="s">
        <v>2782</v>
      </c>
      <c r="B430" s="63" t="s">
        <v>1299</v>
      </c>
      <c r="C430" s="90" t="s">
        <v>2783</v>
      </c>
      <c r="D430" s="47" t="s">
        <v>2784</v>
      </c>
      <c r="E430" s="64" t="s">
        <v>85</v>
      </c>
      <c r="F430" s="31" t="s">
        <v>60</v>
      </c>
      <c r="G430" s="31"/>
      <c r="H430" s="31"/>
      <c r="I430" s="31" t="s">
        <v>60</v>
      </c>
      <c r="J430" s="31"/>
      <c r="K430" s="31"/>
      <c r="L430" s="32" t="str">
        <f>IFERROR(__xludf.DUMMYFUNCTION("VLOOKUP($A430,IMPORTRANGE(""1PQtfbQLqBUP-rjYRznmgNFBLOjvAnhGzpIx7BJWq8rk"",""'Worksheet'!$B$2:$H""),7,FALSE)"),"#N/A")</f>
        <v>#N/A</v>
      </c>
      <c r="M430" s="31" t="s">
        <v>60</v>
      </c>
      <c r="N430" s="49">
        <v>1.65034E7</v>
      </c>
      <c r="O430" s="49">
        <v>7112989.17</v>
      </c>
      <c r="P430" s="49">
        <v>0.0</v>
      </c>
      <c r="Q430" s="34">
        <f t="shared" si="3"/>
        <v>0.5689985597</v>
      </c>
      <c r="R430" s="31"/>
      <c r="S430" s="31" t="s">
        <v>60</v>
      </c>
      <c r="T430" s="50">
        <v>1.567823E7</v>
      </c>
      <c r="U430" s="50">
        <v>1.567823E7</v>
      </c>
      <c r="V430" s="51">
        <f>T430-U430</f>
        <v>0</v>
      </c>
      <c r="W430" s="31"/>
      <c r="X430" s="52" t="s">
        <v>113</v>
      </c>
      <c r="Y430" s="54"/>
      <c r="Z430" s="54"/>
      <c r="AA430" s="54" t="s">
        <v>114</v>
      </c>
      <c r="AB430" s="38" t="s">
        <v>115</v>
      </c>
      <c r="AC430" s="38"/>
      <c r="AD430" s="39">
        <v>16503.4</v>
      </c>
      <c r="AE430" s="39">
        <v>10626.02692</v>
      </c>
      <c r="AF430" s="39">
        <v>5877.37308</v>
      </c>
      <c r="AG430" s="57" t="s">
        <v>2785</v>
      </c>
      <c r="AH430" s="42" t="s">
        <v>2786</v>
      </c>
      <c r="AI430" s="42" t="str">
        <f>IFERROR(__xludf.DUMMYFUNCTION("vLOOKUP(A430,IMPORTRANGE(""https://docs.google.com/spreadsheets/d/1Rawwwdh8wntXGy8isdYNHxsNQS4n_rC8JSdPfj6vEq4"",""'500 объектов перенос на 2026'!A3:AB502""),13,0)"),"#REF!")</f>
        <v>#REF!</v>
      </c>
      <c r="AJ430" s="42" t="str">
        <f>IFERROR(__xludf.DUMMYFUNCTION("vLOOKUP(A430,IMPORTRANGE(""https://docs.google.com/spreadsheets/d/1Rawwwdh8wntXGy8isdYNHxsNQS4n_rC8JSdPfj6vEq4"",""'500 объектов перенос на 2026'!A3:AB502""),14,0)"),"#REF!")</f>
        <v>#REF!</v>
      </c>
      <c r="AK430" s="76" t="s">
        <v>114</v>
      </c>
      <c r="AL430" s="43"/>
      <c r="AM430" s="43"/>
      <c r="AN430" s="43"/>
      <c r="AO430" s="43"/>
    </row>
    <row r="431" hidden="1">
      <c r="A431" s="62" t="s">
        <v>2787</v>
      </c>
      <c r="B431" s="63" t="s">
        <v>400</v>
      </c>
      <c r="C431" s="64" t="s">
        <v>2788</v>
      </c>
      <c r="D431" s="47" t="s">
        <v>1048</v>
      </c>
      <c r="E431" s="64" t="s">
        <v>324</v>
      </c>
      <c r="F431" s="31" t="s">
        <v>60</v>
      </c>
      <c r="G431" s="31"/>
      <c r="H431" s="31"/>
      <c r="I431" s="31" t="s">
        <v>40</v>
      </c>
      <c r="J431" s="31" t="s">
        <v>102</v>
      </c>
      <c r="K431" s="31" t="s">
        <v>72</v>
      </c>
      <c r="L431" s="32">
        <f>IFERROR(__xludf.DUMMYFUNCTION("VLOOKUP($A431,IMPORTRANGE(""1PQtfbQLqBUP-rjYRznmgNFBLOjvAnhGzpIx7BJWq8rk"",""'Worksheet'!$B$2:$H""),7,FALSE)"),0.72)</f>
        <v>0.72</v>
      </c>
      <c r="M431" s="31" t="s">
        <v>45</v>
      </c>
      <c r="N431" s="49">
        <v>3.000648411E7</v>
      </c>
      <c r="O431" s="49">
        <v>2.501217528E7</v>
      </c>
      <c r="P431" s="49">
        <f>N431-O431</f>
        <v>4994308.83</v>
      </c>
      <c r="Q431" s="34">
        <f t="shared" si="3"/>
        <v>0.1664409869</v>
      </c>
      <c r="R431" s="31"/>
      <c r="S431" s="31" t="s">
        <v>45</v>
      </c>
      <c r="T431" s="84"/>
      <c r="U431" s="51"/>
      <c r="V431" s="84"/>
      <c r="W431" s="31"/>
      <c r="X431" s="52" t="s">
        <v>113</v>
      </c>
      <c r="Y431" s="54" t="s">
        <v>2789</v>
      </c>
      <c r="Z431" s="54" t="s">
        <v>1749</v>
      </c>
      <c r="AA431" s="74">
        <v>46223.0</v>
      </c>
      <c r="AB431" s="56"/>
      <c r="AC431" s="38"/>
      <c r="AD431" s="39">
        <v>30006.5</v>
      </c>
      <c r="AE431" s="39">
        <v>25177.85411</v>
      </c>
      <c r="AF431" s="39">
        <v>4828.64589</v>
      </c>
      <c r="AG431" s="57" t="s">
        <v>2790</v>
      </c>
      <c r="AH431" s="42" t="s">
        <v>1054</v>
      </c>
      <c r="AI431" s="42" t="str">
        <f>IFERROR(__xludf.DUMMYFUNCTION("vLOOKUP(A431,IMPORTRANGE(""https://docs.google.com/spreadsheets/d/1Rawwwdh8wntXGy8isdYNHxsNQS4n_rC8JSdPfj6vEq4"",""'500 объектов перенос на 2026'!A3:AB502""),13,0)"),"#REF!")</f>
        <v>#REF!</v>
      </c>
      <c r="AJ431" s="42" t="str">
        <f>IFERROR(__xludf.DUMMYFUNCTION("vLOOKUP(A431,IMPORTRANGE(""https://docs.google.com/spreadsheets/d/1Rawwwdh8wntXGy8isdYNHxsNQS4n_rC8JSdPfj6vEq4"",""'500 объектов перенос на 2026'!A3:AB502""),14,0)"),"#REF!")</f>
        <v>#REF!</v>
      </c>
      <c r="AK431" s="76" t="s">
        <v>2791</v>
      </c>
      <c r="AL431" s="43"/>
      <c r="AM431" s="43"/>
      <c r="AN431" s="43"/>
      <c r="AO431" s="43"/>
    </row>
    <row r="432" hidden="1">
      <c r="A432" s="62" t="s">
        <v>2792</v>
      </c>
      <c r="B432" s="63" t="s">
        <v>1299</v>
      </c>
      <c r="C432" s="64" t="s">
        <v>2793</v>
      </c>
      <c r="D432" s="47" t="s">
        <v>2048</v>
      </c>
      <c r="E432" s="64" t="s">
        <v>85</v>
      </c>
      <c r="F432" s="31" t="s">
        <v>60</v>
      </c>
      <c r="G432" s="31"/>
      <c r="H432" s="31"/>
      <c r="I432" s="31" t="s">
        <v>40</v>
      </c>
      <c r="J432" s="31" t="s">
        <v>102</v>
      </c>
      <c r="K432" s="31" t="s">
        <v>280</v>
      </c>
      <c r="L432" s="32">
        <f>IFERROR(__xludf.DUMMYFUNCTION("VLOOKUP($A432,IMPORTRANGE(""1PQtfbQLqBUP-rjYRznmgNFBLOjvAnhGzpIx7BJWq8rk"",""'Worksheet'!$B$2:$H""),7,FALSE)"),0.77)</f>
        <v>0.77</v>
      </c>
      <c r="M432" s="31" t="s">
        <v>60</v>
      </c>
      <c r="N432" s="49">
        <v>9.613381339E7</v>
      </c>
      <c r="O432" s="49">
        <v>7.339390895E7</v>
      </c>
      <c r="P432" s="49">
        <v>0.0</v>
      </c>
      <c r="Q432" s="34">
        <f t="shared" si="3"/>
        <v>0.236544288</v>
      </c>
      <c r="R432" s="31"/>
      <c r="S432" s="31" t="s">
        <v>60</v>
      </c>
      <c r="T432" s="50">
        <v>9.13271227E7</v>
      </c>
      <c r="U432" s="135">
        <v>7.230671798E7</v>
      </c>
      <c r="V432" s="51">
        <f>T432-U432</f>
        <v>19020404.72</v>
      </c>
      <c r="W432" s="31"/>
      <c r="X432" s="52" t="s">
        <v>2104</v>
      </c>
      <c r="Y432" s="74"/>
      <c r="Z432" s="74"/>
      <c r="AA432" s="54" t="s">
        <v>114</v>
      </c>
      <c r="AB432" s="56"/>
      <c r="AC432" s="38"/>
      <c r="AD432" s="39">
        <v>96133.83</v>
      </c>
      <c r="AE432" s="39">
        <v>76495.47339</v>
      </c>
      <c r="AF432" s="40">
        <v>19638.35661</v>
      </c>
      <c r="AG432" s="57" t="s">
        <v>2794</v>
      </c>
      <c r="AH432" s="42" t="s">
        <v>1308</v>
      </c>
      <c r="AI432" s="42" t="str">
        <f>IFERROR(__xludf.DUMMYFUNCTION("vLOOKUP(A432,IMPORTRANGE(""https://docs.google.com/spreadsheets/d/1Rawwwdh8wntXGy8isdYNHxsNQS4n_rC8JSdPfj6vEq4"",""'500 объектов перенос на 2026'!A3:AB502""),13,0)"),"#REF!")</f>
        <v>#REF!</v>
      </c>
      <c r="AJ432" s="42" t="str">
        <f>IFERROR(__xludf.DUMMYFUNCTION("vLOOKUP(A432,IMPORTRANGE(""https://docs.google.com/spreadsheets/d/1Rawwwdh8wntXGy8isdYNHxsNQS4n_rC8JSdPfj6vEq4"",""'500 объектов перенос на 2026'!A3:AB502""),14,0)"),"#REF!")</f>
        <v>#REF!</v>
      </c>
      <c r="AK432" s="76" t="s">
        <v>114</v>
      </c>
      <c r="AL432" s="43"/>
      <c r="AM432" s="43"/>
      <c r="AN432" s="43"/>
      <c r="AO432" s="43"/>
    </row>
    <row r="433" hidden="1">
      <c r="A433" s="62" t="s">
        <v>2795</v>
      </c>
      <c r="B433" s="63" t="s">
        <v>1586</v>
      </c>
      <c r="C433" s="64" t="s">
        <v>2796</v>
      </c>
      <c r="D433" s="47" t="s">
        <v>1276</v>
      </c>
      <c r="E433" s="64" t="s">
        <v>39</v>
      </c>
      <c r="F433" s="31" t="s">
        <v>60</v>
      </c>
      <c r="G433" s="31"/>
      <c r="H433" s="31"/>
      <c r="I433" s="31" t="s">
        <v>40</v>
      </c>
      <c r="J433" s="31" t="s">
        <v>43</v>
      </c>
      <c r="K433" s="31" t="s">
        <v>72</v>
      </c>
      <c r="L433" s="32">
        <f>IFERROR(__xludf.DUMMYFUNCTION("VLOOKUP($A433,IMPORTRANGE(""1PQtfbQLqBUP-rjYRznmgNFBLOjvAnhGzpIx7BJWq8rk"",""'Worksheet'!$B$2:$H""),7,FALSE)"),0.97)</f>
        <v>0.97</v>
      </c>
      <c r="M433" s="31" t="s">
        <v>45</v>
      </c>
      <c r="N433" s="49">
        <v>9.42045796E7</v>
      </c>
      <c r="O433" s="49">
        <v>8.921851474E7</v>
      </c>
      <c r="P433" s="49">
        <f t="shared" ref="P433:P434" si="68">N433-O433</f>
        <v>4986064.86</v>
      </c>
      <c r="Q433" s="34">
        <f t="shared" si="3"/>
        <v>0.05292805171</v>
      </c>
      <c r="R433" s="31"/>
      <c r="S433" s="31" t="s">
        <v>45</v>
      </c>
      <c r="T433" s="88" t="s">
        <v>2797</v>
      </c>
      <c r="U433" s="88" t="s">
        <v>2798</v>
      </c>
      <c r="V433" s="88" t="s">
        <v>2799</v>
      </c>
      <c r="W433" s="31"/>
      <c r="X433" s="52" t="s">
        <v>1592</v>
      </c>
      <c r="Y433" s="54" t="s">
        <v>3481</v>
      </c>
      <c r="Z433" s="54" t="s">
        <v>1594</v>
      </c>
      <c r="AA433" s="68">
        <v>46225.0</v>
      </c>
      <c r="AB433" s="56"/>
      <c r="AC433" s="38" t="s">
        <v>1595</v>
      </c>
      <c r="AD433" s="39">
        <v>94204.58</v>
      </c>
      <c r="AE433" s="39">
        <v>89218.51474</v>
      </c>
      <c r="AF433" s="40">
        <v>4986.06526</v>
      </c>
      <c r="AG433" s="57" t="s">
        <v>2800</v>
      </c>
      <c r="AH433" s="42" t="s">
        <v>2801</v>
      </c>
      <c r="AI433" s="42" t="str">
        <f>IFERROR(__xludf.DUMMYFUNCTION("vLOOKUP(A433,IMPORTRANGE(""https://docs.google.com/spreadsheets/d/1Rawwwdh8wntXGy8isdYNHxsNQS4n_rC8JSdPfj6vEq4"",""'500 объектов перенос на 2026'!A3:AB502""),13,0)"),"#REF!")</f>
        <v>#REF!</v>
      </c>
      <c r="AJ433" s="42" t="str">
        <f>IFERROR(__xludf.DUMMYFUNCTION("vLOOKUP(A433,IMPORTRANGE(""https://docs.google.com/spreadsheets/d/1Rawwwdh8wntXGy8isdYNHxsNQS4n_rC8JSdPfj6vEq4"",""'500 объектов перенос на 2026'!A3:AB502""),14,0)"),"#REF!")</f>
        <v>#REF!</v>
      </c>
      <c r="AK433" s="76" t="s">
        <v>3482</v>
      </c>
      <c r="AL433" s="43"/>
      <c r="AM433" s="43"/>
      <c r="AN433" s="43"/>
      <c r="AO433" s="43"/>
    </row>
    <row r="434" hidden="1">
      <c r="A434" s="62" t="s">
        <v>2803</v>
      </c>
      <c r="B434" s="63" t="s">
        <v>400</v>
      </c>
      <c r="C434" s="64" t="s">
        <v>2804</v>
      </c>
      <c r="D434" s="47" t="s">
        <v>1546</v>
      </c>
      <c r="E434" s="64" t="s">
        <v>85</v>
      </c>
      <c r="F434" s="31" t="s">
        <v>60</v>
      </c>
      <c r="G434" s="31"/>
      <c r="H434" s="31"/>
      <c r="I434" s="31" t="s">
        <v>60</v>
      </c>
      <c r="J434" s="31"/>
      <c r="K434" s="31"/>
      <c r="L434" s="32">
        <f>IFERROR(__xludf.DUMMYFUNCTION("VLOOKUP($A434,IMPORTRANGE(""1PQtfbQLqBUP-rjYRznmgNFBLOjvAnhGzpIx7BJWq8rk"",""'Worksheet'!$B$2:$H""),7,FALSE)"),1.0)</f>
        <v>1</v>
      </c>
      <c r="M434" s="31" t="s">
        <v>45</v>
      </c>
      <c r="N434" s="49">
        <v>1.552425514E7</v>
      </c>
      <c r="O434" s="49">
        <v>1.349091512E7</v>
      </c>
      <c r="P434" s="49">
        <f t="shared" si="68"/>
        <v>2033340.02</v>
      </c>
      <c r="Q434" s="34">
        <f t="shared" si="3"/>
        <v>0.1309782661</v>
      </c>
      <c r="R434" s="31"/>
      <c r="S434" s="31" t="s">
        <v>45</v>
      </c>
      <c r="T434" s="84"/>
      <c r="U434" s="84"/>
      <c r="V434" s="84"/>
      <c r="W434" s="31" t="s">
        <v>148</v>
      </c>
      <c r="X434" s="52" t="s">
        <v>2805</v>
      </c>
      <c r="Y434" s="54" t="s">
        <v>2806</v>
      </c>
      <c r="Z434" s="54" t="s">
        <v>2807</v>
      </c>
      <c r="AA434" s="74">
        <v>46192.0</v>
      </c>
      <c r="AB434" s="56"/>
      <c r="AC434" s="38"/>
      <c r="AD434" s="39">
        <v>21240.96</v>
      </c>
      <c r="AE434" s="39">
        <v>10620.48</v>
      </c>
      <c r="AF434" s="40">
        <v>10620.48</v>
      </c>
      <c r="AG434" s="57" t="s">
        <v>2808</v>
      </c>
      <c r="AH434" s="42" t="s">
        <v>51</v>
      </c>
      <c r="AI434" s="42" t="str">
        <f>IFERROR(__xludf.DUMMYFUNCTION("vLOOKUP(A434,IMPORTRANGE(""https://docs.google.com/spreadsheets/d/1Rawwwdh8wntXGy8isdYNHxsNQS4n_rC8JSdPfj6vEq4"",""'500 объектов перенос на 2026'!A3:AB502""),13,0)"),"#REF!")</f>
        <v>#REF!</v>
      </c>
      <c r="AJ434" s="42" t="str">
        <f>IFERROR(__xludf.DUMMYFUNCTION("vLOOKUP(A434,IMPORTRANGE(""https://docs.google.com/spreadsheets/d/1Rawwwdh8wntXGy8isdYNHxsNQS4n_rC8JSdPfj6vEq4"",""'500 объектов перенос на 2026'!A3:AB502""),14,0)"),"#REF!")</f>
        <v>#REF!</v>
      </c>
      <c r="AK434" s="76" t="s">
        <v>3483</v>
      </c>
      <c r="AL434" s="43"/>
      <c r="AM434" s="43"/>
      <c r="AN434" s="43"/>
      <c r="AO434" s="43"/>
    </row>
    <row r="435" hidden="1">
      <c r="A435" s="62" t="s">
        <v>2810</v>
      </c>
      <c r="B435" s="63" t="s">
        <v>1299</v>
      </c>
      <c r="C435" s="64" t="s">
        <v>2811</v>
      </c>
      <c r="D435" s="47" t="s">
        <v>2048</v>
      </c>
      <c r="E435" s="64" t="s">
        <v>85</v>
      </c>
      <c r="F435" s="31" t="s">
        <v>60</v>
      </c>
      <c r="G435" s="31"/>
      <c r="H435" s="31"/>
      <c r="I435" s="31" t="s">
        <v>40</v>
      </c>
      <c r="J435" s="31" t="s">
        <v>61</v>
      </c>
      <c r="K435" s="31" t="s">
        <v>280</v>
      </c>
      <c r="L435" s="32">
        <f>IFERROR(__xludf.DUMMYFUNCTION("VLOOKUP($A435,IMPORTRANGE(""1PQtfbQLqBUP-rjYRznmgNFBLOjvAnhGzpIx7BJWq8rk"",""'Worksheet'!$B$2:$H""),7,FALSE)"),0.85)</f>
        <v>0.85</v>
      </c>
      <c r="M435" s="31" t="s">
        <v>60</v>
      </c>
      <c r="N435" s="49">
        <v>9.353346384E7</v>
      </c>
      <c r="O435" s="49">
        <v>6.893005621E7</v>
      </c>
      <c r="P435" s="49">
        <v>0.0</v>
      </c>
      <c r="Q435" s="34">
        <f t="shared" si="3"/>
        <v>0.2630439056</v>
      </c>
      <c r="R435" s="31"/>
      <c r="S435" s="31" t="s">
        <v>60</v>
      </c>
      <c r="T435" s="50">
        <v>8.88567906E7</v>
      </c>
      <c r="U435" s="50">
        <v>8.88567906E7</v>
      </c>
      <c r="V435" s="51">
        <v>0.0</v>
      </c>
      <c r="W435" s="31"/>
      <c r="X435" s="52" t="s">
        <v>2104</v>
      </c>
      <c r="Y435" s="74"/>
      <c r="Z435" s="74"/>
      <c r="AA435" s="54" t="s">
        <v>114</v>
      </c>
      <c r="AB435" s="56"/>
      <c r="AC435" s="38"/>
      <c r="AD435" s="39">
        <v>93799.65</v>
      </c>
      <c r="AE435" s="39">
        <v>74426.22384</v>
      </c>
      <c r="AF435" s="40">
        <v>19373.42616</v>
      </c>
      <c r="AG435" s="99" t="s">
        <v>2812</v>
      </c>
      <c r="AH435" s="42" t="s">
        <v>1308</v>
      </c>
      <c r="AI435" s="42" t="str">
        <f>IFERROR(__xludf.DUMMYFUNCTION("vLOOKUP(A435,IMPORTRANGE(""https://docs.google.com/spreadsheets/d/1Rawwwdh8wntXGy8isdYNHxsNQS4n_rC8JSdPfj6vEq4"",""'500 объектов перенос на 2026'!A3:AB502""),13,0)"),"#REF!")</f>
        <v>#REF!</v>
      </c>
      <c r="AJ435" s="42" t="str">
        <f>IFERROR(__xludf.DUMMYFUNCTION("vLOOKUP(A435,IMPORTRANGE(""https://docs.google.com/spreadsheets/d/1Rawwwdh8wntXGy8isdYNHxsNQS4n_rC8JSdPfj6vEq4"",""'500 объектов перенос на 2026'!A3:AB502""),14,0)"),"#REF!")</f>
        <v>#REF!</v>
      </c>
      <c r="AK435" s="76" t="s">
        <v>114</v>
      </c>
      <c r="AL435" s="43"/>
      <c r="AM435" s="43"/>
      <c r="AN435" s="43"/>
      <c r="AO435" s="43"/>
    </row>
    <row r="436" hidden="1">
      <c r="A436" s="62" t="s">
        <v>2813</v>
      </c>
      <c r="B436" s="63" t="s">
        <v>1329</v>
      </c>
      <c r="C436" s="64" t="s">
        <v>2814</v>
      </c>
      <c r="D436" s="47" t="s">
        <v>1331</v>
      </c>
      <c r="E436" s="64" t="s">
        <v>39</v>
      </c>
      <c r="F436" s="31" t="s">
        <v>60</v>
      </c>
      <c r="G436" s="31"/>
      <c r="H436" s="31"/>
      <c r="I436" s="31" t="s">
        <v>40</v>
      </c>
      <c r="J436" s="31" t="s">
        <v>61</v>
      </c>
      <c r="K436" s="31" t="s">
        <v>72</v>
      </c>
      <c r="L436" s="32">
        <f>IFERROR(__xludf.DUMMYFUNCTION("VLOOKUP($A436,IMPORTRANGE(""1PQtfbQLqBUP-rjYRznmgNFBLOjvAnhGzpIx7BJWq8rk"",""'Worksheet'!$B$2:$H""),7,FALSE)"),0.84)</f>
        <v>0.84</v>
      </c>
      <c r="M436" s="31" t="s">
        <v>45</v>
      </c>
      <c r="N436" s="49">
        <v>6.915395642E7</v>
      </c>
      <c r="O436" s="49">
        <v>6.441723858E7</v>
      </c>
      <c r="P436" s="49">
        <f>N436-O436</f>
        <v>4736717.84</v>
      </c>
      <c r="Q436" s="34">
        <f t="shared" si="3"/>
        <v>0.06849525443</v>
      </c>
      <c r="R436" s="31"/>
      <c r="S436" s="31" t="s">
        <v>60</v>
      </c>
      <c r="T436" s="84"/>
      <c r="U436" s="117" t="s">
        <v>2815</v>
      </c>
      <c r="V436" s="84" t="s">
        <v>2816</v>
      </c>
      <c r="W436" s="31"/>
      <c r="X436" s="52" t="s">
        <v>113</v>
      </c>
      <c r="Y436" s="54" t="s">
        <v>2817</v>
      </c>
      <c r="Z436" s="54"/>
      <c r="AA436" s="74">
        <v>46223.0</v>
      </c>
      <c r="AB436" s="56"/>
      <c r="AC436" s="38"/>
      <c r="AD436" s="39">
        <v>69153.96</v>
      </c>
      <c r="AE436" s="39">
        <v>64417.23858</v>
      </c>
      <c r="AF436" s="39">
        <v>4736.72142</v>
      </c>
      <c r="AG436" s="57" t="s">
        <v>2818</v>
      </c>
      <c r="AH436" s="42" t="s">
        <v>1338</v>
      </c>
      <c r="AI436" s="42" t="str">
        <f>IFERROR(__xludf.DUMMYFUNCTION("vLOOKUP(A436,IMPORTRANGE(""https://docs.google.com/spreadsheets/d/1Rawwwdh8wntXGy8isdYNHxsNQS4n_rC8JSdPfj6vEq4"",""'500 объектов перенос на 2026'!A3:AB502""),13,0)"),"#REF!")</f>
        <v>#REF!</v>
      </c>
      <c r="AJ436" s="42" t="str">
        <f>IFERROR(__xludf.DUMMYFUNCTION("vLOOKUP(A436,IMPORTRANGE(""https://docs.google.com/spreadsheets/d/1Rawwwdh8wntXGy8isdYNHxsNQS4n_rC8JSdPfj6vEq4"",""'500 объектов перенос на 2026'!A3:AB502""),14,0)"),"#REF!")</f>
        <v>#REF!</v>
      </c>
      <c r="AK436" s="76" t="s">
        <v>2817</v>
      </c>
      <c r="AL436" s="43"/>
      <c r="AM436" s="43"/>
      <c r="AN436" s="43"/>
      <c r="AO436" s="43"/>
    </row>
    <row r="437" hidden="1">
      <c r="A437" s="78" t="s">
        <v>2819</v>
      </c>
      <c r="B437" s="63" t="s">
        <v>1299</v>
      </c>
      <c r="C437" s="64" t="s">
        <v>2820</v>
      </c>
      <c r="D437" s="47" t="s">
        <v>2821</v>
      </c>
      <c r="E437" s="64" t="s">
        <v>85</v>
      </c>
      <c r="F437" s="31" t="s">
        <v>60</v>
      </c>
      <c r="G437" s="31"/>
      <c r="H437" s="31"/>
      <c r="I437" s="31" t="s">
        <v>60</v>
      </c>
      <c r="J437" s="31"/>
      <c r="K437" s="31"/>
      <c r="L437" s="32" t="str">
        <f>IFERROR(__xludf.DUMMYFUNCTION("VLOOKUP($A437,IMPORTRANGE(""1PQtfbQLqBUP-rjYRznmgNFBLOjvAnhGzpIx7BJWq8rk"",""'Worksheet'!$B$2:$H""),7,FALSE)"),"#N/A")</f>
        <v>#N/A</v>
      </c>
      <c r="M437" s="31" t="s">
        <v>60</v>
      </c>
      <c r="N437" s="49">
        <v>6466510.0</v>
      </c>
      <c r="O437" s="49">
        <v>5607342.29</v>
      </c>
      <c r="P437" s="49">
        <v>0.0</v>
      </c>
      <c r="Q437" s="34">
        <f t="shared" si="3"/>
        <v>0.132864205</v>
      </c>
      <c r="R437" s="31"/>
      <c r="S437" s="31" t="s">
        <v>60</v>
      </c>
      <c r="T437" s="134" t="s">
        <v>2822</v>
      </c>
      <c r="U437" s="134" t="s">
        <v>2822</v>
      </c>
      <c r="V437" s="51">
        <v>0.0</v>
      </c>
      <c r="W437" s="31"/>
      <c r="X437" s="52" t="s">
        <v>113</v>
      </c>
      <c r="Y437" s="54"/>
      <c r="Z437" s="54"/>
      <c r="AA437" s="54" t="s">
        <v>114</v>
      </c>
      <c r="AB437" s="38" t="s">
        <v>115</v>
      </c>
      <c r="AC437" s="38"/>
      <c r="AD437" s="39">
        <v>6466.51</v>
      </c>
      <c r="AE437" s="39">
        <v>5971.52997</v>
      </c>
      <c r="AF437" s="39">
        <v>494.98003</v>
      </c>
      <c r="AG437" s="57" t="s">
        <v>2823</v>
      </c>
      <c r="AH437" s="42" t="s">
        <v>2777</v>
      </c>
      <c r="AI437" s="42" t="str">
        <f>IFERROR(__xludf.DUMMYFUNCTION("vLOOKUP(A437,IMPORTRANGE(""https://docs.google.com/spreadsheets/d/1Rawwwdh8wntXGy8isdYNHxsNQS4n_rC8JSdPfj6vEq4"",""'500 объектов перенос на 2026'!A3:AB502""),13,0)"),"#REF!")</f>
        <v>#REF!</v>
      </c>
      <c r="AJ437" s="42" t="str">
        <f>IFERROR(__xludf.DUMMYFUNCTION("vLOOKUP(A437,IMPORTRANGE(""https://docs.google.com/spreadsheets/d/1Rawwwdh8wntXGy8isdYNHxsNQS4n_rC8JSdPfj6vEq4"",""'500 объектов перенос на 2026'!A3:AB502""),14,0)"),"#REF!")</f>
        <v>#REF!</v>
      </c>
      <c r="AK437" s="76" t="s">
        <v>114</v>
      </c>
      <c r="AL437" s="43"/>
      <c r="AM437" s="43"/>
      <c r="AN437" s="43"/>
      <c r="AO437" s="43"/>
    </row>
    <row r="438" hidden="1">
      <c r="A438" s="62" t="s">
        <v>2824</v>
      </c>
      <c r="B438" s="63" t="s">
        <v>268</v>
      </c>
      <c r="C438" s="144" t="s">
        <v>2825</v>
      </c>
      <c r="D438" s="47" t="s">
        <v>1041</v>
      </c>
      <c r="E438" s="64" t="s">
        <v>85</v>
      </c>
      <c r="F438" s="31" t="s">
        <v>60</v>
      </c>
      <c r="G438" s="31"/>
      <c r="H438" s="31"/>
      <c r="I438" s="31" t="s">
        <v>60</v>
      </c>
      <c r="J438" s="31"/>
      <c r="K438" s="31"/>
      <c r="L438" s="32">
        <f>IFERROR(__xludf.DUMMYFUNCTION("VLOOKUP($A438,IMPORTRANGE(""1PQtfbQLqBUP-rjYRznmgNFBLOjvAnhGzpIx7BJWq8rk"",""'Worksheet'!$B$2:$H""),7,FALSE)"),0.9)</f>
        <v>0.9</v>
      </c>
      <c r="M438" s="31" t="s">
        <v>40</v>
      </c>
      <c r="N438" s="49">
        <v>8806148.0</v>
      </c>
      <c r="O438" s="49">
        <v>4138889.56</v>
      </c>
      <c r="P438" s="49">
        <f>N438-O438</f>
        <v>4667258.44</v>
      </c>
      <c r="Q438" s="34">
        <f t="shared" si="3"/>
        <v>0.53</v>
      </c>
      <c r="R438" s="31"/>
      <c r="S438" s="31" t="s">
        <v>40</v>
      </c>
      <c r="T438" s="84" t="s">
        <v>2826</v>
      </c>
      <c r="U438" s="84">
        <v>0.0</v>
      </c>
      <c r="V438" s="84" t="s">
        <v>2826</v>
      </c>
      <c r="W438" s="31" t="s">
        <v>506</v>
      </c>
      <c r="X438" s="52" t="s">
        <v>1582</v>
      </c>
      <c r="Y438" s="54" t="s">
        <v>2610</v>
      </c>
      <c r="Z438" s="54" t="s">
        <v>851</v>
      </c>
      <c r="AA438" s="68">
        <v>46280.0</v>
      </c>
      <c r="AB438" s="56"/>
      <c r="AC438" s="38"/>
      <c r="AD438" s="39">
        <v>8806.15</v>
      </c>
      <c r="AE438" s="39">
        <v>4138.88956</v>
      </c>
      <c r="AF438" s="40">
        <v>4667.26044</v>
      </c>
      <c r="AG438" s="57" t="s">
        <v>2827</v>
      </c>
      <c r="AH438" s="42" t="s">
        <v>1693</v>
      </c>
      <c r="AI438" s="42" t="str">
        <f>IFERROR(__xludf.DUMMYFUNCTION("vLOOKUP(A438,IMPORTRANGE(""https://docs.google.com/spreadsheets/d/1Rawwwdh8wntXGy8isdYNHxsNQS4n_rC8JSdPfj6vEq4"",""'500 объектов перенос на 2026'!A3:AB502""),13,0)"),"#REF!")</f>
        <v>#REF!</v>
      </c>
      <c r="AJ438" s="42" t="str">
        <f>IFERROR(__xludf.DUMMYFUNCTION("vLOOKUP(A438,IMPORTRANGE(""https://docs.google.com/spreadsheets/d/1Rawwwdh8wntXGy8isdYNHxsNQS4n_rC8JSdPfj6vEq4"",""'500 объектов перенос на 2026'!A3:AB502""),14,0)"),"#REF!")</f>
        <v>#REF!</v>
      </c>
      <c r="AK438" s="151" t="s">
        <v>3484</v>
      </c>
      <c r="AL438" s="43"/>
      <c r="AM438" s="43"/>
      <c r="AN438" s="43"/>
      <c r="AO438" s="43"/>
    </row>
    <row r="439" hidden="1">
      <c r="A439" s="78" t="s">
        <v>2829</v>
      </c>
      <c r="B439" s="63" t="s">
        <v>1299</v>
      </c>
      <c r="C439" s="90" t="s">
        <v>2830</v>
      </c>
      <c r="D439" s="47" t="s">
        <v>1058</v>
      </c>
      <c r="E439" s="64" t="s">
        <v>59</v>
      </c>
      <c r="F439" s="31" t="s">
        <v>60</v>
      </c>
      <c r="G439" s="31"/>
      <c r="H439" s="31"/>
      <c r="I439" s="31" t="s">
        <v>60</v>
      </c>
      <c r="J439" s="31"/>
      <c r="K439" s="31"/>
      <c r="L439" s="32" t="str">
        <f>IFERROR(__xludf.DUMMYFUNCTION("VLOOKUP($A439,IMPORTRANGE(""1PQtfbQLqBUP-rjYRznmgNFBLOjvAnhGzpIx7BJWq8rk"",""'Worksheet'!$B$2:$H""),7,FALSE)"),"#N/A")</f>
        <v>#N/A</v>
      </c>
      <c r="M439" s="31" t="s">
        <v>60</v>
      </c>
      <c r="N439" s="49">
        <v>1.0332516E8</v>
      </c>
      <c r="O439" s="49">
        <v>1.0233426854E8</v>
      </c>
      <c r="P439" s="49">
        <v>0.0</v>
      </c>
      <c r="Q439" s="34">
        <f t="shared" si="3"/>
        <v>0.009590030734</v>
      </c>
      <c r="R439" s="31"/>
      <c r="S439" s="31" t="s">
        <v>60</v>
      </c>
      <c r="T439" s="134" t="s">
        <v>2831</v>
      </c>
      <c r="U439" s="135" t="s">
        <v>2831</v>
      </c>
      <c r="V439" s="51">
        <v>0.0</v>
      </c>
      <c r="W439" s="31"/>
      <c r="X439" s="52" t="s">
        <v>113</v>
      </c>
      <c r="Y439" s="54"/>
      <c r="Z439" s="54"/>
      <c r="AA439" s="54" t="s">
        <v>114</v>
      </c>
      <c r="AB439" s="38" t="s">
        <v>115</v>
      </c>
      <c r="AC439" s="38"/>
      <c r="AD439" s="39">
        <v>103325.16</v>
      </c>
      <c r="AE439" s="39">
        <v>101870.6763</v>
      </c>
      <c r="AF439" s="39">
        <v>1454.48371</v>
      </c>
      <c r="AG439" s="57" t="s">
        <v>2832</v>
      </c>
      <c r="AH439" s="42" t="s">
        <v>2777</v>
      </c>
      <c r="AI439" s="42" t="str">
        <f>IFERROR(__xludf.DUMMYFUNCTION("vLOOKUP(A439,IMPORTRANGE(""https://docs.google.com/spreadsheets/d/1Rawwwdh8wntXGy8isdYNHxsNQS4n_rC8JSdPfj6vEq4"",""'500 объектов перенос на 2026'!A3:AB502""),13,0)"),"#REF!")</f>
        <v>#REF!</v>
      </c>
      <c r="AJ439" s="42" t="str">
        <f>IFERROR(__xludf.DUMMYFUNCTION("vLOOKUP(A439,IMPORTRANGE(""https://docs.google.com/spreadsheets/d/1Rawwwdh8wntXGy8isdYNHxsNQS4n_rC8JSdPfj6vEq4"",""'500 объектов перенос на 2026'!A3:AB502""),14,0)"),"#REF!")</f>
        <v>#REF!</v>
      </c>
      <c r="AK439" s="76" t="s">
        <v>114</v>
      </c>
      <c r="AL439" s="43"/>
      <c r="AM439" s="43"/>
      <c r="AN439" s="43"/>
      <c r="AO439" s="43"/>
    </row>
    <row r="440" hidden="1">
      <c r="A440" s="78" t="s">
        <v>2833</v>
      </c>
      <c r="B440" s="63" t="s">
        <v>99</v>
      </c>
      <c r="C440" s="64" t="s">
        <v>2834</v>
      </c>
      <c r="D440" s="47" t="s">
        <v>227</v>
      </c>
      <c r="E440" s="64" t="s">
        <v>39</v>
      </c>
      <c r="F440" s="31" t="s">
        <v>60</v>
      </c>
      <c r="G440" s="31"/>
      <c r="H440" s="31"/>
      <c r="I440" s="31" t="s">
        <v>60</v>
      </c>
      <c r="J440" s="31"/>
      <c r="K440" s="31"/>
      <c r="L440" s="32" t="str">
        <f>IFERROR(__xludf.DUMMYFUNCTION("VLOOKUP($A440,IMPORTRANGE(""1PQtfbQLqBUP-rjYRznmgNFBLOjvAnhGzpIx7BJWq8rk"",""'Worksheet'!$B$2:$H""),7,FALSE)"),"#N/A")</f>
        <v>#N/A</v>
      </c>
      <c r="M440" s="31" t="s">
        <v>60</v>
      </c>
      <c r="N440" s="49">
        <v>6.526518806E7</v>
      </c>
      <c r="O440" s="49">
        <v>6.526518806E7</v>
      </c>
      <c r="P440" s="49">
        <f t="shared" ref="P440:P450" si="69">N440-O440</f>
        <v>0</v>
      </c>
      <c r="Q440" s="34">
        <f t="shared" si="3"/>
        <v>0</v>
      </c>
      <c r="R440" s="31"/>
      <c r="S440" s="31" t="s">
        <v>60</v>
      </c>
      <c r="T440" s="50">
        <f t="shared" ref="T440:T441" si="70">N440*0.95</f>
        <v>62001928.66</v>
      </c>
      <c r="U440" s="51">
        <v>6.2001928657E7</v>
      </c>
      <c r="V440" s="51">
        <v>0.0</v>
      </c>
      <c r="W440" s="31"/>
      <c r="X440" s="52" t="s">
        <v>113</v>
      </c>
      <c r="Y440" s="54"/>
      <c r="Z440" s="54"/>
      <c r="AA440" s="54" t="s">
        <v>114</v>
      </c>
      <c r="AB440" s="38" t="s">
        <v>115</v>
      </c>
      <c r="AC440" s="38"/>
      <c r="AD440" s="39">
        <v>63344.12</v>
      </c>
      <c r="AE440" s="39">
        <v>65336.75928</v>
      </c>
      <c r="AF440" s="39">
        <v>-1992.63928</v>
      </c>
      <c r="AG440" s="57" t="s">
        <v>2835</v>
      </c>
      <c r="AH440" s="42" t="s">
        <v>2836</v>
      </c>
      <c r="AI440" s="42" t="str">
        <f>IFERROR(__xludf.DUMMYFUNCTION("vLOOKUP(A440,IMPORTRANGE(""https://docs.google.com/spreadsheets/d/1Rawwwdh8wntXGy8isdYNHxsNQS4n_rC8JSdPfj6vEq4"",""'500 объектов перенос на 2026'!A3:AB502""),13,0)"),"#REF!")</f>
        <v>#REF!</v>
      </c>
      <c r="AJ440" s="42" t="str">
        <f>IFERROR(__xludf.DUMMYFUNCTION("vLOOKUP(A440,IMPORTRANGE(""https://docs.google.com/spreadsheets/d/1Rawwwdh8wntXGy8isdYNHxsNQS4n_rC8JSdPfj6vEq4"",""'500 объектов перенос на 2026'!A3:AB502""),14,0)"),"#REF!")</f>
        <v>#REF!</v>
      </c>
      <c r="AK440" s="76" t="s">
        <v>114</v>
      </c>
      <c r="AL440" s="43"/>
      <c r="AM440" s="43"/>
      <c r="AN440" s="43"/>
      <c r="AO440" s="43"/>
    </row>
    <row r="441" hidden="1">
      <c r="A441" s="78" t="s">
        <v>2837</v>
      </c>
      <c r="B441" s="63" t="s">
        <v>99</v>
      </c>
      <c r="C441" s="64" t="s">
        <v>2838</v>
      </c>
      <c r="D441" s="47" t="s">
        <v>727</v>
      </c>
      <c r="E441" s="64" t="s">
        <v>59</v>
      </c>
      <c r="F441" s="31" t="s">
        <v>60</v>
      </c>
      <c r="G441" s="31"/>
      <c r="H441" s="31"/>
      <c r="I441" s="31" t="s">
        <v>60</v>
      </c>
      <c r="J441" s="31"/>
      <c r="K441" s="31"/>
      <c r="L441" s="32" t="str">
        <f>IFERROR(__xludf.DUMMYFUNCTION("VLOOKUP($A441,IMPORTRANGE(""1PQtfbQLqBUP-rjYRznmgNFBLOjvAnhGzpIx7BJWq8rk"",""'Worksheet'!$B$2:$H""),7,FALSE)"),"#N/A")</f>
        <v>#N/A</v>
      </c>
      <c r="M441" s="31" t="s">
        <v>60</v>
      </c>
      <c r="N441" s="49">
        <v>1.0020173413E8</v>
      </c>
      <c r="O441" s="49">
        <v>1.0020173413E8</v>
      </c>
      <c r="P441" s="49">
        <f t="shared" si="69"/>
        <v>0</v>
      </c>
      <c r="Q441" s="34">
        <f t="shared" si="3"/>
        <v>0</v>
      </c>
      <c r="R441" s="31"/>
      <c r="S441" s="31" t="s">
        <v>60</v>
      </c>
      <c r="T441" s="50">
        <f t="shared" si="70"/>
        <v>95191647.42</v>
      </c>
      <c r="U441" s="51">
        <v>9.519164742349999E7</v>
      </c>
      <c r="V441" s="51">
        <v>0.0</v>
      </c>
      <c r="W441" s="31"/>
      <c r="X441" s="52" t="s">
        <v>113</v>
      </c>
      <c r="Y441" s="54"/>
      <c r="Z441" s="54"/>
      <c r="AA441" s="54" t="s">
        <v>114</v>
      </c>
      <c r="AB441" s="38" t="s">
        <v>115</v>
      </c>
      <c r="AC441" s="38"/>
      <c r="AD441" s="39">
        <v>100201.73</v>
      </c>
      <c r="AE441" s="39">
        <v>153830.198</v>
      </c>
      <c r="AF441" s="39">
        <v>-53628.46799</v>
      </c>
      <c r="AG441" s="57" t="s">
        <v>2839</v>
      </c>
      <c r="AH441" s="42" t="s">
        <v>2836</v>
      </c>
      <c r="AI441" s="42" t="str">
        <f>IFERROR(__xludf.DUMMYFUNCTION("vLOOKUP(A441,IMPORTRANGE(""https://docs.google.com/spreadsheets/d/1Rawwwdh8wntXGy8isdYNHxsNQS4n_rC8JSdPfj6vEq4"",""'500 объектов перенос на 2026'!A3:AB502""),13,0)"),"#REF!")</f>
        <v>#REF!</v>
      </c>
      <c r="AJ441" s="42" t="str">
        <f>IFERROR(__xludf.DUMMYFUNCTION("vLOOKUP(A441,IMPORTRANGE(""https://docs.google.com/spreadsheets/d/1Rawwwdh8wntXGy8isdYNHxsNQS4n_rC8JSdPfj6vEq4"",""'500 объектов перенос на 2026'!A3:AB502""),14,0)"),"#REF!")</f>
        <v>#REF!</v>
      </c>
      <c r="AK441" s="76" t="s">
        <v>114</v>
      </c>
      <c r="AL441" s="43"/>
      <c r="AM441" s="43"/>
      <c r="AN441" s="43"/>
      <c r="AO441" s="43"/>
    </row>
    <row r="442" hidden="1">
      <c r="A442" s="62" t="s">
        <v>2840</v>
      </c>
      <c r="B442" s="63" t="s">
        <v>400</v>
      </c>
      <c r="C442" s="64" t="s">
        <v>2841</v>
      </c>
      <c r="D442" s="47" t="s">
        <v>1546</v>
      </c>
      <c r="E442" s="64" t="s">
        <v>85</v>
      </c>
      <c r="F442" s="31" t="s">
        <v>60</v>
      </c>
      <c r="G442" s="31"/>
      <c r="H442" s="31"/>
      <c r="I442" s="31" t="s">
        <v>60</v>
      </c>
      <c r="J442" s="31"/>
      <c r="K442" s="31"/>
      <c r="L442" s="32">
        <f>IFERROR(__xludf.DUMMYFUNCTION("VLOOKUP($A442,IMPORTRANGE(""1PQtfbQLqBUP-rjYRznmgNFBLOjvAnhGzpIx7BJWq8rk"",""'Worksheet'!$B$2:$H""),7,FALSE)"),1.0)</f>
        <v>1</v>
      </c>
      <c r="M442" s="31" t="s">
        <v>45</v>
      </c>
      <c r="N442" s="49">
        <v>2.09726204E7</v>
      </c>
      <c r="O442" s="49">
        <v>1.637324E7</v>
      </c>
      <c r="P442" s="49">
        <f t="shared" si="69"/>
        <v>4599380.4</v>
      </c>
      <c r="Q442" s="34">
        <f t="shared" si="3"/>
        <v>0.2193040408</v>
      </c>
      <c r="R442" s="31"/>
      <c r="S442" s="31" t="s">
        <v>45</v>
      </c>
      <c r="T442" s="50"/>
      <c r="U442" s="51"/>
      <c r="V442" s="50"/>
      <c r="W442" s="31" t="s">
        <v>148</v>
      </c>
      <c r="X442" s="52" t="s">
        <v>2805</v>
      </c>
      <c r="Y442" s="54" t="s">
        <v>2842</v>
      </c>
      <c r="Z442" s="54" t="s">
        <v>2843</v>
      </c>
      <c r="AA442" s="74">
        <v>46195.0</v>
      </c>
      <c r="AB442" s="56"/>
      <c r="AC442" s="38"/>
      <c r="AD442" s="39">
        <v>32746.48</v>
      </c>
      <c r="AE442" s="39">
        <v>16373.24</v>
      </c>
      <c r="AF442" s="40">
        <v>16373.24</v>
      </c>
      <c r="AG442" s="57" t="s">
        <v>2844</v>
      </c>
      <c r="AH442" s="42" t="s">
        <v>51</v>
      </c>
      <c r="AI442" s="42" t="str">
        <f>IFERROR(__xludf.DUMMYFUNCTION("vLOOKUP(A442,IMPORTRANGE(""https://docs.google.com/spreadsheets/d/1Rawwwdh8wntXGy8isdYNHxsNQS4n_rC8JSdPfj6vEq4"",""'500 объектов перенос на 2026'!A3:AB502""),13,0)"),"#REF!")</f>
        <v>#REF!</v>
      </c>
      <c r="AJ442" s="42" t="str">
        <f>IFERROR(__xludf.DUMMYFUNCTION("vLOOKUP(A442,IMPORTRANGE(""https://docs.google.com/spreadsheets/d/1Rawwwdh8wntXGy8isdYNHxsNQS4n_rC8JSdPfj6vEq4"",""'500 объектов перенос на 2026'!A3:AB502""),14,0)"),"#REF!")</f>
        <v>#REF!</v>
      </c>
      <c r="AK442" s="76" t="s">
        <v>3485</v>
      </c>
      <c r="AL442" s="43"/>
      <c r="AM442" s="43"/>
      <c r="AN442" s="43"/>
      <c r="AO442" s="43"/>
    </row>
    <row r="443" hidden="1">
      <c r="A443" s="62" t="s">
        <v>2845</v>
      </c>
      <c r="B443" s="63" t="s">
        <v>99</v>
      </c>
      <c r="C443" s="144" t="s">
        <v>2846</v>
      </c>
      <c r="D443" s="47" t="s">
        <v>2470</v>
      </c>
      <c r="E443" s="64" t="s">
        <v>85</v>
      </c>
      <c r="F443" s="31" t="s">
        <v>60</v>
      </c>
      <c r="G443" s="31"/>
      <c r="H443" s="31"/>
      <c r="I443" s="31" t="s">
        <v>60</v>
      </c>
      <c r="J443" s="31"/>
      <c r="K443" s="31"/>
      <c r="L443" s="32">
        <f>IFERROR(__xludf.DUMMYFUNCTION("VLOOKUP($A443,IMPORTRANGE(""1PQtfbQLqBUP-rjYRznmgNFBLOjvAnhGzpIx7BJWq8rk"",""'Worksheet'!$B$2:$H""),7,FALSE)"),1.0)</f>
        <v>1</v>
      </c>
      <c r="M443" s="31" t="s">
        <v>60</v>
      </c>
      <c r="N443" s="49">
        <v>8693889.52</v>
      </c>
      <c r="O443" s="49">
        <v>7576298.4</v>
      </c>
      <c r="P443" s="49">
        <f t="shared" si="69"/>
        <v>1117591.12</v>
      </c>
      <c r="Q443" s="34">
        <f t="shared" si="3"/>
        <v>0.1285490364</v>
      </c>
      <c r="R443" s="31"/>
      <c r="S443" s="31" t="s">
        <v>60</v>
      </c>
      <c r="T443" s="50">
        <f>N443*0.95</f>
        <v>8259195.044</v>
      </c>
      <c r="U443" s="51">
        <v>0.0</v>
      </c>
      <c r="V443" s="51">
        <v>8259195.043999999</v>
      </c>
      <c r="W443" s="31"/>
      <c r="X443" s="52" t="s">
        <v>1150</v>
      </c>
      <c r="Y443" s="54" t="s">
        <v>2847</v>
      </c>
      <c r="Z443" s="54" t="s">
        <v>1152</v>
      </c>
      <c r="AA443" s="74">
        <v>46185.0</v>
      </c>
      <c r="AB443" s="56"/>
      <c r="AC443" s="38" t="s">
        <v>1153</v>
      </c>
      <c r="AD443" s="39">
        <v>8234.8</v>
      </c>
      <c r="AE443" s="39">
        <v>4117.4</v>
      </c>
      <c r="AF443" s="40">
        <v>4117.4</v>
      </c>
      <c r="AG443" s="57" t="s">
        <v>2848</v>
      </c>
      <c r="AH443" s="42" t="s">
        <v>1155</v>
      </c>
      <c r="AI443" s="42" t="str">
        <f>IFERROR(__xludf.DUMMYFUNCTION("vLOOKUP(A443,IMPORTRANGE(""https://docs.google.com/spreadsheets/d/1Rawwwdh8wntXGy8isdYNHxsNQS4n_rC8JSdPfj6vEq4"",""'500 объектов перенос на 2026'!A3:AB502""),13,0)"),"#REF!")</f>
        <v>#REF!</v>
      </c>
      <c r="AJ443" s="42" t="str">
        <f>IFERROR(__xludf.DUMMYFUNCTION("vLOOKUP(A443,IMPORTRANGE(""https://docs.google.com/spreadsheets/d/1Rawwwdh8wntXGy8isdYNHxsNQS4n_rC8JSdPfj6vEq4"",""'500 объектов перенос на 2026'!A3:AB502""),14,0)"),"#REF!")</f>
        <v>#REF!</v>
      </c>
      <c r="AK443" s="76" t="s">
        <v>2578</v>
      </c>
      <c r="AL443" s="43"/>
      <c r="AM443" s="43"/>
      <c r="AN443" s="43"/>
      <c r="AO443" s="43"/>
    </row>
    <row r="444" hidden="1">
      <c r="A444" s="62" t="s">
        <v>2849</v>
      </c>
      <c r="B444" s="63" t="s">
        <v>625</v>
      </c>
      <c r="C444" s="90" t="s">
        <v>2850</v>
      </c>
      <c r="D444" s="47" t="s">
        <v>705</v>
      </c>
      <c r="E444" s="64" t="s">
        <v>85</v>
      </c>
      <c r="F444" s="31" t="s">
        <v>60</v>
      </c>
      <c r="G444" s="31"/>
      <c r="H444" s="31"/>
      <c r="I444" s="31" t="s">
        <v>40</v>
      </c>
      <c r="J444" s="31" t="s">
        <v>61</v>
      </c>
      <c r="K444" s="31" t="s">
        <v>72</v>
      </c>
      <c r="L444" s="32">
        <f>IFERROR(__xludf.DUMMYFUNCTION("VLOOKUP($A444,IMPORTRANGE(""1PQtfbQLqBUP-rjYRznmgNFBLOjvAnhGzpIx7BJWq8rk"",""'Worksheet'!$B$2:$H""),7,FALSE)"),0.92)</f>
        <v>0.92</v>
      </c>
      <c r="M444" s="31" t="s">
        <v>45</v>
      </c>
      <c r="N444" s="49">
        <v>3.915884251E7</v>
      </c>
      <c r="O444" s="49">
        <v>3.485029187E7</v>
      </c>
      <c r="P444" s="49">
        <f t="shared" si="69"/>
        <v>4308550.64</v>
      </c>
      <c r="Q444" s="34">
        <f t="shared" si="3"/>
        <v>0.110027528</v>
      </c>
      <c r="R444" s="31"/>
      <c r="S444" s="31" t="s">
        <v>45</v>
      </c>
      <c r="T444" s="91" t="s">
        <v>2851</v>
      </c>
      <c r="U444" s="117" t="s">
        <v>2852</v>
      </c>
      <c r="V444" s="51" t="s">
        <v>2853</v>
      </c>
      <c r="W444" s="31"/>
      <c r="X444" s="52" t="s">
        <v>2338</v>
      </c>
      <c r="Y444" s="54" t="s">
        <v>2339</v>
      </c>
      <c r="Z444" s="54" t="s">
        <v>274</v>
      </c>
      <c r="AA444" s="68">
        <v>46254.0</v>
      </c>
      <c r="AB444" s="56"/>
      <c r="AC444" s="38"/>
      <c r="AD444" s="39">
        <v>39158.84</v>
      </c>
      <c r="AE444" s="39">
        <v>34850.29187</v>
      </c>
      <c r="AF444" s="40">
        <v>4308.54813</v>
      </c>
      <c r="AG444" s="57" t="s">
        <v>2854</v>
      </c>
      <c r="AH444" s="42" t="s">
        <v>2341</v>
      </c>
      <c r="AI444" s="42" t="str">
        <f>IFERROR(__xludf.DUMMYFUNCTION("vLOOKUP(A444,IMPORTRANGE(""https://docs.google.com/spreadsheets/d/1Rawwwdh8wntXGy8isdYNHxsNQS4n_rC8JSdPfj6vEq4"",""'500 объектов перенос на 2026'!A3:AB502""),13,0)"),"#REF!")</f>
        <v>#REF!</v>
      </c>
      <c r="AJ444" s="42" t="str">
        <f>IFERROR(__xludf.DUMMYFUNCTION("vLOOKUP(A444,IMPORTRANGE(""https://docs.google.com/spreadsheets/d/1Rawwwdh8wntXGy8isdYNHxsNQS4n_rC8JSdPfj6vEq4"",""'500 объектов перенос на 2026'!A3:AB502""),14,0)"),"#REF!")</f>
        <v>#REF!</v>
      </c>
      <c r="AK444" s="140"/>
      <c r="AL444" s="43"/>
      <c r="AM444" s="43"/>
      <c r="AN444" s="43"/>
      <c r="AO444" s="43"/>
    </row>
    <row r="445" hidden="1">
      <c r="A445" s="62" t="s">
        <v>2855</v>
      </c>
      <c r="B445" s="63" t="s">
        <v>268</v>
      </c>
      <c r="C445" s="144" t="s">
        <v>2856</v>
      </c>
      <c r="D445" s="47" t="s">
        <v>1041</v>
      </c>
      <c r="E445" s="64" t="s">
        <v>85</v>
      </c>
      <c r="F445" s="31" t="s">
        <v>60</v>
      </c>
      <c r="G445" s="31"/>
      <c r="H445" s="31"/>
      <c r="I445" s="31" t="s">
        <v>60</v>
      </c>
      <c r="J445" s="31"/>
      <c r="K445" s="31"/>
      <c r="L445" s="32">
        <f>IFERROR(__xludf.DUMMYFUNCTION("VLOOKUP($A445,IMPORTRANGE(""1PQtfbQLqBUP-rjYRznmgNFBLOjvAnhGzpIx7BJWq8rk"",""'Worksheet'!$B$2:$H""),7,FALSE)"),0.97)</f>
        <v>0.97</v>
      </c>
      <c r="M445" s="31" t="s">
        <v>40</v>
      </c>
      <c r="N445" s="49">
        <v>8097400.0</v>
      </c>
      <c r="O445" s="49">
        <v>3805778.0</v>
      </c>
      <c r="P445" s="49">
        <f t="shared" si="69"/>
        <v>4291622</v>
      </c>
      <c r="Q445" s="34">
        <f t="shared" si="3"/>
        <v>0.53</v>
      </c>
      <c r="R445" s="31"/>
      <c r="S445" s="31" t="s">
        <v>40</v>
      </c>
      <c r="T445" s="50" t="s">
        <v>2857</v>
      </c>
      <c r="U445" s="51">
        <v>0.0</v>
      </c>
      <c r="V445" s="51" t="s">
        <v>2857</v>
      </c>
      <c r="W445" s="31" t="s">
        <v>506</v>
      </c>
      <c r="X445" s="52" t="s">
        <v>1582</v>
      </c>
      <c r="Y445" s="54" t="s">
        <v>1569</v>
      </c>
      <c r="Z445" s="54" t="s">
        <v>851</v>
      </c>
      <c r="AA445" s="68">
        <v>46218.0</v>
      </c>
      <c r="AB445" s="56"/>
      <c r="AC445" s="38" t="s">
        <v>187</v>
      </c>
      <c r="AD445" s="39">
        <v>8097.4</v>
      </c>
      <c r="AE445" s="39">
        <v>3805.778</v>
      </c>
      <c r="AF445" s="40">
        <v>4291.622</v>
      </c>
      <c r="AG445" s="57" t="s">
        <v>2858</v>
      </c>
      <c r="AH445" s="42" t="s">
        <v>2612</v>
      </c>
      <c r="AI445" s="42" t="str">
        <f>IFERROR(__xludf.DUMMYFUNCTION("vLOOKUP(A445,IMPORTRANGE(""https://docs.google.com/spreadsheets/d/1Rawwwdh8wntXGy8isdYNHxsNQS4n_rC8JSdPfj6vEq4"",""'500 объектов перенос на 2026'!A3:AB502""),13,0)"),"#REF!")</f>
        <v>#REF!</v>
      </c>
      <c r="AJ445" s="42" t="str">
        <f>IFERROR(__xludf.DUMMYFUNCTION("vLOOKUP(A445,IMPORTRANGE(""https://docs.google.com/spreadsheets/d/1Rawwwdh8wntXGy8isdYNHxsNQS4n_rC8JSdPfj6vEq4"",""'500 объектов перенос на 2026'!A3:AB502""),14,0)"),"#REF!")</f>
        <v>#REF!</v>
      </c>
      <c r="AK445" s="151" t="s">
        <v>3486</v>
      </c>
      <c r="AL445" s="43"/>
      <c r="AM445" s="43"/>
      <c r="AN445" s="43"/>
      <c r="AO445" s="43"/>
    </row>
    <row r="446" hidden="1">
      <c r="A446" s="62" t="s">
        <v>2859</v>
      </c>
      <c r="B446" s="63" t="s">
        <v>635</v>
      </c>
      <c r="C446" s="64" t="s">
        <v>2860</v>
      </c>
      <c r="D446" s="47" t="s">
        <v>2861</v>
      </c>
      <c r="E446" s="64" t="s">
        <v>85</v>
      </c>
      <c r="F446" s="31" t="s">
        <v>60</v>
      </c>
      <c r="G446" s="31"/>
      <c r="H446" s="31" t="s">
        <v>779</v>
      </c>
      <c r="I446" s="31" t="s">
        <v>60</v>
      </c>
      <c r="J446" s="31"/>
      <c r="K446" s="31"/>
      <c r="L446" s="32">
        <f>IFERROR(__xludf.DUMMYFUNCTION("VLOOKUP($A446,IMPORTRANGE(""1PQtfbQLqBUP-rjYRznmgNFBLOjvAnhGzpIx7BJWq8rk"",""'Worksheet'!$B$2:$H""),7,FALSE)"),0.97)</f>
        <v>0.97</v>
      </c>
      <c r="M446" s="31" t="s">
        <v>40</v>
      </c>
      <c r="N446" s="49">
        <v>5786800.0</v>
      </c>
      <c r="O446" s="49">
        <v>1736040.0</v>
      </c>
      <c r="P446" s="49">
        <f t="shared" si="69"/>
        <v>4050760</v>
      </c>
      <c r="Q446" s="34">
        <f t="shared" si="3"/>
        <v>0.7</v>
      </c>
      <c r="R446" s="31"/>
      <c r="S446" s="31" t="s">
        <v>40</v>
      </c>
      <c r="T446" s="50" t="s">
        <v>2862</v>
      </c>
      <c r="U446" s="51">
        <v>0.0</v>
      </c>
      <c r="V446" s="51" t="s">
        <v>2862</v>
      </c>
      <c r="W446" s="31"/>
      <c r="X446" s="52" t="s">
        <v>49</v>
      </c>
      <c r="Y446" s="54" t="s">
        <v>2863</v>
      </c>
      <c r="Z446" s="54" t="s">
        <v>640</v>
      </c>
      <c r="AA446" s="74">
        <v>46218.0</v>
      </c>
      <c r="AB446" s="56"/>
      <c r="AC446" s="38"/>
      <c r="AD446" s="39">
        <v>5786.8</v>
      </c>
      <c r="AE446" s="39">
        <v>1736.04</v>
      </c>
      <c r="AF446" s="40">
        <v>4050.76</v>
      </c>
      <c r="AG446" s="57" t="s">
        <v>2864</v>
      </c>
      <c r="AH446" s="42" t="s">
        <v>49</v>
      </c>
      <c r="AI446" s="42" t="str">
        <f>IFERROR(__xludf.DUMMYFUNCTION("vLOOKUP(A446,IMPORTRANGE(""https://docs.google.com/spreadsheets/d/1Rawwwdh8wntXGy8isdYNHxsNQS4n_rC8JSdPfj6vEq4"",""'500 объектов перенос на 2026'!A3:AB502""),13,0)"),"#REF!")</f>
        <v>#REF!</v>
      </c>
      <c r="AJ446" s="42" t="str">
        <f>IFERROR(__xludf.DUMMYFUNCTION("vLOOKUP(A446,IMPORTRANGE(""https://docs.google.com/spreadsheets/d/1Rawwwdh8wntXGy8isdYNHxsNQS4n_rC8JSdPfj6vEq4"",""'500 объектов перенос на 2026'!A3:AB502""),14,0)"),"#REF!")</f>
        <v>#REF!</v>
      </c>
      <c r="AK446" s="140"/>
      <c r="AL446" s="43"/>
      <c r="AM446" s="43"/>
      <c r="AN446" s="43"/>
      <c r="AO446" s="43"/>
    </row>
    <row r="447" hidden="1">
      <c r="A447" s="62" t="s">
        <v>2865</v>
      </c>
      <c r="B447" s="63" t="s">
        <v>703</v>
      </c>
      <c r="C447" s="64" t="s">
        <v>2866</v>
      </c>
      <c r="D447" s="47" t="s">
        <v>1523</v>
      </c>
      <c r="E447" s="64" t="s">
        <v>85</v>
      </c>
      <c r="F447" s="31" t="s">
        <v>40</v>
      </c>
      <c r="G447" s="31" t="s">
        <v>41</v>
      </c>
      <c r="H447" s="31" t="s">
        <v>779</v>
      </c>
      <c r="I447" s="31" t="s">
        <v>60</v>
      </c>
      <c r="J447" s="31"/>
      <c r="K447" s="31"/>
      <c r="L447" s="32">
        <f>IFERROR(__xludf.DUMMYFUNCTION("VLOOKUP($A447,IMPORTRANGE(""1PQtfbQLqBUP-rjYRznmgNFBLOjvAnhGzpIx7BJWq8rk"",""'Worksheet'!$B$2:$H""),7,FALSE)"),1.0)</f>
        <v>1</v>
      </c>
      <c r="M447" s="31" t="s">
        <v>45</v>
      </c>
      <c r="N447" s="49">
        <v>2.192676775E7</v>
      </c>
      <c r="O447" s="49">
        <v>1.80201E7</v>
      </c>
      <c r="P447" s="49">
        <f t="shared" si="69"/>
        <v>3906667.75</v>
      </c>
      <c r="Q447" s="34">
        <f t="shared" si="3"/>
        <v>0.1781688845</v>
      </c>
      <c r="R447" s="31"/>
      <c r="S447" s="31" t="s">
        <v>45</v>
      </c>
      <c r="T447" s="50"/>
      <c r="U447" s="51"/>
      <c r="V447" s="50"/>
      <c r="W447" s="31"/>
      <c r="X447" s="52" t="s">
        <v>803</v>
      </c>
      <c r="Y447" s="128" t="s">
        <v>706</v>
      </c>
      <c r="Z447" s="54" t="s">
        <v>707</v>
      </c>
      <c r="AA447" s="74">
        <v>46203.0</v>
      </c>
      <c r="AB447" s="38" t="s">
        <v>3359</v>
      </c>
      <c r="AC447" s="38"/>
      <c r="AD447" s="39">
        <v>60067.36</v>
      </c>
      <c r="AE447" s="39">
        <v>17906.39856</v>
      </c>
      <c r="AF447" s="40">
        <v>42160.96144</v>
      </c>
      <c r="AG447" s="173" t="s">
        <v>2867</v>
      </c>
      <c r="AH447" s="42"/>
      <c r="AI447" s="42" t="str">
        <f>IFERROR(__xludf.DUMMYFUNCTION("vLOOKUP(A447,IMPORTRANGE(""https://docs.google.com/spreadsheets/d/1Rawwwdh8wntXGy8isdYNHxsNQS4n_rC8JSdPfj6vEq4"",""'500 объектов перенос на 2026'!A3:AB502""),13,0)"),"#REF!")</f>
        <v>#REF!</v>
      </c>
      <c r="AJ447" s="42" t="str">
        <f>IFERROR(__xludf.DUMMYFUNCTION("vLOOKUP(A447,IMPORTRANGE(""https://docs.google.com/spreadsheets/d/1Rawwwdh8wntXGy8isdYNHxsNQS4n_rC8JSdPfj6vEq4"",""'500 объектов перенос на 2026'!A3:AB502""),14,0)"),"#REF!")</f>
        <v>#REF!</v>
      </c>
      <c r="AK447" s="138" t="s">
        <v>2951</v>
      </c>
      <c r="AL447" s="43"/>
      <c r="AM447" s="43"/>
      <c r="AN447" s="43"/>
      <c r="AO447" s="43"/>
    </row>
    <row r="448" hidden="1">
      <c r="A448" s="122" t="s">
        <v>2868</v>
      </c>
      <c r="B448" s="63" t="s">
        <v>250</v>
      </c>
      <c r="C448" s="64" t="s">
        <v>2869</v>
      </c>
      <c r="D448" s="47" t="s">
        <v>333</v>
      </c>
      <c r="E448" s="64" t="s">
        <v>324</v>
      </c>
      <c r="F448" s="31" t="s">
        <v>60</v>
      </c>
      <c r="G448" s="31"/>
      <c r="H448" s="31"/>
      <c r="I448" s="31" t="s">
        <v>60</v>
      </c>
      <c r="J448" s="31"/>
      <c r="K448" s="31"/>
      <c r="L448" s="32">
        <f>IFERROR(__xludf.DUMMYFUNCTION("VLOOKUP($A448,IMPORTRANGE(""1PQtfbQLqBUP-rjYRznmgNFBLOjvAnhGzpIx7BJWq8rk"",""'Worksheet'!$B$2:$H""),7,FALSE)"),0.97)</f>
        <v>0.97</v>
      </c>
      <c r="M448" s="31" t="s">
        <v>45</v>
      </c>
      <c r="N448" s="49">
        <v>1.30082697E8</v>
      </c>
      <c r="O448" s="49">
        <v>1.2626805734E8</v>
      </c>
      <c r="P448" s="49">
        <f t="shared" si="69"/>
        <v>3814639.66</v>
      </c>
      <c r="Q448" s="34">
        <f t="shared" si="3"/>
        <v>0.02932472764</v>
      </c>
      <c r="R448" s="31"/>
      <c r="S448" s="31" t="s">
        <v>45</v>
      </c>
      <c r="T448" s="72" t="s">
        <v>2870</v>
      </c>
      <c r="U448" s="67" t="s">
        <v>2871</v>
      </c>
      <c r="V448" s="67" t="s">
        <v>2872</v>
      </c>
      <c r="W448" s="31" t="s">
        <v>183</v>
      </c>
      <c r="X448" s="52" t="s">
        <v>1141</v>
      </c>
      <c r="Y448" s="54" t="s">
        <v>2873</v>
      </c>
      <c r="Z448" s="54" t="s">
        <v>75</v>
      </c>
      <c r="AA448" s="74">
        <v>46264.0</v>
      </c>
      <c r="AB448" s="56"/>
      <c r="AC448" s="38" t="s">
        <v>1143</v>
      </c>
      <c r="AD448" s="39">
        <v>130082.7</v>
      </c>
      <c r="AE448" s="39">
        <v>126268.0573</v>
      </c>
      <c r="AF448" s="40">
        <v>3814.64266</v>
      </c>
      <c r="AG448" s="57" t="s">
        <v>2874</v>
      </c>
      <c r="AH448" s="85" t="s">
        <v>820</v>
      </c>
      <c r="AI448" s="42" t="str">
        <f>IFERROR(__xludf.DUMMYFUNCTION("vLOOKUP(A448,IMPORTRANGE(""https://docs.google.com/spreadsheets/d/1Rawwwdh8wntXGy8isdYNHxsNQS4n_rC8JSdPfj6vEq4"",""'500 объектов перенос на 2026'!A3:AB502""),13,0)"),"#REF!")</f>
        <v>#REF!</v>
      </c>
      <c r="AJ448" s="42" t="str">
        <f>IFERROR(__xludf.DUMMYFUNCTION("vLOOKUP(A448,IMPORTRANGE(""https://docs.google.com/spreadsheets/d/1Rawwwdh8wntXGy8isdYNHxsNQS4n_rC8JSdPfj6vEq4"",""'500 объектов перенос на 2026'!A3:AB502""),14,0)"),"#REF!")</f>
        <v>#REF!</v>
      </c>
      <c r="AK448" s="76" t="s">
        <v>2875</v>
      </c>
      <c r="AL448" s="43"/>
      <c r="AM448" s="43"/>
      <c r="AN448" s="43"/>
      <c r="AO448" s="43"/>
    </row>
    <row r="449" hidden="1">
      <c r="A449" s="62" t="s">
        <v>2876</v>
      </c>
      <c r="B449" s="63" t="s">
        <v>268</v>
      </c>
      <c r="C449" s="144" t="s">
        <v>2877</v>
      </c>
      <c r="D449" s="47" t="s">
        <v>1041</v>
      </c>
      <c r="E449" s="64" t="s">
        <v>85</v>
      </c>
      <c r="F449" s="31" t="s">
        <v>60</v>
      </c>
      <c r="G449" s="31"/>
      <c r="H449" s="31"/>
      <c r="I449" s="31" t="s">
        <v>60</v>
      </c>
      <c r="J449" s="31"/>
      <c r="K449" s="31"/>
      <c r="L449" s="32">
        <f>IFERROR(__xludf.DUMMYFUNCTION("VLOOKUP($A449,IMPORTRANGE(""1PQtfbQLqBUP-rjYRznmgNFBLOjvAnhGzpIx7BJWq8rk"",""'Worksheet'!$B$2:$H""),7,FALSE)"),0.98)</f>
        <v>0.98</v>
      </c>
      <c r="M449" s="31" t="s">
        <v>40</v>
      </c>
      <c r="N449" s="49">
        <v>7193340.0</v>
      </c>
      <c r="O449" s="49">
        <v>3380869.8</v>
      </c>
      <c r="P449" s="49">
        <f t="shared" si="69"/>
        <v>3812470.2</v>
      </c>
      <c r="Q449" s="34">
        <f t="shared" si="3"/>
        <v>0.53</v>
      </c>
      <c r="R449" s="31"/>
      <c r="S449" s="31" t="s">
        <v>40</v>
      </c>
      <c r="T449" s="50" t="s">
        <v>2878</v>
      </c>
      <c r="U449" s="51">
        <v>0.0</v>
      </c>
      <c r="V449" s="51" t="s">
        <v>2878</v>
      </c>
      <c r="W449" s="31" t="s">
        <v>506</v>
      </c>
      <c r="X449" s="52" t="s">
        <v>1582</v>
      </c>
      <c r="Y449" s="54" t="s">
        <v>1569</v>
      </c>
      <c r="Z449" s="54" t="s">
        <v>851</v>
      </c>
      <c r="AA449" s="68">
        <v>46235.0</v>
      </c>
      <c r="AB449" s="56"/>
      <c r="AC449" s="38" t="s">
        <v>2571</v>
      </c>
      <c r="AD449" s="39">
        <v>7193.34</v>
      </c>
      <c r="AE449" s="39">
        <v>3380.8698</v>
      </c>
      <c r="AF449" s="40">
        <v>3812.4702</v>
      </c>
      <c r="AG449" s="57" t="s">
        <v>2879</v>
      </c>
      <c r="AH449" s="42" t="s">
        <v>854</v>
      </c>
      <c r="AI449" s="42" t="str">
        <f>IFERROR(__xludf.DUMMYFUNCTION("vLOOKUP(A449,IMPORTRANGE(""https://docs.google.com/spreadsheets/d/1Rawwwdh8wntXGy8isdYNHxsNQS4n_rC8JSdPfj6vEq4"",""'500 объектов перенос на 2026'!A3:AB502""),13,0)"),"#REF!")</f>
        <v>#REF!</v>
      </c>
      <c r="AJ449" s="42" t="str">
        <f>IFERROR(__xludf.DUMMYFUNCTION("vLOOKUP(A449,IMPORTRANGE(""https://docs.google.com/spreadsheets/d/1Rawwwdh8wntXGy8isdYNHxsNQS4n_rC8JSdPfj6vEq4"",""'500 объектов перенос на 2026'!A3:AB502""),14,0)"),"#REF!")</f>
        <v>#REF!</v>
      </c>
      <c r="AK449" s="151" t="s">
        <v>3487</v>
      </c>
      <c r="AL449" s="43"/>
      <c r="AM449" s="43"/>
      <c r="AN449" s="43"/>
      <c r="AO449" s="43"/>
    </row>
    <row r="450" hidden="1">
      <c r="A450" s="62" t="s">
        <v>2881</v>
      </c>
      <c r="B450" s="63" t="s">
        <v>268</v>
      </c>
      <c r="C450" s="64" t="s">
        <v>2882</v>
      </c>
      <c r="D450" s="47" t="s">
        <v>1041</v>
      </c>
      <c r="E450" s="64" t="s">
        <v>85</v>
      </c>
      <c r="F450" s="31" t="s">
        <v>40</v>
      </c>
      <c r="G450" s="31" t="s">
        <v>41</v>
      </c>
      <c r="H450" s="31" t="s">
        <v>343</v>
      </c>
      <c r="I450" s="31" t="s">
        <v>60</v>
      </c>
      <c r="J450" s="31"/>
      <c r="K450" s="31"/>
      <c r="L450" s="32">
        <f>IFERROR(__xludf.DUMMYFUNCTION("VLOOKUP($A450,IMPORTRANGE(""1PQtfbQLqBUP-rjYRznmgNFBLOjvAnhGzpIx7BJWq8rk"",""'Worksheet'!$B$2:$H""),7,FALSE)"),0.96)</f>
        <v>0.96</v>
      </c>
      <c r="M450" s="31" t="s">
        <v>40</v>
      </c>
      <c r="N450" s="49">
        <v>7009516.8</v>
      </c>
      <c r="O450" s="49">
        <v>3294472.9</v>
      </c>
      <c r="P450" s="49">
        <f t="shared" si="69"/>
        <v>3715043.9</v>
      </c>
      <c r="Q450" s="34">
        <f t="shared" si="3"/>
        <v>0.5299999994</v>
      </c>
      <c r="R450" s="31"/>
      <c r="S450" s="31" t="s">
        <v>40</v>
      </c>
      <c r="T450" s="50" t="s">
        <v>2883</v>
      </c>
      <c r="U450" s="51">
        <v>0.0</v>
      </c>
      <c r="V450" s="51" t="s">
        <v>2883</v>
      </c>
      <c r="W450" s="31" t="s">
        <v>506</v>
      </c>
      <c r="X450" s="52" t="s">
        <v>49</v>
      </c>
      <c r="Y450" s="54" t="s">
        <v>2884</v>
      </c>
      <c r="Z450" s="54" t="s">
        <v>851</v>
      </c>
      <c r="AA450" s="68">
        <v>46275.0</v>
      </c>
      <c r="AB450" s="56"/>
      <c r="AC450" s="38" t="s">
        <v>2571</v>
      </c>
      <c r="AD450" s="39">
        <v>7009.52</v>
      </c>
      <c r="AE450" s="39">
        <v>3294.4729</v>
      </c>
      <c r="AF450" s="40">
        <v>3715.0471</v>
      </c>
      <c r="AG450" s="57" t="s">
        <v>2885</v>
      </c>
      <c r="AH450" s="42" t="s">
        <v>49</v>
      </c>
      <c r="AI450" s="42" t="str">
        <f>IFERROR(__xludf.DUMMYFUNCTION("vLOOKUP(A450,IMPORTRANGE(""https://docs.google.com/spreadsheets/d/1Rawwwdh8wntXGy8isdYNHxsNQS4n_rC8JSdPfj6vEq4"",""'500 объектов перенос на 2026'!A3:AB502""),13,0)"),"#REF!")</f>
        <v>#REF!</v>
      </c>
      <c r="AJ450" s="42" t="str">
        <f>IFERROR(__xludf.DUMMYFUNCTION("vLOOKUP(A450,IMPORTRANGE(""https://docs.google.com/spreadsheets/d/1Rawwwdh8wntXGy8isdYNHxsNQS4n_rC8JSdPfj6vEq4"",""'500 объектов перенос на 2026'!A3:AB502""),14,0)"),"#REF!")</f>
        <v>#REF!</v>
      </c>
      <c r="AK450" s="151" t="s">
        <v>3488</v>
      </c>
      <c r="AL450" s="43"/>
      <c r="AM450" s="43"/>
      <c r="AN450" s="43"/>
      <c r="AO450" s="43"/>
    </row>
    <row r="451" hidden="1">
      <c r="A451" s="78" t="s">
        <v>2887</v>
      </c>
      <c r="B451" s="63" t="s">
        <v>225</v>
      </c>
      <c r="C451" s="64" t="s">
        <v>2888</v>
      </c>
      <c r="D451" s="47" t="s">
        <v>227</v>
      </c>
      <c r="E451" s="64" t="s">
        <v>39</v>
      </c>
      <c r="F451" s="31" t="s">
        <v>60</v>
      </c>
      <c r="G451" s="31"/>
      <c r="H451" s="31"/>
      <c r="I451" s="31" t="s">
        <v>60</v>
      </c>
      <c r="J451" s="31"/>
      <c r="K451" s="31"/>
      <c r="L451" s="32" t="str">
        <f>IFERROR(__xludf.DUMMYFUNCTION("VLOOKUP($A451,IMPORTRANGE(""1PQtfbQLqBUP-rjYRznmgNFBLOjvAnhGzpIx7BJWq8rk"",""'Worksheet'!$B$2:$H""),7,FALSE)"),"#N/A")</f>
        <v>#N/A</v>
      </c>
      <c r="M451" s="31" t="s">
        <v>60</v>
      </c>
      <c r="N451" s="49">
        <v>2.066211E8</v>
      </c>
      <c r="O451" s="49">
        <v>2.0114629294E8</v>
      </c>
      <c r="P451" s="49">
        <v>0.0</v>
      </c>
      <c r="Q451" s="34">
        <f t="shared" si="3"/>
        <v>0.02649684403</v>
      </c>
      <c r="R451" s="31"/>
      <c r="S451" s="31" t="s">
        <v>60</v>
      </c>
      <c r="T451" s="135" t="s">
        <v>2889</v>
      </c>
      <c r="U451" s="135" t="s">
        <v>2889</v>
      </c>
      <c r="V451" s="51">
        <v>0.0</v>
      </c>
      <c r="W451" s="31"/>
      <c r="X451" s="52" t="s">
        <v>113</v>
      </c>
      <c r="Y451" s="54"/>
      <c r="Z451" s="54"/>
      <c r="AA451" s="54" t="s">
        <v>114</v>
      </c>
      <c r="AB451" s="38" t="s">
        <v>115</v>
      </c>
      <c r="AC451" s="38"/>
      <c r="AD451" s="39">
        <v>206621.1</v>
      </c>
      <c r="AE451" s="39">
        <v>206664.3432</v>
      </c>
      <c r="AF451" s="39">
        <v>-43.24322</v>
      </c>
      <c r="AG451" s="57" t="s">
        <v>2890</v>
      </c>
      <c r="AH451" s="42" t="s">
        <v>2891</v>
      </c>
      <c r="AI451" s="42" t="str">
        <f>IFERROR(__xludf.DUMMYFUNCTION("vLOOKUP(A451,IMPORTRANGE(""https://docs.google.com/spreadsheets/d/1Rawwwdh8wntXGy8isdYNHxsNQS4n_rC8JSdPfj6vEq4"",""'500 объектов перенос на 2026'!A3:AB502""),13,0)"),"#REF!")</f>
        <v>#REF!</v>
      </c>
      <c r="AJ451" s="42" t="str">
        <f>IFERROR(__xludf.DUMMYFUNCTION("vLOOKUP(A451,IMPORTRANGE(""https://docs.google.com/spreadsheets/d/1Rawwwdh8wntXGy8isdYNHxsNQS4n_rC8JSdPfj6vEq4"",""'500 объектов перенос на 2026'!A3:AB502""),14,0)"),"#REF!")</f>
        <v>#REF!</v>
      </c>
      <c r="AK451" s="76" t="s">
        <v>114</v>
      </c>
      <c r="AL451" s="43"/>
      <c r="AM451" s="43"/>
      <c r="AN451" s="43"/>
      <c r="AO451" s="43"/>
    </row>
    <row r="452" hidden="1">
      <c r="A452" s="62" t="s">
        <v>2892</v>
      </c>
      <c r="B452" s="63" t="s">
        <v>268</v>
      </c>
      <c r="C452" s="144" t="s">
        <v>2893</v>
      </c>
      <c r="D452" s="47" t="s">
        <v>1041</v>
      </c>
      <c r="E452" s="64" t="s">
        <v>85</v>
      </c>
      <c r="F452" s="31" t="s">
        <v>60</v>
      </c>
      <c r="G452" s="31"/>
      <c r="H452" s="31"/>
      <c r="I452" s="31" t="s">
        <v>60</v>
      </c>
      <c r="J452" s="31"/>
      <c r="K452" s="31"/>
      <c r="L452" s="32">
        <f>IFERROR(__xludf.DUMMYFUNCTION("VLOOKUP($A452,IMPORTRANGE(""1PQtfbQLqBUP-rjYRznmgNFBLOjvAnhGzpIx7BJWq8rk"",""'Worksheet'!$B$2:$H""),7,FALSE)"),0.95)</f>
        <v>0.95</v>
      </c>
      <c r="M452" s="31" t="s">
        <v>40</v>
      </c>
      <c r="N452" s="49">
        <v>6124100.0</v>
      </c>
      <c r="O452" s="49">
        <v>2878327.0</v>
      </c>
      <c r="P452" s="49">
        <f t="shared" ref="P452:P462" si="71">N452-O452</f>
        <v>3245773</v>
      </c>
      <c r="Q452" s="34">
        <f t="shared" si="3"/>
        <v>0.53</v>
      </c>
      <c r="R452" s="31"/>
      <c r="S452" s="31" t="s">
        <v>40</v>
      </c>
      <c r="T452" s="84" t="s">
        <v>2894</v>
      </c>
      <c r="U452" s="84">
        <v>0.0</v>
      </c>
      <c r="V452" s="84" t="s">
        <v>2894</v>
      </c>
      <c r="W452" s="31" t="s">
        <v>506</v>
      </c>
      <c r="X452" s="52" t="s">
        <v>1582</v>
      </c>
      <c r="Y452" s="54" t="s">
        <v>1569</v>
      </c>
      <c r="Z452" s="54" t="s">
        <v>851</v>
      </c>
      <c r="AA452" s="68">
        <v>46235.0</v>
      </c>
      <c r="AB452" s="56"/>
      <c r="AC452" s="38" t="s">
        <v>187</v>
      </c>
      <c r="AD452" s="39">
        <v>6124.1</v>
      </c>
      <c r="AE452" s="39">
        <v>2878.327</v>
      </c>
      <c r="AF452" s="40">
        <v>3245.773</v>
      </c>
      <c r="AG452" s="57" t="s">
        <v>2895</v>
      </c>
      <c r="AH452" s="42" t="s">
        <v>854</v>
      </c>
      <c r="AI452" s="42" t="str">
        <f>IFERROR(__xludf.DUMMYFUNCTION("vLOOKUP(A452,IMPORTRANGE(""https://docs.google.com/spreadsheets/d/1Rawwwdh8wntXGy8isdYNHxsNQS4n_rC8JSdPfj6vEq4"",""'500 объектов перенос на 2026'!A3:AB502""),13,0)"),"#REF!")</f>
        <v>#REF!</v>
      </c>
      <c r="AJ452" s="42" t="str">
        <f>IFERROR(__xludf.DUMMYFUNCTION("vLOOKUP(A452,IMPORTRANGE(""https://docs.google.com/spreadsheets/d/1Rawwwdh8wntXGy8isdYNHxsNQS4n_rC8JSdPfj6vEq4"",""'500 объектов перенос на 2026'!A3:AB502""),14,0)"),"#REF!")</f>
        <v>#REF!</v>
      </c>
      <c r="AK452" s="151" t="s">
        <v>3487</v>
      </c>
      <c r="AL452" s="43"/>
      <c r="AM452" s="43"/>
      <c r="AN452" s="43"/>
      <c r="AO452" s="43"/>
    </row>
    <row r="453" hidden="1">
      <c r="A453" s="62" t="s">
        <v>2896</v>
      </c>
      <c r="B453" s="63" t="s">
        <v>268</v>
      </c>
      <c r="C453" s="64" t="s">
        <v>2897</v>
      </c>
      <c r="D453" s="47" t="s">
        <v>848</v>
      </c>
      <c r="E453" s="64" t="s">
        <v>85</v>
      </c>
      <c r="F453" s="31" t="s">
        <v>60</v>
      </c>
      <c r="G453" s="31"/>
      <c r="H453" s="31"/>
      <c r="I453" s="31" t="s">
        <v>60</v>
      </c>
      <c r="J453" s="31"/>
      <c r="K453" s="31"/>
      <c r="L453" s="32">
        <f>IFERROR(__xludf.DUMMYFUNCTION("VLOOKUP($A453,IMPORTRANGE(""1PQtfbQLqBUP-rjYRznmgNFBLOjvAnhGzpIx7BJWq8rk"",""'Worksheet'!$B$2:$H""),7,FALSE)"),0.99)</f>
        <v>0.99</v>
      </c>
      <c r="M453" s="31" t="s">
        <v>40</v>
      </c>
      <c r="N453" s="49">
        <v>1.156239832E7</v>
      </c>
      <c r="O453" s="49">
        <v>1390572.0</v>
      </c>
      <c r="P453" s="49">
        <f t="shared" si="71"/>
        <v>10171826.32</v>
      </c>
      <c r="Q453" s="34">
        <f t="shared" si="3"/>
        <v>0.8797332559</v>
      </c>
      <c r="R453" s="31"/>
      <c r="S453" s="31" t="s">
        <v>40</v>
      </c>
      <c r="T453" s="145" t="s">
        <v>2898</v>
      </c>
      <c r="U453" s="84">
        <v>0.0</v>
      </c>
      <c r="V453" s="84" t="s">
        <v>2898</v>
      </c>
      <c r="W453" s="31" t="s">
        <v>183</v>
      </c>
      <c r="X453" s="52" t="s">
        <v>2899</v>
      </c>
      <c r="Y453" s="54" t="s">
        <v>2900</v>
      </c>
      <c r="Z453" s="54" t="s">
        <v>851</v>
      </c>
      <c r="AA453" s="74">
        <v>46204.0</v>
      </c>
      <c r="AB453" s="56"/>
      <c r="AC453" s="38" t="s">
        <v>2899</v>
      </c>
      <c r="AD453" s="39">
        <v>4635.24</v>
      </c>
      <c r="AE453" s="39">
        <v>1390.572</v>
      </c>
      <c r="AF453" s="40">
        <v>3244.668</v>
      </c>
      <c r="AG453" s="57" t="s">
        <v>2901</v>
      </c>
      <c r="AH453" s="42" t="s">
        <v>2902</v>
      </c>
      <c r="AI453" s="42" t="str">
        <f>IFERROR(__xludf.DUMMYFUNCTION("vLOOKUP(A453,IMPORTRANGE(""https://docs.google.com/spreadsheets/d/1Rawwwdh8wntXGy8isdYNHxsNQS4n_rC8JSdPfj6vEq4"",""'500 объектов перенос на 2026'!A3:AB502""),13,0)"),"#REF!")</f>
        <v>#REF!</v>
      </c>
      <c r="AJ453" s="42" t="str">
        <f>IFERROR(__xludf.DUMMYFUNCTION("vLOOKUP(A453,IMPORTRANGE(""https://docs.google.com/spreadsheets/d/1Rawwwdh8wntXGy8isdYNHxsNQS4n_rC8JSdPfj6vEq4"",""'500 объектов перенос на 2026'!A3:AB502""),14,0)"),"#REF!")</f>
        <v>#REF!</v>
      </c>
      <c r="AK453" s="151" t="s">
        <v>3489</v>
      </c>
      <c r="AL453" s="43"/>
      <c r="AM453" s="43"/>
      <c r="AN453" s="43"/>
      <c r="AO453" s="43"/>
    </row>
    <row r="454" hidden="1">
      <c r="A454" s="62" t="s">
        <v>2904</v>
      </c>
      <c r="B454" s="63" t="s">
        <v>625</v>
      </c>
      <c r="C454" s="90" t="s">
        <v>2905</v>
      </c>
      <c r="D454" s="47" t="s">
        <v>705</v>
      </c>
      <c r="E454" s="64" t="s">
        <v>85</v>
      </c>
      <c r="F454" s="31" t="s">
        <v>60</v>
      </c>
      <c r="G454" s="31"/>
      <c r="H454" s="31"/>
      <c r="I454" s="31" t="s">
        <v>40</v>
      </c>
      <c r="J454" s="31" t="s">
        <v>61</v>
      </c>
      <c r="K454" s="31" t="s">
        <v>72</v>
      </c>
      <c r="L454" s="32">
        <f>IFERROR(__xludf.DUMMYFUNCTION("VLOOKUP($A454,IMPORTRANGE(""1PQtfbQLqBUP-rjYRznmgNFBLOjvAnhGzpIx7BJWq8rk"",""'Worksheet'!$B$2:$H""),7,FALSE)"),0.96)</f>
        <v>0.96</v>
      </c>
      <c r="M454" s="31" t="s">
        <v>45</v>
      </c>
      <c r="N454" s="49">
        <v>3.839051212E7</v>
      </c>
      <c r="O454" s="49">
        <v>3.5442341E7</v>
      </c>
      <c r="P454" s="49">
        <f t="shared" si="71"/>
        <v>2948171.12</v>
      </c>
      <c r="Q454" s="34">
        <f t="shared" si="3"/>
        <v>0.07679426393</v>
      </c>
      <c r="R454" s="31"/>
      <c r="S454" s="31" t="s">
        <v>45</v>
      </c>
      <c r="T454" s="145" t="s">
        <v>2906</v>
      </c>
      <c r="U454" s="84" t="s">
        <v>2907</v>
      </c>
      <c r="V454" s="84" t="s">
        <v>2908</v>
      </c>
      <c r="W454" s="31"/>
      <c r="X454" s="52" t="s">
        <v>2338</v>
      </c>
      <c r="Y454" s="54" t="s">
        <v>2339</v>
      </c>
      <c r="Z454" s="54" t="s">
        <v>274</v>
      </c>
      <c r="AA454" s="68">
        <v>46254.0</v>
      </c>
      <c r="AB454" s="56"/>
      <c r="AC454" s="38"/>
      <c r="AD454" s="39">
        <v>38390.51</v>
      </c>
      <c r="AE454" s="39">
        <v>35442.341</v>
      </c>
      <c r="AF454" s="40">
        <v>2948.169</v>
      </c>
      <c r="AG454" s="57" t="s">
        <v>2909</v>
      </c>
      <c r="AH454" s="42" t="s">
        <v>2341</v>
      </c>
      <c r="AI454" s="42" t="str">
        <f>IFERROR(__xludf.DUMMYFUNCTION("vLOOKUP(A454,IMPORTRANGE(""https://docs.google.com/spreadsheets/d/1Rawwwdh8wntXGy8isdYNHxsNQS4n_rC8JSdPfj6vEq4"",""'500 объектов перенос на 2026'!A3:AB502""),13,0)"),"#REF!")</f>
        <v>#REF!</v>
      </c>
      <c r="AJ454" s="42" t="str">
        <f>IFERROR(__xludf.DUMMYFUNCTION("vLOOKUP(A454,IMPORTRANGE(""https://docs.google.com/spreadsheets/d/1Rawwwdh8wntXGy8isdYNHxsNQS4n_rC8JSdPfj6vEq4"",""'500 объектов перенос на 2026'!A3:AB502""),14,0)"),"#REF!")</f>
        <v>#REF!</v>
      </c>
      <c r="AK454" s="140"/>
      <c r="AL454" s="43"/>
      <c r="AM454" s="43"/>
      <c r="AN454" s="43"/>
      <c r="AO454" s="43"/>
    </row>
    <row r="455" hidden="1">
      <c r="A455" s="62" t="s">
        <v>2910</v>
      </c>
      <c r="B455" s="63" t="s">
        <v>703</v>
      </c>
      <c r="C455" s="90" t="s">
        <v>2911</v>
      </c>
      <c r="D455" s="47" t="s">
        <v>1523</v>
      </c>
      <c r="E455" s="64" t="s">
        <v>85</v>
      </c>
      <c r="F455" s="31" t="s">
        <v>40</v>
      </c>
      <c r="G455" s="31" t="s">
        <v>41</v>
      </c>
      <c r="H455" s="31" t="s">
        <v>779</v>
      </c>
      <c r="I455" s="31" t="s">
        <v>60</v>
      </c>
      <c r="J455" s="31"/>
      <c r="K455" s="31"/>
      <c r="L455" s="32">
        <f>IFERROR(__xludf.DUMMYFUNCTION("VLOOKUP($A455,IMPORTRANGE(""1PQtfbQLqBUP-rjYRznmgNFBLOjvAnhGzpIx7BJWq8rk"",""'Worksheet'!$B$2:$H""),7,FALSE)"),0.97)</f>
        <v>0.97</v>
      </c>
      <c r="M455" s="31" t="s">
        <v>45</v>
      </c>
      <c r="N455" s="49">
        <v>1.667753472E7</v>
      </c>
      <c r="O455" s="49">
        <v>1.37834306E7</v>
      </c>
      <c r="P455" s="49">
        <f t="shared" si="71"/>
        <v>2894104.12</v>
      </c>
      <c r="Q455" s="34">
        <f t="shared" si="3"/>
        <v>0.1735330892</v>
      </c>
      <c r="R455" s="31"/>
      <c r="S455" s="31" t="s">
        <v>45</v>
      </c>
      <c r="T455" s="84"/>
      <c r="U455" s="84"/>
      <c r="V455" s="84"/>
      <c r="W455" s="31"/>
      <c r="X455" s="52" t="s">
        <v>507</v>
      </c>
      <c r="Y455" s="128" t="s">
        <v>706</v>
      </c>
      <c r="Z455" s="54" t="s">
        <v>707</v>
      </c>
      <c r="AA455" s="74">
        <v>46204.0</v>
      </c>
      <c r="AB455" s="38" t="s">
        <v>3359</v>
      </c>
      <c r="AC455" s="38"/>
      <c r="AD455" s="39">
        <v>16677.53</v>
      </c>
      <c r="AE455" s="39">
        <v>13637.41812</v>
      </c>
      <c r="AF455" s="40">
        <v>3040.11188</v>
      </c>
      <c r="AG455" s="99" t="s">
        <v>2912</v>
      </c>
      <c r="AH455" s="42"/>
      <c r="AI455" s="42" t="str">
        <f>IFERROR(__xludf.DUMMYFUNCTION("vLOOKUP(A455,IMPORTRANGE(""https://docs.google.com/spreadsheets/d/1Rawwwdh8wntXGy8isdYNHxsNQS4n_rC8JSdPfj6vEq4"",""'500 объектов перенос на 2026'!A3:AB502""),13,0)"),"#REF!")</f>
        <v>#REF!</v>
      </c>
      <c r="AJ455" s="42" t="str">
        <f>IFERROR(__xludf.DUMMYFUNCTION("vLOOKUP(A455,IMPORTRANGE(""https://docs.google.com/spreadsheets/d/1Rawwwdh8wntXGy8isdYNHxsNQS4n_rC8JSdPfj6vEq4"",""'500 объектов перенос на 2026'!A3:AB502""),14,0)"),"#REF!")</f>
        <v>#REF!</v>
      </c>
      <c r="AK455" s="138" t="s">
        <v>2951</v>
      </c>
      <c r="AL455" s="43"/>
      <c r="AM455" s="43"/>
      <c r="AN455" s="43"/>
      <c r="AO455" s="43"/>
    </row>
    <row r="456" hidden="1">
      <c r="A456" s="62" t="s">
        <v>2913</v>
      </c>
      <c r="B456" s="63" t="s">
        <v>268</v>
      </c>
      <c r="C456" s="64" t="s">
        <v>2914</v>
      </c>
      <c r="D456" s="47" t="s">
        <v>1041</v>
      </c>
      <c r="E456" s="64" t="s">
        <v>85</v>
      </c>
      <c r="F456" s="31" t="s">
        <v>40</v>
      </c>
      <c r="G456" s="31" t="s">
        <v>41</v>
      </c>
      <c r="H456" s="31" t="s">
        <v>343</v>
      </c>
      <c r="I456" s="31" t="s">
        <v>60</v>
      </c>
      <c r="J456" s="31"/>
      <c r="K456" s="31"/>
      <c r="L456" s="32">
        <f>IFERROR(__xludf.DUMMYFUNCTION("VLOOKUP($A456,IMPORTRANGE(""1PQtfbQLqBUP-rjYRznmgNFBLOjvAnhGzpIx7BJWq8rk"",""'Worksheet'!$B$2:$H""),7,FALSE)"),0.98)</f>
        <v>0.98</v>
      </c>
      <c r="M456" s="31" t="s">
        <v>40</v>
      </c>
      <c r="N456" s="49">
        <v>5275116.0</v>
      </c>
      <c r="O456" s="49">
        <v>2479304.52</v>
      </c>
      <c r="P456" s="49">
        <f t="shared" si="71"/>
        <v>2795811.48</v>
      </c>
      <c r="Q456" s="34">
        <f t="shared" si="3"/>
        <v>0.53</v>
      </c>
      <c r="R456" s="31"/>
      <c r="S456" s="31" t="s">
        <v>40</v>
      </c>
      <c r="T456" s="84" t="s">
        <v>2915</v>
      </c>
      <c r="U456" s="84">
        <v>0.0</v>
      </c>
      <c r="V456" s="84" t="s">
        <v>2915</v>
      </c>
      <c r="W456" s="31"/>
      <c r="X456" s="52" t="s">
        <v>49</v>
      </c>
      <c r="Y456" s="54" t="s">
        <v>2916</v>
      </c>
      <c r="Z456" s="54" t="s">
        <v>851</v>
      </c>
      <c r="AA456" s="68">
        <v>46269.0</v>
      </c>
      <c r="AB456" s="56"/>
      <c r="AC456" s="38"/>
      <c r="AD456" s="39">
        <v>5275.12</v>
      </c>
      <c r="AE456" s="39">
        <v>2479.30452</v>
      </c>
      <c r="AF456" s="40">
        <v>2795.81548</v>
      </c>
      <c r="AG456" s="57" t="s">
        <v>2917</v>
      </c>
      <c r="AH456" s="42" t="s">
        <v>49</v>
      </c>
      <c r="AI456" s="42" t="str">
        <f>IFERROR(__xludf.DUMMYFUNCTION("vLOOKUP(A456,IMPORTRANGE(""https://docs.google.com/spreadsheets/d/1Rawwwdh8wntXGy8isdYNHxsNQS4n_rC8JSdPfj6vEq4"",""'500 объектов перенос на 2026'!A3:AB502""),13,0)"),"#REF!")</f>
        <v>#REF!</v>
      </c>
      <c r="AJ456" s="42" t="str">
        <f>IFERROR(__xludf.DUMMYFUNCTION("vLOOKUP(A456,IMPORTRANGE(""https://docs.google.com/spreadsheets/d/1Rawwwdh8wntXGy8isdYNHxsNQS4n_rC8JSdPfj6vEq4"",""'500 объектов перенос на 2026'!A3:AB502""),14,0)"),"#REF!")</f>
        <v>#REF!</v>
      </c>
      <c r="AK456" s="151" t="s">
        <v>3490</v>
      </c>
      <c r="AL456" s="43"/>
      <c r="AM456" s="43"/>
      <c r="AN456" s="43"/>
      <c r="AO456" s="43"/>
    </row>
    <row r="457" hidden="1">
      <c r="A457" s="62" t="s">
        <v>2919</v>
      </c>
      <c r="B457" s="111" t="s">
        <v>225</v>
      </c>
      <c r="C457" s="64" t="s">
        <v>2920</v>
      </c>
      <c r="D457" s="47" t="s">
        <v>2921</v>
      </c>
      <c r="E457" s="64" t="s">
        <v>59</v>
      </c>
      <c r="F457" s="31" t="s">
        <v>60</v>
      </c>
      <c r="G457" s="31"/>
      <c r="H457" s="31"/>
      <c r="I457" s="31" t="s">
        <v>40</v>
      </c>
      <c r="J457" s="31" t="s">
        <v>102</v>
      </c>
      <c r="K457" s="31" t="s">
        <v>280</v>
      </c>
      <c r="L457" s="32">
        <f>IFERROR(__xludf.DUMMYFUNCTION("VLOOKUP($A457,IMPORTRANGE(""1PQtfbQLqBUP-rjYRznmgNFBLOjvAnhGzpIx7BJWq8rk"",""'Worksheet'!$B$2:$H""),7,FALSE)"),0.2)</f>
        <v>0.2</v>
      </c>
      <c r="M457" s="31" t="s">
        <v>284</v>
      </c>
      <c r="N457" s="49">
        <v>2702790.0</v>
      </c>
      <c r="O457" s="49">
        <v>824262.98</v>
      </c>
      <c r="P457" s="49">
        <f t="shared" si="71"/>
        <v>1878527.02</v>
      </c>
      <c r="Q457" s="34">
        <f t="shared" si="3"/>
        <v>0.6950325478</v>
      </c>
      <c r="R457" s="31"/>
      <c r="S457" s="31" t="s">
        <v>40</v>
      </c>
      <c r="T457" s="155">
        <v>2567650.5</v>
      </c>
      <c r="U457" s="51">
        <v>0.0</v>
      </c>
      <c r="V457" s="158">
        <v>2567650.5</v>
      </c>
      <c r="W457" s="31"/>
      <c r="X457" s="52" t="s">
        <v>284</v>
      </c>
      <c r="Y457" s="54" t="s">
        <v>2922</v>
      </c>
      <c r="Z457" s="54" t="s">
        <v>2923</v>
      </c>
      <c r="AA457" s="74">
        <v>46280.0</v>
      </c>
      <c r="AB457" s="56"/>
      <c r="AC457" s="38"/>
      <c r="AD457" s="39">
        <v>2702.79</v>
      </c>
      <c r="AE457" s="39">
        <v>824.26298</v>
      </c>
      <c r="AF457" s="40">
        <v>1878.52702</v>
      </c>
      <c r="AG457" s="57" t="s">
        <v>2924</v>
      </c>
      <c r="AH457" s="42" t="s">
        <v>2925</v>
      </c>
      <c r="AI457" s="42" t="str">
        <f>IFERROR(__xludf.DUMMYFUNCTION("vLOOKUP(A457,IMPORTRANGE(""https://docs.google.com/spreadsheets/d/1Rawwwdh8wntXGy8isdYNHxsNQS4n_rC8JSdPfj6vEq4"",""'500 объектов перенос на 2026'!A3:AB502""),13,0)"),"#REF!")</f>
        <v>#REF!</v>
      </c>
      <c r="AJ457" s="42" t="str">
        <f>IFERROR(__xludf.DUMMYFUNCTION("vLOOKUP(A457,IMPORTRANGE(""https://docs.google.com/spreadsheets/d/1Rawwwdh8wntXGy8isdYNHxsNQS4n_rC8JSdPfj6vEq4"",""'500 объектов перенос на 2026'!A3:AB502""),14,0)"),"#REF!")</f>
        <v>#REF!</v>
      </c>
      <c r="AK457" s="76" t="s">
        <v>2926</v>
      </c>
      <c r="AL457" s="43"/>
      <c r="AM457" s="43"/>
      <c r="AN457" s="43"/>
      <c r="AO457" s="43"/>
    </row>
    <row r="458" hidden="1">
      <c r="A458" s="62" t="s">
        <v>2927</v>
      </c>
      <c r="B458" s="111" t="s">
        <v>225</v>
      </c>
      <c r="C458" s="64" t="s">
        <v>2928</v>
      </c>
      <c r="D458" s="47" t="s">
        <v>2921</v>
      </c>
      <c r="E458" s="64" t="s">
        <v>59</v>
      </c>
      <c r="F458" s="31" t="s">
        <v>60</v>
      </c>
      <c r="G458" s="31"/>
      <c r="H458" s="31"/>
      <c r="I458" s="31" t="s">
        <v>40</v>
      </c>
      <c r="J458" s="31" t="s">
        <v>102</v>
      </c>
      <c r="K458" s="31" t="s">
        <v>280</v>
      </c>
      <c r="L458" s="32">
        <f>IFERROR(__xludf.DUMMYFUNCTION("VLOOKUP($A458,IMPORTRANGE(""1PQtfbQLqBUP-rjYRznmgNFBLOjvAnhGzpIx7BJWq8rk"",""'Worksheet'!$B$2:$H""),7,FALSE)"),0.14)</f>
        <v>0.14</v>
      </c>
      <c r="M458" s="31" t="s">
        <v>284</v>
      </c>
      <c r="N458" s="49">
        <v>4046510.0</v>
      </c>
      <c r="O458" s="49">
        <v>1384128.92</v>
      </c>
      <c r="P458" s="49">
        <f t="shared" si="71"/>
        <v>2662381.08</v>
      </c>
      <c r="Q458" s="34">
        <f t="shared" si="3"/>
        <v>0.6579450143</v>
      </c>
      <c r="R458" s="31"/>
      <c r="S458" s="31" t="s">
        <v>40</v>
      </c>
      <c r="T458" s="155">
        <v>3844184.5</v>
      </c>
      <c r="U458" s="51">
        <v>0.0</v>
      </c>
      <c r="V458" s="158">
        <v>3844184.5</v>
      </c>
      <c r="W458" s="31"/>
      <c r="X458" s="52" t="s">
        <v>284</v>
      </c>
      <c r="Y458" s="54" t="s">
        <v>2922</v>
      </c>
      <c r="Z458" s="54" t="s">
        <v>2923</v>
      </c>
      <c r="AA458" s="74">
        <v>46280.0</v>
      </c>
      <c r="AB458" s="56"/>
      <c r="AC458" s="38"/>
      <c r="AD458" s="39">
        <v>4046.51</v>
      </c>
      <c r="AE458" s="39">
        <v>1384.12892</v>
      </c>
      <c r="AF458" s="40">
        <v>2662.38108</v>
      </c>
      <c r="AG458" s="57" t="s">
        <v>2929</v>
      </c>
      <c r="AH458" s="42" t="s">
        <v>2930</v>
      </c>
      <c r="AI458" s="42" t="str">
        <f>IFERROR(__xludf.DUMMYFUNCTION("vLOOKUP(A458,IMPORTRANGE(""https://docs.google.com/spreadsheets/d/1Rawwwdh8wntXGy8isdYNHxsNQS4n_rC8JSdPfj6vEq4"",""'500 объектов перенос на 2026'!A3:AB502""),13,0)"),"#REF!")</f>
        <v>#REF!</v>
      </c>
      <c r="AJ458" s="42" t="str">
        <f>IFERROR(__xludf.DUMMYFUNCTION("vLOOKUP(A458,IMPORTRANGE(""https://docs.google.com/spreadsheets/d/1Rawwwdh8wntXGy8isdYNHxsNQS4n_rC8JSdPfj6vEq4"",""'500 объектов перенос на 2026'!A3:AB502""),14,0)"),"#REF!")</f>
        <v>#REF!</v>
      </c>
      <c r="AK458" s="76" t="s">
        <v>2926</v>
      </c>
      <c r="AL458" s="43"/>
      <c r="AM458" s="43"/>
      <c r="AN458" s="43"/>
      <c r="AO458" s="43"/>
    </row>
    <row r="459" hidden="1">
      <c r="A459" s="62" t="s">
        <v>2931</v>
      </c>
      <c r="B459" s="111" t="s">
        <v>225</v>
      </c>
      <c r="C459" s="64" t="s">
        <v>2932</v>
      </c>
      <c r="D459" s="47" t="s">
        <v>2921</v>
      </c>
      <c r="E459" s="64" t="s">
        <v>59</v>
      </c>
      <c r="F459" s="31" t="s">
        <v>60</v>
      </c>
      <c r="G459" s="31"/>
      <c r="H459" s="31"/>
      <c r="I459" s="31" t="s">
        <v>40</v>
      </c>
      <c r="J459" s="31" t="s">
        <v>102</v>
      </c>
      <c r="K459" s="31" t="s">
        <v>280</v>
      </c>
      <c r="L459" s="32">
        <f>IFERROR(__xludf.DUMMYFUNCTION("VLOOKUP($A459,IMPORTRANGE(""1PQtfbQLqBUP-rjYRznmgNFBLOjvAnhGzpIx7BJWq8rk"",""'Worksheet'!$B$2:$H""),7,FALSE)"),0.2)</f>
        <v>0.2</v>
      </c>
      <c r="M459" s="31" t="s">
        <v>284</v>
      </c>
      <c r="N459" s="49">
        <v>3513980.0</v>
      </c>
      <c r="O459" s="49">
        <v>1436351.69</v>
      </c>
      <c r="P459" s="49">
        <f t="shared" si="71"/>
        <v>2077628.31</v>
      </c>
      <c r="Q459" s="34">
        <f t="shared" si="3"/>
        <v>0.5912464812</v>
      </c>
      <c r="R459" s="31"/>
      <c r="S459" s="31" t="s">
        <v>40</v>
      </c>
      <c r="T459" s="155">
        <v>3338281.0</v>
      </c>
      <c r="U459" s="51">
        <v>0.0</v>
      </c>
      <c r="V459" s="158">
        <v>3338281.0</v>
      </c>
      <c r="W459" s="31"/>
      <c r="X459" s="52" t="s">
        <v>284</v>
      </c>
      <c r="Y459" s="54" t="s">
        <v>2922</v>
      </c>
      <c r="Z459" s="54" t="s">
        <v>2923</v>
      </c>
      <c r="AA459" s="74">
        <v>46280.0</v>
      </c>
      <c r="AB459" s="56"/>
      <c r="AC459" s="38"/>
      <c r="AD459" s="39">
        <v>3513.98</v>
      </c>
      <c r="AE459" s="39">
        <v>1436.35169</v>
      </c>
      <c r="AF459" s="40">
        <v>2077.62831</v>
      </c>
      <c r="AG459" s="57" t="s">
        <v>2933</v>
      </c>
      <c r="AH459" s="42" t="s">
        <v>2934</v>
      </c>
      <c r="AI459" s="42" t="str">
        <f>IFERROR(__xludf.DUMMYFUNCTION("vLOOKUP(A459,IMPORTRANGE(""https://docs.google.com/spreadsheets/d/1Rawwwdh8wntXGy8isdYNHxsNQS4n_rC8JSdPfj6vEq4"",""'500 объектов перенос на 2026'!A3:AB502""),13,0)"),"#REF!")</f>
        <v>#REF!</v>
      </c>
      <c r="AJ459" s="42" t="str">
        <f>IFERROR(__xludf.DUMMYFUNCTION("vLOOKUP(A459,IMPORTRANGE(""https://docs.google.com/spreadsheets/d/1Rawwwdh8wntXGy8isdYNHxsNQS4n_rC8JSdPfj6vEq4"",""'500 объектов перенос на 2026'!A3:AB502""),14,0)"),"#REF!")</f>
        <v>#REF!</v>
      </c>
      <c r="AK459" s="76" t="s">
        <v>2926</v>
      </c>
      <c r="AL459" s="43"/>
      <c r="AM459" s="43"/>
      <c r="AN459" s="43"/>
      <c r="AO459" s="43"/>
    </row>
    <row r="460" hidden="1">
      <c r="A460" s="62" t="s">
        <v>2935</v>
      </c>
      <c r="B460" s="111" t="s">
        <v>225</v>
      </c>
      <c r="C460" s="90" t="s">
        <v>2936</v>
      </c>
      <c r="D460" s="47" t="s">
        <v>2175</v>
      </c>
      <c r="E460" s="64" t="s">
        <v>59</v>
      </c>
      <c r="F460" s="31" t="s">
        <v>40</v>
      </c>
      <c r="G460" s="31" t="s">
        <v>41</v>
      </c>
      <c r="H460" s="31" t="s">
        <v>343</v>
      </c>
      <c r="I460" s="31" t="s">
        <v>40</v>
      </c>
      <c r="J460" s="31" t="s">
        <v>102</v>
      </c>
      <c r="K460" s="31" t="s">
        <v>280</v>
      </c>
      <c r="L460" s="32">
        <f>IFERROR(__xludf.DUMMYFUNCTION("VLOOKUP($A460,IMPORTRANGE(""1PQtfbQLqBUP-rjYRznmgNFBLOjvAnhGzpIx7BJWq8rk"",""'Worksheet'!$B$2:$H""),7,FALSE)"),0.2)</f>
        <v>0.2</v>
      </c>
      <c r="M460" s="31" t="s">
        <v>284</v>
      </c>
      <c r="N460" s="49">
        <v>4632930.66</v>
      </c>
      <c r="O460" s="49">
        <v>0.0</v>
      </c>
      <c r="P460" s="49">
        <f t="shared" si="71"/>
        <v>4632930.66</v>
      </c>
      <c r="Q460" s="34">
        <f t="shared" si="3"/>
        <v>1</v>
      </c>
      <c r="R460" s="31"/>
      <c r="S460" s="31" t="s">
        <v>40</v>
      </c>
      <c r="T460" s="155">
        <v>4401284.127</v>
      </c>
      <c r="U460" s="51">
        <v>0.0</v>
      </c>
      <c r="V460" s="158">
        <v>4401284.127</v>
      </c>
      <c r="W460" s="31"/>
      <c r="X460" s="52" t="s">
        <v>284</v>
      </c>
      <c r="Y460" s="54" t="s">
        <v>284</v>
      </c>
      <c r="Z460" s="54" t="s">
        <v>2937</v>
      </c>
      <c r="AA460" s="54" t="s">
        <v>2141</v>
      </c>
      <c r="AB460" s="56"/>
      <c r="AC460" s="38"/>
      <c r="AD460" s="39">
        <v>4632.94</v>
      </c>
      <c r="AE460" s="39">
        <v>1389.8792</v>
      </c>
      <c r="AF460" s="40">
        <v>3243.0608</v>
      </c>
      <c r="AG460" s="57" t="s">
        <v>2938</v>
      </c>
      <c r="AH460" s="42" t="s">
        <v>2939</v>
      </c>
      <c r="AI460" s="42" t="str">
        <f>IFERROR(__xludf.DUMMYFUNCTION("vLOOKUP(A460,IMPORTRANGE(""https://docs.google.com/spreadsheets/d/1Rawwwdh8wntXGy8isdYNHxsNQS4n_rC8JSdPfj6vEq4"",""'500 объектов перенос на 2026'!A3:AB502""),13,0)"),"#REF!")</f>
        <v>#REF!</v>
      </c>
      <c r="AJ460" s="42" t="str">
        <f>IFERROR(__xludf.DUMMYFUNCTION("vLOOKUP(A460,IMPORTRANGE(""https://docs.google.com/spreadsheets/d/1Rawwwdh8wntXGy8isdYNHxsNQS4n_rC8JSdPfj6vEq4"",""'500 объектов перенос на 2026'!A3:AB502""),14,0)"),"#REF!")</f>
        <v>#REF!</v>
      </c>
      <c r="AK460" s="76" t="s">
        <v>2940</v>
      </c>
      <c r="AL460" s="43"/>
      <c r="AM460" s="43"/>
      <c r="AN460" s="43"/>
      <c r="AO460" s="43"/>
    </row>
    <row r="461" hidden="1">
      <c r="A461" s="62" t="s">
        <v>2941</v>
      </c>
      <c r="B461" s="111" t="s">
        <v>225</v>
      </c>
      <c r="C461" s="64" t="s">
        <v>2942</v>
      </c>
      <c r="D461" s="47"/>
      <c r="E461" s="64" t="s">
        <v>39</v>
      </c>
      <c r="F461" s="31" t="s">
        <v>60</v>
      </c>
      <c r="G461" s="31"/>
      <c r="H461" s="31"/>
      <c r="I461" s="31" t="s">
        <v>40</v>
      </c>
      <c r="J461" s="31" t="s">
        <v>102</v>
      </c>
      <c r="K461" s="31" t="s">
        <v>280</v>
      </c>
      <c r="L461" s="32">
        <f>IFERROR(__xludf.DUMMYFUNCTION("VLOOKUP($A461,IMPORTRANGE(""1PQtfbQLqBUP-rjYRznmgNFBLOjvAnhGzpIx7BJWq8rk"",""'Worksheet'!$B$2:$H""),7,FALSE)"),0.21)</f>
        <v>0.21</v>
      </c>
      <c r="M461" s="31" t="s">
        <v>284</v>
      </c>
      <c r="N461" s="49">
        <v>1.8838758241E8</v>
      </c>
      <c r="O461" s="49">
        <v>0.0</v>
      </c>
      <c r="P461" s="49">
        <f t="shared" si="71"/>
        <v>188387582.4</v>
      </c>
      <c r="Q461" s="34">
        <f t="shared" si="3"/>
        <v>1</v>
      </c>
      <c r="R461" s="31"/>
      <c r="S461" s="31" t="s">
        <v>40</v>
      </c>
      <c r="T461" s="155">
        <f>N461-N461*0.05</f>
        <v>178968203.3</v>
      </c>
      <c r="U461" s="51">
        <v>0.0</v>
      </c>
      <c r="V461" s="155">
        <f>P461-P461*0.05</f>
        <v>178968203.3</v>
      </c>
      <c r="W461" s="31"/>
      <c r="X461" s="52" t="s">
        <v>284</v>
      </c>
      <c r="Y461" s="54" t="s">
        <v>284</v>
      </c>
      <c r="Z461" s="54" t="s">
        <v>2943</v>
      </c>
      <c r="AA461" s="54" t="s">
        <v>2944</v>
      </c>
      <c r="AB461" s="56"/>
      <c r="AC461" s="38"/>
      <c r="AD461" s="39">
        <v>189190.43</v>
      </c>
      <c r="AE461" s="39">
        <v>57198.70246</v>
      </c>
      <c r="AF461" s="40">
        <v>131991.7275</v>
      </c>
      <c r="AG461" s="57" t="s">
        <v>2945</v>
      </c>
      <c r="AH461" s="42" t="s">
        <v>2946</v>
      </c>
      <c r="AI461" s="42" t="str">
        <f>IFERROR(__xludf.DUMMYFUNCTION("vLOOKUP(A461,IMPORTRANGE(""https://docs.google.com/spreadsheets/d/1Rawwwdh8wntXGy8isdYNHxsNQS4n_rC8JSdPfj6vEq4"",""'500 объектов перенос на 2026'!A3:AB502""),13,0)"),"#REF!")</f>
        <v>#REF!</v>
      </c>
      <c r="AJ461" s="42" t="str">
        <f>IFERROR(__xludf.DUMMYFUNCTION("vLOOKUP(A461,IMPORTRANGE(""https://docs.google.com/spreadsheets/d/1Rawwwdh8wntXGy8isdYNHxsNQS4n_rC8JSdPfj6vEq4"",""'500 объектов перенос на 2026'!A3:AB502""),14,0)"),"#REF!")</f>
        <v>#REF!</v>
      </c>
      <c r="AK461" s="76" t="s">
        <v>3491</v>
      </c>
      <c r="AL461" s="43"/>
      <c r="AM461" s="43"/>
      <c r="AN461" s="43"/>
      <c r="AO461" s="43"/>
    </row>
    <row r="462" hidden="1">
      <c r="A462" s="62" t="s">
        <v>2948</v>
      </c>
      <c r="B462" s="63" t="s">
        <v>703</v>
      </c>
      <c r="C462" s="64" t="s">
        <v>2949</v>
      </c>
      <c r="D462" s="47" t="s">
        <v>1523</v>
      </c>
      <c r="E462" s="64" t="s">
        <v>85</v>
      </c>
      <c r="F462" s="31" t="s">
        <v>40</v>
      </c>
      <c r="G462" s="31" t="s">
        <v>41</v>
      </c>
      <c r="H462" s="31" t="s">
        <v>779</v>
      </c>
      <c r="I462" s="31" t="s">
        <v>60</v>
      </c>
      <c r="J462" s="31"/>
      <c r="K462" s="31"/>
      <c r="L462" s="32">
        <f>IFERROR(__xludf.DUMMYFUNCTION("VLOOKUP($A462,IMPORTRANGE(""1PQtfbQLqBUP-rjYRznmgNFBLOjvAnhGzpIx7BJWq8rk"",""'Worksheet'!$B$2:$H""),7,FALSE)"),1.0)</f>
        <v>1</v>
      </c>
      <c r="M462" s="31" t="s">
        <v>45</v>
      </c>
      <c r="N462" s="49">
        <v>5.901291954E7</v>
      </c>
      <c r="O462" s="49">
        <v>5.631415814E7</v>
      </c>
      <c r="P462" s="49">
        <f t="shared" si="71"/>
        <v>2698761.4</v>
      </c>
      <c r="Q462" s="34">
        <f t="shared" si="3"/>
        <v>0.04573170453</v>
      </c>
      <c r="R462" s="31"/>
      <c r="S462" s="31" t="s">
        <v>45</v>
      </c>
      <c r="T462" s="50"/>
      <c r="U462" s="51"/>
      <c r="V462" s="51"/>
      <c r="W462" s="31"/>
      <c r="X462" s="52" t="s">
        <v>803</v>
      </c>
      <c r="Y462" s="128" t="s">
        <v>706</v>
      </c>
      <c r="Z462" s="54" t="s">
        <v>707</v>
      </c>
      <c r="AA462" s="74">
        <v>46199.0</v>
      </c>
      <c r="AB462" s="38" t="s">
        <v>3359</v>
      </c>
      <c r="AC462" s="38"/>
      <c r="AD462" s="39">
        <v>59012.92</v>
      </c>
      <c r="AE462" s="39">
        <v>44685.03081</v>
      </c>
      <c r="AF462" s="40">
        <v>14327.88919</v>
      </c>
      <c r="AG462" s="99" t="s">
        <v>2950</v>
      </c>
      <c r="AH462" s="42"/>
      <c r="AI462" s="42" t="str">
        <f>IFERROR(__xludf.DUMMYFUNCTION("vLOOKUP(A462,IMPORTRANGE(""https://docs.google.com/spreadsheets/d/1Rawwwdh8wntXGy8isdYNHxsNQS4n_rC8JSdPfj6vEq4"",""'500 объектов перенос на 2026'!A3:AB502""),13,0)"),"#REF!")</f>
        <v>#REF!</v>
      </c>
      <c r="AJ462" s="42" t="str">
        <f>IFERROR(__xludf.DUMMYFUNCTION("vLOOKUP(A462,IMPORTRANGE(""https://docs.google.com/spreadsheets/d/1Rawwwdh8wntXGy8isdYNHxsNQS4n_rC8JSdPfj6vEq4"",""'500 объектов перенос на 2026'!A3:AB502""),14,0)"),"#REF!")</f>
        <v>#REF!</v>
      </c>
      <c r="AK462" s="138" t="s">
        <v>2951</v>
      </c>
      <c r="AL462" s="43"/>
      <c r="AM462" s="43"/>
      <c r="AN462" s="43"/>
      <c r="AO462" s="43"/>
    </row>
    <row r="463" hidden="1">
      <c r="A463" s="78" t="s">
        <v>2952</v>
      </c>
      <c r="B463" s="63" t="s">
        <v>225</v>
      </c>
      <c r="C463" s="64" t="s">
        <v>2953</v>
      </c>
      <c r="D463" s="47" t="s">
        <v>2954</v>
      </c>
      <c r="E463" s="64" t="s">
        <v>85</v>
      </c>
      <c r="F463" s="31" t="s">
        <v>60</v>
      </c>
      <c r="G463" s="31"/>
      <c r="H463" s="31"/>
      <c r="I463" s="31" t="s">
        <v>60</v>
      </c>
      <c r="J463" s="31"/>
      <c r="K463" s="31"/>
      <c r="L463" s="32">
        <f>IFERROR(__xludf.DUMMYFUNCTION("VLOOKUP($A463,IMPORTRANGE(""1PQtfbQLqBUP-rjYRznmgNFBLOjvAnhGzpIx7BJWq8rk"",""'Worksheet'!$B$2:$H""),7,FALSE)"),1.0)</f>
        <v>1</v>
      </c>
      <c r="M463" s="31" t="s">
        <v>60</v>
      </c>
      <c r="N463" s="49">
        <v>1.496072E7</v>
      </c>
      <c r="O463" s="49">
        <v>1.350501693E7</v>
      </c>
      <c r="P463" s="49">
        <v>0.0</v>
      </c>
      <c r="Q463" s="34">
        <f t="shared" si="3"/>
        <v>0.09730167198</v>
      </c>
      <c r="R463" s="31"/>
      <c r="S463" s="31" t="s">
        <v>60</v>
      </c>
      <c r="T463" s="155">
        <v>1.4212684E7</v>
      </c>
      <c r="U463" s="158">
        <f t="shared" ref="U463:U464" si="72">O463-O463*0.05</f>
        <v>12829766.08</v>
      </c>
      <c r="V463" s="51">
        <v>0.0</v>
      </c>
      <c r="W463" s="31"/>
      <c r="X463" s="52" t="s">
        <v>113</v>
      </c>
      <c r="Y463" s="54"/>
      <c r="Z463" s="54"/>
      <c r="AA463" s="54" t="s">
        <v>114</v>
      </c>
      <c r="AB463" s="38" t="s">
        <v>115</v>
      </c>
      <c r="AC463" s="38"/>
      <c r="AD463" s="39">
        <v>14960.72</v>
      </c>
      <c r="AE463" s="39">
        <v>13505.01693</v>
      </c>
      <c r="AF463" s="39">
        <v>1455.70307</v>
      </c>
      <c r="AG463" s="57" t="s">
        <v>2955</v>
      </c>
      <c r="AH463" s="42" t="s">
        <v>2956</v>
      </c>
      <c r="AI463" s="42" t="str">
        <f>IFERROR(__xludf.DUMMYFUNCTION("vLOOKUP(A463,IMPORTRANGE(""https://docs.google.com/spreadsheets/d/1Rawwwdh8wntXGy8isdYNHxsNQS4n_rC8JSdPfj6vEq4"",""'500 объектов перенос на 2026'!A3:AB502""),13,0)"),"#REF!")</f>
        <v>#REF!</v>
      </c>
      <c r="AJ463" s="42" t="str">
        <f>IFERROR(__xludf.DUMMYFUNCTION("vLOOKUP(A463,IMPORTRANGE(""https://docs.google.com/spreadsheets/d/1Rawwwdh8wntXGy8isdYNHxsNQS4n_rC8JSdPfj6vEq4"",""'500 объектов перенос на 2026'!A3:AB502""),14,0)"),"#REF!")</f>
        <v>#REF!</v>
      </c>
      <c r="AK463" s="76" t="s">
        <v>114</v>
      </c>
      <c r="AL463" s="43"/>
      <c r="AM463" s="43"/>
      <c r="AN463" s="43"/>
      <c r="AO463" s="43"/>
    </row>
    <row r="464" hidden="1">
      <c r="A464" s="78" t="s">
        <v>2957</v>
      </c>
      <c r="B464" s="63" t="s">
        <v>225</v>
      </c>
      <c r="C464" s="64" t="s">
        <v>2958</v>
      </c>
      <c r="D464" s="47" t="s">
        <v>2954</v>
      </c>
      <c r="E464" s="64" t="s">
        <v>85</v>
      </c>
      <c r="F464" s="31" t="s">
        <v>60</v>
      </c>
      <c r="G464" s="31"/>
      <c r="H464" s="31"/>
      <c r="I464" s="31" t="s">
        <v>60</v>
      </c>
      <c r="J464" s="31"/>
      <c r="K464" s="31"/>
      <c r="L464" s="32">
        <f>IFERROR(__xludf.DUMMYFUNCTION("VLOOKUP($A464,IMPORTRANGE(""1PQtfbQLqBUP-rjYRznmgNFBLOjvAnhGzpIx7BJWq8rk"",""'Worksheet'!$B$2:$H""),7,FALSE)"),1.0)</f>
        <v>1</v>
      </c>
      <c r="M464" s="31" t="s">
        <v>60</v>
      </c>
      <c r="N464" s="49">
        <v>1.026488E7</v>
      </c>
      <c r="O464" s="49">
        <v>8800994.61</v>
      </c>
      <c r="P464" s="49">
        <v>0.0</v>
      </c>
      <c r="Q464" s="34">
        <f t="shared" si="3"/>
        <v>0.1426110573</v>
      </c>
      <c r="R464" s="31"/>
      <c r="S464" s="31" t="s">
        <v>60</v>
      </c>
      <c r="T464" s="155">
        <v>9751636.0</v>
      </c>
      <c r="U464" s="158">
        <f t="shared" si="72"/>
        <v>8360944.88</v>
      </c>
      <c r="V464" s="51">
        <v>0.0</v>
      </c>
      <c r="W464" s="31"/>
      <c r="X464" s="52" t="s">
        <v>113</v>
      </c>
      <c r="Y464" s="54"/>
      <c r="Z464" s="54"/>
      <c r="AA464" s="54" t="s">
        <v>114</v>
      </c>
      <c r="AB464" s="38" t="s">
        <v>115</v>
      </c>
      <c r="AC464" s="38"/>
      <c r="AD464" s="39">
        <v>10264.88</v>
      </c>
      <c r="AE464" s="39">
        <v>8800.99461</v>
      </c>
      <c r="AF464" s="39">
        <v>1463.88539</v>
      </c>
      <c r="AG464" s="57" t="s">
        <v>2959</v>
      </c>
      <c r="AH464" s="42" t="s">
        <v>2960</v>
      </c>
      <c r="AI464" s="42" t="str">
        <f>IFERROR(__xludf.DUMMYFUNCTION("vLOOKUP(A464,IMPORTRANGE(""https://docs.google.com/spreadsheets/d/1Rawwwdh8wntXGy8isdYNHxsNQS4n_rC8JSdPfj6vEq4"",""'500 объектов перенос на 2026'!A3:AB502""),13,0)"),"#REF!")</f>
        <v>#REF!</v>
      </c>
      <c r="AJ464" s="42" t="str">
        <f>IFERROR(__xludf.DUMMYFUNCTION("vLOOKUP(A464,IMPORTRANGE(""https://docs.google.com/spreadsheets/d/1Rawwwdh8wntXGy8isdYNHxsNQS4n_rC8JSdPfj6vEq4"",""'500 объектов перенос на 2026'!A3:AB502""),14,0)"),"#REF!")</f>
        <v>#REF!</v>
      </c>
      <c r="AK464" s="76" t="s">
        <v>114</v>
      </c>
      <c r="AL464" s="43"/>
      <c r="AM464" s="43"/>
      <c r="AN464" s="43"/>
      <c r="AO464" s="43"/>
    </row>
    <row r="465" hidden="1">
      <c r="A465" s="62" t="s">
        <v>2961</v>
      </c>
      <c r="B465" s="63" t="s">
        <v>400</v>
      </c>
      <c r="C465" s="64" t="s">
        <v>2962</v>
      </c>
      <c r="D465" s="47" t="s">
        <v>1546</v>
      </c>
      <c r="E465" s="64" t="s">
        <v>85</v>
      </c>
      <c r="F465" s="31" t="s">
        <v>60</v>
      </c>
      <c r="G465" s="31"/>
      <c r="H465" s="31"/>
      <c r="I465" s="31" t="s">
        <v>60</v>
      </c>
      <c r="J465" s="31"/>
      <c r="K465" s="31"/>
      <c r="L465" s="32">
        <f>IFERROR(__xludf.DUMMYFUNCTION("VLOOKUP($A465,IMPORTRANGE(""1PQtfbQLqBUP-rjYRznmgNFBLOjvAnhGzpIx7BJWq8rk"",""'Worksheet'!$B$2:$H""),7,FALSE)"),0.95)</f>
        <v>0.95</v>
      </c>
      <c r="M465" s="31" t="s">
        <v>45</v>
      </c>
      <c r="N465" s="49">
        <v>1.807536867E7</v>
      </c>
      <c r="O465" s="49">
        <v>1.541181117E7</v>
      </c>
      <c r="P465" s="49">
        <f>N465-O465</f>
        <v>2663557.5</v>
      </c>
      <c r="Q465" s="34">
        <f t="shared" si="3"/>
        <v>0.1473584052</v>
      </c>
      <c r="R465" s="31"/>
      <c r="S465" s="31" t="s">
        <v>45</v>
      </c>
      <c r="T465" s="50"/>
      <c r="U465" s="50" t="s">
        <v>2963</v>
      </c>
      <c r="V465" s="50">
        <v>0.0</v>
      </c>
      <c r="W465" s="31" t="s">
        <v>148</v>
      </c>
      <c r="X465" s="52" t="s">
        <v>2805</v>
      </c>
      <c r="Y465" s="54" t="s">
        <v>2964</v>
      </c>
      <c r="Z465" s="54" t="s">
        <v>2807</v>
      </c>
      <c r="AA465" s="74">
        <v>46198.0</v>
      </c>
      <c r="AB465" s="56"/>
      <c r="AC465" s="38"/>
      <c r="AD465" s="39">
        <v>18075.38</v>
      </c>
      <c r="AE465" s="39">
        <v>15584.66867</v>
      </c>
      <c r="AF465" s="39">
        <v>2490.71133</v>
      </c>
      <c r="AG465" s="57" t="s">
        <v>2965</v>
      </c>
      <c r="AH465" s="42" t="s">
        <v>2966</v>
      </c>
      <c r="AI465" s="42" t="str">
        <f>IFERROR(__xludf.DUMMYFUNCTION("vLOOKUP(A465,IMPORTRANGE(""https://docs.google.com/spreadsheets/d/1Rawwwdh8wntXGy8isdYNHxsNQS4n_rC8JSdPfj6vEq4"",""'500 объектов перенос на 2026'!A3:AB502""),13,0)"),"#REF!")</f>
        <v>#REF!</v>
      </c>
      <c r="AJ465" s="42" t="str">
        <f>IFERROR(__xludf.DUMMYFUNCTION("vLOOKUP(A465,IMPORTRANGE(""https://docs.google.com/spreadsheets/d/1Rawwwdh8wntXGy8isdYNHxsNQS4n_rC8JSdPfj6vEq4"",""'500 объектов перенос на 2026'!A3:AB502""),14,0)"),"#REF!")</f>
        <v>#REF!</v>
      </c>
      <c r="AK465" s="76" t="s">
        <v>3492</v>
      </c>
      <c r="AL465" s="43"/>
      <c r="AM465" s="43"/>
      <c r="AN465" s="43"/>
      <c r="AO465" s="43"/>
    </row>
    <row r="466" hidden="1">
      <c r="A466" s="78" t="s">
        <v>2968</v>
      </c>
      <c r="B466" s="63" t="s">
        <v>225</v>
      </c>
      <c r="C466" s="64" t="s">
        <v>2969</v>
      </c>
      <c r="D466" s="47" t="s">
        <v>2970</v>
      </c>
      <c r="E466" s="64" t="s">
        <v>85</v>
      </c>
      <c r="F466" s="31" t="s">
        <v>60</v>
      </c>
      <c r="G466" s="31"/>
      <c r="H466" s="31"/>
      <c r="I466" s="31" t="s">
        <v>60</v>
      </c>
      <c r="J466" s="31"/>
      <c r="K466" s="31"/>
      <c r="L466" s="32">
        <f>IFERROR(__xludf.DUMMYFUNCTION("VLOOKUP($A466,IMPORTRANGE(""1PQtfbQLqBUP-rjYRznmgNFBLOjvAnhGzpIx7BJWq8rk"",""'Worksheet'!$B$2:$H""),7,FALSE)"),1.0)</f>
        <v>1</v>
      </c>
      <c r="M466" s="31" t="s">
        <v>60</v>
      </c>
      <c r="N466" s="49">
        <v>4751592.0</v>
      </c>
      <c r="O466" s="49">
        <v>4649209.59</v>
      </c>
      <c r="P466" s="49">
        <v>0.0</v>
      </c>
      <c r="Q466" s="34">
        <f t="shared" si="3"/>
        <v>0.02154696994</v>
      </c>
      <c r="R466" s="31"/>
      <c r="S466" s="31" t="s">
        <v>60</v>
      </c>
      <c r="T466" s="155">
        <v>4514012.4</v>
      </c>
      <c r="U466" s="158">
        <f t="shared" ref="U466:U470" si="73">O466-O466*0.05</f>
        <v>4416749.111</v>
      </c>
      <c r="V466" s="51">
        <v>0.0</v>
      </c>
      <c r="W466" s="31"/>
      <c r="X466" s="52" t="s">
        <v>113</v>
      </c>
      <c r="Y466" s="54"/>
      <c r="Z466" s="54"/>
      <c r="AA466" s="54" t="s">
        <v>114</v>
      </c>
      <c r="AB466" s="38" t="s">
        <v>115</v>
      </c>
      <c r="AC466" s="38"/>
      <c r="AD466" s="39">
        <v>8169.6</v>
      </c>
      <c r="AE466" s="39">
        <v>4649.20759</v>
      </c>
      <c r="AF466" s="39">
        <v>3520.39241</v>
      </c>
      <c r="AG466" s="57" t="s">
        <v>2971</v>
      </c>
      <c r="AH466" s="42" t="s">
        <v>2972</v>
      </c>
      <c r="AI466" s="42" t="str">
        <f>IFERROR(__xludf.DUMMYFUNCTION("vLOOKUP(A466,IMPORTRANGE(""https://docs.google.com/spreadsheets/d/1Rawwwdh8wntXGy8isdYNHxsNQS4n_rC8JSdPfj6vEq4"",""'500 объектов перенос на 2026'!A3:AB502""),13,0)"),"#REF!")</f>
        <v>#REF!</v>
      </c>
      <c r="AJ466" s="42" t="str">
        <f>IFERROR(__xludf.DUMMYFUNCTION("vLOOKUP(A466,IMPORTRANGE(""https://docs.google.com/spreadsheets/d/1Rawwwdh8wntXGy8isdYNHxsNQS4n_rC8JSdPfj6vEq4"",""'500 объектов перенос на 2026'!A3:AB502""),14,0)"),"#REF!")</f>
        <v>#REF!</v>
      </c>
      <c r="AK466" s="76" t="s">
        <v>114</v>
      </c>
      <c r="AL466" s="43"/>
      <c r="AM466" s="43"/>
      <c r="AN466" s="43"/>
      <c r="AO466" s="43"/>
    </row>
    <row r="467" hidden="1">
      <c r="A467" s="78" t="s">
        <v>2973</v>
      </c>
      <c r="B467" s="63" t="s">
        <v>225</v>
      </c>
      <c r="C467" s="144" t="s">
        <v>2974</v>
      </c>
      <c r="D467" s="47" t="s">
        <v>298</v>
      </c>
      <c r="E467" s="64" t="s">
        <v>85</v>
      </c>
      <c r="F467" s="31" t="s">
        <v>60</v>
      </c>
      <c r="G467" s="31"/>
      <c r="H467" s="31"/>
      <c r="I467" s="31" t="s">
        <v>60</v>
      </c>
      <c r="J467" s="31"/>
      <c r="K467" s="31"/>
      <c r="L467" s="32" t="str">
        <f>IFERROR(__xludf.DUMMYFUNCTION("VLOOKUP($A467,IMPORTRANGE(""1PQtfbQLqBUP-rjYRznmgNFBLOjvAnhGzpIx7BJWq8rk"",""'Worksheet'!$B$2:$H""),7,FALSE)"),"#N/A")</f>
        <v>#N/A</v>
      </c>
      <c r="M467" s="31" t="s">
        <v>60</v>
      </c>
      <c r="N467" s="49">
        <v>2.1600001E8</v>
      </c>
      <c r="O467" s="49">
        <v>2.0419288449E8</v>
      </c>
      <c r="P467" s="49">
        <v>0.0</v>
      </c>
      <c r="Q467" s="34">
        <f t="shared" si="3"/>
        <v>0.05466261557</v>
      </c>
      <c r="R467" s="31"/>
      <c r="S467" s="31" t="s">
        <v>60</v>
      </c>
      <c r="T467" s="155">
        <v>2.052000095E8</v>
      </c>
      <c r="U467" s="158">
        <f t="shared" si="73"/>
        <v>193983240.3</v>
      </c>
      <c r="V467" s="51">
        <v>0.0</v>
      </c>
      <c r="W467" s="31"/>
      <c r="X467" s="52" t="s">
        <v>113</v>
      </c>
      <c r="Y467" s="54"/>
      <c r="Z467" s="54"/>
      <c r="AA467" s="54" t="s">
        <v>114</v>
      </c>
      <c r="AB467" s="38" t="s">
        <v>115</v>
      </c>
      <c r="AC467" s="38"/>
      <c r="AD467" s="102">
        <v>216000.01</v>
      </c>
      <c r="AE467" s="102">
        <v>0.0</v>
      </c>
      <c r="AF467" s="39">
        <v>216000.01</v>
      </c>
      <c r="AG467" s="57" t="s">
        <v>2975</v>
      </c>
      <c r="AH467" s="42" t="s">
        <v>2976</v>
      </c>
      <c r="AI467" s="42" t="str">
        <f>IFERROR(__xludf.DUMMYFUNCTION("vLOOKUP(A467,IMPORTRANGE(""https://docs.google.com/spreadsheets/d/1Rawwwdh8wntXGy8isdYNHxsNQS4n_rC8JSdPfj6vEq4"",""'500 объектов перенос на 2026'!A3:AB502""),13,0)"),"#REF!")</f>
        <v>#REF!</v>
      </c>
      <c r="AJ467" s="42" t="str">
        <f>IFERROR(__xludf.DUMMYFUNCTION("vLOOKUP(A467,IMPORTRANGE(""https://docs.google.com/spreadsheets/d/1Rawwwdh8wntXGy8isdYNHxsNQS4n_rC8JSdPfj6vEq4"",""'500 объектов перенос на 2026'!A3:AB502""),14,0)"),"#REF!")</f>
        <v>#REF!</v>
      </c>
      <c r="AK467" s="76" t="s">
        <v>114</v>
      </c>
      <c r="AL467" s="43"/>
      <c r="AM467" s="43"/>
      <c r="AN467" s="43"/>
      <c r="AO467" s="43"/>
    </row>
    <row r="468" hidden="1">
      <c r="A468" s="78" t="s">
        <v>2977</v>
      </c>
      <c r="B468" s="63" t="s">
        <v>225</v>
      </c>
      <c r="C468" s="144" t="s">
        <v>2978</v>
      </c>
      <c r="D468" s="47" t="s">
        <v>298</v>
      </c>
      <c r="E468" s="64" t="s">
        <v>324</v>
      </c>
      <c r="F468" s="31" t="s">
        <v>60</v>
      </c>
      <c r="G468" s="31"/>
      <c r="H468" s="31"/>
      <c r="I468" s="31" t="s">
        <v>60</v>
      </c>
      <c r="J468" s="31"/>
      <c r="K468" s="31"/>
      <c r="L468" s="32" t="str">
        <f>IFERROR(__xludf.DUMMYFUNCTION("VLOOKUP($A468,IMPORTRANGE(""1PQtfbQLqBUP-rjYRznmgNFBLOjvAnhGzpIx7BJWq8rk"",""'Worksheet'!$B$2:$H""),7,FALSE)"),"#N/A")</f>
        <v>#N/A</v>
      </c>
      <c r="M468" s="31" t="s">
        <v>60</v>
      </c>
      <c r="N468" s="49">
        <v>2.972273E7</v>
      </c>
      <c r="O468" s="49">
        <v>2.909765983E7</v>
      </c>
      <c r="P468" s="49">
        <v>0.0</v>
      </c>
      <c r="Q468" s="34">
        <f t="shared" si="3"/>
        <v>0.02103003896</v>
      </c>
      <c r="R468" s="31"/>
      <c r="S468" s="31" t="s">
        <v>60</v>
      </c>
      <c r="T468" s="155">
        <v>2.82365935E7</v>
      </c>
      <c r="U468" s="158">
        <f t="shared" si="73"/>
        <v>27642776.84</v>
      </c>
      <c r="V468" s="51">
        <v>0.0</v>
      </c>
      <c r="W468" s="31"/>
      <c r="X468" s="52" t="s">
        <v>113</v>
      </c>
      <c r="Y468" s="54"/>
      <c r="Z468" s="54"/>
      <c r="AA468" s="54" t="s">
        <v>114</v>
      </c>
      <c r="AB468" s="38" t="s">
        <v>115</v>
      </c>
      <c r="AC468" s="38"/>
      <c r="AD468" s="39">
        <v>29722.73</v>
      </c>
      <c r="AE468" s="102">
        <v>0.0</v>
      </c>
      <c r="AF468" s="39">
        <v>29722.73</v>
      </c>
      <c r="AG468" s="57" t="s">
        <v>2979</v>
      </c>
      <c r="AH468" s="42" t="s">
        <v>2980</v>
      </c>
      <c r="AI468" s="42" t="str">
        <f>IFERROR(__xludf.DUMMYFUNCTION("vLOOKUP(A468,IMPORTRANGE(""https://docs.google.com/spreadsheets/d/1Rawwwdh8wntXGy8isdYNHxsNQS4n_rC8JSdPfj6vEq4"",""'500 объектов перенос на 2026'!A3:AB502""),13,0)"),"#REF!")</f>
        <v>#REF!</v>
      </c>
      <c r="AJ468" s="42" t="str">
        <f>IFERROR(__xludf.DUMMYFUNCTION("vLOOKUP(A468,IMPORTRANGE(""https://docs.google.com/spreadsheets/d/1Rawwwdh8wntXGy8isdYNHxsNQS4n_rC8JSdPfj6vEq4"",""'500 объектов перенос на 2026'!A3:AB502""),14,0)"),"#REF!")</f>
        <v>#REF!</v>
      </c>
      <c r="AK468" s="76" t="s">
        <v>114</v>
      </c>
      <c r="AL468" s="43"/>
      <c r="AM468" s="43"/>
      <c r="AN468" s="43"/>
      <c r="AO468" s="43"/>
    </row>
    <row r="469" hidden="1">
      <c r="A469" s="78" t="s">
        <v>2981</v>
      </c>
      <c r="B469" s="63" t="s">
        <v>225</v>
      </c>
      <c r="C469" s="64" t="s">
        <v>2982</v>
      </c>
      <c r="D469" s="47" t="s">
        <v>298</v>
      </c>
      <c r="E469" s="64" t="s">
        <v>324</v>
      </c>
      <c r="F469" s="31" t="s">
        <v>60</v>
      </c>
      <c r="G469" s="31"/>
      <c r="H469" s="31"/>
      <c r="I469" s="31" t="s">
        <v>60</v>
      </c>
      <c r="J469" s="31"/>
      <c r="K469" s="31"/>
      <c r="L469" s="32" t="str">
        <f>IFERROR(__xludf.DUMMYFUNCTION("VLOOKUP($A469,IMPORTRANGE(""1PQtfbQLqBUP-rjYRznmgNFBLOjvAnhGzpIx7BJWq8rk"",""'Worksheet'!$B$2:$H""),7,FALSE)"),"#N/A")</f>
        <v>#N/A</v>
      </c>
      <c r="M469" s="31" t="s">
        <v>60</v>
      </c>
      <c r="N469" s="49">
        <v>3.5741E7</v>
      </c>
      <c r="O469" s="49">
        <v>3.498560974E7</v>
      </c>
      <c r="P469" s="49">
        <v>0.0</v>
      </c>
      <c r="Q469" s="34">
        <f t="shared" si="3"/>
        <v>0.02113511821</v>
      </c>
      <c r="R469" s="31"/>
      <c r="S469" s="31" t="s">
        <v>60</v>
      </c>
      <c r="T469" s="155">
        <v>3.395395E7</v>
      </c>
      <c r="U469" s="158">
        <f t="shared" si="73"/>
        <v>33236329.25</v>
      </c>
      <c r="V469" s="51">
        <v>0.0</v>
      </c>
      <c r="W469" s="31"/>
      <c r="X469" s="52" t="s">
        <v>113</v>
      </c>
      <c r="Y469" s="54"/>
      <c r="Z469" s="54"/>
      <c r="AA469" s="54" t="s">
        <v>114</v>
      </c>
      <c r="AB469" s="38" t="s">
        <v>115</v>
      </c>
      <c r="AC469" s="38"/>
      <c r="AD469" s="102">
        <v>35741.0</v>
      </c>
      <c r="AE469" s="39">
        <v>0.0</v>
      </c>
      <c r="AF469" s="39">
        <v>35741.0</v>
      </c>
      <c r="AG469" s="57" t="s">
        <v>2983</v>
      </c>
      <c r="AH469" s="42" t="s">
        <v>2984</v>
      </c>
      <c r="AI469" s="42" t="str">
        <f>IFERROR(__xludf.DUMMYFUNCTION("vLOOKUP(A469,IMPORTRANGE(""https://docs.google.com/spreadsheets/d/1Rawwwdh8wntXGy8isdYNHxsNQS4n_rC8JSdPfj6vEq4"",""'500 объектов перенос на 2026'!A3:AB502""),13,0)"),"#REF!")</f>
        <v>#REF!</v>
      </c>
      <c r="AJ469" s="42" t="str">
        <f>IFERROR(__xludf.DUMMYFUNCTION("vLOOKUP(A469,IMPORTRANGE(""https://docs.google.com/spreadsheets/d/1Rawwwdh8wntXGy8isdYNHxsNQS4n_rC8JSdPfj6vEq4"",""'500 объектов перенос на 2026'!A3:AB502""),14,0)"),"#REF!")</f>
        <v>#REF!</v>
      </c>
      <c r="AK469" s="76" t="s">
        <v>114</v>
      </c>
      <c r="AL469" s="43"/>
      <c r="AM469" s="43"/>
      <c r="AN469" s="43"/>
      <c r="AO469" s="43"/>
    </row>
    <row r="470" hidden="1">
      <c r="A470" s="78" t="s">
        <v>2985</v>
      </c>
      <c r="B470" s="63" t="s">
        <v>225</v>
      </c>
      <c r="C470" s="64" t="s">
        <v>2986</v>
      </c>
      <c r="D470" s="47" t="s">
        <v>298</v>
      </c>
      <c r="E470" s="64" t="s">
        <v>324</v>
      </c>
      <c r="F470" s="31" t="s">
        <v>60</v>
      </c>
      <c r="G470" s="31"/>
      <c r="H470" s="31"/>
      <c r="I470" s="31" t="s">
        <v>60</v>
      </c>
      <c r="J470" s="31"/>
      <c r="K470" s="31"/>
      <c r="L470" s="32" t="str">
        <f>IFERROR(__xludf.DUMMYFUNCTION("VLOOKUP($A470,IMPORTRANGE(""1PQtfbQLqBUP-rjYRznmgNFBLOjvAnhGzpIx7BJWq8rk"",""'Worksheet'!$B$2:$H""),7,FALSE)"),"#N/A")</f>
        <v>#N/A</v>
      </c>
      <c r="M470" s="31" t="s">
        <v>60</v>
      </c>
      <c r="N470" s="49">
        <v>2.42697E7</v>
      </c>
      <c r="O470" s="49">
        <v>2.373807972E7</v>
      </c>
      <c r="P470" s="49">
        <v>0.0</v>
      </c>
      <c r="Q470" s="34">
        <f t="shared" si="3"/>
        <v>0.02190469103</v>
      </c>
      <c r="R470" s="31"/>
      <c r="S470" s="31" t="s">
        <v>60</v>
      </c>
      <c r="T470" s="155">
        <v>2.3056215E7</v>
      </c>
      <c r="U470" s="158">
        <f t="shared" si="73"/>
        <v>22551175.73</v>
      </c>
      <c r="V470" s="51">
        <v>0.0</v>
      </c>
      <c r="W470" s="31"/>
      <c r="X470" s="52" t="s">
        <v>113</v>
      </c>
      <c r="Y470" s="54"/>
      <c r="Z470" s="54"/>
      <c r="AA470" s="54" t="s">
        <v>114</v>
      </c>
      <c r="AB470" s="38" t="s">
        <v>115</v>
      </c>
      <c r="AC470" s="38"/>
      <c r="AD470" s="39">
        <v>24269.7</v>
      </c>
      <c r="AE470" s="39">
        <v>0.0</v>
      </c>
      <c r="AF470" s="39">
        <v>24269.7</v>
      </c>
      <c r="AG470" s="57" t="s">
        <v>2987</v>
      </c>
      <c r="AH470" s="42" t="s">
        <v>2988</v>
      </c>
      <c r="AI470" s="42" t="str">
        <f>IFERROR(__xludf.DUMMYFUNCTION("vLOOKUP(A470,IMPORTRANGE(""https://docs.google.com/spreadsheets/d/1Rawwwdh8wntXGy8isdYNHxsNQS4n_rC8JSdPfj6vEq4"",""'500 объектов перенос на 2026'!A3:AB502""),13,0)"),"#REF!")</f>
        <v>#REF!</v>
      </c>
      <c r="AJ470" s="42" t="str">
        <f>IFERROR(__xludf.DUMMYFUNCTION("vLOOKUP(A470,IMPORTRANGE(""https://docs.google.com/spreadsheets/d/1Rawwwdh8wntXGy8isdYNHxsNQS4n_rC8JSdPfj6vEq4"",""'500 объектов перенос на 2026'!A3:AB502""),14,0)"),"#REF!")</f>
        <v>#REF!</v>
      </c>
      <c r="AK470" s="76" t="s">
        <v>114</v>
      </c>
      <c r="AL470" s="43"/>
      <c r="AM470" s="43"/>
      <c r="AN470" s="43"/>
      <c r="AO470" s="43"/>
    </row>
    <row r="471" hidden="1">
      <c r="A471" s="78" t="s">
        <v>2989</v>
      </c>
      <c r="B471" s="63" t="s">
        <v>2990</v>
      </c>
      <c r="C471" s="104" t="s">
        <v>2991</v>
      </c>
      <c r="D471" s="47" t="s">
        <v>2992</v>
      </c>
      <c r="E471" s="64" t="s">
        <v>59</v>
      </c>
      <c r="F471" s="31" t="s">
        <v>60</v>
      </c>
      <c r="G471" s="31"/>
      <c r="H471" s="31"/>
      <c r="I471" s="31" t="s">
        <v>60</v>
      </c>
      <c r="J471" s="31"/>
      <c r="K471" s="31"/>
      <c r="L471" s="32" t="str">
        <f>IFERROR(__xludf.DUMMYFUNCTION("VLOOKUP($A471,IMPORTRANGE(""1PQtfbQLqBUP-rjYRznmgNFBLOjvAnhGzpIx7BJWq8rk"",""'Worksheet'!$B$2:$H""),7,FALSE)"),"#N/A")</f>
        <v>#N/A</v>
      </c>
      <c r="M471" s="31" t="s">
        <v>60</v>
      </c>
      <c r="N471" s="49">
        <v>6.391472E7</v>
      </c>
      <c r="O471" s="49">
        <v>6.3914718E7</v>
      </c>
      <c r="P471" s="49">
        <v>0.0</v>
      </c>
      <c r="Q471" s="34">
        <f t="shared" si="3"/>
        <v>0.00000003129169619</v>
      </c>
      <c r="R471" s="31"/>
      <c r="S471" s="31" t="s">
        <v>60</v>
      </c>
      <c r="T471" s="97">
        <v>6.0718984E7</v>
      </c>
      <c r="U471" s="97">
        <v>6.0718984E7</v>
      </c>
      <c r="V471" s="88">
        <v>0.0</v>
      </c>
      <c r="W471" s="31"/>
      <c r="X471" s="52" t="s">
        <v>113</v>
      </c>
      <c r="Y471" s="54"/>
      <c r="Z471" s="54"/>
      <c r="AA471" s="54" t="s">
        <v>114</v>
      </c>
      <c r="AB471" s="38" t="s">
        <v>115</v>
      </c>
      <c r="AC471" s="38"/>
      <c r="AD471" s="39">
        <v>63914.72</v>
      </c>
      <c r="AE471" s="39">
        <v>63914.71806</v>
      </c>
      <c r="AF471" s="39">
        <v>0.00194</v>
      </c>
      <c r="AG471" s="57" t="s">
        <v>2993</v>
      </c>
      <c r="AH471" s="42" t="s">
        <v>2994</v>
      </c>
      <c r="AI471" s="42" t="str">
        <f>IFERROR(__xludf.DUMMYFUNCTION("vLOOKUP(A471,IMPORTRANGE(""https://docs.google.com/spreadsheets/d/1Rawwwdh8wntXGy8isdYNHxsNQS4n_rC8JSdPfj6vEq4"",""'500 объектов перенос на 2026'!A3:AB502""),13,0)"),"#REF!")</f>
        <v>#REF!</v>
      </c>
      <c r="AJ471" s="42" t="str">
        <f>IFERROR(__xludf.DUMMYFUNCTION("vLOOKUP(A471,IMPORTRANGE(""https://docs.google.com/spreadsheets/d/1Rawwwdh8wntXGy8isdYNHxsNQS4n_rC8JSdPfj6vEq4"",""'500 объектов перенос на 2026'!A3:AB502""),14,0)"),"#REF!")</f>
        <v>#REF!</v>
      </c>
      <c r="AK471" s="76" t="s">
        <v>114</v>
      </c>
      <c r="AL471" s="43"/>
      <c r="AM471" s="43"/>
      <c r="AN471" s="43"/>
      <c r="AO471" s="43"/>
    </row>
    <row r="472" hidden="1">
      <c r="A472" s="78" t="s">
        <v>2995</v>
      </c>
      <c r="B472" s="63" t="s">
        <v>2990</v>
      </c>
      <c r="C472" s="90" t="s">
        <v>2996</v>
      </c>
      <c r="D472" s="47" t="s">
        <v>2997</v>
      </c>
      <c r="E472" s="90" t="s">
        <v>85</v>
      </c>
      <c r="F472" s="31" t="s">
        <v>60</v>
      </c>
      <c r="G472" s="31"/>
      <c r="H472" s="31"/>
      <c r="I472" s="31" t="s">
        <v>60</v>
      </c>
      <c r="J472" s="31"/>
      <c r="K472" s="31"/>
      <c r="L472" s="32" t="str">
        <f>IFERROR(__xludf.DUMMYFUNCTION("VLOOKUP($A472,IMPORTRANGE(""1PQtfbQLqBUP-rjYRznmgNFBLOjvAnhGzpIx7BJWq8rk"",""'Worksheet'!$B$2:$H""),7,FALSE)"),"#N/A")</f>
        <v>#N/A</v>
      </c>
      <c r="M472" s="31" t="s">
        <v>60</v>
      </c>
      <c r="N472" s="49">
        <v>2.360422E7</v>
      </c>
      <c r="O472" s="49">
        <v>1.925306828E7</v>
      </c>
      <c r="P472" s="49">
        <v>0.0</v>
      </c>
      <c r="Q472" s="34">
        <f t="shared" si="3"/>
        <v>0.1843378735</v>
      </c>
      <c r="R472" s="31"/>
      <c r="S472" s="31" t="s">
        <v>60</v>
      </c>
      <c r="T472" s="97">
        <v>2.2424009E7</v>
      </c>
      <c r="U472" s="97">
        <v>1.829041487E7</v>
      </c>
      <c r="V472" s="88">
        <v>0.0</v>
      </c>
      <c r="W472" s="31"/>
      <c r="X472" s="52" t="s">
        <v>113</v>
      </c>
      <c r="Y472" s="54"/>
      <c r="Z472" s="54"/>
      <c r="AA472" s="54" t="s">
        <v>114</v>
      </c>
      <c r="AB472" s="38" t="s">
        <v>115</v>
      </c>
      <c r="AC472" s="38"/>
      <c r="AD472" s="39">
        <v>20181.0</v>
      </c>
      <c r="AE472" s="39">
        <v>19550.20168</v>
      </c>
      <c r="AF472" s="39">
        <v>630.79832</v>
      </c>
      <c r="AG472" s="57" t="s">
        <v>2998</v>
      </c>
      <c r="AH472" s="42" t="s">
        <v>362</v>
      </c>
      <c r="AI472" s="42" t="str">
        <f>IFERROR(__xludf.DUMMYFUNCTION("vLOOKUP(A472,IMPORTRANGE(""https://docs.google.com/spreadsheets/d/1Rawwwdh8wntXGy8isdYNHxsNQS4n_rC8JSdPfj6vEq4"",""'500 объектов перенос на 2026'!A3:AB502""),13,0)"),"#REF!")</f>
        <v>#REF!</v>
      </c>
      <c r="AJ472" s="42" t="str">
        <f>IFERROR(__xludf.DUMMYFUNCTION("vLOOKUP(A472,IMPORTRANGE(""https://docs.google.com/spreadsheets/d/1Rawwwdh8wntXGy8isdYNHxsNQS4n_rC8JSdPfj6vEq4"",""'500 объектов перенос на 2026'!A3:AB502""),14,0)"),"#REF!")</f>
        <v>#REF!</v>
      </c>
      <c r="AK472" s="76" t="s">
        <v>114</v>
      </c>
      <c r="AL472" s="43"/>
      <c r="AM472" s="43"/>
      <c r="AN472" s="43"/>
      <c r="AO472" s="43"/>
    </row>
    <row r="473" hidden="1">
      <c r="A473" s="78" t="s">
        <v>2999</v>
      </c>
      <c r="B473" s="63" t="s">
        <v>2990</v>
      </c>
      <c r="C473" s="104" t="s">
        <v>3000</v>
      </c>
      <c r="D473" s="47" t="s">
        <v>3001</v>
      </c>
      <c r="E473" s="64" t="s">
        <v>39</v>
      </c>
      <c r="F473" s="31" t="s">
        <v>60</v>
      </c>
      <c r="G473" s="31"/>
      <c r="H473" s="31"/>
      <c r="I473" s="31" t="s">
        <v>60</v>
      </c>
      <c r="J473" s="31"/>
      <c r="K473" s="31"/>
      <c r="L473" s="32" t="str">
        <f>IFERROR(__xludf.DUMMYFUNCTION("VLOOKUP($A473,IMPORTRANGE(""1PQtfbQLqBUP-rjYRznmgNFBLOjvAnhGzpIx7BJWq8rk"",""'Worksheet'!$B$2:$H""),7,FALSE)"),"#N/A")</f>
        <v>#N/A</v>
      </c>
      <c r="M473" s="31" t="s">
        <v>60</v>
      </c>
      <c r="N473" s="49">
        <v>9.052151664E7</v>
      </c>
      <c r="O473" s="49">
        <v>7.627504289E7</v>
      </c>
      <c r="P473" s="49">
        <v>0.0</v>
      </c>
      <c r="Q473" s="34">
        <f t="shared" si="3"/>
        <v>0.1573821814</v>
      </c>
      <c r="R473" s="31"/>
      <c r="S473" s="31" t="s">
        <v>60</v>
      </c>
      <c r="T473" s="97">
        <v>8.599544081E7</v>
      </c>
      <c r="U473" s="97">
        <v>7.246129075E7</v>
      </c>
      <c r="V473" s="88">
        <v>0.0</v>
      </c>
      <c r="W473" s="31"/>
      <c r="X473" s="52" t="s">
        <v>113</v>
      </c>
      <c r="Y473" s="54"/>
      <c r="Z473" s="54"/>
      <c r="AA473" s="54" t="s">
        <v>114</v>
      </c>
      <c r="AB473" s="38" t="s">
        <v>115</v>
      </c>
      <c r="AC473" s="38"/>
      <c r="AD473" s="39">
        <v>91160.62</v>
      </c>
      <c r="AE473" s="39">
        <v>78326.41379</v>
      </c>
      <c r="AF473" s="39">
        <v>12834.20621</v>
      </c>
      <c r="AG473" s="57" t="s">
        <v>3002</v>
      </c>
      <c r="AH473" s="42" t="s">
        <v>362</v>
      </c>
      <c r="AI473" s="42" t="str">
        <f>IFERROR(__xludf.DUMMYFUNCTION("vLOOKUP(A473,IMPORTRANGE(""https://docs.google.com/spreadsheets/d/1Rawwwdh8wntXGy8isdYNHxsNQS4n_rC8JSdPfj6vEq4"",""'500 объектов перенос на 2026'!A3:AB502""),13,0)"),"#REF!")</f>
        <v>#REF!</v>
      </c>
      <c r="AJ473" s="42" t="str">
        <f>IFERROR(__xludf.DUMMYFUNCTION("vLOOKUP(A473,IMPORTRANGE(""https://docs.google.com/spreadsheets/d/1Rawwwdh8wntXGy8isdYNHxsNQS4n_rC8JSdPfj6vEq4"",""'500 объектов перенос на 2026'!A3:AB502""),14,0)"),"#REF!")</f>
        <v>#REF!</v>
      </c>
      <c r="AK473" s="76" t="s">
        <v>114</v>
      </c>
      <c r="AL473" s="43"/>
      <c r="AM473" s="43"/>
      <c r="AN473" s="43"/>
      <c r="AO473" s="43"/>
    </row>
    <row r="474" hidden="1">
      <c r="A474" s="78" t="s">
        <v>3003</v>
      </c>
      <c r="B474" s="63" t="s">
        <v>2990</v>
      </c>
      <c r="C474" s="104" t="s">
        <v>3004</v>
      </c>
      <c r="D474" s="47" t="s">
        <v>2997</v>
      </c>
      <c r="E474" s="64" t="s">
        <v>39</v>
      </c>
      <c r="F474" s="31" t="s">
        <v>60</v>
      </c>
      <c r="G474" s="31"/>
      <c r="H474" s="31"/>
      <c r="I474" s="31" t="s">
        <v>60</v>
      </c>
      <c r="J474" s="31"/>
      <c r="K474" s="31"/>
      <c r="L474" s="32" t="str">
        <f>IFERROR(__xludf.DUMMYFUNCTION("VLOOKUP($A474,IMPORTRANGE(""1PQtfbQLqBUP-rjYRznmgNFBLOjvAnhGzpIx7BJWq8rk"",""'Worksheet'!$B$2:$H""),7,FALSE)"),"#N/A")</f>
        <v>#N/A</v>
      </c>
      <c r="M474" s="31" t="s">
        <v>60</v>
      </c>
      <c r="N474" s="49">
        <v>7.239224679E7</v>
      </c>
      <c r="O474" s="49">
        <v>6.816990174E7</v>
      </c>
      <c r="P474" s="49">
        <v>0.0</v>
      </c>
      <c r="Q474" s="34">
        <f t="shared" si="3"/>
        <v>0.05832592905</v>
      </c>
      <c r="R474" s="31"/>
      <c r="S474" s="31" t="s">
        <v>60</v>
      </c>
      <c r="T474" s="97">
        <v>6.877263445E7</v>
      </c>
      <c r="U474" s="97">
        <v>6.476140665E7</v>
      </c>
      <c r="V474" s="88">
        <v>0.0</v>
      </c>
      <c r="W474" s="31"/>
      <c r="X474" s="52" t="s">
        <v>113</v>
      </c>
      <c r="Y474" s="54"/>
      <c r="Z474" s="54"/>
      <c r="AA474" s="54" t="s">
        <v>114</v>
      </c>
      <c r="AB474" s="38" t="s">
        <v>115</v>
      </c>
      <c r="AC474" s="38"/>
      <c r="AD474" s="39">
        <v>79842.23</v>
      </c>
      <c r="AE474" s="39">
        <v>69601.12907</v>
      </c>
      <c r="AF474" s="39">
        <v>10241.10093</v>
      </c>
      <c r="AG474" s="57" t="s">
        <v>3005</v>
      </c>
      <c r="AH474" s="42" t="s">
        <v>362</v>
      </c>
      <c r="AI474" s="42" t="str">
        <f>IFERROR(__xludf.DUMMYFUNCTION("vLOOKUP(A474,IMPORTRANGE(""https://docs.google.com/spreadsheets/d/1Rawwwdh8wntXGy8isdYNHxsNQS4n_rC8JSdPfj6vEq4"",""'500 объектов перенос на 2026'!A3:AB502""),13,0)"),"#REF!")</f>
        <v>#REF!</v>
      </c>
      <c r="AJ474" s="42" t="str">
        <f>IFERROR(__xludf.DUMMYFUNCTION("vLOOKUP(A474,IMPORTRANGE(""https://docs.google.com/spreadsheets/d/1Rawwwdh8wntXGy8isdYNHxsNQS4n_rC8JSdPfj6vEq4"",""'500 объектов перенос на 2026'!A3:AB502""),14,0)"),"#REF!")</f>
        <v>#REF!</v>
      </c>
      <c r="AK474" s="76" t="s">
        <v>114</v>
      </c>
      <c r="AL474" s="43"/>
      <c r="AM474" s="43"/>
      <c r="AN474" s="43"/>
      <c r="AO474" s="43"/>
    </row>
    <row r="475" hidden="1">
      <c r="A475" s="78" t="s">
        <v>3006</v>
      </c>
      <c r="B475" s="63" t="s">
        <v>2990</v>
      </c>
      <c r="C475" s="64" t="s">
        <v>3007</v>
      </c>
      <c r="D475" s="47" t="s">
        <v>2992</v>
      </c>
      <c r="E475" s="64" t="s">
        <v>59</v>
      </c>
      <c r="F475" s="31" t="s">
        <v>60</v>
      </c>
      <c r="G475" s="31"/>
      <c r="H475" s="31"/>
      <c r="I475" s="31" t="s">
        <v>60</v>
      </c>
      <c r="J475" s="31"/>
      <c r="K475" s="31"/>
      <c r="L475" s="32" t="str">
        <f>IFERROR(__xludf.DUMMYFUNCTION("VLOOKUP($A475,IMPORTRANGE(""1PQtfbQLqBUP-rjYRznmgNFBLOjvAnhGzpIx7BJWq8rk"",""'Worksheet'!$B$2:$H""),7,FALSE)"),"#N/A")</f>
        <v>#N/A</v>
      </c>
      <c r="M475" s="31" t="s">
        <v>60</v>
      </c>
      <c r="N475" s="49">
        <v>3.149413286E7</v>
      </c>
      <c r="O475" s="49">
        <v>3.149413286E7</v>
      </c>
      <c r="P475" s="49">
        <f>N475-O475</f>
        <v>0</v>
      </c>
      <c r="Q475" s="34">
        <f t="shared" si="3"/>
        <v>0</v>
      </c>
      <c r="R475" s="31"/>
      <c r="S475" s="31" t="s">
        <v>60</v>
      </c>
      <c r="T475" s="97">
        <v>2.991942622E7</v>
      </c>
      <c r="U475" s="97">
        <v>2.991942622E7</v>
      </c>
      <c r="V475" s="88">
        <v>0.0</v>
      </c>
      <c r="W475" s="31"/>
      <c r="X475" s="52" t="s">
        <v>113</v>
      </c>
      <c r="Y475" s="54"/>
      <c r="Z475" s="54"/>
      <c r="AA475" s="54" t="s">
        <v>114</v>
      </c>
      <c r="AB475" s="38" t="s">
        <v>115</v>
      </c>
      <c r="AC475" s="38"/>
      <c r="AD475" s="39">
        <v>28107.24</v>
      </c>
      <c r="AE475" s="39">
        <v>31494.13286</v>
      </c>
      <c r="AF475" s="39">
        <v>-3386.89286</v>
      </c>
      <c r="AG475" s="57" t="s">
        <v>2993</v>
      </c>
      <c r="AH475" s="42" t="s">
        <v>2994</v>
      </c>
      <c r="AI475" s="42" t="str">
        <f>IFERROR(__xludf.DUMMYFUNCTION("vLOOKUP(A475,IMPORTRANGE(""https://docs.google.com/spreadsheets/d/1Rawwwdh8wntXGy8isdYNHxsNQS4n_rC8JSdPfj6vEq4"",""'500 объектов перенос на 2026'!A3:AB502""),13,0)"),"#REF!")</f>
        <v>#REF!</v>
      </c>
      <c r="AJ475" s="42" t="str">
        <f>IFERROR(__xludf.DUMMYFUNCTION("vLOOKUP(A475,IMPORTRANGE(""https://docs.google.com/spreadsheets/d/1Rawwwdh8wntXGy8isdYNHxsNQS4n_rC8JSdPfj6vEq4"",""'500 объектов перенос на 2026'!A3:AB502""),14,0)"),"#REF!")</f>
        <v>#REF!</v>
      </c>
      <c r="AK475" s="76" t="s">
        <v>114</v>
      </c>
      <c r="AL475" s="43"/>
      <c r="AM475" s="43"/>
      <c r="AN475" s="43"/>
      <c r="AO475" s="43"/>
    </row>
    <row r="476" hidden="1">
      <c r="A476" s="114" t="s">
        <v>3008</v>
      </c>
      <c r="B476" s="63" t="s">
        <v>2990</v>
      </c>
      <c r="C476" s="64" t="s">
        <v>3009</v>
      </c>
      <c r="D476" s="47" t="s">
        <v>3001</v>
      </c>
      <c r="E476" s="90" t="s">
        <v>85</v>
      </c>
      <c r="F476" s="31" t="s">
        <v>60</v>
      </c>
      <c r="G476" s="31"/>
      <c r="H476" s="31"/>
      <c r="I476" s="31" t="s">
        <v>60</v>
      </c>
      <c r="J476" s="31"/>
      <c r="K476" s="31"/>
      <c r="L476" s="32" t="str">
        <f>IFERROR(__xludf.DUMMYFUNCTION("VLOOKUP($A476,IMPORTRANGE(""1PQtfbQLqBUP-rjYRznmgNFBLOjvAnhGzpIx7BJWq8rk"",""'Worksheet'!$B$2:$H""),7,FALSE)"),"#N/A")</f>
        <v>#N/A</v>
      </c>
      <c r="M476" s="31" t="s">
        <v>60</v>
      </c>
      <c r="N476" s="49">
        <v>3.696237466E7</v>
      </c>
      <c r="O476" s="49">
        <v>2.433341922E7</v>
      </c>
      <c r="P476" s="49">
        <v>0.0</v>
      </c>
      <c r="Q476" s="34">
        <f t="shared" si="3"/>
        <v>0.3416705652</v>
      </c>
      <c r="R476" s="31"/>
      <c r="S476" s="31" t="s">
        <v>60</v>
      </c>
      <c r="T476" s="97">
        <v>3.511425593E7</v>
      </c>
      <c r="U476" s="97">
        <v>3.511425593E7</v>
      </c>
      <c r="V476" s="88">
        <v>0.0</v>
      </c>
      <c r="W476" s="31"/>
      <c r="X476" s="52" t="s">
        <v>113</v>
      </c>
      <c r="Y476" s="54"/>
      <c r="Z476" s="54"/>
      <c r="AA476" s="54" t="s">
        <v>114</v>
      </c>
      <c r="AB476" s="38" t="s">
        <v>115</v>
      </c>
      <c r="AC476" s="38"/>
      <c r="AD476" s="39">
        <v>36962.74</v>
      </c>
      <c r="AE476" s="39">
        <v>25615.98365</v>
      </c>
      <c r="AF476" s="39">
        <v>11346.75635</v>
      </c>
      <c r="AG476" s="57" t="s">
        <v>3010</v>
      </c>
      <c r="AH476" s="42" t="s">
        <v>362</v>
      </c>
      <c r="AI476" s="42" t="str">
        <f>IFERROR(__xludf.DUMMYFUNCTION("vLOOKUP(A476,IMPORTRANGE(""https://docs.google.com/spreadsheets/d/1Rawwwdh8wntXGy8isdYNHxsNQS4n_rC8JSdPfj6vEq4"",""'500 объектов перенос на 2026'!A3:AB502""),13,0)"),"#REF!")</f>
        <v>#REF!</v>
      </c>
      <c r="AJ476" s="42" t="str">
        <f>IFERROR(__xludf.DUMMYFUNCTION("vLOOKUP(A476,IMPORTRANGE(""https://docs.google.com/spreadsheets/d/1Rawwwdh8wntXGy8isdYNHxsNQS4n_rC8JSdPfj6vEq4"",""'500 объектов перенос на 2026'!A3:AB502""),14,0)"),"#REF!")</f>
        <v>#REF!</v>
      </c>
      <c r="AK476" s="76" t="s">
        <v>114</v>
      </c>
      <c r="AL476" s="43"/>
      <c r="AM476" s="43"/>
      <c r="AN476" s="43"/>
      <c r="AO476" s="43"/>
    </row>
    <row r="477" hidden="1">
      <c r="A477" s="62" t="s">
        <v>3011</v>
      </c>
      <c r="B477" s="63" t="s">
        <v>736</v>
      </c>
      <c r="C477" s="64" t="s">
        <v>3012</v>
      </c>
      <c r="D477" s="47" t="s">
        <v>227</v>
      </c>
      <c r="E477" s="64" t="s">
        <v>39</v>
      </c>
      <c r="F477" s="31" t="s">
        <v>60</v>
      </c>
      <c r="G477" s="31"/>
      <c r="H477" s="31"/>
      <c r="I477" s="31" t="s">
        <v>60</v>
      </c>
      <c r="J477" s="31"/>
      <c r="K477" s="31"/>
      <c r="L477" s="32">
        <f>IFERROR(__xludf.DUMMYFUNCTION("VLOOKUP($A477,IMPORTRANGE(""1PQtfbQLqBUP-rjYRznmgNFBLOjvAnhGzpIx7BJWq8rk"",""'Worksheet'!$B$2:$H""),7,FALSE)"),1.0)</f>
        <v>1</v>
      </c>
      <c r="M477" s="31" t="s">
        <v>60</v>
      </c>
      <c r="N477" s="49">
        <v>3.921606421E7</v>
      </c>
      <c r="O477" s="49">
        <v>3.637567177E7</v>
      </c>
      <c r="P477" s="49">
        <v>0.0</v>
      </c>
      <c r="Q477" s="34">
        <f t="shared" si="3"/>
        <v>0.07242930919</v>
      </c>
      <c r="R477" s="31"/>
      <c r="S477" s="31" t="s">
        <v>60</v>
      </c>
      <c r="T477" s="50"/>
      <c r="U477" s="51"/>
      <c r="V477" s="51"/>
      <c r="W477" s="31"/>
      <c r="X477" s="52" t="s">
        <v>507</v>
      </c>
      <c r="Y477" s="74"/>
      <c r="Z477" s="74"/>
      <c r="AA477" s="54" t="s">
        <v>114</v>
      </c>
      <c r="AB477" s="38" t="s">
        <v>115</v>
      </c>
      <c r="AC477" s="38"/>
      <c r="AD477" s="39">
        <v>39216.06</v>
      </c>
      <c r="AE477" s="39">
        <v>49978.55704</v>
      </c>
      <c r="AF477" s="40">
        <v>-10762.49704</v>
      </c>
      <c r="AG477" s="57" t="s">
        <v>3013</v>
      </c>
      <c r="AH477" s="42" t="s">
        <v>1262</v>
      </c>
      <c r="AI477" s="42" t="str">
        <f>IFERROR(__xludf.DUMMYFUNCTION("vLOOKUP(A477,IMPORTRANGE(""https://docs.google.com/spreadsheets/d/1Rawwwdh8wntXGy8isdYNHxsNQS4n_rC8JSdPfj6vEq4"",""'500 объектов перенос на 2026'!A3:AB502""),13,0)"),"#REF!")</f>
        <v>#REF!</v>
      </c>
      <c r="AJ477" s="42" t="str">
        <f>IFERROR(__xludf.DUMMYFUNCTION("vLOOKUP(A477,IMPORTRANGE(""https://docs.google.com/spreadsheets/d/1Rawwwdh8wntXGy8isdYNHxsNQS4n_rC8JSdPfj6vEq4"",""'500 объектов перенос на 2026'!A3:AB502""),14,0)"),"#REF!")</f>
        <v>#REF!</v>
      </c>
      <c r="AK477" s="76" t="s">
        <v>114</v>
      </c>
      <c r="AL477" s="43"/>
      <c r="AM477" s="43"/>
      <c r="AN477" s="43"/>
      <c r="AO477" s="43"/>
    </row>
    <row r="478" hidden="1">
      <c r="A478" s="62" t="s">
        <v>3014</v>
      </c>
      <c r="B478" s="63" t="s">
        <v>268</v>
      </c>
      <c r="C478" s="64" t="s">
        <v>3015</v>
      </c>
      <c r="D478" s="47" t="s">
        <v>848</v>
      </c>
      <c r="E478" s="64" t="s">
        <v>85</v>
      </c>
      <c r="F478" s="31" t="s">
        <v>60</v>
      </c>
      <c r="G478" s="31"/>
      <c r="H478" s="31"/>
      <c r="I478" s="31" t="s">
        <v>60</v>
      </c>
      <c r="J478" s="31"/>
      <c r="K478" s="31"/>
      <c r="L478" s="32">
        <f>IFERROR(__xludf.DUMMYFUNCTION("VLOOKUP($A478,IMPORTRANGE(""1PQtfbQLqBUP-rjYRznmgNFBLOjvAnhGzpIx7BJWq8rk"",""'Worksheet'!$B$2:$H""),7,FALSE)"),0.95)</f>
        <v>0.95</v>
      </c>
      <c r="M478" s="31" t="s">
        <v>40</v>
      </c>
      <c r="N478" s="49">
        <v>3729400.0</v>
      </c>
      <c r="O478" s="49">
        <v>1118820.0</v>
      </c>
      <c r="P478" s="49">
        <f>N478-O478</f>
        <v>2610580</v>
      </c>
      <c r="Q478" s="34">
        <f t="shared" si="3"/>
        <v>0.7</v>
      </c>
      <c r="R478" s="31"/>
      <c r="S478" s="31" t="s">
        <v>45</v>
      </c>
      <c r="T478" s="91" t="s">
        <v>3016</v>
      </c>
      <c r="U478" s="91" t="s">
        <v>3017</v>
      </c>
      <c r="V478" s="51" t="s">
        <v>3016</v>
      </c>
      <c r="W478" s="31" t="s">
        <v>148</v>
      </c>
      <c r="X478" s="52" t="s">
        <v>3018</v>
      </c>
      <c r="Y478" s="54"/>
      <c r="Z478" s="54" t="s">
        <v>851</v>
      </c>
      <c r="AA478" s="68">
        <v>46235.0</v>
      </c>
      <c r="AB478" s="56"/>
      <c r="AC478" s="38"/>
      <c r="AD478" s="39">
        <v>3729.4</v>
      </c>
      <c r="AE478" s="39">
        <v>1118.82</v>
      </c>
      <c r="AF478" s="40">
        <v>2610.58</v>
      </c>
      <c r="AG478" s="57" t="s">
        <v>3019</v>
      </c>
      <c r="AH478" s="42" t="s">
        <v>3020</v>
      </c>
      <c r="AI478" s="42" t="str">
        <f>IFERROR(__xludf.DUMMYFUNCTION("vLOOKUP(A478,IMPORTRANGE(""https://docs.google.com/spreadsheets/d/1Rawwwdh8wntXGy8isdYNHxsNQS4n_rC8JSdPfj6vEq4"",""'500 объектов перенос на 2026'!A3:AB502""),13,0)"),"#REF!")</f>
        <v>#REF!</v>
      </c>
      <c r="AJ478" s="42" t="str">
        <f>IFERROR(__xludf.DUMMYFUNCTION("vLOOKUP(A478,IMPORTRANGE(""https://docs.google.com/spreadsheets/d/1Rawwwdh8wntXGy8isdYNHxsNQS4n_rC8JSdPfj6vEq4"",""'500 объектов перенос на 2026'!A3:AB502""),14,0)"),"#REF!")</f>
        <v>#REF!</v>
      </c>
      <c r="AK478" s="151" t="s">
        <v>3489</v>
      </c>
      <c r="AL478" s="43"/>
      <c r="AM478" s="43"/>
      <c r="AN478" s="43"/>
      <c r="AO478" s="43"/>
    </row>
    <row r="479" hidden="1">
      <c r="A479" s="78" t="s">
        <v>3021</v>
      </c>
      <c r="B479" s="63" t="s">
        <v>736</v>
      </c>
      <c r="C479" s="64" t="s">
        <v>3022</v>
      </c>
      <c r="D479" s="47" t="s">
        <v>1523</v>
      </c>
      <c r="E479" s="64" t="s">
        <v>85</v>
      </c>
      <c r="F479" s="31" t="s">
        <v>60</v>
      </c>
      <c r="G479" s="31"/>
      <c r="H479" s="31"/>
      <c r="I479" s="31" t="s">
        <v>60</v>
      </c>
      <c r="J479" s="31"/>
      <c r="K479" s="31"/>
      <c r="L479" s="32" t="str">
        <f>IFERROR(__xludf.DUMMYFUNCTION("VLOOKUP($A479,IMPORTRANGE(""1PQtfbQLqBUP-rjYRznmgNFBLOjvAnhGzpIx7BJWq8rk"",""'Worksheet'!$B$2:$H""),7,FALSE)"),"#N/A")</f>
        <v>#N/A</v>
      </c>
      <c r="M479" s="31" t="s">
        <v>60</v>
      </c>
      <c r="N479" s="49">
        <v>2.380136828E7</v>
      </c>
      <c r="O479" s="49">
        <v>2.269431596E7</v>
      </c>
      <c r="P479" s="49">
        <v>0.0</v>
      </c>
      <c r="Q479" s="34">
        <f t="shared" si="3"/>
        <v>0.04651212934</v>
      </c>
      <c r="R479" s="31"/>
      <c r="S479" s="31" t="s">
        <v>60</v>
      </c>
      <c r="T479" s="50"/>
      <c r="U479" s="51"/>
      <c r="V479" s="51"/>
      <c r="W479" s="31"/>
      <c r="X479" s="52" t="s">
        <v>113</v>
      </c>
      <c r="Y479" s="54"/>
      <c r="Z479" s="54"/>
      <c r="AA479" s="54" t="s">
        <v>114</v>
      </c>
      <c r="AB479" s="38" t="s">
        <v>115</v>
      </c>
      <c r="AC479" s="38"/>
      <c r="AD479" s="39">
        <v>28221.2</v>
      </c>
      <c r="AE479" s="39">
        <v>22694.31596</v>
      </c>
      <c r="AF479" s="39">
        <v>5526.88404</v>
      </c>
      <c r="AG479" s="57" t="s">
        <v>3023</v>
      </c>
      <c r="AH479" s="42" t="s">
        <v>1385</v>
      </c>
      <c r="AI479" s="42" t="str">
        <f>IFERROR(__xludf.DUMMYFUNCTION("vLOOKUP(A479,IMPORTRANGE(""https://docs.google.com/spreadsheets/d/1Rawwwdh8wntXGy8isdYNHxsNQS4n_rC8JSdPfj6vEq4"",""'500 объектов перенос на 2026'!A3:AB502""),13,0)"),"#REF!")</f>
        <v>#REF!</v>
      </c>
      <c r="AJ479" s="42" t="str">
        <f>IFERROR(__xludf.DUMMYFUNCTION("vLOOKUP(A479,IMPORTRANGE(""https://docs.google.com/spreadsheets/d/1Rawwwdh8wntXGy8isdYNHxsNQS4n_rC8JSdPfj6vEq4"",""'500 объектов перенос на 2026'!A3:AB502""),14,0)"),"#REF!")</f>
        <v>#REF!</v>
      </c>
      <c r="AK479" s="76" t="s">
        <v>114</v>
      </c>
      <c r="AL479" s="43"/>
      <c r="AM479" s="43"/>
      <c r="AN479" s="43"/>
      <c r="AO479" s="43"/>
    </row>
    <row r="480" hidden="1">
      <c r="A480" s="62" t="s">
        <v>3024</v>
      </c>
      <c r="B480" s="63" t="s">
        <v>736</v>
      </c>
      <c r="C480" s="64" t="s">
        <v>3025</v>
      </c>
      <c r="D480" s="47" t="s">
        <v>227</v>
      </c>
      <c r="E480" s="64" t="s">
        <v>39</v>
      </c>
      <c r="F480" s="31" t="s">
        <v>60</v>
      </c>
      <c r="G480" s="31"/>
      <c r="H480" s="31"/>
      <c r="I480" s="31" t="s">
        <v>60</v>
      </c>
      <c r="J480" s="31"/>
      <c r="K480" s="31"/>
      <c r="L480" s="32">
        <f>IFERROR(__xludf.DUMMYFUNCTION("VLOOKUP($A480,IMPORTRANGE(""1PQtfbQLqBUP-rjYRznmgNFBLOjvAnhGzpIx7BJWq8rk"",""'Worksheet'!$B$2:$H""),7,FALSE)"),1.0)</f>
        <v>1</v>
      </c>
      <c r="M480" s="31" t="s">
        <v>60</v>
      </c>
      <c r="N480" s="49">
        <v>2.111816246E7</v>
      </c>
      <c r="O480" s="49">
        <v>1.965304488E7</v>
      </c>
      <c r="P480" s="49">
        <v>0.0</v>
      </c>
      <c r="Q480" s="34">
        <f t="shared" si="3"/>
        <v>0.06937713368</v>
      </c>
      <c r="R480" s="31"/>
      <c r="S480" s="31" t="s">
        <v>60</v>
      </c>
      <c r="T480" s="50"/>
      <c r="U480" s="51"/>
      <c r="V480" s="51"/>
      <c r="W480" s="31"/>
      <c r="X480" s="52" t="s">
        <v>507</v>
      </c>
      <c r="Y480" s="74"/>
      <c r="Z480" s="74"/>
      <c r="AA480" s="54" t="s">
        <v>114</v>
      </c>
      <c r="AB480" s="38" t="s">
        <v>115</v>
      </c>
      <c r="AC480" s="38"/>
      <c r="AD480" s="39">
        <v>21122.0</v>
      </c>
      <c r="AE480" s="39">
        <v>22896.67556</v>
      </c>
      <c r="AF480" s="40">
        <v>-1774.67556</v>
      </c>
      <c r="AG480" s="57" t="s">
        <v>3026</v>
      </c>
      <c r="AH480" s="42" t="s">
        <v>1262</v>
      </c>
      <c r="AI480" s="42" t="str">
        <f>IFERROR(__xludf.DUMMYFUNCTION("vLOOKUP(A480,IMPORTRANGE(""https://docs.google.com/spreadsheets/d/1Rawwwdh8wntXGy8isdYNHxsNQS4n_rC8JSdPfj6vEq4"",""'500 объектов перенос на 2026'!A3:AB502""),13,0)"),"#REF!")</f>
        <v>#REF!</v>
      </c>
      <c r="AJ480" s="42" t="str">
        <f>IFERROR(__xludf.DUMMYFUNCTION("vLOOKUP(A480,IMPORTRANGE(""https://docs.google.com/spreadsheets/d/1Rawwwdh8wntXGy8isdYNHxsNQS4n_rC8JSdPfj6vEq4"",""'500 объектов перенос на 2026'!A3:AB502""),14,0)"),"#REF!")</f>
        <v>#REF!</v>
      </c>
      <c r="AK480" s="76" t="s">
        <v>114</v>
      </c>
      <c r="AL480" s="43"/>
      <c r="AM480" s="43"/>
      <c r="AN480" s="43"/>
      <c r="AO480" s="43"/>
    </row>
    <row r="481" hidden="1">
      <c r="A481" s="114" t="s">
        <v>3027</v>
      </c>
      <c r="B481" s="63" t="s">
        <v>736</v>
      </c>
      <c r="C481" s="64" t="s">
        <v>3028</v>
      </c>
      <c r="D481" s="47" t="s">
        <v>227</v>
      </c>
      <c r="E481" s="64" t="s">
        <v>59</v>
      </c>
      <c r="F481" s="31" t="s">
        <v>60</v>
      </c>
      <c r="G481" s="31"/>
      <c r="H481" s="31"/>
      <c r="I481" s="31" t="s">
        <v>60</v>
      </c>
      <c r="J481" s="31"/>
      <c r="K481" s="31"/>
      <c r="L481" s="32">
        <f>IFERROR(__xludf.DUMMYFUNCTION("VLOOKUP($A481,IMPORTRANGE(""1PQtfbQLqBUP-rjYRznmgNFBLOjvAnhGzpIx7BJWq8rk"",""'Worksheet'!$B$2:$H""),7,FALSE)"),1.0)</f>
        <v>1</v>
      </c>
      <c r="M481" s="31" t="s">
        <v>60</v>
      </c>
      <c r="N481" s="49">
        <v>1.6427608519E8</v>
      </c>
      <c r="O481" s="49">
        <v>1.0735188294E8</v>
      </c>
      <c r="P481" s="49">
        <v>0.0</v>
      </c>
      <c r="Q481" s="34">
        <f t="shared" si="3"/>
        <v>0.3465154541</v>
      </c>
      <c r="R481" s="31"/>
      <c r="S481" s="31" t="s">
        <v>60</v>
      </c>
      <c r="T481" s="50" t="s">
        <v>3029</v>
      </c>
      <c r="U481" s="115">
        <v>1.0735188294E8</v>
      </c>
      <c r="V481" s="51">
        <v>0.0</v>
      </c>
      <c r="W481" s="31"/>
      <c r="X481" s="52" t="s">
        <v>113</v>
      </c>
      <c r="Y481" s="54"/>
      <c r="Z481" s="54"/>
      <c r="AA481" s="54" t="s">
        <v>114</v>
      </c>
      <c r="AB481" s="38" t="s">
        <v>115</v>
      </c>
      <c r="AC481" s="38"/>
      <c r="AD481" s="39">
        <v>164276.09</v>
      </c>
      <c r="AE481" s="39">
        <v>107186.1812</v>
      </c>
      <c r="AF481" s="39">
        <v>57089.90878</v>
      </c>
      <c r="AG481" s="57" t="s">
        <v>3030</v>
      </c>
      <c r="AH481" s="42" t="s">
        <v>1262</v>
      </c>
      <c r="AI481" s="42" t="str">
        <f>IFERROR(__xludf.DUMMYFUNCTION("vLOOKUP(A481,IMPORTRANGE(""https://docs.google.com/spreadsheets/d/1Rawwwdh8wntXGy8isdYNHxsNQS4n_rC8JSdPfj6vEq4"",""'500 объектов перенос на 2026'!A3:AB502""),13,0)"),"#REF!")</f>
        <v>#REF!</v>
      </c>
      <c r="AJ481" s="42" t="str">
        <f>IFERROR(__xludf.DUMMYFUNCTION("vLOOKUP(A481,IMPORTRANGE(""https://docs.google.com/spreadsheets/d/1Rawwwdh8wntXGy8isdYNHxsNQS4n_rC8JSdPfj6vEq4"",""'500 объектов перенос на 2026'!A3:AB502""),14,0)"),"#REF!")</f>
        <v>#REF!</v>
      </c>
      <c r="AK481" s="76" t="s">
        <v>114</v>
      </c>
      <c r="AL481" s="43"/>
      <c r="AM481" s="43"/>
      <c r="AN481" s="43"/>
      <c r="AO481" s="43"/>
    </row>
    <row r="482" hidden="1">
      <c r="A482" s="78" t="s">
        <v>3031</v>
      </c>
      <c r="B482" s="63" t="s">
        <v>736</v>
      </c>
      <c r="C482" s="64" t="s">
        <v>3032</v>
      </c>
      <c r="D482" s="47" t="s">
        <v>1523</v>
      </c>
      <c r="E482" s="64" t="s">
        <v>85</v>
      </c>
      <c r="F482" s="31" t="s">
        <v>60</v>
      </c>
      <c r="G482" s="31"/>
      <c r="H482" s="31"/>
      <c r="I482" s="31" t="s">
        <v>60</v>
      </c>
      <c r="J482" s="31"/>
      <c r="K482" s="31"/>
      <c r="L482" s="32" t="str">
        <f>IFERROR(__xludf.DUMMYFUNCTION("VLOOKUP($A482,IMPORTRANGE(""1PQtfbQLqBUP-rjYRznmgNFBLOjvAnhGzpIx7BJWq8rk"",""'Worksheet'!$B$2:$H""),7,FALSE)"),"#N/A")</f>
        <v>#N/A</v>
      </c>
      <c r="M482" s="31" t="s">
        <v>60</v>
      </c>
      <c r="N482" s="49">
        <v>2.798160604E7</v>
      </c>
      <c r="O482" s="49">
        <v>2.47850025E7</v>
      </c>
      <c r="P482" s="49">
        <v>0.0</v>
      </c>
      <c r="Q482" s="34">
        <f t="shared" si="3"/>
        <v>0.1142394591</v>
      </c>
      <c r="R482" s="31"/>
      <c r="S482" s="31" t="s">
        <v>60</v>
      </c>
      <c r="T482" s="50"/>
      <c r="U482" s="51"/>
      <c r="V482" s="51"/>
      <c r="W482" s="31"/>
      <c r="X482" s="52" t="s">
        <v>113</v>
      </c>
      <c r="Y482" s="54"/>
      <c r="Z482" s="54"/>
      <c r="AA482" s="54" t="s">
        <v>114</v>
      </c>
      <c r="AB482" s="38" t="s">
        <v>115</v>
      </c>
      <c r="AC482" s="38"/>
      <c r="AD482" s="39">
        <v>57527.6</v>
      </c>
      <c r="AE482" s="39">
        <v>24785.0025</v>
      </c>
      <c r="AF482" s="39">
        <v>32742.5975</v>
      </c>
      <c r="AG482" s="57" t="s">
        <v>3033</v>
      </c>
      <c r="AH482" s="42" t="s">
        <v>1385</v>
      </c>
      <c r="AI482" s="42" t="str">
        <f>IFERROR(__xludf.DUMMYFUNCTION("vLOOKUP(A482,IMPORTRANGE(""https://docs.google.com/spreadsheets/d/1Rawwwdh8wntXGy8isdYNHxsNQS4n_rC8JSdPfj6vEq4"",""'500 объектов перенос на 2026'!A3:AB502""),13,0)"),"#REF!")</f>
        <v>#REF!</v>
      </c>
      <c r="AJ482" s="42" t="str">
        <f>IFERROR(__xludf.DUMMYFUNCTION("vLOOKUP(A482,IMPORTRANGE(""https://docs.google.com/spreadsheets/d/1Rawwwdh8wntXGy8isdYNHxsNQS4n_rC8JSdPfj6vEq4"",""'500 объектов перенос на 2026'!A3:AB502""),14,0)"),"#REF!")</f>
        <v>#REF!</v>
      </c>
      <c r="AK482" s="76" t="s">
        <v>114</v>
      </c>
      <c r="AL482" s="43"/>
      <c r="AM482" s="43"/>
      <c r="AN482" s="43"/>
      <c r="AO482" s="43"/>
    </row>
    <row r="483" hidden="1">
      <c r="A483" s="78" t="s">
        <v>3034</v>
      </c>
      <c r="B483" s="63" t="s">
        <v>736</v>
      </c>
      <c r="C483" s="64" t="s">
        <v>3035</v>
      </c>
      <c r="D483" s="47" t="s">
        <v>1523</v>
      </c>
      <c r="E483" s="64" t="s">
        <v>85</v>
      </c>
      <c r="F483" s="31" t="s">
        <v>60</v>
      </c>
      <c r="G483" s="31"/>
      <c r="H483" s="31"/>
      <c r="I483" s="31" t="s">
        <v>60</v>
      </c>
      <c r="J483" s="31"/>
      <c r="K483" s="31"/>
      <c r="L483" s="32" t="str">
        <f>IFERROR(__xludf.DUMMYFUNCTION("VLOOKUP($A483,IMPORTRANGE(""1PQtfbQLqBUP-rjYRznmgNFBLOjvAnhGzpIx7BJWq8rk"",""'Worksheet'!$B$2:$H""),7,FALSE)"),"#N/A")</f>
        <v>#N/A</v>
      </c>
      <c r="M483" s="31" t="s">
        <v>60</v>
      </c>
      <c r="N483" s="49">
        <v>1.656969889E7</v>
      </c>
      <c r="O483" s="49">
        <v>1.628069879E7</v>
      </c>
      <c r="P483" s="49">
        <v>0.0</v>
      </c>
      <c r="Q483" s="34">
        <f t="shared" si="3"/>
        <v>0.0174414817</v>
      </c>
      <c r="R483" s="31"/>
      <c r="S483" s="31" t="s">
        <v>60</v>
      </c>
      <c r="T483" s="50"/>
      <c r="U483" s="117"/>
      <c r="V483" s="51"/>
      <c r="W483" s="31"/>
      <c r="X483" s="52" t="s">
        <v>113</v>
      </c>
      <c r="Y483" s="54"/>
      <c r="Z483" s="54"/>
      <c r="AA483" s="54" t="s">
        <v>114</v>
      </c>
      <c r="AB483" s="38" t="s">
        <v>115</v>
      </c>
      <c r="AC483" s="38"/>
      <c r="AD483" s="39">
        <v>30636.0</v>
      </c>
      <c r="AE483" s="39">
        <v>11533.39572</v>
      </c>
      <c r="AF483" s="39">
        <v>19102.60428</v>
      </c>
      <c r="AG483" s="57" t="s">
        <v>3036</v>
      </c>
      <c r="AH483" s="42" t="s">
        <v>1385</v>
      </c>
      <c r="AI483" s="42" t="str">
        <f>IFERROR(__xludf.DUMMYFUNCTION("vLOOKUP(A483,IMPORTRANGE(""https://docs.google.com/spreadsheets/d/1Rawwwdh8wntXGy8isdYNHxsNQS4n_rC8JSdPfj6vEq4"",""'500 объектов перенос на 2026'!A3:AB502""),13,0)"),"#REF!")</f>
        <v>#REF!</v>
      </c>
      <c r="AJ483" s="42" t="str">
        <f>IFERROR(__xludf.DUMMYFUNCTION("vLOOKUP(A483,IMPORTRANGE(""https://docs.google.com/spreadsheets/d/1Rawwwdh8wntXGy8isdYNHxsNQS4n_rC8JSdPfj6vEq4"",""'500 объектов перенос на 2026'!A3:AB502""),14,0)"),"#REF!")</f>
        <v>#REF!</v>
      </c>
      <c r="AK483" s="76" t="s">
        <v>114</v>
      </c>
      <c r="AL483" s="43"/>
      <c r="AM483" s="43"/>
      <c r="AN483" s="43"/>
      <c r="AO483" s="43"/>
    </row>
    <row r="484" hidden="1">
      <c r="A484" s="78" t="s">
        <v>3037</v>
      </c>
      <c r="B484" s="63" t="s">
        <v>736</v>
      </c>
      <c r="C484" s="64" t="s">
        <v>3038</v>
      </c>
      <c r="D484" s="47" t="s">
        <v>1523</v>
      </c>
      <c r="E484" s="64" t="s">
        <v>85</v>
      </c>
      <c r="F484" s="31" t="s">
        <v>60</v>
      </c>
      <c r="G484" s="31"/>
      <c r="H484" s="31"/>
      <c r="I484" s="31" t="s">
        <v>60</v>
      </c>
      <c r="J484" s="31"/>
      <c r="K484" s="31"/>
      <c r="L484" s="32" t="str">
        <f>IFERROR(__xludf.DUMMYFUNCTION("VLOOKUP($A484,IMPORTRANGE(""1PQtfbQLqBUP-rjYRznmgNFBLOjvAnhGzpIx7BJWq8rk"",""'Worksheet'!$B$2:$H""),7,FALSE)"),"#N/A")</f>
        <v>#N/A</v>
      </c>
      <c r="M484" s="31" t="s">
        <v>60</v>
      </c>
      <c r="N484" s="49">
        <v>5.3686464E7</v>
      </c>
      <c r="O484" s="49">
        <v>4.259136648E7</v>
      </c>
      <c r="P484" s="49">
        <v>0.0</v>
      </c>
      <c r="Q484" s="34">
        <f t="shared" si="3"/>
        <v>0.2066647101</v>
      </c>
      <c r="R484" s="31"/>
      <c r="S484" s="31" t="s">
        <v>60</v>
      </c>
      <c r="T484" s="50"/>
      <c r="U484" s="117"/>
      <c r="V484" s="51"/>
      <c r="W484" s="31"/>
      <c r="X484" s="52" t="s">
        <v>113</v>
      </c>
      <c r="Y484" s="54"/>
      <c r="Z484" s="54"/>
      <c r="AA484" s="54" t="s">
        <v>114</v>
      </c>
      <c r="AB484" s="38" t="s">
        <v>115</v>
      </c>
      <c r="AC484" s="38"/>
      <c r="AD484" s="39">
        <v>115472.0</v>
      </c>
      <c r="AE484" s="39">
        <v>42591.36335</v>
      </c>
      <c r="AF484" s="39">
        <v>72880.63665</v>
      </c>
      <c r="AG484" s="57" t="s">
        <v>3039</v>
      </c>
      <c r="AH484" s="42" t="s">
        <v>1385</v>
      </c>
      <c r="AI484" s="42" t="str">
        <f>IFERROR(__xludf.DUMMYFUNCTION("vLOOKUP(A484,IMPORTRANGE(""https://docs.google.com/spreadsheets/d/1Rawwwdh8wntXGy8isdYNHxsNQS4n_rC8JSdPfj6vEq4"",""'500 объектов перенос на 2026'!A3:AB502""),13,0)"),"#REF!")</f>
        <v>#REF!</v>
      </c>
      <c r="AJ484" s="42" t="str">
        <f>IFERROR(__xludf.DUMMYFUNCTION("vLOOKUP(A484,IMPORTRANGE(""https://docs.google.com/spreadsheets/d/1Rawwwdh8wntXGy8isdYNHxsNQS4n_rC8JSdPfj6vEq4"",""'500 объектов перенос на 2026'!A3:AB502""),14,0)"),"#REF!")</f>
        <v>#REF!</v>
      </c>
      <c r="AK484" s="76" t="s">
        <v>114</v>
      </c>
      <c r="AL484" s="43"/>
      <c r="AM484" s="43"/>
      <c r="AN484" s="43"/>
      <c r="AO484" s="43"/>
    </row>
    <row r="485" hidden="1">
      <c r="A485" s="78" t="s">
        <v>3040</v>
      </c>
      <c r="B485" s="63" t="s">
        <v>736</v>
      </c>
      <c r="C485" s="64" t="s">
        <v>3041</v>
      </c>
      <c r="D485" s="47" t="s">
        <v>227</v>
      </c>
      <c r="E485" s="64" t="s">
        <v>59</v>
      </c>
      <c r="F485" s="31" t="s">
        <v>60</v>
      </c>
      <c r="G485" s="31"/>
      <c r="H485" s="31"/>
      <c r="I485" s="31" t="s">
        <v>60</v>
      </c>
      <c r="J485" s="31"/>
      <c r="K485" s="31"/>
      <c r="L485" s="32" t="str">
        <f>IFERROR(__xludf.DUMMYFUNCTION("VLOOKUP($A485,IMPORTRANGE(""1PQtfbQLqBUP-rjYRznmgNFBLOjvAnhGzpIx7BJWq8rk"",""'Worksheet'!$B$2:$H""),7,FALSE)"),"#N/A")</f>
        <v>#N/A</v>
      </c>
      <c r="M485" s="31" t="s">
        <v>60</v>
      </c>
      <c r="N485" s="49">
        <v>3.7141802E7</v>
      </c>
      <c r="O485" s="49">
        <v>3.249388308E7</v>
      </c>
      <c r="P485" s="49">
        <v>0.0</v>
      </c>
      <c r="Q485" s="34">
        <f t="shared" si="3"/>
        <v>0.1251398335</v>
      </c>
      <c r="R485" s="31"/>
      <c r="S485" s="31" t="s">
        <v>60</v>
      </c>
      <c r="T485" s="50"/>
      <c r="U485" s="117"/>
      <c r="V485" s="51"/>
      <c r="W485" s="31"/>
      <c r="X485" s="52" t="s">
        <v>113</v>
      </c>
      <c r="Y485" s="54"/>
      <c r="Z485" s="54"/>
      <c r="AA485" s="54" t="s">
        <v>114</v>
      </c>
      <c r="AB485" s="38" t="s">
        <v>115</v>
      </c>
      <c r="AC485" s="38"/>
      <c r="AD485" s="39">
        <v>37141.8</v>
      </c>
      <c r="AE485" s="39">
        <v>32493.88308</v>
      </c>
      <c r="AF485" s="39">
        <v>4647.91692</v>
      </c>
      <c r="AG485" s="57" t="s">
        <v>3042</v>
      </c>
      <c r="AH485" s="42" t="s">
        <v>1385</v>
      </c>
      <c r="AI485" s="42" t="str">
        <f>IFERROR(__xludf.DUMMYFUNCTION("vLOOKUP(A485,IMPORTRANGE(""https://docs.google.com/spreadsheets/d/1Rawwwdh8wntXGy8isdYNHxsNQS4n_rC8JSdPfj6vEq4"",""'500 объектов перенос на 2026'!A3:AB502""),13,0)"),"#REF!")</f>
        <v>#REF!</v>
      </c>
      <c r="AJ485" s="42" t="str">
        <f>IFERROR(__xludf.DUMMYFUNCTION("vLOOKUP(A485,IMPORTRANGE(""https://docs.google.com/spreadsheets/d/1Rawwwdh8wntXGy8isdYNHxsNQS4n_rC8JSdPfj6vEq4"",""'500 объектов перенос на 2026'!A3:AB502""),14,0)"),"#REF!")</f>
        <v>#REF!</v>
      </c>
      <c r="AK485" s="76" t="s">
        <v>114</v>
      </c>
      <c r="AL485" s="43"/>
      <c r="AM485" s="43"/>
      <c r="AN485" s="43"/>
      <c r="AO485" s="43"/>
    </row>
    <row r="486" hidden="1">
      <c r="A486" s="62" t="s">
        <v>3043</v>
      </c>
      <c r="B486" s="63" t="s">
        <v>133</v>
      </c>
      <c r="C486" s="144" t="s">
        <v>3044</v>
      </c>
      <c r="D486" s="47" t="s">
        <v>3045</v>
      </c>
      <c r="E486" s="64" t="s">
        <v>39</v>
      </c>
      <c r="F486" s="31" t="s">
        <v>60</v>
      </c>
      <c r="G486" s="31"/>
      <c r="H486" s="31"/>
      <c r="I486" s="31" t="s">
        <v>60</v>
      </c>
      <c r="J486" s="31"/>
      <c r="K486" s="31"/>
      <c r="L486" s="32">
        <f>IFERROR(__xludf.DUMMYFUNCTION("VLOOKUP($A486,IMPORTRANGE(""1PQtfbQLqBUP-rjYRznmgNFBLOjvAnhGzpIx7BJWq8rk"",""'Worksheet'!$B$2:$H""),7,FALSE)"),1.0)</f>
        <v>1</v>
      </c>
      <c r="M486" s="31" t="s">
        <v>45</v>
      </c>
      <c r="N486" s="49">
        <v>1.1305509705E8</v>
      </c>
      <c r="O486" s="49">
        <v>1.1081229927E8</v>
      </c>
      <c r="P486" s="49">
        <f t="shared" ref="P486:P488" si="74">N486-O486</f>
        <v>2242797.78</v>
      </c>
      <c r="Q486" s="34">
        <f t="shared" si="3"/>
        <v>0.01983809522</v>
      </c>
      <c r="R486" s="31"/>
      <c r="S486" s="31" t="s">
        <v>45</v>
      </c>
      <c r="T486" s="50">
        <f>N486*0.95</f>
        <v>107402342.2</v>
      </c>
      <c r="U486" s="51">
        <v>1.0740234219749999E8</v>
      </c>
      <c r="V486" s="51"/>
      <c r="W486" s="31"/>
      <c r="X486" s="52" t="s">
        <v>3046</v>
      </c>
      <c r="Y486" s="54" t="s">
        <v>3047</v>
      </c>
      <c r="Z486" s="54" t="s">
        <v>1034</v>
      </c>
      <c r="AA486" s="74">
        <v>46218.0</v>
      </c>
      <c r="AB486" s="43"/>
      <c r="AC486" s="43"/>
      <c r="AD486" s="39">
        <v>113055.0</v>
      </c>
      <c r="AE486" s="39">
        <v>112043.348</v>
      </c>
      <c r="AF486" s="40">
        <v>1011.65197</v>
      </c>
      <c r="AG486" s="57" t="s">
        <v>3048</v>
      </c>
      <c r="AH486" s="42" t="s">
        <v>1177</v>
      </c>
      <c r="AI486" s="42" t="str">
        <f>IFERROR(__xludf.DUMMYFUNCTION("vLOOKUP(A486,IMPORTRANGE(""https://docs.google.com/spreadsheets/d/1Rawwwdh8wntXGy8isdYNHxsNQS4n_rC8JSdPfj6vEq4"",""'500 объектов перенос на 2026'!A3:AB502""),13,0)"),"#REF!")</f>
        <v>#REF!</v>
      </c>
      <c r="AJ486" s="42" t="str">
        <f>IFERROR(__xludf.DUMMYFUNCTION("vLOOKUP(A486,IMPORTRANGE(""https://docs.google.com/spreadsheets/d/1Rawwwdh8wntXGy8isdYNHxsNQS4n_rC8JSdPfj6vEq4"",""'500 объектов перенос на 2026'!A3:AB502""),14,0)"),"#REF!")</f>
        <v>#REF!</v>
      </c>
      <c r="AK486" s="76" t="s">
        <v>3493</v>
      </c>
      <c r="AL486" s="43"/>
      <c r="AM486" s="43"/>
      <c r="AN486" s="43"/>
      <c r="AO486" s="43"/>
    </row>
    <row r="487" hidden="1">
      <c r="A487" s="62" t="s">
        <v>3050</v>
      </c>
      <c r="B487" s="63" t="s">
        <v>1586</v>
      </c>
      <c r="C487" s="64" t="s">
        <v>3051</v>
      </c>
      <c r="D487" s="47" t="s">
        <v>1276</v>
      </c>
      <c r="E487" s="64" t="s">
        <v>39</v>
      </c>
      <c r="F487" s="31" t="s">
        <v>60</v>
      </c>
      <c r="G487" s="31"/>
      <c r="H487" s="31"/>
      <c r="I487" s="31" t="s">
        <v>40</v>
      </c>
      <c r="J487" s="31" t="s">
        <v>43</v>
      </c>
      <c r="K487" s="31" t="s">
        <v>72</v>
      </c>
      <c r="L487" s="32">
        <f>IFERROR(__xludf.DUMMYFUNCTION("VLOOKUP($A487,IMPORTRANGE(""1PQtfbQLqBUP-rjYRznmgNFBLOjvAnhGzpIx7BJWq8rk"",""'Worksheet'!$B$2:$H""),7,FALSE)"),0.92)</f>
        <v>0.92</v>
      </c>
      <c r="M487" s="31" t="s">
        <v>45</v>
      </c>
      <c r="N487" s="49">
        <v>9.228134099E7</v>
      </c>
      <c r="O487" s="49">
        <v>9.018818946E7</v>
      </c>
      <c r="P487" s="49">
        <f t="shared" si="74"/>
        <v>2093151.53</v>
      </c>
      <c r="Q487" s="34">
        <f t="shared" si="3"/>
        <v>0.02268228341</v>
      </c>
      <c r="R487" s="31"/>
      <c r="S487" s="31" t="s">
        <v>45</v>
      </c>
      <c r="T487" s="72" t="s">
        <v>3052</v>
      </c>
      <c r="U487" s="67" t="s">
        <v>3053</v>
      </c>
      <c r="V487" s="67" t="s">
        <v>3054</v>
      </c>
      <c r="W487" s="31"/>
      <c r="X487" s="52" t="s">
        <v>1592</v>
      </c>
      <c r="Y487" s="54" t="s">
        <v>3481</v>
      </c>
      <c r="Z487" s="54" t="s">
        <v>1594</v>
      </c>
      <c r="AA487" s="74">
        <v>46249.0</v>
      </c>
      <c r="AB487" s="56"/>
      <c r="AC487" s="38" t="s">
        <v>1595</v>
      </c>
      <c r="AD487" s="39">
        <v>95192.75</v>
      </c>
      <c r="AE487" s="39">
        <v>90188.18946</v>
      </c>
      <c r="AF487" s="40">
        <v>5004.56054</v>
      </c>
      <c r="AG487" s="57" t="s">
        <v>3056</v>
      </c>
      <c r="AH487" s="42" t="s">
        <v>2801</v>
      </c>
      <c r="AI487" s="42" t="str">
        <f>IFERROR(__xludf.DUMMYFUNCTION("vLOOKUP(A487,IMPORTRANGE(""https://docs.google.com/spreadsheets/d/1Rawwwdh8wntXGy8isdYNHxsNQS4n_rC8JSdPfj6vEq4"",""'500 объектов перенос на 2026'!A3:AB502""),13,0)"),"#REF!")</f>
        <v>#REF!</v>
      </c>
      <c r="AJ487" s="42" t="str">
        <f>IFERROR(__xludf.DUMMYFUNCTION("vLOOKUP(A487,IMPORTRANGE(""https://docs.google.com/spreadsheets/d/1Rawwwdh8wntXGy8isdYNHxsNQS4n_rC8JSdPfj6vEq4"",""'500 объектов перенос на 2026'!A3:AB502""),14,0)"),"#REF!")</f>
        <v>#REF!</v>
      </c>
      <c r="AK487" s="76" t="s">
        <v>3057</v>
      </c>
      <c r="AL487" s="43"/>
      <c r="AM487" s="43"/>
      <c r="AN487" s="43"/>
      <c r="AO487" s="43"/>
    </row>
    <row r="488" hidden="1">
      <c r="A488" s="62" t="s">
        <v>3058</v>
      </c>
      <c r="B488" s="63" t="s">
        <v>400</v>
      </c>
      <c r="C488" s="64" t="s">
        <v>3059</v>
      </c>
      <c r="D488" s="47" t="s">
        <v>1048</v>
      </c>
      <c r="E488" s="64" t="s">
        <v>324</v>
      </c>
      <c r="F488" s="31" t="s">
        <v>60</v>
      </c>
      <c r="G488" s="31"/>
      <c r="H488" s="31"/>
      <c r="I488" s="31" t="s">
        <v>60</v>
      </c>
      <c r="J488" s="31"/>
      <c r="K488" s="31"/>
      <c r="L488" s="32">
        <f>IFERROR(__xludf.DUMMYFUNCTION("VLOOKUP($A488,IMPORTRANGE(""1PQtfbQLqBUP-rjYRznmgNFBLOjvAnhGzpIx7BJWq8rk"",""'Worksheet'!$B$2:$H""),7,FALSE)"),0.68)</f>
        <v>0.68</v>
      </c>
      <c r="M488" s="31" t="s">
        <v>45</v>
      </c>
      <c r="N488" s="49">
        <v>2.88621101E7</v>
      </c>
      <c r="O488" s="49">
        <v>2.684425362E7</v>
      </c>
      <c r="P488" s="49">
        <f t="shared" si="74"/>
        <v>2017856.48</v>
      </c>
      <c r="Q488" s="34">
        <f t="shared" si="3"/>
        <v>0.06991368521</v>
      </c>
      <c r="R488" s="31"/>
      <c r="S488" s="31" t="s">
        <v>45</v>
      </c>
      <c r="T488" s="50"/>
      <c r="U488" s="51"/>
      <c r="V488" s="51"/>
      <c r="W488" s="31" t="s">
        <v>148</v>
      </c>
      <c r="X488" s="52" t="s">
        <v>113</v>
      </c>
      <c r="Y488" s="54" t="s">
        <v>3060</v>
      </c>
      <c r="Z488" s="54" t="s">
        <v>1749</v>
      </c>
      <c r="AA488" s="74">
        <v>46223.0</v>
      </c>
      <c r="AB488" s="56"/>
      <c r="AC488" s="38"/>
      <c r="AD488" s="39">
        <v>28862.11</v>
      </c>
      <c r="AE488" s="39">
        <v>27040.33528</v>
      </c>
      <c r="AF488" s="39">
        <v>1821.77472</v>
      </c>
      <c r="AG488" s="57" t="s">
        <v>3061</v>
      </c>
      <c r="AH488" s="42" t="s">
        <v>1054</v>
      </c>
      <c r="AI488" s="42" t="str">
        <f>IFERROR(__xludf.DUMMYFUNCTION("vLOOKUP(A488,IMPORTRANGE(""https://docs.google.com/spreadsheets/d/1Rawwwdh8wntXGy8isdYNHxsNQS4n_rC8JSdPfj6vEq4"",""'500 объектов перенос на 2026'!A3:AB502""),13,0)"),"#REF!")</f>
        <v>#REF!</v>
      </c>
      <c r="AJ488" s="42" t="str">
        <f>IFERROR(__xludf.DUMMYFUNCTION("vLOOKUP(A488,IMPORTRANGE(""https://docs.google.com/spreadsheets/d/1Rawwwdh8wntXGy8isdYNHxsNQS4n_rC8JSdPfj6vEq4"",""'500 объектов перенос на 2026'!A3:AB502""),14,0)"),"#REF!")</f>
        <v>#REF!</v>
      </c>
      <c r="AK488" s="76" t="s">
        <v>3062</v>
      </c>
      <c r="AL488" s="43"/>
      <c r="AM488" s="43"/>
      <c r="AN488" s="43"/>
      <c r="AO488" s="43"/>
    </row>
    <row r="489" hidden="1">
      <c r="A489" s="78" t="s">
        <v>3063</v>
      </c>
      <c r="B489" s="63" t="s">
        <v>736</v>
      </c>
      <c r="C489" s="64" t="s">
        <v>3064</v>
      </c>
      <c r="D489" s="47" t="s">
        <v>112</v>
      </c>
      <c r="E489" s="90" t="s">
        <v>85</v>
      </c>
      <c r="F489" s="31" t="s">
        <v>60</v>
      </c>
      <c r="G489" s="31"/>
      <c r="H489" s="31"/>
      <c r="I489" s="31" t="s">
        <v>60</v>
      </c>
      <c r="J489" s="31"/>
      <c r="K489" s="31"/>
      <c r="L489" s="32">
        <f>IFERROR(__xludf.DUMMYFUNCTION("VLOOKUP($A489,IMPORTRANGE(""1PQtfbQLqBUP-rjYRznmgNFBLOjvAnhGzpIx7BJWq8rk"",""'Worksheet'!$B$2:$H""),7,FALSE)"),1.0)</f>
        <v>1</v>
      </c>
      <c r="M489" s="31" t="s">
        <v>60</v>
      </c>
      <c r="N489" s="49">
        <v>4202910.99</v>
      </c>
      <c r="O489" s="49">
        <v>3962394.15</v>
      </c>
      <c r="P489" s="49">
        <v>0.0</v>
      </c>
      <c r="Q489" s="34">
        <f t="shared" si="3"/>
        <v>0.05722625118</v>
      </c>
      <c r="R489" s="31"/>
      <c r="S489" s="31" t="s">
        <v>60</v>
      </c>
      <c r="T489" s="50"/>
      <c r="U489" s="51"/>
      <c r="V489" s="51"/>
      <c r="W489" s="31"/>
      <c r="X489" s="52" t="s">
        <v>45</v>
      </c>
      <c r="Y489" s="74"/>
      <c r="Z489" s="74"/>
      <c r="AA489" s="54" t="s">
        <v>114</v>
      </c>
      <c r="AB489" s="38" t="s">
        <v>115</v>
      </c>
      <c r="AC489" s="38"/>
      <c r="AD489" s="39">
        <v>4202.91</v>
      </c>
      <c r="AE489" s="39">
        <v>3962.39031</v>
      </c>
      <c r="AF489" s="40">
        <v>240.51969</v>
      </c>
      <c r="AG489" s="57" t="s">
        <v>3065</v>
      </c>
      <c r="AH489" s="42" t="s">
        <v>1262</v>
      </c>
      <c r="AI489" s="42" t="str">
        <f>IFERROR(__xludf.DUMMYFUNCTION("vLOOKUP(A489,IMPORTRANGE(""https://docs.google.com/spreadsheets/d/1Rawwwdh8wntXGy8isdYNHxsNQS4n_rC8JSdPfj6vEq4"",""'500 объектов перенос на 2026'!A3:AB502""),13,0)"),"#REF!")</f>
        <v>#REF!</v>
      </c>
      <c r="AJ489" s="42" t="str">
        <f>IFERROR(__xludf.DUMMYFUNCTION("vLOOKUP(A489,IMPORTRANGE(""https://docs.google.com/spreadsheets/d/1Rawwwdh8wntXGy8isdYNHxsNQS4n_rC8JSdPfj6vEq4"",""'500 объектов перенос на 2026'!A3:AB502""),14,0)"),"#REF!")</f>
        <v>#REF!</v>
      </c>
      <c r="AK489" s="76" t="s">
        <v>114</v>
      </c>
      <c r="AL489" s="43"/>
      <c r="AM489" s="43"/>
      <c r="AN489" s="43"/>
      <c r="AO489" s="43"/>
    </row>
    <row r="490" hidden="1">
      <c r="A490" s="78" t="s">
        <v>3066</v>
      </c>
      <c r="B490" s="63" t="s">
        <v>736</v>
      </c>
      <c r="C490" s="64" t="s">
        <v>3067</v>
      </c>
      <c r="D490" s="47" t="s">
        <v>3068</v>
      </c>
      <c r="E490" s="64" t="s">
        <v>39</v>
      </c>
      <c r="F490" s="31" t="s">
        <v>60</v>
      </c>
      <c r="G490" s="31"/>
      <c r="H490" s="31"/>
      <c r="I490" s="31" t="s">
        <v>60</v>
      </c>
      <c r="J490" s="31"/>
      <c r="K490" s="31"/>
      <c r="L490" s="32">
        <f>IFERROR(__xludf.DUMMYFUNCTION("VLOOKUP($A490,IMPORTRANGE(""1PQtfbQLqBUP-rjYRznmgNFBLOjvAnhGzpIx7BJWq8rk"",""'Worksheet'!$B$2:$H""),7,FALSE)"),1.0)</f>
        <v>1</v>
      </c>
      <c r="M490" s="31" t="s">
        <v>60</v>
      </c>
      <c r="N490" s="49">
        <v>2.4180904474E8</v>
      </c>
      <c r="O490" s="49">
        <v>2.416904617E8</v>
      </c>
      <c r="P490" s="49">
        <v>0.0</v>
      </c>
      <c r="Q490" s="34">
        <f t="shared" si="3"/>
        <v>0.0004903995222</v>
      </c>
      <c r="R490" s="31"/>
      <c r="S490" s="31" t="s">
        <v>60</v>
      </c>
      <c r="T490" s="91"/>
      <c r="U490" s="51"/>
      <c r="V490" s="51"/>
      <c r="W490" s="31"/>
      <c r="X490" s="52" t="s">
        <v>113</v>
      </c>
      <c r="Y490" s="54"/>
      <c r="Z490" s="54"/>
      <c r="AA490" s="54" t="s">
        <v>114</v>
      </c>
      <c r="AB490" s="38" t="s">
        <v>115</v>
      </c>
      <c r="AC490" s="38"/>
      <c r="AD490" s="39">
        <v>248576.9</v>
      </c>
      <c r="AE490" s="39">
        <v>253257.6853</v>
      </c>
      <c r="AF490" s="39">
        <v>-4680.78534</v>
      </c>
      <c r="AG490" s="57" t="s">
        <v>3069</v>
      </c>
      <c r="AH490" s="42" t="s">
        <v>1385</v>
      </c>
      <c r="AI490" s="42" t="str">
        <f>IFERROR(__xludf.DUMMYFUNCTION("vLOOKUP(A490,IMPORTRANGE(""https://docs.google.com/spreadsheets/d/1Rawwwdh8wntXGy8isdYNHxsNQS4n_rC8JSdPfj6vEq4"",""'500 объектов перенос на 2026'!A3:AB502""),13,0)"),"#REF!")</f>
        <v>#REF!</v>
      </c>
      <c r="AJ490" s="42" t="str">
        <f>IFERROR(__xludf.DUMMYFUNCTION("vLOOKUP(A490,IMPORTRANGE(""https://docs.google.com/spreadsheets/d/1Rawwwdh8wntXGy8isdYNHxsNQS4n_rC8JSdPfj6vEq4"",""'500 объектов перенос на 2026'!A3:AB502""),14,0)"),"#REF!")</f>
        <v>#REF!</v>
      </c>
      <c r="AK490" s="76" t="s">
        <v>114</v>
      </c>
      <c r="AL490" s="43"/>
      <c r="AM490" s="43"/>
      <c r="AN490" s="43"/>
      <c r="AO490" s="43"/>
    </row>
    <row r="491" hidden="1">
      <c r="A491" s="62" t="s">
        <v>3070</v>
      </c>
      <c r="B491" s="63" t="s">
        <v>605</v>
      </c>
      <c r="C491" s="64" t="s">
        <v>3071</v>
      </c>
      <c r="D491" s="47" t="s">
        <v>1210</v>
      </c>
      <c r="E491" s="64" t="s">
        <v>85</v>
      </c>
      <c r="F491" s="31" t="s">
        <v>40</v>
      </c>
      <c r="G491" s="31" t="s">
        <v>156</v>
      </c>
      <c r="H491" s="31" t="s">
        <v>343</v>
      </c>
      <c r="I491" s="31" t="s">
        <v>40</v>
      </c>
      <c r="J491" s="31" t="s">
        <v>61</v>
      </c>
      <c r="K491" s="31"/>
      <c r="L491" s="32">
        <f>IFERROR(__xludf.DUMMYFUNCTION("VLOOKUP($A491,IMPORTRANGE(""1PQtfbQLqBUP-rjYRznmgNFBLOjvAnhGzpIx7BJWq8rk"",""'Worksheet'!$B$2:$H""),7,FALSE)"),0.98)</f>
        <v>0.98</v>
      </c>
      <c r="M491" s="31" t="s">
        <v>40</v>
      </c>
      <c r="N491" s="49">
        <v>2589275.0</v>
      </c>
      <c r="O491" s="49">
        <v>727682.57</v>
      </c>
      <c r="P491" s="49">
        <f t="shared" ref="P491:P492" si="75">N491-O491</f>
        <v>1861592.43</v>
      </c>
      <c r="Q491" s="34">
        <f t="shared" si="3"/>
        <v>0.7189628101</v>
      </c>
      <c r="R491" s="31"/>
      <c r="S491" s="31" t="s">
        <v>40</v>
      </c>
      <c r="T491" s="72" t="s">
        <v>3072</v>
      </c>
      <c r="U491" s="67">
        <v>0.0</v>
      </c>
      <c r="V491" s="67" t="s">
        <v>3072</v>
      </c>
      <c r="W491" s="31"/>
      <c r="X491" s="52" t="s">
        <v>49</v>
      </c>
      <c r="Y491" s="54" t="s">
        <v>3073</v>
      </c>
      <c r="Z491" s="54" t="s">
        <v>1213</v>
      </c>
      <c r="AA491" s="74">
        <v>46280.0</v>
      </c>
      <c r="AB491" s="56"/>
      <c r="AC491" s="38"/>
      <c r="AD491" s="39">
        <v>2589.28</v>
      </c>
      <c r="AE491" s="39">
        <v>727.68257</v>
      </c>
      <c r="AF491" s="40">
        <v>1861.59743</v>
      </c>
      <c r="AG491" s="99" t="s">
        <v>3074</v>
      </c>
      <c r="AH491" s="85"/>
      <c r="AI491" s="42" t="str">
        <f>IFERROR(__xludf.DUMMYFUNCTION("vLOOKUP(A491,IMPORTRANGE(""https://docs.google.com/spreadsheets/d/1Rawwwdh8wntXGy8isdYNHxsNQS4n_rC8JSdPfj6vEq4"",""'500 объектов перенос на 2026'!A3:AB502""),13,0)"),"#REF!")</f>
        <v>#REF!</v>
      </c>
      <c r="AJ491" s="42" t="str">
        <f>IFERROR(__xludf.DUMMYFUNCTION("vLOOKUP(A491,IMPORTRANGE(""https://docs.google.com/spreadsheets/d/1Rawwwdh8wntXGy8isdYNHxsNQS4n_rC8JSdPfj6vEq4"",""'500 объектов перенос на 2026'!A3:AB502""),14,0)"),"#REF!")</f>
        <v>#REF!</v>
      </c>
      <c r="AK491" s="151" t="s">
        <v>3494</v>
      </c>
      <c r="AL491" s="43"/>
      <c r="AM491" s="43"/>
      <c r="AN491" s="43"/>
      <c r="AO491" s="43"/>
    </row>
    <row r="492" hidden="1">
      <c r="A492" s="62" t="s">
        <v>3076</v>
      </c>
      <c r="B492" s="63" t="s">
        <v>625</v>
      </c>
      <c r="C492" s="64" t="s">
        <v>3077</v>
      </c>
      <c r="D492" s="47" t="s">
        <v>2048</v>
      </c>
      <c r="E492" s="64" t="s">
        <v>85</v>
      </c>
      <c r="F492" s="31" t="s">
        <v>40</v>
      </c>
      <c r="G492" s="31" t="s">
        <v>41</v>
      </c>
      <c r="H492" s="31" t="s">
        <v>343</v>
      </c>
      <c r="I492" s="31" t="s">
        <v>40</v>
      </c>
      <c r="J492" s="31" t="s">
        <v>61</v>
      </c>
      <c r="K492" s="31"/>
      <c r="L492" s="32">
        <f>IFERROR(__xludf.DUMMYFUNCTION("VLOOKUP($A492,IMPORTRANGE(""1PQtfbQLqBUP-rjYRznmgNFBLOjvAnhGzpIx7BJWq8rk"",""'Worksheet'!$B$2:$H""),7,FALSE)"),0.7)</f>
        <v>0.7</v>
      </c>
      <c r="M492" s="31" t="s">
        <v>40</v>
      </c>
      <c r="N492" s="49">
        <v>1429680.0</v>
      </c>
      <c r="O492" s="49">
        <v>428904.0</v>
      </c>
      <c r="P492" s="49">
        <f t="shared" si="75"/>
        <v>1000776</v>
      </c>
      <c r="Q492" s="34">
        <f t="shared" si="3"/>
        <v>0.7</v>
      </c>
      <c r="R492" s="31"/>
      <c r="S492" s="31" t="s">
        <v>40</v>
      </c>
      <c r="T492" s="50" t="s">
        <v>3078</v>
      </c>
      <c r="U492" s="51">
        <v>0.0</v>
      </c>
      <c r="V492" s="51" t="s">
        <v>3078</v>
      </c>
      <c r="W492" s="31"/>
      <c r="X492" s="52" t="s">
        <v>2701</v>
      </c>
      <c r="Y492" s="54" t="s">
        <v>3079</v>
      </c>
      <c r="Z492" s="54" t="s">
        <v>274</v>
      </c>
      <c r="AA492" s="68">
        <v>46253.0</v>
      </c>
      <c r="AB492" s="56"/>
      <c r="AC492" s="38"/>
      <c r="AD492" s="39">
        <v>1429.68</v>
      </c>
      <c r="AE492" s="39">
        <v>428.904</v>
      </c>
      <c r="AF492" s="40">
        <v>1000.776</v>
      </c>
      <c r="AG492" s="57" t="s">
        <v>3080</v>
      </c>
      <c r="AH492" s="42" t="s">
        <v>2704</v>
      </c>
      <c r="AI492" s="42" t="str">
        <f>IFERROR(__xludf.DUMMYFUNCTION("vLOOKUP(A492,IMPORTRANGE(""https://docs.google.com/spreadsheets/d/1Rawwwdh8wntXGy8isdYNHxsNQS4n_rC8JSdPfj6vEq4"",""'500 объектов перенос на 2026'!A3:AB502""),13,0)"),"#REF!")</f>
        <v>#REF!</v>
      </c>
      <c r="AJ492" s="42" t="str">
        <f>IFERROR(__xludf.DUMMYFUNCTION("vLOOKUP(A492,IMPORTRANGE(""https://docs.google.com/spreadsheets/d/1Rawwwdh8wntXGy8isdYNHxsNQS4n_rC8JSdPfj6vEq4"",""'500 объектов перенос на 2026'!A3:AB502""),14,0)"),"#REF!")</f>
        <v>#REF!</v>
      </c>
      <c r="AK492" s="119"/>
      <c r="AL492" s="43"/>
      <c r="AM492" s="43"/>
      <c r="AN492" s="43"/>
      <c r="AO492" s="43"/>
    </row>
    <row r="493" hidden="1">
      <c r="A493" s="114" t="s">
        <v>3081</v>
      </c>
      <c r="B493" s="63" t="s">
        <v>1329</v>
      </c>
      <c r="C493" s="64" t="s">
        <v>3082</v>
      </c>
      <c r="D493" s="47" t="s">
        <v>3083</v>
      </c>
      <c r="E493" s="64" t="s">
        <v>85</v>
      </c>
      <c r="F493" s="31" t="s">
        <v>60</v>
      </c>
      <c r="G493" s="31"/>
      <c r="H493" s="31"/>
      <c r="I493" s="31" t="s">
        <v>60</v>
      </c>
      <c r="J493" s="31"/>
      <c r="K493" s="31"/>
      <c r="L493" s="32" t="str">
        <f>IFERROR(__xludf.DUMMYFUNCTION("VLOOKUP($A493,IMPORTRANGE(""1PQtfbQLqBUP-rjYRznmgNFBLOjvAnhGzpIx7BJWq8rk"",""'Worksheet'!$B$2:$H""),7,FALSE)"),"#N/A")</f>
        <v>#N/A</v>
      </c>
      <c r="M493" s="31" t="s">
        <v>60</v>
      </c>
      <c r="N493" s="49">
        <v>8.893367767E7</v>
      </c>
      <c r="O493" s="49">
        <v>6.359770517E7</v>
      </c>
      <c r="P493" s="49">
        <v>0.0</v>
      </c>
      <c r="Q493" s="34">
        <f t="shared" si="3"/>
        <v>0.284886144</v>
      </c>
      <c r="R493" s="31"/>
      <c r="S493" s="31" t="s">
        <v>60</v>
      </c>
      <c r="T493" s="50" t="s">
        <v>3084</v>
      </c>
      <c r="U493" s="51" t="s">
        <v>3085</v>
      </c>
      <c r="V493" s="51" t="s">
        <v>3086</v>
      </c>
      <c r="W493" s="31"/>
      <c r="X493" s="52" t="s">
        <v>113</v>
      </c>
      <c r="Y493" s="74"/>
      <c r="Z493" s="74"/>
      <c r="AA493" s="54" t="s">
        <v>114</v>
      </c>
      <c r="AB493" s="38" t="s">
        <v>115</v>
      </c>
      <c r="AC493" s="38"/>
      <c r="AD493" s="39">
        <v>95317.52</v>
      </c>
      <c r="AE493" s="39">
        <v>63597.70517</v>
      </c>
      <c r="AF493" s="39">
        <v>31719.81483</v>
      </c>
      <c r="AG493" s="57" t="s">
        <v>3087</v>
      </c>
      <c r="AH493" s="42" t="s">
        <v>745</v>
      </c>
      <c r="AI493" s="42" t="str">
        <f>IFERROR(__xludf.DUMMYFUNCTION("vLOOKUP(A493,IMPORTRANGE(""https://docs.google.com/spreadsheets/d/1Rawwwdh8wntXGy8isdYNHxsNQS4n_rC8JSdPfj6vEq4"",""'500 объектов перенос на 2026'!A3:AB502""),13,0)"),"#REF!")</f>
        <v>#REF!</v>
      </c>
      <c r="AJ493" s="42" t="str">
        <f>IFERROR(__xludf.DUMMYFUNCTION("vLOOKUP(A493,IMPORTRANGE(""https://docs.google.com/spreadsheets/d/1Rawwwdh8wntXGy8isdYNHxsNQS4n_rC8JSdPfj6vEq4"",""'500 объектов перенос на 2026'!A3:AB502""),14,0)"),"#REF!")</f>
        <v>#REF!</v>
      </c>
      <c r="AK493" s="76" t="s">
        <v>114</v>
      </c>
      <c r="AL493" s="43"/>
      <c r="AM493" s="43"/>
      <c r="AN493" s="43"/>
      <c r="AO493" s="43"/>
    </row>
    <row r="494" hidden="1">
      <c r="A494" s="78" t="s">
        <v>3088</v>
      </c>
      <c r="B494" s="63" t="s">
        <v>1329</v>
      </c>
      <c r="C494" s="64" t="s">
        <v>3089</v>
      </c>
      <c r="D494" s="47" t="s">
        <v>3090</v>
      </c>
      <c r="E494" s="64" t="s">
        <v>85</v>
      </c>
      <c r="F494" s="31" t="s">
        <v>60</v>
      </c>
      <c r="G494" s="31"/>
      <c r="H494" s="31"/>
      <c r="I494" s="31" t="s">
        <v>60</v>
      </c>
      <c r="J494" s="31"/>
      <c r="K494" s="31"/>
      <c r="L494" s="32" t="str">
        <f>IFERROR(__xludf.DUMMYFUNCTION("VLOOKUP($A494,IMPORTRANGE(""1PQtfbQLqBUP-rjYRznmgNFBLOjvAnhGzpIx7BJWq8rk"",""'Worksheet'!$B$2:$H""),7,FALSE)"),"#N/A")</f>
        <v>#N/A</v>
      </c>
      <c r="M494" s="31" t="s">
        <v>60</v>
      </c>
      <c r="N494" s="49">
        <v>2.4102702882E8</v>
      </c>
      <c r="O494" s="49">
        <v>2.2076935659E8</v>
      </c>
      <c r="P494" s="49">
        <v>0.0</v>
      </c>
      <c r="Q494" s="34">
        <f t="shared" si="3"/>
        <v>0.08404730511</v>
      </c>
      <c r="R494" s="31"/>
      <c r="S494" s="31" t="s">
        <v>60</v>
      </c>
      <c r="T494" s="50"/>
      <c r="U494" s="51"/>
      <c r="V494" s="51">
        <v>0.0</v>
      </c>
      <c r="W494" s="31"/>
      <c r="X494" s="52" t="s">
        <v>113</v>
      </c>
      <c r="Y494" s="54"/>
      <c r="Z494" s="54"/>
      <c r="AA494" s="54" t="s">
        <v>114</v>
      </c>
      <c r="AB494" s="38" t="s">
        <v>115</v>
      </c>
      <c r="AC494" s="38"/>
      <c r="AD494" s="39">
        <v>241027.03</v>
      </c>
      <c r="AE494" s="39">
        <v>220769.3566</v>
      </c>
      <c r="AF494" s="39">
        <v>20257.67342</v>
      </c>
      <c r="AG494" s="57" t="s">
        <v>3091</v>
      </c>
      <c r="AH494" s="42" t="s">
        <v>1385</v>
      </c>
      <c r="AI494" s="42" t="str">
        <f>IFERROR(__xludf.DUMMYFUNCTION("vLOOKUP(A494,IMPORTRANGE(""https://docs.google.com/spreadsheets/d/1Rawwwdh8wntXGy8isdYNHxsNQS4n_rC8JSdPfj6vEq4"",""'500 объектов перенос на 2026'!A3:AB502""),13,0)"),"#REF!")</f>
        <v>#REF!</v>
      </c>
      <c r="AJ494" s="42" t="str">
        <f>IFERROR(__xludf.DUMMYFUNCTION("vLOOKUP(A494,IMPORTRANGE(""https://docs.google.com/spreadsheets/d/1Rawwwdh8wntXGy8isdYNHxsNQS4n_rC8JSdPfj6vEq4"",""'500 объектов перенос на 2026'!A3:AB502""),14,0)"),"#REF!")</f>
        <v>#REF!</v>
      </c>
      <c r="AK494" s="76" t="s">
        <v>114</v>
      </c>
      <c r="AL494" s="43"/>
      <c r="AM494" s="43"/>
      <c r="AN494" s="43"/>
      <c r="AO494" s="43"/>
    </row>
    <row r="495" hidden="1">
      <c r="A495" s="114" t="s">
        <v>3092</v>
      </c>
      <c r="B495" s="63" t="s">
        <v>1329</v>
      </c>
      <c r="C495" s="64" t="s">
        <v>3093</v>
      </c>
      <c r="D495" s="47" t="s">
        <v>3083</v>
      </c>
      <c r="E495" s="64" t="s">
        <v>85</v>
      </c>
      <c r="F495" s="31" t="s">
        <v>60</v>
      </c>
      <c r="G495" s="31"/>
      <c r="H495" s="31"/>
      <c r="I495" s="31" t="s">
        <v>60</v>
      </c>
      <c r="J495" s="31"/>
      <c r="K495" s="31"/>
      <c r="L495" s="32" t="str">
        <f>IFERROR(__xludf.DUMMYFUNCTION("VLOOKUP($A495,IMPORTRANGE(""1PQtfbQLqBUP-rjYRznmgNFBLOjvAnhGzpIx7BJWq8rk"",""'Worksheet'!$B$2:$H""),7,FALSE)"),"#N/A")</f>
        <v>#N/A</v>
      </c>
      <c r="M495" s="31" t="s">
        <v>60</v>
      </c>
      <c r="N495" s="49">
        <v>2.8693865418E8</v>
      </c>
      <c r="O495" s="49">
        <v>2.3453211931E8</v>
      </c>
      <c r="P495" s="49">
        <v>0.0</v>
      </c>
      <c r="Q495" s="34">
        <f t="shared" si="3"/>
        <v>0.1826402059</v>
      </c>
      <c r="R495" s="31"/>
      <c r="S495" s="31" t="s">
        <v>60</v>
      </c>
      <c r="T495" s="50"/>
      <c r="U495" s="51" t="s">
        <v>3094</v>
      </c>
      <c r="V495" s="51">
        <v>0.0</v>
      </c>
      <c r="W495" s="31"/>
      <c r="X495" s="52" t="s">
        <v>113</v>
      </c>
      <c r="Y495" s="54"/>
      <c r="Z495" s="54"/>
      <c r="AA495" s="54" t="s">
        <v>114</v>
      </c>
      <c r="AB495" s="38" t="s">
        <v>115</v>
      </c>
      <c r="AC495" s="38"/>
      <c r="AD495" s="39">
        <v>286938.65</v>
      </c>
      <c r="AE495" s="39">
        <v>234532.1193</v>
      </c>
      <c r="AF495" s="39">
        <v>52406.53069</v>
      </c>
      <c r="AG495" s="57" t="s">
        <v>3095</v>
      </c>
      <c r="AH495" s="42" t="s">
        <v>745</v>
      </c>
      <c r="AI495" s="42" t="str">
        <f>IFERROR(__xludf.DUMMYFUNCTION("vLOOKUP(A495,IMPORTRANGE(""https://docs.google.com/spreadsheets/d/1Rawwwdh8wntXGy8isdYNHxsNQS4n_rC8JSdPfj6vEq4"",""'500 объектов перенос на 2026'!A3:AB502""),13,0)"),"#REF!")</f>
        <v>#REF!</v>
      </c>
      <c r="AJ495" s="42" t="str">
        <f>IFERROR(__xludf.DUMMYFUNCTION("vLOOKUP(A495,IMPORTRANGE(""https://docs.google.com/spreadsheets/d/1Rawwwdh8wntXGy8isdYNHxsNQS4n_rC8JSdPfj6vEq4"",""'500 объектов перенос на 2026'!A3:AB502""),14,0)"),"#REF!")</f>
        <v>#REF!</v>
      </c>
      <c r="AK495" s="76" t="s">
        <v>114</v>
      </c>
      <c r="AL495" s="43"/>
      <c r="AM495" s="43"/>
      <c r="AN495" s="43"/>
      <c r="AO495" s="43"/>
    </row>
    <row r="496" hidden="1">
      <c r="A496" s="78" t="s">
        <v>3096</v>
      </c>
      <c r="B496" s="63" t="s">
        <v>1329</v>
      </c>
      <c r="C496" s="64" t="s">
        <v>3097</v>
      </c>
      <c r="D496" s="47" t="s">
        <v>3090</v>
      </c>
      <c r="E496" s="64" t="s">
        <v>85</v>
      </c>
      <c r="F496" s="31" t="s">
        <v>60</v>
      </c>
      <c r="G496" s="31"/>
      <c r="H496" s="31"/>
      <c r="I496" s="31" t="s">
        <v>60</v>
      </c>
      <c r="J496" s="31"/>
      <c r="K496" s="31"/>
      <c r="L496" s="32" t="str">
        <f>IFERROR(__xludf.DUMMYFUNCTION("VLOOKUP($A496,IMPORTRANGE(""1PQtfbQLqBUP-rjYRznmgNFBLOjvAnhGzpIx7BJWq8rk"",""'Worksheet'!$B$2:$H""),7,FALSE)"),"#N/A")</f>
        <v>#N/A</v>
      </c>
      <c r="M496" s="31" t="s">
        <v>60</v>
      </c>
      <c r="N496" s="49">
        <v>3.290773625E7</v>
      </c>
      <c r="O496" s="49">
        <v>3.003542289E7</v>
      </c>
      <c r="P496" s="49">
        <v>0.0</v>
      </c>
      <c r="Q496" s="34">
        <f t="shared" si="3"/>
        <v>0.08728383314</v>
      </c>
      <c r="R496" s="31"/>
      <c r="S496" s="31" t="s">
        <v>60</v>
      </c>
      <c r="T496" s="50"/>
      <c r="U496" s="51"/>
      <c r="V496" s="51">
        <v>0.0</v>
      </c>
      <c r="W496" s="31"/>
      <c r="X496" s="52" t="s">
        <v>113</v>
      </c>
      <c r="Y496" s="54"/>
      <c r="Z496" s="54"/>
      <c r="AA496" s="54" t="s">
        <v>114</v>
      </c>
      <c r="AB496" s="38" t="s">
        <v>115</v>
      </c>
      <c r="AC496" s="38"/>
      <c r="AD496" s="39">
        <v>32907.74</v>
      </c>
      <c r="AE496" s="39">
        <v>29302.11874</v>
      </c>
      <c r="AF496" s="39">
        <v>3605.62126</v>
      </c>
      <c r="AG496" s="57" t="s">
        <v>3098</v>
      </c>
      <c r="AH496" s="42" t="s">
        <v>1385</v>
      </c>
      <c r="AI496" s="42" t="str">
        <f>IFERROR(__xludf.DUMMYFUNCTION("vLOOKUP(A496,IMPORTRANGE(""https://docs.google.com/spreadsheets/d/1Rawwwdh8wntXGy8isdYNHxsNQS4n_rC8JSdPfj6vEq4"",""'500 объектов перенос на 2026'!A3:AB502""),13,0)"),"#REF!")</f>
        <v>#REF!</v>
      </c>
      <c r="AJ496" s="42" t="str">
        <f>IFERROR(__xludf.DUMMYFUNCTION("vLOOKUP(A496,IMPORTRANGE(""https://docs.google.com/spreadsheets/d/1Rawwwdh8wntXGy8isdYNHxsNQS4n_rC8JSdPfj6vEq4"",""'500 объектов перенос на 2026'!A3:AB502""),14,0)"),"#REF!")</f>
        <v>#REF!</v>
      </c>
      <c r="AK496" s="76" t="s">
        <v>114</v>
      </c>
      <c r="AL496" s="43"/>
      <c r="AM496" s="43"/>
      <c r="AN496" s="43"/>
      <c r="AO496" s="43"/>
    </row>
    <row r="497" hidden="1">
      <c r="A497" s="78" t="s">
        <v>3099</v>
      </c>
      <c r="B497" s="63" t="s">
        <v>1329</v>
      </c>
      <c r="C497" s="64" t="s">
        <v>3100</v>
      </c>
      <c r="D497" s="47" t="s">
        <v>3090</v>
      </c>
      <c r="E497" s="64" t="s">
        <v>85</v>
      </c>
      <c r="F497" s="31" t="s">
        <v>60</v>
      </c>
      <c r="G497" s="31"/>
      <c r="H497" s="31"/>
      <c r="I497" s="31" t="s">
        <v>60</v>
      </c>
      <c r="J497" s="31"/>
      <c r="K497" s="31"/>
      <c r="L497" s="32" t="str">
        <f>IFERROR(__xludf.DUMMYFUNCTION("VLOOKUP($A497,IMPORTRANGE(""1PQtfbQLqBUP-rjYRznmgNFBLOjvAnhGzpIx7BJWq8rk"",""'Worksheet'!$B$2:$H""),7,FALSE)"),"#N/A")</f>
        <v>#N/A</v>
      </c>
      <c r="M497" s="31" t="s">
        <v>60</v>
      </c>
      <c r="N497" s="49">
        <v>5.248518166E7</v>
      </c>
      <c r="O497" s="49">
        <v>5.248518166E7</v>
      </c>
      <c r="P497" s="49">
        <f t="shared" ref="P497:P501" si="76">N497-O497</f>
        <v>0</v>
      </c>
      <c r="Q497" s="34">
        <f t="shared" si="3"/>
        <v>0</v>
      </c>
      <c r="R497" s="31"/>
      <c r="S497" s="31" t="s">
        <v>60</v>
      </c>
      <c r="T497" s="50"/>
      <c r="U497" s="51"/>
      <c r="V497" s="51">
        <v>0.0</v>
      </c>
      <c r="W497" s="31"/>
      <c r="X497" s="52" t="s">
        <v>113</v>
      </c>
      <c r="Y497" s="54"/>
      <c r="Z497" s="54"/>
      <c r="AA497" s="54" t="s">
        <v>114</v>
      </c>
      <c r="AB497" s="38" t="s">
        <v>115</v>
      </c>
      <c r="AC497" s="38"/>
      <c r="AD497" s="39">
        <v>52482.18</v>
      </c>
      <c r="AE497" s="39">
        <v>52485.18166</v>
      </c>
      <c r="AF497" s="39">
        <v>-3.00166</v>
      </c>
      <c r="AG497" s="57" t="s">
        <v>3101</v>
      </c>
      <c r="AH497" s="42" t="s">
        <v>3102</v>
      </c>
      <c r="AI497" s="42" t="str">
        <f>IFERROR(__xludf.DUMMYFUNCTION("vLOOKUP(A497,IMPORTRANGE(""https://docs.google.com/spreadsheets/d/1Rawwwdh8wntXGy8isdYNHxsNQS4n_rC8JSdPfj6vEq4"",""'500 объектов перенос на 2026'!A3:AB502""),13,0)"),"#REF!")</f>
        <v>#REF!</v>
      </c>
      <c r="AJ497" s="42" t="str">
        <f>IFERROR(__xludf.DUMMYFUNCTION("vLOOKUP(A497,IMPORTRANGE(""https://docs.google.com/spreadsheets/d/1Rawwwdh8wntXGy8isdYNHxsNQS4n_rC8JSdPfj6vEq4"",""'500 объектов перенос на 2026'!A3:AB502""),14,0)"),"#REF!")</f>
        <v>#REF!</v>
      </c>
      <c r="AK497" s="76" t="s">
        <v>114</v>
      </c>
      <c r="AL497" s="43"/>
      <c r="AM497" s="43"/>
      <c r="AN497" s="43"/>
      <c r="AO497" s="43"/>
    </row>
    <row r="498" hidden="1">
      <c r="A498" s="62" t="s">
        <v>3103</v>
      </c>
      <c r="B498" s="63" t="s">
        <v>703</v>
      </c>
      <c r="C498" s="64" t="s">
        <v>3104</v>
      </c>
      <c r="D498" s="47" t="s">
        <v>1523</v>
      </c>
      <c r="E498" s="64" t="s">
        <v>85</v>
      </c>
      <c r="F498" s="31" t="s">
        <v>40</v>
      </c>
      <c r="G498" s="31" t="s">
        <v>41</v>
      </c>
      <c r="H498" s="31" t="s">
        <v>779</v>
      </c>
      <c r="I498" s="31" t="s">
        <v>60</v>
      </c>
      <c r="J498" s="31"/>
      <c r="K498" s="31"/>
      <c r="L498" s="32">
        <f>IFERROR(__xludf.DUMMYFUNCTION("VLOOKUP($A498,IMPORTRANGE(""1PQtfbQLqBUP-rjYRznmgNFBLOjvAnhGzpIx7BJWq8rk"",""'Worksheet'!$B$2:$H""),7,FALSE)"),0.97)</f>
        <v>0.97</v>
      </c>
      <c r="M498" s="31" t="s">
        <v>45</v>
      </c>
      <c r="N498" s="49">
        <v>4.412208503E7</v>
      </c>
      <c r="O498" s="49">
        <v>4.338127705E7</v>
      </c>
      <c r="P498" s="49">
        <f t="shared" si="76"/>
        <v>740807.98</v>
      </c>
      <c r="Q498" s="34">
        <f t="shared" si="3"/>
        <v>0.01678995858</v>
      </c>
      <c r="R498" s="31"/>
      <c r="S498" s="31" t="s">
        <v>45</v>
      </c>
      <c r="T498" s="91"/>
      <c r="U498" s="51"/>
      <c r="V498" s="51"/>
      <c r="W498" s="31"/>
      <c r="X498" s="52" t="s">
        <v>803</v>
      </c>
      <c r="Y498" s="128" t="s">
        <v>706</v>
      </c>
      <c r="Z498" s="54" t="s">
        <v>707</v>
      </c>
      <c r="AA498" s="74">
        <v>46195.0</v>
      </c>
      <c r="AB498" s="38" t="s">
        <v>3359</v>
      </c>
      <c r="AC498" s="38"/>
      <c r="AD498" s="39">
        <v>44122.09</v>
      </c>
      <c r="AE498" s="39">
        <v>37185.80904</v>
      </c>
      <c r="AF498" s="40">
        <v>6936.28096</v>
      </c>
      <c r="AG498" s="173" t="s">
        <v>3495</v>
      </c>
      <c r="AH498" s="42"/>
      <c r="AI498" s="42" t="str">
        <f>IFERROR(__xludf.DUMMYFUNCTION("vLOOKUP(A498,IMPORTRANGE(""https://docs.google.com/spreadsheets/d/1Rawwwdh8wntXGy8isdYNHxsNQS4n_rC8JSdPfj6vEq4"",""'500 объектов перенос на 2026'!A3:AB502""),13,0)"),"#REF!")</f>
        <v>#REF!</v>
      </c>
      <c r="AJ498" s="42" t="str">
        <f>IFERROR(__xludf.DUMMYFUNCTION("vLOOKUP(A498,IMPORTRANGE(""https://docs.google.com/spreadsheets/d/1Rawwwdh8wntXGy8isdYNHxsNQS4n_rC8JSdPfj6vEq4"",""'500 объектов перенос на 2026'!A3:AB502""),14,0)"),"#REF!")</f>
        <v>#REF!</v>
      </c>
      <c r="AK498" s="138" t="s">
        <v>2951</v>
      </c>
      <c r="AL498" s="43"/>
      <c r="AM498" s="43"/>
      <c r="AN498" s="43"/>
      <c r="AO498" s="43"/>
    </row>
    <row r="499" hidden="1">
      <c r="A499" s="114" t="s">
        <v>3106</v>
      </c>
      <c r="B499" s="63" t="s">
        <v>36</v>
      </c>
      <c r="C499" s="64" t="s">
        <v>3107</v>
      </c>
      <c r="D499" s="47" t="s">
        <v>101</v>
      </c>
      <c r="E499" s="64" t="s">
        <v>59</v>
      </c>
      <c r="F499" s="31" t="s">
        <v>60</v>
      </c>
      <c r="G499" s="31"/>
      <c r="H499" s="31"/>
      <c r="I499" s="31" t="s">
        <v>60</v>
      </c>
      <c r="J499" s="31"/>
      <c r="K499" s="31"/>
      <c r="L499" s="32">
        <f>IFERROR(__xludf.DUMMYFUNCTION("VLOOKUP($A499,IMPORTRANGE(""1PQtfbQLqBUP-rjYRznmgNFBLOjvAnhGzpIx7BJWq8rk"",""'Worksheet'!$B$2:$H""),7,FALSE)"),0.9)</f>
        <v>0.9</v>
      </c>
      <c r="M499" s="31" t="s">
        <v>45</v>
      </c>
      <c r="N499" s="49">
        <v>9.539100263E7</v>
      </c>
      <c r="O499" s="49">
        <v>9.487241332E7</v>
      </c>
      <c r="P499" s="49">
        <f t="shared" si="76"/>
        <v>518589.31</v>
      </c>
      <c r="Q499" s="34">
        <f t="shared" si="3"/>
        <v>0.005436459369</v>
      </c>
      <c r="R499" s="31"/>
      <c r="S499" s="31" t="s">
        <v>40</v>
      </c>
      <c r="T499" s="50"/>
      <c r="U499" s="51"/>
      <c r="V499" s="51">
        <v>0.0</v>
      </c>
      <c r="W499" s="31" t="s">
        <v>148</v>
      </c>
      <c r="X499" s="52" t="s">
        <v>113</v>
      </c>
      <c r="Y499" s="54" t="s">
        <v>3108</v>
      </c>
      <c r="Z499" s="54" t="s">
        <v>2351</v>
      </c>
      <c r="AA499" s="74">
        <v>46218.0</v>
      </c>
      <c r="AB499" s="56"/>
      <c r="AC499" s="38" t="s">
        <v>3109</v>
      </c>
      <c r="AD499" s="39">
        <v>95391.0</v>
      </c>
      <c r="AE499" s="39">
        <v>94872.41332</v>
      </c>
      <c r="AF499" s="39">
        <v>518.58668</v>
      </c>
      <c r="AG499" s="57" t="s">
        <v>3110</v>
      </c>
      <c r="AH499" s="42" t="s">
        <v>3111</v>
      </c>
      <c r="AI499" s="42" t="str">
        <f>IFERROR(__xludf.DUMMYFUNCTION("vLOOKUP(A499,IMPORTRANGE(""https://docs.google.com/spreadsheets/d/1Rawwwdh8wntXGy8isdYNHxsNQS4n_rC8JSdPfj6vEq4"",""'500 объектов перенос на 2026'!A3:AB502""),13,0)"),"#REF!")</f>
        <v>#REF!</v>
      </c>
      <c r="AJ499" s="42" t="str">
        <f>IFERROR(__xludf.DUMMYFUNCTION("vLOOKUP(A499,IMPORTRANGE(""https://docs.google.com/spreadsheets/d/1Rawwwdh8wntXGy8isdYNHxsNQS4n_rC8JSdPfj6vEq4"",""'500 объектов перенос на 2026'!A3:AB502""),14,0)"),"#REF!")</f>
        <v>#REF!</v>
      </c>
      <c r="AK499" s="76" t="s">
        <v>3108</v>
      </c>
      <c r="AL499" s="43"/>
      <c r="AM499" s="43"/>
      <c r="AN499" s="43"/>
      <c r="AO499" s="43"/>
    </row>
    <row r="500" hidden="1">
      <c r="A500" s="62" t="s">
        <v>3114</v>
      </c>
      <c r="B500" s="63" t="s">
        <v>703</v>
      </c>
      <c r="C500" s="64" t="s">
        <v>3115</v>
      </c>
      <c r="D500" s="47" t="s">
        <v>1523</v>
      </c>
      <c r="E500" s="64" t="s">
        <v>85</v>
      </c>
      <c r="F500" s="31" t="s">
        <v>40</v>
      </c>
      <c r="G500" s="31" t="s">
        <v>41</v>
      </c>
      <c r="H500" s="31" t="s">
        <v>779</v>
      </c>
      <c r="I500" s="31" t="s">
        <v>60</v>
      </c>
      <c r="J500" s="31"/>
      <c r="K500" s="31"/>
      <c r="L500" s="32">
        <f>IFERROR(__xludf.DUMMYFUNCTION("VLOOKUP($A500,IMPORTRANGE(""1PQtfbQLqBUP-rjYRznmgNFBLOjvAnhGzpIx7BJWq8rk"",""'Worksheet'!$B$2:$H""),7,FALSE)"),0.97)</f>
        <v>0.97</v>
      </c>
      <c r="M500" s="31" t="s">
        <v>45</v>
      </c>
      <c r="N500" s="49">
        <v>2581391.51</v>
      </c>
      <c r="O500" s="49">
        <v>2449748.01</v>
      </c>
      <c r="P500" s="49">
        <f t="shared" si="76"/>
        <v>131643.5</v>
      </c>
      <c r="Q500" s="34">
        <f t="shared" si="3"/>
        <v>0.05099710737</v>
      </c>
      <c r="R500" s="31"/>
      <c r="S500" s="31" t="s">
        <v>45</v>
      </c>
      <c r="T500" s="91">
        <v>0.0</v>
      </c>
      <c r="U500" s="51">
        <v>0.0</v>
      </c>
      <c r="V500" s="51">
        <v>0.0</v>
      </c>
      <c r="W500" s="31"/>
      <c r="X500" s="52" t="s">
        <v>209</v>
      </c>
      <c r="Y500" s="128" t="s">
        <v>706</v>
      </c>
      <c r="Z500" s="54"/>
      <c r="AA500" s="74">
        <v>46204.0</v>
      </c>
      <c r="AB500" s="38" t="s">
        <v>3359</v>
      </c>
      <c r="AC500" s="38"/>
      <c r="AD500" s="39">
        <v>2581.4</v>
      </c>
      <c r="AE500" s="39">
        <v>2195.59973</v>
      </c>
      <c r="AF500" s="39">
        <v>385.80027</v>
      </c>
      <c r="AG500" s="173" t="s">
        <v>3496</v>
      </c>
      <c r="AH500" s="42"/>
      <c r="AI500" s="42" t="str">
        <f>IFERROR(__xludf.DUMMYFUNCTION("vLOOKUP(A500,IMPORTRANGE(""https://docs.google.com/spreadsheets/d/1Rawwwdh8wntXGy8isdYNHxsNQS4n_rC8JSdPfj6vEq4"",""'500 объектов перенос на 2026'!A3:AB502""),13,0)"),"#REF!")</f>
        <v>#REF!</v>
      </c>
      <c r="AJ500" s="42" t="str">
        <f>IFERROR(__xludf.DUMMYFUNCTION("vLOOKUP(A500,IMPORTRANGE(""https://docs.google.com/spreadsheets/d/1Rawwwdh8wntXGy8isdYNHxsNQS4n_rC8JSdPfj6vEq4"",""'500 объектов перенос на 2026'!A3:AB502""),14,0)"),"#REF!")</f>
        <v>#REF!</v>
      </c>
      <c r="AK500" s="138" t="s">
        <v>2951</v>
      </c>
      <c r="AL500" s="96"/>
      <c r="AM500" s="96"/>
      <c r="AN500" s="96"/>
      <c r="AO500" s="96"/>
    </row>
    <row r="501" hidden="1">
      <c r="A501" s="62" t="s">
        <v>3117</v>
      </c>
      <c r="B501" s="63" t="s">
        <v>703</v>
      </c>
      <c r="C501" s="64" t="s">
        <v>704</v>
      </c>
      <c r="D501" s="47" t="s">
        <v>1523</v>
      </c>
      <c r="E501" s="64" t="s">
        <v>85</v>
      </c>
      <c r="F501" s="31" t="s">
        <v>40</v>
      </c>
      <c r="G501" s="31" t="s">
        <v>41</v>
      </c>
      <c r="H501" s="31" t="s">
        <v>779</v>
      </c>
      <c r="I501" s="31" t="s">
        <v>60</v>
      </c>
      <c r="J501" s="31"/>
      <c r="K501" s="31"/>
      <c r="L501" s="32">
        <f>IFERROR(__xludf.DUMMYFUNCTION("VLOOKUP($A501,IMPORTRANGE(""1PQtfbQLqBUP-rjYRznmgNFBLOjvAnhGzpIx7BJWq8rk"",""'Worksheet'!$B$2:$H""),7,FALSE)"),1.0)</f>
        <v>1</v>
      </c>
      <c r="M501" s="31" t="s">
        <v>45</v>
      </c>
      <c r="N501" s="49">
        <v>1.001347644E7</v>
      </c>
      <c r="O501" s="49">
        <v>9709618.46</v>
      </c>
      <c r="P501" s="49">
        <f t="shared" si="76"/>
        <v>303857.98</v>
      </c>
      <c r="Q501" s="34">
        <f t="shared" si="3"/>
        <v>0.03034490387</v>
      </c>
      <c r="R501" s="31"/>
      <c r="S501" s="31" t="s">
        <v>45</v>
      </c>
      <c r="T501" s="91"/>
      <c r="U501" s="51"/>
      <c r="V501" s="51"/>
      <c r="W501" s="31"/>
      <c r="X501" s="52" t="s">
        <v>803</v>
      </c>
      <c r="Y501" s="128" t="s">
        <v>706</v>
      </c>
      <c r="Z501" s="54" t="s">
        <v>707</v>
      </c>
      <c r="AA501" s="74">
        <v>46197.0</v>
      </c>
      <c r="AB501" s="38" t="s">
        <v>3359</v>
      </c>
      <c r="AC501" s="38"/>
      <c r="AD501" s="39">
        <v>10013.48</v>
      </c>
      <c r="AE501" s="39">
        <v>9709.62055</v>
      </c>
      <c r="AF501" s="40">
        <v>303.85945</v>
      </c>
      <c r="AG501" s="99" t="s">
        <v>3118</v>
      </c>
      <c r="AH501" s="42"/>
      <c r="AI501" s="42" t="str">
        <f>IFERROR(__xludf.DUMMYFUNCTION("vLOOKUP(A501,IMPORTRANGE(""https://docs.google.com/spreadsheets/d/1Rawwwdh8wntXGy8isdYNHxsNQS4n_rC8JSdPfj6vEq4"",""'500 объектов перенос на 2026'!A3:AB502""),13,0)"),"#REF!")</f>
        <v>#REF!</v>
      </c>
      <c r="AJ501" s="42" t="str">
        <f>IFERROR(__xludf.DUMMYFUNCTION("vLOOKUP(A501,IMPORTRANGE(""https://docs.google.com/spreadsheets/d/1Rawwwdh8wntXGy8isdYNHxsNQS4n_rC8JSdPfj6vEq4"",""'500 объектов перенос на 2026'!A3:AB502""),14,0)"),"#REF!")</f>
        <v>#REF!</v>
      </c>
      <c r="AK501" s="138" t="s">
        <v>2951</v>
      </c>
      <c r="AL501" s="43"/>
      <c r="AM501" s="43"/>
      <c r="AN501" s="43"/>
      <c r="AO501" s="43"/>
    </row>
    <row r="502" hidden="1">
      <c r="A502" s="78" t="s">
        <v>3119</v>
      </c>
      <c r="B502" s="63" t="s">
        <v>99</v>
      </c>
      <c r="C502" s="90" t="s">
        <v>3120</v>
      </c>
      <c r="D502" s="47" t="s">
        <v>2470</v>
      </c>
      <c r="E502" s="90" t="s">
        <v>155</v>
      </c>
      <c r="F502" s="31" t="s">
        <v>60</v>
      </c>
      <c r="G502" s="31"/>
      <c r="H502" s="31"/>
      <c r="I502" s="31" t="s">
        <v>60</v>
      </c>
      <c r="J502" s="31"/>
      <c r="K502" s="31"/>
      <c r="L502" s="32" t="str">
        <f>IFERROR(__xludf.DUMMYFUNCTION("VLOOKUP($A502,IMPORTRANGE(""1PQtfbQLqBUP-rjYRznmgNFBLOjvAnhGzpIx7BJWq8rk"",""'Worksheet'!$B$2:$H""),7,FALSE)"),"#N/A")</f>
        <v>#N/A</v>
      </c>
      <c r="M502" s="31" t="s">
        <v>60</v>
      </c>
      <c r="N502" s="49">
        <v>9.161190814E7</v>
      </c>
      <c r="O502" s="49">
        <v>8.898850693E7</v>
      </c>
      <c r="P502" s="49">
        <v>0.0</v>
      </c>
      <c r="Q502" s="34">
        <f t="shared" si="3"/>
        <v>0.02863602847</v>
      </c>
      <c r="R502" s="31"/>
      <c r="S502" s="31" t="s">
        <v>60</v>
      </c>
      <c r="T502" s="50">
        <f>N502*0.95</f>
        <v>87031312.73</v>
      </c>
      <c r="U502" s="51">
        <v>8.7031312733E7</v>
      </c>
      <c r="V502" s="51">
        <v>0.0</v>
      </c>
      <c r="W502" s="31"/>
      <c r="X502" s="52" t="s">
        <v>113</v>
      </c>
      <c r="Y502" s="54"/>
      <c r="Z502" s="54"/>
      <c r="AA502" s="54" t="s">
        <v>114</v>
      </c>
      <c r="AB502" s="38" t="s">
        <v>115</v>
      </c>
      <c r="AC502" s="38"/>
      <c r="AD502" s="39">
        <v>88988.51</v>
      </c>
      <c r="AE502" s="39">
        <v>88043.75</v>
      </c>
      <c r="AF502" s="39">
        <v>944.76</v>
      </c>
      <c r="AG502" s="57" t="s">
        <v>3121</v>
      </c>
      <c r="AH502" s="42" t="s">
        <v>253</v>
      </c>
      <c r="AI502" s="42" t="str">
        <f>IFERROR(__xludf.DUMMYFUNCTION("vLOOKUP(A502,IMPORTRANGE(""https://docs.google.com/spreadsheets/d/1Rawwwdh8wntXGy8isdYNHxsNQS4n_rC8JSdPfj6vEq4"",""'500 объектов перенос на 2026'!A3:AB502""),13,0)"),"#REF!")</f>
        <v>#REF!</v>
      </c>
      <c r="AJ502" s="42" t="str">
        <f>IFERROR(__xludf.DUMMYFUNCTION("vLOOKUP(A502,IMPORTRANGE(""https://docs.google.com/spreadsheets/d/1Rawwwdh8wntXGy8isdYNHxsNQS4n_rC8JSdPfj6vEq4"",""'500 объектов перенос на 2026'!A3:AB502""),14,0)"),"#REF!")</f>
        <v>#REF!</v>
      </c>
      <c r="AK502" s="76" t="s">
        <v>114</v>
      </c>
      <c r="AL502" s="43"/>
      <c r="AM502" s="43"/>
      <c r="AN502" s="43"/>
      <c r="AO502" s="43"/>
    </row>
    <row r="503" hidden="1">
      <c r="A503" s="62" t="s">
        <v>3122</v>
      </c>
      <c r="B503" s="63" t="s">
        <v>703</v>
      </c>
      <c r="C503" s="64" t="s">
        <v>3123</v>
      </c>
      <c r="D503" s="47" t="s">
        <v>1523</v>
      </c>
      <c r="E503" s="64" t="s">
        <v>85</v>
      </c>
      <c r="F503" s="31" t="s">
        <v>40</v>
      </c>
      <c r="G503" s="31" t="s">
        <v>41</v>
      </c>
      <c r="H503" s="31" t="s">
        <v>779</v>
      </c>
      <c r="I503" s="31" t="s">
        <v>60</v>
      </c>
      <c r="J503" s="31"/>
      <c r="K503" s="31"/>
      <c r="L503" s="32">
        <f>IFERROR(__xludf.DUMMYFUNCTION("VLOOKUP($A503,IMPORTRANGE(""1PQtfbQLqBUP-rjYRznmgNFBLOjvAnhGzpIx7BJWq8rk"",""'Worksheet'!$B$2:$H""),7,FALSE)"),0.99)</f>
        <v>0.99</v>
      </c>
      <c r="M503" s="31" t="s">
        <v>45</v>
      </c>
      <c r="N503" s="49">
        <v>2.795739109E7</v>
      </c>
      <c r="O503" s="49">
        <v>2.794855029E7</v>
      </c>
      <c r="P503" s="49">
        <f>N503-O503</f>
        <v>8840.8</v>
      </c>
      <c r="Q503" s="34">
        <f t="shared" si="3"/>
        <v>0.0003162240701</v>
      </c>
      <c r="R503" s="31"/>
      <c r="S503" s="31" t="s">
        <v>45</v>
      </c>
      <c r="T503" s="91"/>
      <c r="U503" s="50"/>
      <c r="V503" s="50"/>
      <c r="W503" s="31"/>
      <c r="X503" s="52" t="s">
        <v>803</v>
      </c>
      <c r="Y503" s="128" t="s">
        <v>706</v>
      </c>
      <c r="Z503" s="54" t="s">
        <v>707</v>
      </c>
      <c r="AA503" s="74">
        <v>46204.0</v>
      </c>
      <c r="AB503" s="38" t="s">
        <v>3359</v>
      </c>
      <c r="AC503" s="38"/>
      <c r="AD503" s="39">
        <v>27957.39</v>
      </c>
      <c r="AE503" s="39">
        <v>27948.54798</v>
      </c>
      <c r="AF503" s="40">
        <v>8.84202</v>
      </c>
      <c r="AG503" s="99" t="s">
        <v>3124</v>
      </c>
      <c r="AH503" s="42"/>
      <c r="AI503" s="42" t="str">
        <f>IFERROR(__xludf.DUMMYFUNCTION("vLOOKUP(A503,IMPORTRANGE(""https://docs.google.com/spreadsheets/d/1Rawwwdh8wntXGy8isdYNHxsNQS4n_rC8JSdPfj6vEq4"",""'500 объектов перенос на 2026'!A3:AB502""),13,0)"),"#REF!")</f>
        <v>#REF!</v>
      </c>
      <c r="AJ503" s="42" t="str">
        <f>IFERROR(__xludf.DUMMYFUNCTION("vLOOKUP(A503,IMPORTRANGE(""https://docs.google.com/spreadsheets/d/1Rawwwdh8wntXGy8isdYNHxsNQS4n_rC8JSdPfj6vEq4"",""'500 объектов перенос на 2026'!A3:AB502""),14,0)"),"#REF!")</f>
        <v>#REF!</v>
      </c>
      <c r="AK503" s="138" t="s">
        <v>2951</v>
      </c>
      <c r="AL503" s="43"/>
      <c r="AM503" s="43"/>
      <c r="AN503" s="43"/>
      <c r="AO503" s="43"/>
    </row>
    <row r="504">
      <c r="A504" s="29" t="s">
        <v>3497</v>
      </c>
      <c r="B504" s="263" t="s">
        <v>764</v>
      </c>
      <c r="C504" s="29" t="s">
        <v>3498</v>
      </c>
      <c r="D504" s="264"/>
      <c r="E504" s="29"/>
      <c r="F504" s="265" t="s">
        <v>60</v>
      </c>
      <c r="G504" s="265"/>
      <c r="H504" s="265"/>
      <c r="I504" s="265" t="s">
        <v>40</v>
      </c>
      <c r="J504" s="265" t="s">
        <v>102</v>
      </c>
      <c r="K504" s="265" t="s">
        <v>280</v>
      </c>
      <c r="L504" s="266"/>
      <c r="M504" s="265"/>
      <c r="N504" s="267"/>
      <c r="O504" s="267"/>
      <c r="P504" s="267"/>
      <c r="Q504" s="268"/>
      <c r="R504" s="265"/>
      <c r="S504" s="265"/>
      <c r="T504" s="166"/>
      <c r="U504" s="167"/>
      <c r="V504" s="167"/>
      <c r="W504" s="265"/>
      <c r="X504" s="36"/>
      <c r="Y504" s="269"/>
      <c r="Z504" s="36"/>
      <c r="AA504" s="270"/>
      <c r="AB504" s="38"/>
      <c r="AC504" s="38"/>
      <c r="AD504" s="39"/>
      <c r="AE504" s="39"/>
      <c r="AF504" s="40"/>
      <c r="AG504" s="271"/>
      <c r="AH504" s="177"/>
      <c r="AI504" s="177"/>
      <c r="AJ504" s="177"/>
      <c r="AK504" s="110"/>
      <c r="AL504" s="43"/>
      <c r="AM504" s="43"/>
      <c r="AN504" s="43"/>
      <c r="AO504" s="43"/>
    </row>
    <row r="505">
      <c r="A505" s="29" t="s">
        <v>3499</v>
      </c>
      <c r="B505" s="263" t="s">
        <v>764</v>
      </c>
      <c r="C505" s="29" t="s">
        <v>3500</v>
      </c>
      <c r="D505" s="264"/>
      <c r="E505" s="29"/>
      <c r="F505" s="265" t="s">
        <v>60</v>
      </c>
      <c r="G505" s="265"/>
      <c r="H505" s="265"/>
      <c r="I505" s="265" t="s">
        <v>40</v>
      </c>
      <c r="J505" s="265" t="s">
        <v>102</v>
      </c>
      <c r="K505" s="265" t="s">
        <v>280</v>
      </c>
      <c r="L505" s="266">
        <v>0.85</v>
      </c>
      <c r="M505" s="265"/>
      <c r="N505" s="267"/>
      <c r="O505" s="267"/>
      <c r="P505" s="267"/>
      <c r="Q505" s="268"/>
      <c r="R505" s="265"/>
      <c r="S505" s="265"/>
      <c r="T505" s="166"/>
      <c r="U505" s="167"/>
      <c r="V505" s="167"/>
      <c r="W505" s="265"/>
      <c r="X505" s="36"/>
      <c r="Y505" s="269"/>
      <c r="Z505" s="36"/>
      <c r="AA505" s="270"/>
      <c r="AB505" s="38"/>
      <c r="AC505" s="38"/>
      <c r="AD505" s="39"/>
      <c r="AE505" s="39"/>
      <c r="AF505" s="40"/>
      <c r="AG505" s="271"/>
      <c r="AH505" s="177"/>
      <c r="AI505" s="177"/>
      <c r="AJ505" s="177"/>
      <c r="AK505" s="110"/>
      <c r="AL505" s="43"/>
      <c r="AM505" s="43"/>
      <c r="AN505" s="43"/>
      <c r="AO505" s="43"/>
    </row>
  </sheetData>
  <customSheetViews>
    <customSheetView guid="{1EBF60C3-2653-4782-AE72-4581171A90A6}" filter="1" showAutoFilter="1">
      <autoFilter ref="$A$2:$AO$505">
        <filterColumn colId="5">
          <filters>
            <filter val="Нет"/>
          </filters>
        </filterColumn>
        <filterColumn colId="1">
          <filters blank="1">
            <filter val="Щёлково"/>
            <filter val="Дзержинский"/>
            <filter val="Королёв"/>
            <filter val="Шаховская"/>
            <filter val="Серпухов"/>
            <filter val="Зарайск"/>
            <filter val="Электросталь"/>
            <filter val="Сергиево-Посадский"/>
            <filter val="Подольск"/>
            <filter val="Ленинский"/>
            <filter val="Котельники"/>
            <filter val="Краснознаменск"/>
            <filter val="Серебряные Пруды"/>
            <filter val="ГКУ МО МОС АВС"/>
            <filter val="Реутов"/>
            <filter val="Долгопрудный"/>
            <filter val="Можайский (АО МОСОБЛТЕПЛО)"/>
            <filter val="Истра"/>
            <filter val="Богородский"/>
            <filter val="Домодедово"/>
            <filter val="Бронницы"/>
            <filter val="Фрязино"/>
            <filter val="Кашира"/>
          </filters>
        </filterColumn>
      </autoFilter>
    </customSheetView>
    <customSheetView guid="{047691D1-2340-4A7D-8676-F2E1ABD02897}" filter="1" showAutoFilter="1">
      <autoFilter ref="$A$4:$AO$505">
        <filterColumn colId="1">
          <filters>
            <filter val="Домодедово"/>
          </filters>
        </filterColumn>
      </autoFilter>
    </customSheetView>
  </customSheetViews>
  <mergeCells count="1">
    <mergeCell ref="AM1:AN1"/>
  </mergeCells>
  <dataValidations>
    <dataValidation type="list" allowBlank="1" showErrorMessage="1" sqref="R3:R146 R148:R505">
      <formula1>"65.1 ,Нехватка софифансирования,Отсутствие доп.ника,Утверждение новой версии ГП,Передача объекта в собственность МО,Не доведены лимиты от ГРБС,Смена собственника объекта,Отсутсвие БГ,Не завершены СМР,Не получено МОГЭ,контракт расторгнут,Низкий темп подгру"&amp;"зки документов в ПИК,Формирование пакета документов для оплаты,ИД, КС принята УТНКР, заказчик выставляет доп.требования к перевыполнению Благоустройства"</formula1>
    </dataValidation>
    <dataValidation type="list" allowBlank="1" showErrorMessage="1" sqref="W4:W505">
      <formula1>"Низкий темп устранения замечания УТНКР,Замечания не устранимы, требуется повторный заход в МОГЭ,Исполнительная документация не подписана с Заказчиком ,Отсутсвуют акты скрытых работ,Спор из-за объемов выполненных работ,ИД и КС-2 не переданы в УТНКР,Заказчи"&amp;"к выставляет замечания подрядчику"</formula1>
    </dataValidation>
    <dataValidation type="list" allowBlank="1" showErrorMessage="1" sqref="F77">
      <formula1>"Нет,Да,Повторный заход"</formula1>
    </dataValidation>
    <dataValidation type="list" allowBlank="1" showErrorMessage="1" sqref="S4:S505">
      <formula1>"Нет,Да,Частично"</formula1>
    </dataValidation>
    <dataValidation type="list" allowBlank="1" showErrorMessage="1" sqref="K302">
      <formula1>"Низкий темп производства работ подрядной ,Срыв сроков поставки оборудования ,Длительное получение РНР, допусков на работы,Финансовые трудности подрядчиков,Замена земельного участка,Отсутствие тех.прис,Попадание в зоны ЗОУИТ,Длительное согласования с ведом"&amp;"ствами (Ростехнадзор, МОГ и тд),Расторжение контракта (новый подрядчик),Выявление доп. объема работ,ЗУ находится в собственности Минобороны"</formula1>
    </dataValidation>
    <dataValidation type="list" allowBlank="1" showErrorMessage="1" sqref="F4:F76 A233 F78:F505 I4:I505">
      <formula1>"Нет,Да"</formula1>
    </dataValidation>
    <dataValidation type="list" allowBlank="1" showErrorMessage="1" sqref="K4:K301 K303:K505">
      <formula1>"Низкий темп производства работ подрядной ,Срыв сроков поставки оборудования ,Длительное получение РНР, допусков на работы,Финансовые трудности подрядчиков,Замена земельного участка,Отсутствие тех.прис,Попадание в зоны ЗОУИТ,Длительное согласования с ведом"&amp;"ствами (Ростехнадзор, МОГ и тд),Расторжение контракта (новый подрядчик),Выявление доп. объема работ,Исправление нарушений за предыдущем ПО"</formula1>
    </dataValidation>
    <dataValidation type="list" allowBlank="1" showErrorMessage="1" sqref="H4:H505">
      <formula1>"Низкий темп разработки ПИР подрядчиком,Долгая передача исходных данных от ОМСУ подрядчику ,Смена проектировщика,Корректировка ТЗ,Отсутствие тех.приса,Отсутствие ГПЗУ на земельный участок,Необходимость проведения НТС,Длительное согласование ПИР с Заказчико"&amp;"м,Попадание в зоны ЗОУИТ,Проведение дополнительных инж. изысканий в соответствии с ЗНП,Повторное МОГЭ, корретировка объемов,Финансовые трудности у ПО,Оформление ТС в муниципальную собственность,Длительное прохождение НТС"</formula1>
    </dataValidation>
    <dataValidation type="list" allowBlank="1" showErrorMessage="1" sqref="J150">
      <formula1>"Низкий темп разработки ПИР подрядчиком,Долгая передача исходных данных от ОМСУ подрядчику ,Смена проектировщика,Корректировка ТЗ,Отсутствие тех.приса,Отсутствие ГПЗУ на земельный участок,Необходимость проведения НТС,Длительное согласование ПИР с Заказчико"&amp;"м,Попадание в зоны ЗОУИТ,Проведение дополнительных инж. изысканий в соответствии с ЗНП,Повторное МОГЭ, корретировка объемов"</formula1>
    </dataValidation>
    <dataValidation type="list" allowBlank="1" showErrorMessage="1" sqref="G4:G505">
      <formula1>"Не заходили ни разу,Заходили,В МОГЭ"</formula1>
    </dataValidation>
    <dataValidation type="list" allowBlank="1" showErrorMessage="1" sqref="J4:J149 J151:J505">
      <formula1>"Благоустройство,Монтаж не завершен,ПНР не проведен"</formula1>
    </dataValidation>
    <dataValidation type="list" allowBlank="1" showErrorMessage="1" sqref="M4:M505">
      <formula1>"Нет,Да,Частично,Контракт расторгнут"</formula1>
    </dataValidation>
    <dataValidation type="list" allowBlank="1" showErrorMessage="1" sqref="R147">
      <formula1>"65.1 ,Нехватка софифансирования,Отсутствие доп.ника,Утверждение новой версии ГП,Передача объекта в собственность МО,Не доведены лимиты от ГРБС,Смена собственника объекта,Отсутсвие БГ,Не завершены СМР,Не получено МОГЭ,контракт расторгнут,Низкий темп подгру"&amp;"зки документов в ПИК,Долгое согласование УТНКР"</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38"/>
    <col customWidth="1" min="2" max="2" width="14.75"/>
    <col customWidth="1" min="3" max="3" width="55.75"/>
    <col customWidth="1" min="4" max="4" width="12.88"/>
    <col customWidth="1" min="5" max="5" width="15.75"/>
    <col customWidth="1" min="6" max="6" width="13.63"/>
    <col customWidth="1" min="7" max="7" width="16.38"/>
    <col customWidth="1" min="8" max="8" width="22.88"/>
    <col customWidth="1" min="9" max="9" width="14.13"/>
    <col customWidth="1" min="10" max="10" width="14.88"/>
    <col customWidth="1" min="11" max="11" width="12.25"/>
    <col customWidth="1" min="12" max="12" width="14.13"/>
    <col customWidth="1" min="13" max="13" width="20.75"/>
    <col customWidth="1" min="14" max="14" width="24.38"/>
    <col customWidth="1" min="15" max="15" width="19.75"/>
    <col customWidth="1" min="16" max="16" width="41.63"/>
    <col customWidth="1" min="17" max="17" width="24.13"/>
    <col customWidth="1" min="18" max="19" width="21.88"/>
    <col customWidth="1" min="20" max="20" width="16.0"/>
    <col customWidth="1" min="21" max="21" width="12.13"/>
    <col customWidth="1" min="22" max="22" width="16.63"/>
    <col customWidth="1" min="23" max="23" width="37.88"/>
    <col customWidth="1" min="24" max="24" width="36.88"/>
    <col customWidth="1" min="25" max="25" width="27.75"/>
    <col customWidth="1" min="26" max="26" width="33.5"/>
    <col customWidth="1" min="27" max="27" width="47.25"/>
  </cols>
  <sheetData>
    <row r="1">
      <c r="A1" s="272" t="s">
        <v>0</v>
      </c>
      <c r="B1" s="272" t="s">
        <v>1</v>
      </c>
      <c r="C1" s="272" t="s">
        <v>2</v>
      </c>
      <c r="D1" s="272" t="s">
        <v>4</v>
      </c>
      <c r="E1" s="272" t="s">
        <v>3501</v>
      </c>
      <c r="F1" s="272" t="s">
        <v>3502</v>
      </c>
      <c r="G1" s="272" t="s">
        <v>3503</v>
      </c>
      <c r="H1" s="272" t="s">
        <v>3504</v>
      </c>
      <c r="I1" s="272" t="s">
        <v>3505</v>
      </c>
      <c r="J1" s="272" t="s">
        <v>3506</v>
      </c>
      <c r="K1" s="272" t="s">
        <v>3507</v>
      </c>
      <c r="L1" s="272" t="s">
        <v>3508</v>
      </c>
      <c r="M1" s="272" t="s">
        <v>17</v>
      </c>
      <c r="N1" s="272" t="s">
        <v>18</v>
      </c>
      <c r="O1" s="272" t="s">
        <v>14</v>
      </c>
      <c r="P1" s="273" t="s">
        <v>20</v>
      </c>
      <c r="Q1" s="274" t="s">
        <v>3509</v>
      </c>
      <c r="R1" s="273" t="s">
        <v>24</v>
      </c>
      <c r="S1" s="273" t="s">
        <v>25</v>
      </c>
      <c r="T1" s="272" t="s">
        <v>12</v>
      </c>
      <c r="U1" s="272" t="s">
        <v>13</v>
      </c>
      <c r="V1" s="275" t="s">
        <v>14</v>
      </c>
      <c r="W1" s="41" t="s">
        <v>26</v>
      </c>
      <c r="X1" s="276" t="s">
        <v>3510</v>
      </c>
      <c r="Y1" s="276" t="s">
        <v>27</v>
      </c>
      <c r="Z1" s="276" t="s">
        <v>28</v>
      </c>
      <c r="AA1" s="277" t="s">
        <v>3511</v>
      </c>
      <c r="AB1" s="278"/>
    </row>
    <row r="2">
      <c r="A2" s="15">
        <v>1.0</v>
      </c>
      <c r="B2" s="16">
        <v>2.0</v>
      </c>
      <c r="C2" s="17">
        <v>3.0</v>
      </c>
      <c r="D2" s="17">
        <v>4.0</v>
      </c>
      <c r="E2" s="19">
        <v>5.0</v>
      </c>
      <c r="F2" s="17">
        <v>6.0</v>
      </c>
      <c r="G2" s="17">
        <v>7.0</v>
      </c>
      <c r="H2" s="17">
        <v>8.0</v>
      </c>
      <c r="I2" s="17">
        <v>9.0</v>
      </c>
      <c r="J2" s="17">
        <v>10.0</v>
      </c>
      <c r="K2" s="279">
        <v>0.11</v>
      </c>
      <c r="L2" s="18">
        <v>12.0</v>
      </c>
      <c r="M2" s="280">
        <v>13.0</v>
      </c>
      <c r="N2" s="281">
        <v>14.0</v>
      </c>
      <c r="O2" s="281">
        <v>15.0</v>
      </c>
      <c r="P2" s="281">
        <v>16.0</v>
      </c>
      <c r="Q2" s="21">
        <v>17.0</v>
      </c>
      <c r="R2" s="20"/>
      <c r="S2" s="21">
        <v>18.0</v>
      </c>
      <c r="T2" s="22">
        <v>18.0</v>
      </c>
      <c r="U2" s="22">
        <v>19.0</v>
      </c>
      <c r="V2" s="23">
        <v>20.0</v>
      </c>
      <c r="W2" s="24">
        <v>21.0</v>
      </c>
      <c r="X2" s="25">
        <v>22.0</v>
      </c>
      <c r="Y2" s="25"/>
      <c r="Z2" s="25"/>
      <c r="AA2" s="26"/>
      <c r="AB2" s="26"/>
    </row>
    <row r="3">
      <c r="A3" s="137" t="s">
        <v>1460</v>
      </c>
      <c r="B3" s="46" t="s">
        <v>110</v>
      </c>
      <c r="C3" s="30" t="s">
        <v>1461</v>
      </c>
      <c r="D3" s="30" t="s">
        <v>85</v>
      </c>
      <c r="E3" s="282"/>
      <c r="F3" s="30">
        <v>400.0</v>
      </c>
      <c r="G3" s="30">
        <v>481.0</v>
      </c>
      <c r="H3" s="30" t="s">
        <v>3512</v>
      </c>
      <c r="I3" s="30">
        <v>2024.0</v>
      </c>
      <c r="J3" s="30">
        <v>2026.0</v>
      </c>
      <c r="K3" s="283">
        <v>0.89</v>
      </c>
      <c r="L3" s="284"/>
      <c r="M3" s="285" t="s">
        <v>3513</v>
      </c>
      <c r="N3" s="35">
        <v>0.0</v>
      </c>
      <c r="O3" s="35" t="s">
        <v>3513</v>
      </c>
      <c r="P3" s="35" t="s">
        <v>557</v>
      </c>
      <c r="Q3" s="38" t="s">
        <v>437</v>
      </c>
      <c r="R3" s="37">
        <v>46132.0</v>
      </c>
      <c r="S3" s="38" t="s">
        <v>559</v>
      </c>
      <c r="T3" s="39">
        <v>125661.6</v>
      </c>
      <c r="U3" s="39">
        <v>78704.36028</v>
      </c>
      <c r="V3" s="40">
        <v>46957.23972</v>
      </c>
      <c r="W3" s="57" t="s">
        <v>1462</v>
      </c>
      <c r="X3" s="42" t="s">
        <v>187</v>
      </c>
      <c r="Y3" s="42" t="str">
        <f>IFERROR(__xludf.DUMMYFUNCTION("vLOOKUP(A3,IMPORTRANGE(""https://docs.google.com/spreadsheets/d/1Rawwwdh8wntXGy8isdYNHxsNQS4n_rC8JSdPfj6vEq4"",""'500 объектов перенос на 2026'!A3:AB502""),13,0)"),"#REF!")</f>
        <v>#REF!</v>
      </c>
      <c r="Z3" s="42" t="str">
        <f>IFERROR(__xludf.DUMMYFUNCTION("vLOOKUP(A3,IMPORTRANGE(""https://docs.google.com/spreadsheets/d/1Rawwwdh8wntXGy8isdYNHxsNQS4n_rC8JSdPfj6vEq4"",""'500 объектов перенос на 2026'!A3:AB502""),14,0)"),"#REF!")</f>
        <v>#REF!</v>
      </c>
      <c r="AA3" s="85" t="s">
        <v>3514</v>
      </c>
      <c r="AB3" s="43"/>
    </row>
    <row r="4">
      <c r="A4" s="62" t="s">
        <v>553</v>
      </c>
      <c r="B4" s="63" t="s">
        <v>110</v>
      </c>
      <c r="C4" s="64" t="s">
        <v>554</v>
      </c>
      <c r="D4" s="90" t="s">
        <v>85</v>
      </c>
      <c r="E4" s="286"/>
      <c r="F4" s="144">
        <v>400.0</v>
      </c>
      <c r="G4" s="144">
        <v>941.6</v>
      </c>
      <c r="H4" s="90" t="s">
        <v>3512</v>
      </c>
      <c r="I4" s="90">
        <v>2024.0</v>
      </c>
      <c r="J4" s="64">
        <v>2026.0</v>
      </c>
      <c r="K4" s="287">
        <v>0.8</v>
      </c>
      <c r="L4" s="288"/>
      <c r="M4" s="285" t="s">
        <v>3515</v>
      </c>
      <c r="N4" s="35" t="s">
        <v>3516</v>
      </c>
      <c r="O4" s="35" t="s">
        <v>3517</v>
      </c>
      <c r="P4" s="35" t="s">
        <v>557</v>
      </c>
      <c r="Q4" s="38" t="s">
        <v>437</v>
      </c>
      <c r="R4" s="37">
        <v>46132.0</v>
      </c>
      <c r="S4" s="38" t="s">
        <v>559</v>
      </c>
      <c r="T4" s="39">
        <v>201369.51</v>
      </c>
      <c r="U4" s="39">
        <v>156725.2569</v>
      </c>
      <c r="V4" s="40">
        <v>44644.25306</v>
      </c>
      <c r="W4" s="57"/>
      <c r="X4" s="42" t="s">
        <v>560</v>
      </c>
      <c r="Y4" s="42" t="str">
        <f>IFERROR(__xludf.DUMMYFUNCTION("vLOOKUP(A4,IMPORTRANGE(""https://docs.google.com/spreadsheets/d/1Rawwwdh8wntXGy8isdYNHxsNQS4n_rC8JSdPfj6vEq4"",""'500 объектов перенос на 2026'!A3:AB502""),13,0)"),"#REF!")</f>
        <v>#REF!</v>
      </c>
      <c r="Z4" s="42" t="str">
        <f>IFERROR(__xludf.DUMMYFUNCTION("vLOOKUP(A4,IMPORTRANGE(""https://docs.google.com/spreadsheets/d/1Rawwwdh8wntXGy8isdYNHxsNQS4n_rC8JSdPfj6vEq4"",""'500 объектов перенос на 2026'!A3:AB502""),14,0)"),"#REF!")</f>
        <v>#REF!</v>
      </c>
      <c r="AA4" s="85" t="s">
        <v>3514</v>
      </c>
      <c r="AB4" s="43"/>
    </row>
    <row r="5">
      <c r="A5" s="62" t="s">
        <v>2064</v>
      </c>
      <c r="B5" s="63" t="s">
        <v>110</v>
      </c>
      <c r="C5" s="64" t="s">
        <v>2065</v>
      </c>
      <c r="D5" s="64" t="s">
        <v>85</v>
      </c>
      <c r="E5" s="288"/>
      <c r="F5" s="144" t="s">
        <v>3518</v>
      </c>
      <c r="G5" s="64">
        <v>357.4</v>
      </c>
      <c r="H5" s="64" t="s">
        <v>3512</v>
      </c>
      <c r="I5" s="64">
        <v>2024.0</v>
      </c>
      <c r="J5" s="64">
        <v>2026.0</v>
      </c>
      <c r="K5" s="287">
        <v>0.89</v>
      </c>
      <c r="L5" s="288"/>
      <c r="M5" s="289" t="s">
        <v>3519</v>
      </c>
      <c r="N5" s="35">
        <v>0.0</v>
      </c>
      <c r="O5" s="35" t="s">
        <v>3520</v>
      </c>
      <c r="P5" s="35" t="s">
        <v>557</v>
      </c>
      <c r="Q5" s="38" t="s">
        <v>437</v>
      </c>
      <c r="R5" s="37">
        <v>46132.0</v>
      </c>
      <c r="S5" s="38" t="s">
        <v>559</v>
      </c>
      <c r="T5" s="39">
        <v>68028.45</v>
      </c>
      <c r="U5" s="39">
        <v>53380.43487</v>
      </c>
      <c r="V5" s="40">
        <v>14648.01513</v>
      </c>
      <c r="W5" s="57"/>
      <c r="X5" s="42" t="s">
        <v>187</v>
      </c>
      <c r="Y5" s="42" t="str">
        <f>IFERROR(__xludf.DUMMYFUNCTION("vLOOKUP(A5,IMPORTRANGE(""https://docs.google.com/spreadsheets/d/1Rawwwdh8wntXGy8isdYNHxsNQS4n_rC8JSdPfj6vEq4"",""'500 объектов перенос на 2026'!A3:AB502""),13,0)"),"#REF!")</f>
        <v>#REF!</v>
      </c>
      <c r="Z5" s="42" t="str">
        <f>IFERROR(__xludf.DUMMYFUNCTION("vLOOKUP(A5,IMPORTRANGE(""https://docs.google.com/spreadsheets/d/1Rawwwdh8wntXGy8isdYNHxsNQS4n_rC8JSdPfj6vEq4"",""'500 объектов перенос на 2026'!A3:AB502""),14,0)"),"#REF!")</f>
        <v>#REF!</v>
      </c>
      <c r="AA5" s="85" t="s">
        <v>3514</v>
      </c>
      <c r="AB5" s="43"/>
    </row>
    <row r="6">
      <c r="A6" s="62" t="s">
        <v>1094</v>
      </c>
      <c r="B6" s="63" t="s">
        <v>110</v>
      </c>
      <c r="C6" s="64" t="s">
        <v>1095</v>
      </c>
      <c r="D6" s="64" t="s">
        <v>85</v>
      </c>
      <c r="E6" s="288"/>
      <c r="F6" s="144" t="s">
        <v>3521</v>
      </c>
      <c r="G6" s="64">
        <v>270.0</v>
      </c>
      <c r="H6" s="64" t="s">
        <v>3512</v>
      </c>
      <c r="I6" s="64">
        <v>2024.0</v>
      </c>
      <c r="J6" s="64">
        <v>2026.0</v>
      </c>
      <c r="K6" s="287">
        <v>0.95</v>
      </c>
      <c r="L6" s="288"/>
      <c r="M6" s="285" t="s">
        <v>3522</v>
      </c>
      <c r="N6" s="35">
        <v>0.0</v>
      </c>
      <c r="O6" s="35" t="s">
        <v>3522</v>
      </c>
      <c r="P6" s="35" t="s">
        <v>1096</v>
      </c>
      <c r="Q6" s="290">
        <v>46118.0</v>
      </c>
      <c r="R6" s="56"/>
      <c r="S6" s="38"/>
      <c r="T6" s="39">
        <v>19758.72</v>
      </c>
      <c r="U6" s="39">
        <v>9684.76606</v>
      </c>
      <c r="V6" s="40">
        <v>10073.95394</v>
      </c>
      <c r="W6" s="57"/>
      <c r="X6" s="42" t="s">
        <v>1098</v>
      </c>
      <c r="Y6" s="42" t="str">
        <f>IFERROR(__xludf.DUMMYFUNCTION("vLOOKUP(A6,IMPORTRANGE(""https://docs.google.com/spreadsheets/d/1Rawwwdh8wntXGy8isdYNHxsNQS4n_rC8JSdPfj6vEq4"",""'500 объектов перенос на 2026'!A3:AB502""),13,0)"),"#REF!")</f>
        <v>#REF!</v>
      </c>
      <c r="Z6" s="42" t="str">
        <f>IFERROR(__xludf.DUMMYFUNCTION("vLOOKUP(A6,IMPORTRANGE(""https://docs.google.com/spreadsheets/d/1Rawwwdh8wntXGy8isdYNHxsNQS4n_rC8JSdPfj6vEq4"",""'500 объектов перенос на 2026'!A3:AB502""),14,0)"),"#REF!")</f>
        <v>#REF!</v>
      </c>
      <c r="AA6" s="85" t="s">
        <v>3514</v>
      </c>
      <c r="AB6" s="43"/>
    </row>
    <row r="7">
      <c r="A7" s="62" t="s">
        <v>1416</v>
      </c>
      <c r="B7" s="63" t="s">
        <v>110</v>
      </c>
      <c r="C7" s="64" t="s">
        <v>1417</v>
      </c>
      <c r="D7" s="64" t="s">
        <v>85</v>
      </c>
      <c r="E7" s="288"/>
      <c r="F7" s="144" t="s">
        <v>3523</v>
      </c>
      <c r="G7" s="291" t="s">
        <v>3524</v>
      </c>
      <c r="H7" s="64" t="s">
        <v>3512</v>
      </c>
      <c r="I7" s="64">
        <v>2024.0</v>
      </c>
      <c r="J7" s="64">
        <v>2026.0</v>
      </c>
      <c r="K7" s="287">
        <v>0.9</v>
      </c>
      <c r="L7" s="288"/>
      <c r="M7" s="285" t="s">
        <v>3525</v>
      </c>
      <c r="N7" s="35">
        <v>0.0</v>
      </c>
      <c r="O7" s="35" t="s">
        <v>3525</v>
      </c>
      <c r="P7" s="35" t="s">
        <v>1418</v>
      </c>
      <c r="Q7" s="290">
        <v>46235.0</v>
      </c>
      <c r="R7" s="56"/>
      <c r="S7" s="38"/>
      <c r="T7" s="39">
        <v>68216.16</v>
      </c>
      <c r="U7" s="39">
        <v>34108.08</v>
      </c>
      <c r="V7" s="40">
        <v>34108.08</v>
      </c>
      <c r="W7" s="57"/>
      <c r="X7" s="42" t="s">
        <v>1420</v>
      </c>
      <c r="Y7" s="42" t="str">
        <f>IFERROR(__xludf.DUMMYFUNCTION("vLOOKUP(A7,IMPORTRANGE(""https://docs.google.com/spreadsheets/d/1Rawwwdh8wntXGy8isdYNHxsNQS4n_rC8JSdPfj6vEq4"",""'500 объектов перенос на 2026'!A3:AB502""),13,0)"),"#REF!")</f>
        <v>#REF!</v>
      </c>
      <c r="Z7" s="42" t="str">
        <f>IFERROR(__xludf.DUMMYFUNCTION("vLOOKUP(A7,IMPORTRANGE(""https://docs.google.com/spreadsheets/d/1Rawwwdh8wntXGy8isdYNHxsNQS4n_rC8JSdPfj6vEq4"",""'500 объектов перенос на 2026'!A3:AB502""),14,0)"),"#REF!")</f>
        <v>#REF!</v>
      </c>
      <c r="AA7" s="85" t="s">
        <v>3526</v>
      </c>
      <c r="AB7" s="43"/>
    </row>
    <row r="8">
      <c r="A8" s="62" t="s">
        <v>109</v>
      </c>
      <c r="B8" s="63" t="s">
        <v>110</v>
      </c>
      <c r="C8" s="64" t="s">
        <v>111</v>
      </c>
      <c r="D8" s="64" t="s">
        <v>85</v>
      </c>
      <c r="E8" s="288"/>
      <c r="F8" s="64">
        <v>300.0</v>
      </c>
      <c r="G8" s="64">
        <v>421.0</v>
      </c>
      <c r="H8" s="64" t="s">
        <v>3527</v>
      </c>
      <c r="I8" s="64">
        <v>2024.0</v>
      </c>
      <c r="J8" s="64">
        <v>2025.0</v>
      </c>
      <c r="K8" s="288"/>
      <c r="L8" s="292" t="s">
        <v>3528</v>
      </c>
      <c r="M8" s="285" t="s">
        <v>3529</v>
      </c>
      <c r="N8" s="35" t="s">
        <v>3530</v>
      </c>
      <c r="O8" s="35" t="s">
        <v>3531</v>
      </c>
      <c r="P8" s="35" t="s">
        <v>113</v>
      </c>
      <c r="Q8" s="38"/>
      <c r="R8" s="38" t="s">
        <v>115</v>
      </c>
      <c r="S8" s="38"/>
      <c r="T8" s="39">
        <v>52838.94</v>
      </c>
      <c r="U8" s="39">
        <v>41284.11708</v>
      </c>
      <c r="V8" s="39">
        <v>11554.82292</v>
      </c>
      <c r="W8" s="57"/>
      <c r="X8" s="42" t="s">
        <v>116</v>
      </c>
      <c r="Y8" s="42" t="str">
        <f>IFERROR(__xludf.DUMMYFUNCTION("vLOOKUP(A8,IMPORTRANGE(""https://docs.google.com/spreadsheets/d/1Rawwwdh8wntXGy8isdYNHxsNQS4n_rC8JSdPfj6vEq4"",""'500 объектов перенос на 2026'!A3:AB502""),13,0)"),"#REF!")</f>
        <v>#REF!</v>
      </c>
      <c r="Z8" s="42" t="str">
        <f>IFERROR(__xludf.DUMMYFUNCTION("vLOOKUP(A8,IMPORTRANGE(""https://docs.google.com/spreadsheets/d/1Rawwwdh8wntXGy8isdYNHxsNQS4n_rC8JSdPfj6vEq4"",""'500 объектов перенос на 2026'!A3:AB502""),14,0)"),"#REF!")</f>
        <v>#REF!</v>
      </c>
      <c r="AA8" s="116"/>
      <c r="AB8" s="43"/>
    </row>
    <row r="9">
      <c r="A9" s="62" t="s">
        <v>118</v>
      </c>
      <c r="B9" s="63" t="s">
        <v>110</v>
      </c>
      <c r="C9" s="64" t="s">
        <v>119</v>
      </c>
      <c r="D9" s="64" t="s">
        <v>85</v>
      </c>
      <c r="E9" s="288"/>
      <c r="F9" s="64">
        <v>250.0</v>
      </c>
      <c r="G9" s="64">
        <v>246.0</v>
      </c>
      <c r="H9" s="64" t="s">
        <v>3527</v>
      </c>
      <c r="I9" s="64">
        <v>2024.0</v>
      </c>
      <c r="J9" s="64">
        <v>2025.0</v>
      </c>
      <c r="K9" s="288"/>
      <c r="L9" s="292" t="s">
        <v>3528</v>
      </c>
      <c r="M9" s="285" t="s">
        <v>3532</v>
      </c>
      <c r="N9" s="35" t="s">
        <v>3533</v>
      </c>
      <c r="O9" s="35" t="s">
        <v>3534</v>
      </c>
      <c r="P9" s="35" t="s">
        <v>113</v>
      </c>
      <c r="Q9" s="38"/>
      <c r="R9" s="38" t="s">
        <v>115</v>
      </c>
      <c r="S9" s="38"/>
      <c r="T9" s="39">
        <v>40767.16</v>
      </c>
      <c r="U9" s="39">
        <v>31486.58191</v>
      </c>
      <c r="V9" s="39">
        <v>9280.57809</v>
      </c>
      <c r="W9" s="57"/>
      <c r="X9" s="42" t="s">
        <v>116</v>
      </c>
      <c r="Y9" s="42" t="str">
        <f>IFERROR(__xludf.DUMMYFUNCTION("vLOOKUP(A9,IMPORTRANGE(""https://docs.google.com/spreadsheets/d/1Rawwwdh8wntXGy8isdYNHxsNQS4n_rC8JSdPfj6vEq4"",""'500 объектов перенос на 2026'!A3:AB502""),13,0)"),"#REF!")</f>
        <v>#REF!</v>
      </c>
      <c r="Z9" s="42" t="str">
        <f>IFERROR(__xludf.DUMMYFUNCTION("vLOOKUP(A9,IMPORTRANGE(""https://docs.google.com/spreadsheets/d/1Rawwwdh8wntXGy8isdYNHxsNQS4n_rC8JSdPfj6vEq4"",""'500 объектов перенос на 2026'!A3:AB502""),14,0)"),"#REF!")</f>
        <v>#REF!</v>
      </c>
      <c r="AA9" s="116"/>
      <c r="AB9" s="43"/>
    </row>
    <row r="10">
      <c r="A10" s="62" t="s">
        <v>121</v>
      </c>
      <c r="B10" s="63" t="s">
        <v>110</v>
      </c>
      <c r="C10" s="80" t="s">
        <v>122</v>
      </c>
      <c r="D10" s="64" t="s">
        <v>85</v>
      </c>
      <c r="E10" s="288"/>
      <c r="F10" s="144">
        <v>400.0</v>
      </c>
      <c r="G10" s="144">
        <v>264.0</v>
      </c>
      <c r="H10" s="64" t="s">
        <v>3512</v>
      </c>
      <c r="I10" s="64">
        <v>2024.0</v>
      </c>
      <c r="J10" s="64">
        <v>2025.0</v>
      </c>
      <c r="K10" s="287">
        <v>1.0</v>
      </c>
      <c r="L10" s="292" t="s">
        <v>3528</v>
      </c>
      <c r="M10" s="285" t="s">
        <v>3535</v>
      </c>
      <c r="N10" s="35" t="s">
        <v>3536</v>
      </c>
      <c r="O10" s="35" t="s">
        <v>3537</v>
      </c>
      <c r="P10" s="35" t="s">
        <v>113</v>
      </c>
      <c r="Q10" s="38"/>
      <c r="R10" s="38" t="s">
        <v>115</v>
      </c>
      <c r="S10" s="38"/>
      <c r="T10" s="39">
        <v>48821.74</v>
      </c>
      <c r="U10" s="39">
        <v>40711.38715</v>
      </c>
      <c r="V10" s="39">
        <v>8110.35285</v>
      </c>
      <c r="W10" s="57"/>
      <c r="X10" s="42" t="s">
        <v>116</v>
      </c>
      <c r="Y10" s="42" t="str">
        <f>IFERROR(__xludf.DUMMYFUNCTION("vLOOKUP(A10,IMPORTRANGE(""https://docs.google.com/spreadsheets/d/1Rawwwdh8wntXGy8isdYNHxsNQS4n_rC8JSdPfj6vEq4"",""'500 объектов перенос на 2026'!A3:AB502""),13,0)"),"#REF!")</f>
        <v>#REF!</v>
      </c>
      <c r="Z10" s="42" t="str">
        <f>IFERROR(__xludf.DUMMYFUNCTION("vLOOKUP(A10,IMPORTRANGE(""https://docs.google.com/spreadsheets/d/1Rawwwdh8wntXGy8isdYNHxsNQS4n_rC8JSdPfj6vEq4"",""'500 объектов перенос на 2026'!A3:AB502""),14,0)"),"#REF!")</f>
        <v>#REF!</v>
      </c>
      <c r="AA10" s="116"/>
      <c r="AB10" s="43"/>
    </row>
    <row r="11">
      <c r="A11" s="62" t="s">
        <v>123</v>
      </c>
      <c r="B11" s="63" t="s">
        <v>110</v>
      </c>
      <c r="C11" s="64" t="s">
        <v>124</v>
      </c>
      <c r="D11" s="64" t="s">
        <v>85</v>
      </c>
      <c r="E11" s="288"/>
      <c r="F11" s="144">
        <v>500.0</v>
      </c>
      <c r="G11" s="144">
        <v>174.8</v>
      </c>
      <c r="H11" s="64" t="s">
        <v>3527</v>
      </c>
      <c r="I11" s="64">
        <v>2024.0</v>
      </c>
      <c r="J11" s="64">
        <v>2025.0</v>
      </c>
      <c r="K11" s="288"/>
      <c r="L11" s="292" t="s">
        <v>3528</v>
      </c>
      <c r="M11" s="285" t="s">
        <v>3538</v>
      </c>
      <c r="N11" s="35">
        <v>0.0</v>
      </c>
      <c r="O11" s="35" t="s">
        <v>3538</v>
      </c>
      <c r="P11" s="35" t="s">
        <v>113</v>
      </c>
      <c r="Q11" s="38"/>
      <c r="R11" s="38" t="s">
        <v>115</v>
      </c>
      <c r="S11" s="38"/>
      <c r="T11" s="39">
        <v>31187.59</v>
      </c>
      <c r="U11" s="39">
        <v>28397.84161</v>
      </c>
      <c r="V11" s="39">
        <v>2789.74839</v>
      </c>
      <c r="W11" s="57"/>
      <c r="X11" s="42" t="s">
        <v>116</v>
      </c>
      <c r="Y11" s="42" t="str">
        <f>IFERROR(__xludf.DUMMYFUNCTION("vLOOKUP(A11,IMPORTRANGE(""https://docs.google.com/spreadsheets/d/1Rawwwdh8wntXGy8isdYNHxsNQS4n_rC8JSdPfj6vEq4"",""'500 объектов перенос на 2026'!A3:AB502""),13,0)"),"#REF!")</f>
        <v>#REF!</v>
      </c>
      <c r="Z11" s="42" t="str">
        <f>IFERROR(__xludf.DUMMYFUNCTION("vLOOKUP(A11,IMPORTRANGE(""https://docs.google.com/spreadsheets/d/1Rawwwdh8wntXGy8isdYNHxsNQS4n_rC8JSdPfj6vEq4"",""'500 объектов перенос на 2026'!A3:AB502""),14,0)"),"#REF!")</f>
        <v>#REF!</v>
      </c>
      <c r="AA11" s="116"/>
      <c r="AB11" s="43"/>
    </row>
    <row r="12">
      <c r="A12" s="62" t="s">
        <v>125</v>
      </c>
      <c r="B12" s="63" t="s">
        <v>126</v>
      </c>
      <c r="C12" s="64" t="s">
        <v>127</v>
      </c>
      <c r="D12" s="64" t="s">
        <v>85</v>
      </c>
      <c r="E12" s="288"/>
      <c r="F12" s="288"/>
      <c r="G12" s="291" t="s">
        <v>3539</v>
      </c>
      <c r="H12" s="64" t="s">
        <v>3527</v>
      </c>
      <c r="I12" s="64">
        <v>2023.0</v>
      </c>
      <c r="J12" s="64">
        <v>2026.0</v>
      </c>
      <c r="K12" s="288"/>
      <c r="L12" s="288"/>
      <c r="M12" s="285" t="s">
        <v>3540</v>
      </c>
      <c r="N12" s="35" t="s">
        <v>3541</v>
      </c>
      <c r="O12" s="35" t="s">
        <v>3542</v>
      </c>
      <c r="P12" s="35" t="s">
        <v>46</v>
      </c>
      <c r="Q12" s="290">
        <v>46325.0</v>
      </c>
      <c r="R12" s="82"/>
      <c r="S12" s="83">
        <v>46325.0</v>
      </c>
      <c r="T12" s="39">
        <v>146362.4523</v>
      </c>
      <c r="U12" s="39">
        <v>36526.32717</v>
      </c>
      <c r="V12" s="40">
        <v>109836.1252</v>
      </c>
      <c r="W12" s="57" t="s">
        <v>130</v>
      </c>
      <c r="X12" s="42" t="s">
        <v>131</v>
      </c>
      <c r="Y12" s="42" t="str">
        <f>IFERROR(__xludf.DUMMYFUNCTION("vLOOKUP(A12,IMPORTRANGE(""https://docs.google.com/spreadsheets/d/1Rawwwdh8wntXGy8isdYNHxsNQS4n_rC8JSdPfj6vEq4"",""'500 объектов перенос на 2026'!A3:AB502""),13,0)"),"#REF!")</f>
        <v>#REF!</v>
      </c>
      <c r="Z12" s="42" t="str">
        <f>IFERROR(__xludf.DUMMYFUNCTION("vLOOKUP(A12,IMPORTRANGE(""https://docs.google.com/spreadsheets/d/1Rawwwdh8wntXGy8isdYNHxsNQS4n_rC8JSdPfj6vEq4"",""'500 объектов перенос на 2026'!A3:AB502""),14,0)"),"#REF!")</f>
        <v>#REF!</v>
      </c>
      <c r="AA12" s="85" t="s">
        <v>3543</v>
      </c>
      <c r="AB12" s="43"/>
    </row>
    <row r="13">
      <c r="A13" s="62" t="s">
        <v>1108</v>
      </c>
      <c r="B13" s="63" t="s">
        <v>126</v>
      </c>
      <c r="C13" s="64" t="s">
        <v>1109</v>
      </c>
      <c r="D13" s="64" t="s">
        <v>39</v>
      </c>
      <c r="E13" s="64" t="s">
        <v>3544</v>
      </c>
      <c r="F13" s="288"/>
      <c r="G13" s="288"/>
      <c r="H13" s="64" t="s">
        <v>3527</v>
      </c>
      <c r="I13" s="64">
        <v>2024.0</v>
      </c>
      <c r="J13" s="64">
        <v>2026.0</v>
      </c>
      <c r="K13" s="287">
        <v>0.97</v>
      </c>
      <c r="L13" s="288"/>
      <c r="M13" s="289" t="s">
        <v>3545</v>
      </c>
      <c r="N13" s="35" t="s">
        <v>3546</v>
      </c>
      <c r="O13" s="35" t="s">
        <v>3520</v>
      </c>
      <c r="P13" s="35" t="s">
        <v>1111</v>
      </c>
      <c r="Q13" s="37">
        <v>46142.0</v>
      </c>
      <c r="R13" s="56"/>
      <c r="S13" s="38" t="s">
        <v>620</v>
      </c>
      <c r="T13" s="39">
        <v>66240.0</v>
      </c>
      <c r="U13" s="39">
        <v>39052.04666</v>
      </c>
      <c r="V13" s="40">
        <v>27187.95334</v>
      </c>
      <c r="W13" s="57" t="s">
        <v>1113</v>
      </c>
      <c r="X13" s="42" t="s">
        <v>1114</v>
      </c>
      <c r="Y13" s="42" t="str">
        <f>IFERROR(__xludf.DUMMYFUNCTION("vLOOKUP(A13,IMPORTRANGE(""https://docs.google.com/spreadsheets/d/1Rawwwdh8wntXGy8isdYNHxsNQS4n_rC8JSdPfj6vEq4"",""'500 объектов перенос на 2026'!A3:AB502""),13,0)"),"#REF!")</f>
        <v>#REF!</v>
      </c>
      <c r="Z13" s="42" t="str">
        <f>IFERROR(__xludf.DUMMYFUNCTION("vLOOKUP(A13,IMPORTRANGE(""https://docs.google.com/spreadsheets/d/1Rawwwdh8wntXGy8isdYNHxsNQS4n_rC8JSdPfj6vEq4"",""'500 объектов перенос на 2026'!A3:AB502""),14,0)"),"#REF!")</f>
        <v>#REF!</v>
      </c>
      <c r="AA13" s="85" t="s">
        <v>3547</v>
      </c>
      <c r="AB13" s="43"/>
    </row>
    <row r="14">
      <c r="A14" s="62" t="s">
        <v>612</v>
      </c>
      <c r="B14" s="63" t="s">
        <v>126</v>
      </c>
      <c r="C14" s="64" t="s">
        <v>613</v>
      </c>
      <c r="D14" s="64" t="s">
        <v>39</v>
      </c>
      <c r="E14" s="64" t="s">
        <v>3548</v>
      </c>
      <c r="F14" s="288"/>
      <c r="G14" s="288"/>
      <c r="H14" s="64" t="s">
        <v>3527</v>
      </c>
      <c r="I14" s="64">
        <v>2024.0</v>
      </c>
      <c r="J14" s="64">
        <v>2026.0</v>
      </c>
      <c r="K14" s="287">
        <v>0.99</v>
      </c>
      <c r="L14" s="288"/>
      <c r="M14" s="289" t="s">
        <v>3549</v>
      </c>
      <c r="N14" s="35">
        <v>0.0</v>
      </c>
      <c r="O14" s="35" t="s">
        <v>3520</v>
      </c>
      <c r="P14" s="35" t="s">
        <v>1111</v>
      </c>
      <c r="Q14" s="37">
        <v>46142.0</v>
      </c>
      <c r="R14" s="56"/>
      <c r="S14" s="38" t="s">
        <v>620</v>
      </c>
      <c r="T14" s="39">
        <v>122000.0</v>
      </c>
      <c r="U14" s="39">
        <v>75397.38398</v>
      </c>
      <c r="V14" s="40">
        <v>46602.61602</v>
      </c>
      <c r="W14" s="57" t="s">
        <v>621</v>
      </c>
      <c r="X14" s="42" t="s">
        <v>622</v>
      </c>
      <c r="Y14" s="42" t="str">
        <f>IFERROR(__xludf.DUMMYFUNCTION("vLOOKUP(A14,IMPORTRANGE(""https://docs.google.com/spreadsheets/d/1Rawwwdh8wntXGy8isdYNHxsNQS4n_rC8JSdPfj6vEq4"",""'500 объектов перенос на 2026'!A3:AB502""),13,0)"),"#REF!")</f>
        <v>#REF!</v>
      </c>
      <c r="Z14" s="42" t="str">
        <f>IFERROR(__xludf.DUMMYFUNCTION("vLOOKUP(A14,IMPORTRANGE(""https://docs.google.com/spreadsheets/d/1Rawwwdh8wntXGy8isdYNHxsNQS4n_rC8JSdPfj6vEq4"",""'500 объектов перенос на 2026'!A3:AB502""),14,0)"),"#REF!")</f>
        <v>#REF!</v>
      </c>
      <c r="AA14" s="85" t="s">
        <v>3547</v>
      </c>
      <c r="AB14" s="43"/>
    </row>
    <row r="15">
      <c r="A15" s="62" t="s">
        <v>1221</v>
      </c>
      <c r="B15" s="63" t="s">
        <v>126</v>
      </c>
      <c r="C15" s="64" t="s">
        <v>1222</v>
      </c>
      <c r="D15" s="64" t="s">
        <v>85</v>
      </c>
      <c r="E15" s="288"/>
      <c r="F15" s="64" t="s">
        <v>3550</v>
      </c>
      <c r="G15" s="64">
        <v>857.5</v>
      </c>
      <c r="H15" s="64" t="s">
        <v>3512</v>
      </c>
      <c r="I15" s="64">
        <v>2024.0</v>
      </c>
      <c r="J15" s="64">
        <v>2026.0</v>
      </c>
      <c r="K15" s="287">
        <v>0.58</v>
      </c>
      <c r="L15" s="288"/>
      <c r="M15" s="285" t="s">
        <v>3551</v>
      </c>
      <c r="N15" s="35">
        <v>0.0</v>
      </c>
      <c r="O15" s="35" t="s">
        <v>3551</v>
      </c>
      <c r="P15" s="35" t="s">
        <v>3552</v>
      </c>
      <c r="Q15" s="37">
        <v>46264.0</v>
      </c>
      <c r="R15" s="56"/>
      <c r="S15" s="38" t="s">
        <v>1228</v>
      </c>
      <c r="T15" s="39">
        <v>66152.95</v>
      </c>
      <c r="U15" s="39">
        <v>22526.26017</v>
      </c>
      <c r="V15" s="40">
        <v>43626.68983</v>
      </c>
      <c r="W15" s="57" t="s">
        <v>1229</v>
      </c>
      <c r="X15" s="42" t="s">
        <v>1230</v>
      </c>
      <c r="Y15" s="42" t="str">
        <f>IFERROR(__xludf.DUMMYFUNCTION("vLOOKUP(A15,IMPORTRANGE(""https://docs.google.com/spreadsheets/d/1Rawwwdh8wntXGy8isdYNHxsNQS4n_rC8JSdPfj6vEq4"",""'500 объектов перенос на 2026'!A3:AB502""),13,0)"),"#REF!")</f>
        <v>#REF!</v>
      </c>
      <c r="Z15" s="42" t="str">
        <f>IFERROR(__xludf.DUMMYFUNCTION("vLOOKUP(A15,IMPORTRANGE(""https://docs.google.com/spreadsheets/d/1Rawwwdh8wntXGy8isdYNHxsNQS4n_rC8JSdPfj6vEq4"",""'500 объектов перенос на 2026'!A3:AB502""),14,0)"),"#REF!")</f>
        <v>#REF!</v>
      </c>
      <c r="AA15" s="85" t="s">
        <v>3553</v>
      </c>
      <c r="AB15" s="43"/>
    </row>
    <row r="16">
      <c r="A16" s="62" t="s">
        <v>164</v>
      </c>
      <c r="B16" s="63" t="s">
        <v>126</v>
      </c>
      <c r="C16" s="64" t="s">
        <v>165</v>
      </c>
      <c r="D16" s="64" t="s">
        <v>85</v>
      </c>
      <c r="E16" s="288"/>
      <c r="F16" s="64" t="s">
        <v>3554</v>
      </c>
      <c r="G16" s="291" t="s">
        <v>3555</v>
      </c>
      <c r="H16" s="64" t="s">
        <v>3512</v>
      </c>
      <c r="I16" s="64">
        <v>2024.0</v>
      </c>
      <c r="J16" s="64">
        <v>2025.0</v>
      </c>
      <c r="K16" s="287">
        <v>1.0</v>
      </c>
      <c r="L16" s="292" t="s">
        <v>3528</v>
      </c>
      <c r="M16" s="289" t="s">
        <v>3556</v>
      </c>
      <c r="N16" s="35" t="s">
        <v>3557</v>
      </c>
      <c r="O16" s="35" t="s">
        <v>3520</v>
      </c>
      <c r="P16" s="35" t="s">
        <v>113</v>
      </c>
      <c r="Q16" s="37">
        <v>46203.0</v>
      </c>
      <c r="R16" s="38" t="s">
        <v>115</v>
      </c>
      <c r="S16" s="38"/>
      <c r="T16" s="39">
        <v>144552.58</v>
      </c>
      <c r="U16" s="39">
        <v>121662.7413</v>
      </c>
      <c r="V16" s="39">
        <v>22889.83875</v>
      </c>
      <c r="W16" s="57" t="s">
        <v>167</v>
      </c>
      <c r="X16" s="42" t="s">
        <v>3558</v>
      </c>
      <c r="Y16" s="42" t="str">
        <f>IFERROR(__xludf.DUMMYFUNCTION("vLOOKUP(A16,IMPORTRANGE(""https://docs.google.com/spreadsheets/d/1Rawwwdh8wntXGy8isdYNHxsNQS4n_rC8JSdPfj6vEq4"",""'500 объектов перенос на 2026'!A3:AB502""),13,0)"),"#REF!")</f>
        <v>#REF!</v>
      </c>
      <c r="Z16" s="42" t="str">
        <f>IFERROR(__xludf.DUMMYFUNCTION("vLOOKUP(A16,IMPORTRANGE(""https://docs.google.com/spreadsheets/d/1Rawwwdh8wntXGy8isdYNHxsNQS4n_rC8JSdPfj6vEq4"",""'500 объектов перенос на 2026'!A3:AB502""),14,0)"),"#REF!")</f>
        <v>#REF!</v>
      </c>
      <c r="AA16" s="85" t="s">
        <v>3559</v>
      </c>
      <c r="AB16" s="43"/>
    </row>
    <row r="17">
      <c r="A17" s="62" t="s">
        <v>169</v>
      </c>
      <c r="B17" s="63" t="s">
        <v>126</v>
      </c>
      <c r="C17" s="64" t="s">
        <v>170</v>
      </c>
      <c r="D17" s="64" t="s">
        <v>85</v>
      </c>
      <c r="E17" s="288"/>
      <c r="F17" s="64" t="s">
        <v>3550</v>
      </c>
      <c r="G17" s="64">
        <v>449.0</v>
      </c>
      <c r="H17" s="64" t="s">
        <v>3512</v>
      </c>
      <c r="I17" s="64">
        <v>2024.0</v>
      </c>
      <c r="J17" s="64">
        <v>2025.0</v>
      </c>
      <c r="K17" s="287">
        <v>1.0</v>
      </c>
      <c r="L17" s="292" t="s">
        <v>3528</v>
      </c>
      <c r="M17" s="285" t="s">
        <v>3560</v>
      </c>
      <c r="N17" s="35" t="s">
        <v>3561</v>
      </c>
      <c r="O17" s="35" t="s">
        <v>3562</v>
      </c>
      <c r="P17" s="35" t="s">
        <v>113</v>
      </c>
      <c r="Q17" s="38" t="s">
        <v>11</v>
      </c>
      <c r="R17" s="38" t="s">
        <v>115</v>
      </c>
      <c r="S17" s="38" t="s">
        <v>173</v>
      </c>
      <c r="T17" s="39">
        <v>28410.45</v>
      </c>
      <c r="U17" s="39">
        <v>18601.00354</v>
      </c>
      <c r="V17" s="39">
        <v>9809.44646</v>
      </c>
      <c r="W17" s="57" t="s">
        <v>174</v>
      </c>
      <c r="X17" s="42" t="s">
        <v>175</v>
      </c>
      <c r="Y17" s="42" t="str">
        <f>IFERROR(__xludf.DUMMYFUNCTION("vLOOKUP(A17,IMPORTRANGE(""https://docs.google.com/spreadsheets/d/1Rawwwdh8wntXGy8isdYNHxsNQS4n_rC8JSdPfj6vEq4"",""'500 объектов перенос на 2026'!A3:AB502""),13,0)"),"#REF!")</f>
        <v>#REF!</v>
      </c>
      <c r="Z17" s="42" t="str">
        <f>IFERROR(__xludf.DUMMYFUNCTION("vLOOKUP(A17,IMPORTRANGE(""https://docs.google.com/spreadsheets/d/1Rawwwdh8wntXGy8isdYNHxsNQS4n_rC8JSdPfj6vEq4"",""'500 объектов перенос на 2026'!A3:AB502""),14,0)"),"#REF!")</f>
        <v>#REF!</v>
      </c>
      <c r="AA17" s="42" t="s">
        <v>175</v>
      </c>
      <c r="AB17" s="43"/>
    </row>
    <row r="18">
      <c r="A18" s="62" t="s">
        <v>642</v>
      </c>
      <c r="B18" s="63" t="s">
        <v>126</v>
      </c>
      <c r="C18" s="64" t="s">
        <v>643</v>
      </c>
      <c r="D18" s="64" t="s">
        <v>85</v>
      </c>
      <c r="E18" s="288"/>
      <c r="F18" s="64" t="s">
        <v>3554</v>
      </c>
      <c r="G18" s="291" t="s">
        <v>3563</v>
      </c>
      <c r="H18" s="64" t="s">
        <v>3512</v>
      </c>
      <c r="I18" s="64">
        <v>2024.0</v>
      </c>
      <c r="J18" s="64">
        <v>2026.0</v>
      </c>
      <c r="K18" s="287">
        <v>0.8</v>
      </c>
      <c r="L18" s="288"/>
      <c r="M18" s="285" t="s">
        <v>3564</v>
      </c>
      <c r="N18" s="35" t="s">
        <v>645</v>
      </c>
      <c r="O18" s="35" t="s">
        <v>3565</v>
      </c>
      <c r="P18" s="293" t="s">
        <v>3566</v>
      </c>
      <c r="Q18" s="37">
        <v>46203.0</v>
      </c>
      <c r="R18" s="56"/>
      <c r="S18" s="38"/>
      <c r="T18" s="39">
        <v>98953.48</v>
      </c>
      <c r="U18" s="39">
        <v>37801.22722</v>
      </c>
      <c r="V18" s="40">
        <v>61152.25278</v>
      </c>
      <c r="W18" s="99" t="s">
        <v>649</v>
      </c>
      <c r="X18" s="42" t="s">
        <v>650</v>
      </c>
      <c r="Y18" s="42" t="str">
        <f>IFERROR(__xludf.DUMMYFUNCTION("vLOOKUP(A18,IMPORTRANGE(""https://docs.google.com/spreadsheets/d/1Rawwwdh8wntXGy8isdYNHxsNQS4n_rC8JSdPfj6vEq4"",""'500 объектов перенос на 2026'!A3:AB502""),13,0)"),"#REF!")</f>
        <v>#REF!</v>
      </c>
      <c r="Z18" s="42" t="str">
        <f>IFERROR(__xludf.DUMMYFUNCTION("vLOOKUP(A18,IMPORTRANGE(""https://docs.google.com/spreadsheets/d/1Rawwwdh8wntXGy8isdYNHxsNQS4n_rC8JSdPfj6vEq4"",""'500 объектов перенос на 2026'!A3:AB502""),14,0)"),"#REF!")</f>
        <v>#REF!</v>
      </c>
      <c r="AA18" s="85" t="s">
        <v>3567</v>
      </c>
      <c r="AB18" s="43"/>
    </row>
    <row r="19">
      <c r="A19" s="62" t="s">
        <v>191</v>
      </c>
      <c r="B19" s="63" t="s">
        <v>126</v>
      </c>
      <c r="C19" s="64" t="s">
        <v>192</v>
      </c>
      <c r="D19" s="64" t="s">
        <v>59</v>
      </c>
      <c r="E19" s="288"/>
      <c r="F19" s="288"/>
      <c r="G19" s="288"/>
      <c r="H19" s="64" t="s">
        <v>3512</v>
      </c>
      <c r="I19" s="64">
        <v>2024.0</v>
      </c>
      <c r="J19" s="64">
        <v>2025.0</v>
      </c>
      <c r="K19" s="287">
        <v>1.0</v>
      </c>
      <c r="L19" s="292" t="s">
        <v>3528</v>
      </c>
      <c r="M19" s="285" t="s">
        <v>3568</v>
      </c>
      <c r="N19" s="35" t="s">
        <v>3568</v>
      </c>
      <c r="O19" s="35" t="s">
        <v>3568</v>
      </c>
      <c r="P19" s="35" t="s">
        <v>113</v>
      </c>
      <c r="Q19" s="38" t="s">
        <v>11</v>
      </c>
      <c r="R19" s="38" t="s">
        <v>115</v>
      </c>
      <c r="S19" s="38" t="s">
        <v>173</v>
      </c>
      <c r="T19" s="39">
        <v>3880.0</v>
      </c>
      <c r="U19" s="39">
        <v>4044.06275</v>
      </c>
      <c r="V19" s="39">
        <v>-164.06275</v>
      </c>
      <c r="W19" s="57" t="s">
        <v>195</v>
      </c>
      <c r="X19" s="42" t="s">
        <v>175</v>
      </c>
      <c r="Y19" s="42" t="str">
        <f>IFERROR(__xludf.DUMMYFUNCTION("vLOOKUP(A19,IMPORTRANGE(""https://docs.google.com/spreadsheets/d/1Rawwwdh8wntXGy8isdYNHxsNQS4n_rC8JSdPfj6vEq4"",""'500 объектов перенос на 2026'!A3:AB502""),13,0)"),"#REF!")</f>
        <v>#REF!</v>
      </c>
      <c r="Z19" s="42" t="str">
        <f>IFERROR(__xludf.DUMMYFUNCTION("vLOOKUP(A19,IMPORTRANGE(""https://docs.google.com/spreadsheets/d/1Rawwwdh8wntXGy8isdYNHxsNQS4n_rC8JSdPfj6vEq4"",""'500 объектов перенос на 2026'!A3:AB502""),14,0)"),"#REF!")</f>
        <v>#REF!</v>
      </c>
      <c r="AA19" s="42" t="s">
        <v>175</v>
      </c>
      <c r="AB19" s="43"/>
    </row>
    <row r="20">
      <c r="A20" s="62" t="s">
        <v>196</v>
      </c>
      <c r="B20" s="63" t="s">
        <v>126</v>
      </c>
      <c r="C20" s="64" t="s">
        <v>197</v>
      </c>
      <c r="D20" s="64" t="s">
        <v>59</v>
      </c>
      <c r="E20" s="64">
        <v>3.5</v>
      </c>
      <c r="F20" s="288"/>
      <c r="G20" s="288"/>
      <c r="H20" s="64" t="s">
        <v>3512</v>
      </c>
      <c r="I20" s="64">
        <v>2024.0</v>
      </c>
      <c r="J20" s="64">
        <v>2025.0</v>
      </c>
      <c r="K20" s="287">
        <v>1.0</v>
      </c>
      <c r="L20" s="292" t="s">
        <v>3528</v>
      </c>
      <c r="M20" s="285" t="s">
        <v>3569</v>
      </c>
      <c r="N20" s="35">
        <v>0.0</v>
      </c>
      <c r="O20" s="35" t="s">
        <v>3569</v>
      </c>
      <c r="P20" s="35" t="s">
        <v>113</v>
      </c>
      <c r="Q20" s="38" t="s">
        <v>11</v>
      </c>
      <c r="R20" s="38" t="s">
        <v>115</v>
      </c>
      <c r="S20" s="38" t="s">
        <v>173</v>
      </c>
      <c r="T20" s="39">
        <v>13809.23</v>
      </c>
      <c r="U20" s="39">
        <v>11735.4375</v>
      </c>
      <c r="V20" s="39">
        <v>2073.7925</v>
      </c>
      <c r="W20" s="57" t="s">
        <v>200</v>
      </c>
      <c r="X20" s="42" t="s">
        <v>175</v>
      </c>
      <c r="Y20" s="42" t="str">
        <f>IFERROR(__xludf.DUMMYFUNCTION("vLOOKUP(A20,IMPORTRANGE(""https://docs.google.com/spreadsheets/d/1Rawwwdh8wntXGy8isdYNHxsNQS4n_rC8JSdPfj6vEq4"",""'500 объектов перенос на 2026'!A3:AB502""),13,0)"),"#REF!")</f>
        <v>#REF!</v>
      </c>
      <c r="Z20" s="42" t="str">
        <f>IFERROR(__xludf.DUMMYFUNCTION("vLOOKUP(A20,IMPORTRANGE(""https://docs.google.com/spreadsheets/d/1Rawwwdh8wntXGy8isdYNHxsNQS4n_rC8JSdPfj6vEq4"",""'500 объектов перенос на 2026'!A3:AB502""),14,0)"),"#REF!")</f>
        <v>#REF!</v>
      </c>
      <c r="AA20" s="42" t="s">
        <v>175</v>
      </c>
      <c r="AB20" s="43"/>
    </row>
    <row r="21">
      <c r="A21" s="62" t="s">
        <v>201</v>
      </c>
      <c r="B21" s="63" t="s">
        <v>126</v>
      </c>
      <c r="C21" s="64" t="s">
        <v>202</v>
      </c>
      <c r="D21" s="64" t="s">
        <v>59</v>
      </c>
      <c r="E21" s="288"/>
      <c r="F21" s="288"/>
      <c r="G21" s="288"/>
      <c r="H21" s="64" t="s">
        <v>3512</v>
      </c>
      <c r="I21" s="64">
        <v>2024.0</v>
      </c>
      <c r="J21" s="64">
        <v>2025.0</v>
      </c>
      <c r="K21" s="287">
        <v>1.0</v>
      </c>
      <c r="L21" s="292" t="s">
        <v>3528</v>
      </c>
      <c r="M21" s="285" t="s">
        <v>3568</v>
      </c>
      <c r="N21" s="35" t="s">
        <v>3568</v>
      </c>
      <c r="O21" s="35" t="s">
        <v>3568</v>
      </c>
      <c r="P21" s="35" t="s">
        <v>113</v>
      </c>
      <c r="Q21" s="38" t="s">
        <v>11</v>
      </c>
      <c r="R21" s="38" t="s">
        <v>115</v>
      </c>
      <c r="S21" s="38" t="s">
        <v>173</v>
      </c>
      <c r="T21" s="39">
        <v>4403.78</v>
      </c>
      <c r="U21" s="39">
        <v>3864.69917</v>
      </c>
      <c r="V21" s="39">
        <v>539.08083</v>
      </c>
      <c r="W21" s="57" t="s">
        <v>204</v>
      </c>
      <c r="X21" s="42" t="s">
        <v>175</v>
      </c>
      <c r="Y21" s="42" t="str">
        <f>IFERROR(__xludf.DUMMYFUNCTION("vLOOKUP(A21,IMPORTRANGE(""https://docs.google.com/spreadsheets/d/1Rawwwdh8wntXGy8isdYNHxsNQS4n_rC8JSdPfj6vEq4"",""'500 объектов перенос на 2026'!A3:AB502""),13,0)"),"#REF!")</f>
        <v>#REF!</v>
      </c>
      <c r="Z21" s="42" t="str">
        <f>IFERROR(__xludf.DUMMYFUNCTION("vLOOKUP(A21,IMPORTRANGE(""https://docs.google.com/spreadsheets/d/1Rawwwdh8wntXGy8isdYNHxsNQS4n_rC8JSdPfj6vEq4"",""'500 объектов перенос на 2026'!A3:AB502""),14,0)"),"#REF!")</f>
        <v>#REF!</v>
      </c>
      <c r="AA21" s="42" t="s">
        <v>175</v>
      </c>
      <c r="AB21" s="43"/>
    </row>
    <row r="22">
      <c r="A22" s="62" t="s">
        <v>205</v>
      </c>
      <c r="B22" s="63" t="s">
        <v>126</v>
      </c>
      <c r="C22" s="64" t="s">
        <v>206</v>
      </c>
      <c r="D22" s="64" t="s">
        <v>59</v>
      </c>
      <c r="E22" s="64">
        <v>4.84</v>
      </c>
      <c r="F22" s="288"/>
      <c r="G22" s="288"/>
      <c r="H22" s="64" t="s">
        <v>3512</v>
      </c>
      <c r="I22" s="64">
        <v>2024.0</v>
      </c>
      <c r="J22" s="294">
        <v>2025.0</v>
      </c>
      <c r="K22" s="287">
        <v>1.0</v>
      </c>
      <c r="L22" s="288"/>
      <c r="M22" s="285" t="s">
        <v>3570</v>
      </c>
      <c r="N22" s="35">
        <v>0.0</v>
      </c>
      <c r="O22" s="35" t="s">
        <v>3570</v>
      </c>
      <c r="P22" s="35" t="s">
        <v>209</v>
      </c>
      <c r="Q22" s="38" t="s">
        <v>11</v>
      </c>
      <c r="R22" s="38" t="s">
        <v>115</v>
      </c>
      <c r="S22" s="38" t="s">
        <v>173</v>
      </c>
      <c r="T22" s="39">
        <v>26505.63</v>
      </c>
      <c r="U22" s="39">
        <v>26268.5507</v>
      </c>
      <c r="V22" s="39">
        <v>237.0793</v>
      </c>
      <c r="W22" s="57" t="s">
        <v>210</v>
      </c>
      <c r="X22" s="42" t="s">
        <v>211</v>
      </c>
      <c r="Y22" s="42" t="str">
        <f>IFERROR(__xludf.DUMMYFUNCTION("vLOOKUP(A22,IMPORTRANGE(""https://docs.google.com/spreadsheets/d/1Rawwwdh8wntXGy8isdYNHxsNQS4n_rC8JSdPfj6vEq4"",""'500 объектов перенос на 2026'!A3:AB502""),13,0)"),"#REF!")</f>
        <v>#REF!</v>
      </c>
      <c r="Z22" s="42" t="str">
        <f>IFERROR(__xludf.DUMMYFUNCTION("vLOOKUP(A22,IMPORTRANGE(""https://docs.google.com/spreadsheets/d/1Rawwwdh8wntXGy8isdYNHxsNQS4n_rC8JSdPfj6vEq4"",""'500 объектов перенос на 2026'!A3:AB502""),14,0)"),"#REF!")</f>
        <v>#REF!</v>
      </c>
      <c r="AA22" s="42" t="s">
        <v>175</v>
      </c>
      <c r="AB22" s="43"/>
    </row>
    <row r="23">
      <c r="A23" s="62" t="s">
        <v>213</v>
      </c>
      <c r="B23" s="63" t="s">
        <v>126</v>
      </c>
      <c r="C23" s="64" t="s">
        <v>214</v>
      </c>
      <c r="D23" s="64" t="s">
        <v>59</v>
      </c>
      <c r="E23" s="64">
        <v>8.14</v>
      </c>
      <c r="F23" s="288"/>
      <c r="G23" s="288"/>
      <c r="H23" s="64" t="s">
        <v>3512</v>
      </c>
      <c r="I23" s="64">
        <v>2024.0</v>
      </c>
      <c r="J23" s="64">
        <v>2025.0</v>
      </c>
      <c r="K23" s="287">
        <v>1.0</v>
      </c>
      <c r="L23" s="292" t="s">
        <v>3528</v>
      </c>
      <c r="M23" s="285" t="s">
        <v>3571</v>
      </c>
      <c r="N23" s="35" t="s">
        <v>3572</v>
      </c>
      <c r="O23" s="35" t="s">
        <v>3573</v>
      </c>
      <c r="P23" s="35" t="s">
        <v>113</v>
      </c>
      <c r="Q23" s="38" t="s">
        <v>11</v>
      </c>
      <c r="R23" s="38" t="s">
        <v>115</v>
      </c>
      <c r="S23" s="38" t="s">
        <v>173</v>
      </c>
      <c r="T23" s="39">
        <v>11918.61</v>
      </c>
      <c r="U23" s="39">
        <v>11205.22446</v>
      </c>
      <c r="V23" s="39">
        <v>713.38554</v>
      </c>
      <c r="W23" s="57" t="s">
        <v>195</v>
      </c>
      <c r="X23" s="42" t="s">
        <v>175</v>
      </c>
      <c r="Y23" s="42" t="str">
        <f>IFERROR(__xludf.DUMMYFUNCTION("vLOOKUP(A23,IMPORTRANGE(""https://docs.google.com/spreadsheets/d/1Rawwwdh8wntXGy8isdYNHxsNQS4n_rC8JSdPfj6vEq4"",""'500 объектов перенос на 2026'!A3:AB502""),13,0)"),"#REF!")</f>
        <v>#REF!</v>
      </c>
      <c r="Z23" s="42" t="str">
        <f>IFERROR(__xludf.DUMMYFUNCTION("vLOOKUP(A23,IMPORTRANGE(""https://docs.google.com/spreadsheets/d/1Rawwwdh8wntXGy8isdYNHxsNQS4n_rC8JSdPfj6vEq4"",""'500 объектов перенос на 2026'!A3:AB502""),14,0)"),"#REF!")</f>
        <v>#REF!</v>
      </c>
      <c r="AA23" s="42" t="s">
        <v>175</v>
      </c>
      <c r="AB23" s="43"/>
    </row>
    <row r="24">
      <c r="A24" s="62" t="s">
        <v>215</v>
      </c>
      <c r="B24" s="63" t="s">
        <v>126</v>
      </c>
      <c r="C24" s="64" t="s">
        <v>216</v>
      </c>
      <c r="D24" s="64" t="s">
        <v>85</v>
      </c>
      <c r="E24" s="288"/>
      <c r="F24" s="64" t="s">
        <v>3550</v>
      </c>
      <c r="G24" s="64">
        <v>150.0</v>
      </c>
      <c r="H24" s="64" t="s">
        <v>3512</v>
      </c>
      <c r="I24" s="64">
        <v>2024.0</v>
      </c>
      <c r="J24" s="64">
        <v>2025.0</v>
      </c>
      <c r="K24" s="287">
        <v>1.0</v>
      </c>
      <c r="L24" s="292" t="s">
        <v>3528</v>
      </c>
      <c r="M24" s="285" t="s">
        <v>3574</v>
      </c>
      <c r="N24" s="35" t="s">
        <v>3575</v>
      </c>
      <c r="O24" s="35" t="s">
        <v>3576</v>
      </c>
      <c r="P24" s="35" t="s">
        <v>113</v>
      </c>
      <c r="Q24" s="38" t="s">
        <v>11</v>
      </c>
      <c r="R24" s="38" t="s">
        <v>115</v>
      </c>
      <c r="S24" s="38" t="s">
        <v>173</v>
      </c>
      <c r="T24" s="39">
        <v>10964.26</v>
      </c>
      <c r="U24" s="39">
        <v>8851.37979</v>
      </c>
      <c r="V24" s="39">
        <v>2112.88021</v>
      </c>
      <c r="W24" s="57" t="s">
        <v>218</v>
      </c>
      <c r="X24" s="42" t="s">
        <v>175</v>
      </c>
      <c r="Y24" s="42" t="str">
        <f>IFERROR(__xludf.DUMMYFUNCTION("vLOOKUP(A24,IMPORTRANGE(""https://docs.google.com/spreadsheets/d/1Rawwwdh8wntXGy8isdYNHxsNQS4n_rC8JSdPfj6vEq4"",""'500 объектов перенос на 2026'!A3:AB502""),13,0)"),"#REF!")</f>
        <v>#REF!</v>
      </c>
      <c r="Z24" s="42" t="str">
        <f>IFERROR(__xludf.DUMMYFUNCTION("vLOOKUP(A24,IMPORTRANGE(""https://docs.google.com/spreadsheets/d/1Rawwwdh8wntXGy8isdYNHxsNQS4n_rC8JSdPfj6vEq4"",""'500 объектов перенос на 2026'!A3:AB502""),14,0)"),"#REF!")</f>
        <v>#REF!</v>
      </c>
      <c r="AA24" s="42" t="s">
        <v>175</v>
      </c>
      <c r="AB24" s="43"/>
    </row>
    <row r="25">
      <c r="A25" s="62" t="s">
        <v>219</v>
      </c>
      <c r="B25" s="63" t="s">
        <v>126</v>
      </c>
      <c r="C25" s="64" t="s">
        <v>220</v>
      </c>
      <c r="D25" s="64" t="s">
        <v>59</v>
      </c>
      <c r="E25" s="64">
        <v>4.88</v>
      </c>
      <c r="F25" s="288"/>
      <c r="G25" s="288"/>
      <c r="H25" s="64" t="s">
        <v>3512</v>
      </c>
      <c r="I25" s="64">
        <v>2025.0</v>
      </c>
      <c r="J25" s="64">
        <v>2025.0</v>
      </c>
      <c r="K25" s="287">
        <v>1.0</v>
      </c>
      <c r="L25" s="292" t="s">
        <v>3528</v>
      </c>
      <c r="M25" s="285" t="s">
        <v>3577</v>
      </c>
      <c r="N25" s="35" t="s">
        <v>3578</v>
      </c>
      <c r="O25" s="35" t="s">
        <v>3579</v>
      </c>
      <c r="P25" s="35" t="s">
        <v>113</v>
      </c>
      <c r="Q25" s="38" t="s">
        <v>11</v>
      </c>
      <c r="R25" s="38" t="s">
        <v>115</v>
      </c>
      <c r="S25" s="38" t="s">
        <v>173</v>
      </c>
      <c r="T25" s="39">
        <v>39150.168</v>
      </c>
      <c r="U25" s="39">
        <v>31042.19841</v>
      </c>
      <c r="V25" s="39">
        <v>8107.96959</v>
      </c>
      <c r="W25" s="57" t="s">
        <v>223</v>
      </c>
      <c r="X25" s="42" t="s">
        <v>175</v>
      </c>
      <c r="Y25" s="42" t="str">
        <f>IFERROR(__xludf.DUMMYFUNCTION("vLOOKUP(A25,IMPORTRANGE(""https://docs.google.com/spreadsheets/d/1Rawwwdh8wntXGy8isdYNHxsNQS4n_rC8JSdPfj6vEq4"",""'500 объектов перенос на 2026'!A3:AB502""),13,0)"),"#REF!")</f>
        <v>#REF!</v>
      </c>
      <c r="Z25" s="42" t="str">
        <f>IFERROR(__xludf.DUMMYFUNCTION("vLOOKUP(A25,IMPORTRANGE(""https://docs.google.com/spreadsheets/d/1Rawwwdh8wntXGy8isdYNHxsNQS4n_rC8JSdPfj6vEq4"",""'500 объектов перенос на 2026'!A3:AB502""),14,0)"),"#REF!")</f>
        <v>#REF!</v>
      </c>
      <c r="AA25" s="42" t="s">
        <v>175</v>
      </c>
      <c r="AB25" s="43"/>
    </row>
    <row r="26">
      <c r="A26" s="62" t="s">
        <v>583</v>
      </c>
      <c r="B26" s="63" t="s">
        <v>126</v>
      </c>
      <c r="C26" s="64" t="s">
        <v>584</v>
      </c>
      <c r="D26" s="64" t="s">
        <v>85</v>
      </c>
      <c r="E26" s="288"/>
      <c r="F26" s="64">
        <v>400.0</v>
      </c>
      <c r="G26" s="291" t="s">
        <v>3580</v>
      </c>
      <c r="H26" s="64" t="s">
        <v>3512</v>
      </c>
      <c r="I26" s="64">
        <v>2025.0</v>
      </c>
      <c r="J26" s="64">
        <v>2026.0</v>
      </c>
      <c r="K26" s="287">
        <v>0.4</v>
      </c>
      <c r="L26" s="288"/>
      <c r="M26" s="285" t="s">
        <v>3581</v>
      </c>
      <c r="N26" s="35">
        <v>0.0</v>
      </c>
      <c r="O26" s="35" t="s">
        <v>3581</v>
      </c>
      <c r="P26" s="35" t="s">
        <v>3582</v>
      </c>
      <c r="Q26" s="37">
        <v>46203.0</v>
      </c>
      <c r="R26" s="56"/>
      <c r="S26" s="35" t="s">
        <v>593</v>
      </c>
      <c r="T26" s="39">
        <v>204097.99</v>
      </c>
      <c r="U26" s="39">
        <v>109890.8206</v>
      </c>
      <c r="V26" s="40">
        <v>94207.16937</v>
      </c>
      <c r="W26" s="57" t="s">
        <v>594</v>
      </c>
      <c r="X26" s="42" t="s">
        <v>595</v>
      </c>
      <c r="Y26" s="42" t="str">
        <f>IFERROR(__xludf.DUMMYFUNCTION("vLOOKUP(A26,IMPORTRANGE(""https://docs.google.com/spreadsheets/d/1Rawwwdh8wntXGy8isdYNHxsNQS4n_rC8JSdPfj6vEq4"",""'500 объектов перенос на 2026'!A3:AB502""),13,0)"),"#REF!")</f>
        <v>#REF!</v>
      </c>
      <c r="Z26" s="42" t="str">
        <f>IFERROR(__xludf.DUMMYFUNCTION("vLOOKUP(A26,IMPORTRANGE(""https://docs.google.com/spreadsheets/d/1Rawwwdh8wntXGy8isdYNHxsNQS4n_rC8JSdPfj6vEq4"",""'500 объектов перенос на 2026'!A3:AB502""),14,0)"),"#REF!")</f>
        <v>#REF!</v>
      </c>
      <c r="AA26" s="85" t="s">
        <v>3553</v>
      </c>
      <c r="AB26" s="43"/>
    </row>
    <row r="27">
      <c r="A27" s="62" t="s">
        <v>1192</v>
      </c>
      <c r="B27" s="63" t="s">
        <v>126</v>
      </c>
      <c r="C27" s="64" t="s">
        <v>1193</v>
      </c>
      <c r="D27" s="64" t="s">
        <v>85</v>
      </c>
      <c r="E27" s="288"/>
      <c r="F27" s="64" t="s">
        <v>3554</v>
      </c>
      <c r="G27" s="64">
        <v>967.0</v>
      </c>
      <c r="H27" s="64" t="s">
        <v>3512</v>
      </c>
      <c r="I27" s="64">
        <v>2024.0</v>
      </c>
      <c r="J27" s="64">
        <v>2026.0</v>
      </c>
      <c r="K27" s="287">
        <v>0.89</v>
      </c>
      <c r="L27" s="288"/>
      <c r="M27" s="285" t="s">
        <v>3568</v>
      </c>
      <c r="N27" s="35" t="s">
        <v>3568</v>
      </c>
      <c r="O27" s="35" t="s">
        <v>3568</v>
      </c>
      <c r="P27" s="35" t="s">
        <v>3583</v>
      </c>
      <c r="Q27" s="37">
        <v>46203.0</v>
      </c>
      <c r="R27" s="56"/>
      <c r="S27" s="38" t="s">
        <v>1198</v>
      </c>
      <c r="T27" s="39">
        <v>85993.36</v>
      </c>
      <c r="U27" s="39">
        <v>42996.68</v>
      </c>
      <c r="V27" s="40">
        <v>42996.68</v>
      </c>
      <c r="W27" s="57" t="s">
        <v>1199</v>
      </c>
      <c r="X27" s="42" t="s">
        <v>3584</v>
      </c>
      <c r="Y27" s="42" t="str">
        <f>IFERROR(__xludf.DUMMYFUNCTION("vLOOKUP(A27,IMPORTRANGE(""https://docs.google.com/spreadsheets/d/1Rawwwdh8wntXGy8isdYNHxsNQS4n_rC8JSdPfj6vEq4"",""'500 объектов перенос на 2026'!A3:AB502""),13,0)"),"#REF!")</f>
        <v>#REF!</v>
      </c>
      <c r="Z27" s="42" t="str">
        <f>IFERROR(__xludf.DUMMYFUNCTION("vLOOKUP(A27,IMPORTRANGE(""https://docs.google.com/spreadsheets/d/1Rawwwdh8wntXGy8isdYNHxsNQS4n_rC8JSdPfj6vEq4"",""'500 объектов перенос на 2026'!A3:AB502""),14,0)"),"#REF!")</f>
        <v>#REF!</v>
      </c>
      <c r="AA27" s="85" t="s">
        <v>3585</v>
      </c>
      <c r="AB27" s="43"/>
    </row>
    <row r="28">
      <c r="A28" s="62" t="s">
        <v>243</v>
      </c>
      <c r="B28" s="63" t="s">
        <v>244</v>
      </c>
      <c r="C28" s="64" t="s">
        <v>245</v>
      </c>
      <c r="D28" s="64" t="s">
        <v>59</v>
      </c>
      <c r="E28" s="64">
        <v>24.4</v>
      </c>
      <c r="F28" s="288"/>
      <c r="G28" s="288"/>
      <c r="H28" s="64" t="s">
        <v>3512</v>
      </c>
      <c r="I28" s="64">
        <v>2025.0</v>
      </c>
      <c r="J28" s="64">
        <v>2025.0</v>
      </c>
      <c r="K28" s="287">
        <v>0.88</v>
      </c>
      <c r="L28" s="292" t="s">
        <v>3528</v>
      </c>
      <c r="M28" s="285" t="s">
        <v>3586</v>
      </c>
      <c r="N28" s="295" t="s">
        <v>3587</v>
      </c>
      <c r="O28" s="35" t="s">
        <v>3520</v>
      </c>
      <c r="P28" s="35" t="s">
        <v>113</v>
      </c>
      <c r="Q28" s="38" t="s">
        <v>1219</v>
      </c>
      <c r="R28" s="38" t="s">
        <v>115</v>
      </c>
      <c r="S28" s="38"/>
      <c r="T28" s="39">
        <v>183125.91</v>
      </c>
      <c r="U28" s="102">
        <v>166235.8954</v>
      </c>
      <c r="V28" s="39">
        <v>16890.01457</v>
      </c>
      <c r="W28" s="57" t="s">
        <v>247</v>
      </c>
      <c r="X28" s="42" t="s">
        <v>248</v>
      </c>
      <c r="Y28" s="42" t="str">
        <f>IFERROR(__xludf.DUMMYFUNCTION("vLOOKUP(A28,IMPORTRANGE(""https://docs.google.com/spreadsheets/d/1Rawwwdh8wntXGy8isdYNHxsNQS4n_rC8JSdPfj6vEq4"",""'500 объектов перенос на 2026'!A3:AB502""),13,0)"),"#REF!")</f>
        <v>#REF!</v>
      </c>
      <c r="Z28" s="42" t="str">
        <f>IFERROR(__xludf.DUMMYFUNCTION("vLOOKUP(A28,IMPORTRANGE(""https://docs.google.com/spreadsheets/d/1Rawwwdh8wntXGy8isdYNHxsNQS4n_rC8JSdPfj6vEq4"",""'500 объектов перенос на 2026'!A3:AB502""),14,0)"),"#REF!")</f>
        <v>#REF!</v>
      </c>
      <c r="AA28" s="42" t="s">
        <v>175</v>
      </c>
      <c r="AB28" s="43"/>
    </row>
    <row r="29">
      <c r="A29" s="62" t="s">
        <v>249</v>
      </c>
      <c r="B29" s="63" t="s">
        <v>250</v>
      </c>
      <c r="C29" s="64" t="s">
        <v>251</v>
      </c>
      <c r="D29" s="64" t="s">
        <v>85</v>
      </c>
      <c r="E29" s="288"/>
      <c r="F29" s="64" t="s">
        <v>3550</v>
      </c>
      <c r="G29" s="64">
        <v>175.0</v>
      </c>
      <c r="H29" s="64" t="s">
        <v>3512</v>
      </c>
      <c r="I29" s="64">
        <v>2025.0</v>
      </c>
      <c r="J29" s="64">
        <v>2026.0</v>
      </c>
      <c r="K29" s="287">
        <v>0.9</v>
      </c>
      <c r="L29" s="292" t="s">
        <v>3528</v>
      </c>
      <c r="M29" s="296" t="s">
        <v>3588</v>
      </c>
      <c r="N29" s="296" t="s">
        <v>3589</v>
      </c>
      <c r="O29" s="35" t="s">
        <v>3590</v>
      </c>
      <c r="P29" s="35" t="s">
        <v>113</v>
      </c>
      <c r="Q29" s="38"/>
      <c r="R29" s="56"/>
      <c r="S29" s="38" t="s">
        <v>253</v>
      </c>
      <c r="T29" s="39">
        <v>15190.46</v>
      </c>
      <c r="U29" s="39">
        <v>239.484</v>
      </c>
      <c r="V29" s="39">
        <v>14950.976</v>
      </c>
      <c r="W29" s="57" t="s">
        <v>254</v>
      </c>
      <c r="X29" s="42" t="s">
        <v>255</v>
      </c>
      <c r="Y29" s="42" t="str">
        <f>IFERROR(__xludf.DUMMYFUNCTION("vLOOKUP(A29,IMPORTRANGE(""https://docs.google.com/spreadsheets/d/1Rawwwdh8wntXGy8isdYNHxsNQS4n_rC8JSdPfj6vEq4"",""'500 объектов перенос на 2026'!A3:AB502""),13,0)"),"#REF!")</f>
        <v>#REF!</v>
      </c>
      <c r="Z29" s="42" t="str">
        <f>IFERROR(__xludf.DUMMYFUNCTION("vLOOKUP(A29,IMPORTRANGE(""https://docs.google.com/spreadsheets/d/1Rawwwdh8wntXGy8isdYNHxsNQS4n_rC8JSdPfj6vEq4"",""'500 объектов перенос на 2026'!A3:AB502""),14,0)"),"#REF!")</f>
        <v>#REF!</v>
      </c>
      <c r="AA29" s="297" t="s">
        <v>3591</v>
      </c>
      <c r="AB29" s="43"/>
    </row>
    <row r="30">
      <c r="A30" s="62" t="s">
        <v>1826</v>
      </c>
      <c r="B30" s="63" t="s">
        <v>250</v>
      </c>
      <c r="C30" s="64" t="s">
        <v>1827</v>
      </c>
      <c r="D30" s="64" t="s">
        <v>85</v>
      </c>
      <c r="E30" s="288"/>
      <c r="F30" s="64" t="s">
        <v>3592</v>
      </c>
      <c r="G30" s="64">
        <v>460.0</v>
      </c>
      <c r="H30" s="64" t="s">
        <v>3593</v>
      </c>
      <c r="I30" s="64">
        <v>2025.0</v>
      </c>
      <c r="J30" s="64">
        <v>2026.0</v>
      </c>
      <c r="K30" s="287">
        <v>0.9</v>
      </c>
      <c r="L30" s="288"/>
      <c r="M30" s="285" t="s">
        <v>3594</v>
      </c>
      <c r="N30" s="35">
        <v>0.0</v>
      </c>
      <c r="O30" s="285" t="s">
        <v>3594</v>
      </c>
      <c r="P30" s="35" t="s">
        <v>1141</v>
      </c>
      <c r="Q30" s="37">
        <v>46127.0</v>
      </c>
      <c r="R30" s="56"/>
      <c r="S30" s="38" t="s">
        <v>3595</v>
      </c>
      <c r="T30" s="39">
        <v>35496.56</v>
      </c>
      <c r="U30" s="39">
        <v>17748.28</v>
      </c>
      <c r="V30" s="40">
        <v>17748.28</v>
      </c>
      <c r="W30" s="57" t="s">
        <v>1830</v>
      </c>
      <c r="X30" s="85" t="s">
        <v>789</v>
      </c>
      <c r="Y30" s="42" t="str">
        <f>IFERROR(__xludf.DUMMYFUNCTION("vLOOKUP(A30,IMPORTRANGE(""https://docs.google.com/spreadsheets/d/1Rawwwdh8wntXGy8isdYNHxsNQS4n_rC8JSdPfj6vEq4"",""'500 объектов перенос на 2026'!A3:AB502""),13,0)"),"#REF!")</f>
        <v>#REF!</v>
      </c>
      <c r="Z30" s="42" t="str">
        <f>IFERROR(__xludf.DUMMYFUNCTION("vLOOKUP(A30,IMPORTRANGE(""https://docs.google.com/spreadsheets/d/1Rawwwdh8wntXGy8isdYNHxsNQS4n_rC8JSdPfj6vEq4"",""'500 объектов перенос на 2026'!A3:AB502""),14,0)"),"#REF!")</f>
        <v>#REF!</v>
      </c>
      <c r="AA30" s="298" t="s">
        <v>3596</v>
      </c>
      <c r="AB30" s="43"/>
    </row>
    <row r="31">
      <c r="A31" s="62" t="s">
        <v>2251</v>
      </c>
      <c r="B31" s="63" t="s">
        <v>250</v>
      </c>
      <c r="C31" s="64" t="s">
        <v>2252</v>
      </c>
      <c r="D31" s="64" t="s">
        <v>85</v>
      </c>
      <c r="E31" s="288"/>
      <c r="F31" s="64">
        <v>400.0</v>
      </c>
      <c r="G31" s="64">
        <v>360.0</v>
      </c>
      <c r="H31" s="64" t="s">
        <v>3593</v>
      </c>
      <c r="I31" s="64">
        <v>2025.0</v>
      </c>
      <c r="J31" s="64">
        <v>2026.0</v>
      </c>
      <c r="K31" s="287">
        <v>0.9</v>
      </c>
      <c r="L31" s="288"/>
      <c r="M31" s="289" t="s">
        <v>3597</v>
      </c>
      <c r="N31" s="35">
        <v>0.0</v>
      </c>
      <c r="O31" s="289" t="s">
        <v>3597</v>
      </c>
      <c r="P31" s="35" t="s">
        <v>1141</v>
      </c>
      <c r="Q31" s="37">
        <v>46127.0</v>
      </c>
      <c r="R31" s="56"/>
      <c r="S31" s="38" t="s">
        <v>3595</v>
      </c>
      <c r="T31" s="39">
        <v>75993.67</v>
      </c>
      <c r="U31" s="39">
        <v>64102.32828</v>
      </c>
      <c r="V31" s="40">
        <v>11891.34172</v>
      </c>
      <c r="W31" s="57" t="s">
        <v>2253</v>
      </c>
      <c r="X31" s="85" t="s">
        <v>789</v>
      </c>
      <c r="Y31" s="42" t="str">
        <f>IFERROR(__xludf.DUMMYFUNCTION("vLOOKUP(A31,IMPORTRANGE(""https://docs.google.com/spreadsheets/d/1Rawwwdh8wntXGy8isdYNHxsNQS4n_rC8JSdPfj6vEq4"",""'500 объектов перенос на 2026'!A3:AB502""),13,0)"),"#REF!")</f>
        <v>#REF!</v>
      </c>
      <c r="Z31" s="42" t="str">
        <f>IFERROR(__xludf.DUMMYFUNCTION("vLOOKUP(A31,IMPORTRANGE(""https://docs.google.com/spreadsheets/d/1Rawwwdh8wntXGy8isdYNHxsNQS4n_rC8JSdPfj6vEq4"",""'500 объектов перенос на 2026'!A3:AB502""),14,0)"),"#REF!")</f>
        <v>#REF!</v>
      </c>
      <c r="AA31" s="299" t="s">
        <v>3598</v>
      </c>
      <c r="AB31" s="43"/>
    </row>
    <row r="32">
      <c r="A32" s="62" t="s">
        <v>1753</v>
      </c>
      <c r="B32" s="63" t="s">
        <v>250</v>
      </c>
      <c r="C32" s="64" t="s">
        <v>1754</v>
      </c>
      <c r="D32" s="64" t="s">
        <v>85</v>
      </c>
      <c r="E32" s="288"/>
      <c r="F32" s="64" t="s">
        <v>3550</v>
      </c>
      <c r="G32" s="64">
        <v>623.4</v>
      </c>
      <c r="H32" s="64" t="s">
        <v>3593</v>
      </c>
      <c r="I32" s="64">
        <v>2025.0</v>
      </c>
      <c r="J32" s="64">
        <v>2026.0</v>
      </c>
      <c r="K32" s="287">
        <v>0.89</v>
      </c>
      <c r="L32" s="288"/>
      <c r="M32" s="300" t="s">
        <v>3599</v>
      </c>
      <c r="N32" s="35">
        <v>0.0</v>
      </c>
      <c r="O32" s="300" t="s">
        <v>3599</v>
      </c>
      <c r="P32" s="35" t="s">
        <v>1141</v>
      </c>
      <c r="Q32" s="37">
        <v>46127.0</v>
      </c>
      <c r="R32" s="56"/>
      <c r="S32" s="38" t="s">
        <v>3595</v>
      </c>
      <c r="T32" s="39">
        <v>40316.67</v>
      </c>
      <c r="U32" s="39">
        <v>20158.335</v>
      </c>
      <c r="V32" s="40">
        <v>20158.335</v>
      </c>
      <c r="W32" s="57" t="s">
        <v>1757</v>
      </c>
      <c r="X32" s="85" t="s">
        <v>789</v>
      </c>
      <c r="Y32" s="42" t="str">
        <f>IFERROR(__xludf.DUMMYFUNCTION("vLOOKUP(A32,IMPORTRANGE(""https://docs.google.com/spreadsheets/d/1Rawwwdh8wntXGy8isdYNHxsNQS4n_rC8JSdPfj6vEq4"",""'500 объектов перенос на 2026'!A3:AB502""),13,0)"),"#REF!")</f>
        <v>#REF!</v>
      </c>
      <c r="Z32" s="42" t="str">
        <f>IFERROR(__xludf.DUMMYFUNCTION("vLOOKUP(A32,IMPORTRANGE(""https://docs.google.com/spreadsheets/d/1Rawwwdh8wntXGy8isdYNHxsNQS4n_rC8JSdPfj6vEq4"",""'500 объектов перенос на 2026'!A3:AB502""),14,0)"),"#REF!")</f>
        <v>#REF!</v>
      </c>
      <c r="AA32" s="299" t="s">
        <v>3600</v>
      </c>
      <c r="AB32" s="43"/>
    </row>
    <row r="33">
      <c r="A33" s="62" t="s">
        <v>1832</v>
      </c>
      <c r="B33" s="63" t="s">
        <v>250</v>
      </c>
      <c r="C33" s="64" t="s">
        <v>1833</v>
      </c>
      <c r="D33" s="64" t="s">
        <v>324</v>
      </c>
      <c r="E33" s="64">
        <v>8.0</v>
      </c>
      <c r="F33" s="288"/>
      <c r="G33" s="288"/>
      <c r="H33" s="64" t="s">
        <v>3593</v>
      </c>
      <c r="I33" s="64">
        <v>2024.0</v>
      </c>
      <c r="J33" s="64">
        <v>2026.0</v>
      </c>
      <c r="K33" s="287">
        <v>0.95</v>
      </c>
      <c r="L33" s="288"/>
      <c r="M33" s="285" t="s">
        <v>3601</v>
      </c>
      <c r="N33" s="35" t="s">
        <v>3602</v>
      </c>
      <c r="O33" s="35" t="s">
        <v>3603</v>
      </c>
      <c r="P33" s="35" t="s">
        <v>1141</v>
      </c>
      <c r="Q33" s="37">
        <v>46142.0</v>
      </c>
      <c r="R33" s="56"/>
      <c r="S33" s="38" t="s">
        <v>3595</v>
      </c>
      <c r="T33" s="39">
        <v>109011.62</v>
      </c>
      <c r="U33" s="39">
        <v>91352.80186</v>
      </c>
      <c r="V33" s="40">
        <v>17658.81814</v>
      </c>
      <c r="W33" s="57" t="s">
        <v>1834</v>
      </c>
      <c r="X33" s="42" t="s">
        <v>66</v>
      </c>
      <c r="Y33" s="42" t="str">
        <f>IFERROR(__xludf.DUMMYFUNCTION("vLOOKUP(A33,IMPORTRANGE(""https://docs.google.com/spreadsheets/d/1Rawwwdh8wntXGy8isdYNHxsNQS4n_rC8JSdPfj6vEq4"",""'500 объектов перенос на 2026'!A3:AB502""),13,0)"),"#REF!")</f>
        <v>#REF!</v>
      </c>
      <c r="Z33" s="42" t="str">
        <f>IFERROR(__xludf.DUMMYFUNCTION("vLOOKUP(A33,IMPORTRANGE(""https://docs.google.com/spreadsheets/d/1Rawwwdh8wntXGy8isdYNHxsNQS4n_rC8JSdPfj6vEq4"",""'500 объектов перенос на 2026'!A3:AB502""),14,0)"),"#REF!")</f>
        <v>#REF!</v>
      </c>
      <c r="AA33" s="299" t="s">
        <v>3604</v>
      </c>
      <c r="AB33" s="43"/>
    </row>
    <row r="34">
      <c r="A34" s="62" t="s">
        <v>1138</v>
      </c>
      <c r="B34" s="63" t="s">
        <v>250</v>
      </c>
      <c r="C34" s="64" t="s">
        <v>1139</v>
      </c>
      <c r="D34" s="64" t="s">
        <v>85</v>
      </c>
      <c r="E34" s="288"/>
      <c r="F34" s="64" t="s">
        <v>3592</v>
      </c>
      <c r="G34" s="291" t="s">
        <v>3605</v>
      </c>
      <c r="H34" s="64" t="s">
        <v>3593</v>
      </c>
      <c r="I34" s="64">
        <v>2024.0</v>
      </c>
      <c r="J34" s="64">
        <v>2026.0</v>
      </c>
      <c r="K34" s="287">
        <v>0.8</v>
      </c>
      <c r="L34" s="288"/>
      <c r="M34" s="285" t="s">
        <v>3606</v>
      </c>
      <c r="N34" s="35">
        <v>0.0</v>
      </c>
      <c r="O34" s="285" t="s">
        <v>3606</v>
      </c>
      <c r="P34" s="35" t="s">
        <v>1141</v>
      </c>
      <c r="Q34" s="37">
        <v>46223.0</v>
      </c>
      <c r="R34" s="56"/>
      <c r="S34" s="38" t="s">
        <v>3595</v>
      </c>
      <c r="T34" s="39">
        <v>74908.6</v>
      </c>
      <c r="U34" s="39">
        <v>37454.3</v>
      </c>
      <c r="V34" s="40">
        <v>37454.3</v>
      </c>
      <c r="W34" s="57" t="s">
        <v>1144</v>
      </c>
      <c r="X34" s="85" t="s">
        <v>789</v>
      </c>
      <c r="Y34" s="42" t="str">
        <f>IFERROR(__xludf.DUMMYFUNCTION("vLOOKUP(A34,IMPORTRANGE(""https://docs.google.com/spreadsheets/d/1Rawwwdh8wntXGy8isdYNHxsNQS4n_rC8JSdPfj6vEq4"",""'500 объектов перенос на 2026'!A3:AB502""),13,0)"),"#REF!")</f>
        <v>#REF!</v>
      </c>
      <c r="Z34" s="42" t="str">
        <f>IFERROR(__xludf.DUMMYFUNCTION("vLOOKUP(A34,IMPORTRANGE(""https://docs.google.com/spreadsheets/d/1Rawwwdh8wntXGy8isdYNHxsNQS4n_rC8JSdPfj6vEq4"",""'500 объектов перенос на 2026'!A3:AB502""),14,0)"),"#REF!")</f>
        <v>#REF!</v>
      </c>
      <c r="AA34" s="299" t="s">
        <v>3604</v>
      </c>
      <c r="AB34" s="43"/>
    </row>
    <row r="35">
      <c r="A35" s="62" t="s">
        <v>321</v>
      </c>
      <c r="B35" s="63" t="s">
        <v>250</v>
      </c>
      <c r="C35" s="64" t="s">
        <v>322</v>
      </c>
      <c r="D35" s="64" t="s">
        <v>324</v>
      </c>
      <c r="E35" s="64">
        <v>10.0</v>
      </c>
      <c r="F35" s="288"/>
      <c r="G35" s="288"/>
      <c r="H35" s="64" t="s">
        <v>3527</v>
      </c>
      <c r="I35" s="64">
        <v>2025.0</v>
      </c>
      <c r="J35" s="64">
        <v>2026.0</v>
      </c>
      <c r="K35" s="287">
        <v>0.5</v>
      </c>
      <c r="L35" s="288"/>
      <c r="M35" s="289" t="s">
        <v>3607</v>
      </c>
      <c r="N35" s="35">
        <v>0.0</v>
      </c>
      <c r="O35" s="289" t="s">
        <v>3607</v>
      </c>
      <c r="P35" s="35" t="s">
        <v>326</v>
      </c>
      <c r="Q35" s="37">
        <v>46295.0</v>
      </c>
      <c r="R35" s="56"/>
      <c r="S35" s="38" t="s">
        <v>3608</v>
      </c>
      <c r="T35" s="39">
        <v>211131.48</v>
      </c>
      <c r="U35" s="39">
        <v>63339.444</v>
      </c>
      <c r="V35" s="40">
        <v>147792.036</v>
      </c>
      <c r="W35" s="57" t="s">
        <v>329</v>
      </c>
      <c r="X35" s="42" t="s">
        <v>66</v>
      </c>
      <c r="Y35" s="42" t="str">
        <f>IFERROR(__xludf.DUMMYFUNCTION("vLOOKUP(A35,IMPORTRANGE(""https://docs.google.com/spreadsheets/d/1Rawwwdh8wntXGy8isdYNHxsNQS4n_rC8JSdPfj6vEq4"",""'500 объектов перенос на 2026'!A3:AB502""),13,0)"),"#REF!")</f>
        <v>#REF!</v>
      </c>
      <c r="Z35" s="42" t="str">
        <f>IFERROR(__xludf.DUMMYFUNCTION("vLOOKUP(A35,IMPORTRANGE(""https://docs.google.com/spreadsheets/d/1Rawwwdh8wntXGy8isdYNHxsNQS4n_rC8JSdPfj6vEq4"",""'500 объектов перенос на 2026'!A3:AB502""),14,0)"),"#REF!")</f>
        <v>#REF!</v>
      </c>
      <c r="AA35" s="297" t="s">
        <v>3609</v>
      </c>
      <c r="AB35" s="43"/>
    </row>
    <row r="36">
      <c r="A36" s="62" t="s">
        <v>1423</v>
      </c>
      <c r="B36" s="63" t="s">
        <v>250</v>
      </c>
      <c r="C36" s="64" t="s">
        <v>1424</v>
      </c>
      <c r="D36" s="64" t="s">
        <v>324</v>
      </c>
      <c r="E36" s="64">
        <v>5.0</v>
      </c>
      <c r="F36" s="288"/>
      <c r="G36" s="288"/>
      <c r="H36" s="64" t="s">
        <v>3593</v>
      </c>
      <c r="I36" s="64">
        <v>2024.0</v>
      </c>
      <c r="J36" s="64">
        <v>2026.0</v>
      </c>
      <c r="K36" s="287">
        <v>0.8</v>
      </c>
      <c r="L36" s="288"/>
      <c r="M36" s="285" t="s">
        <v>3610</v>
      </c>
      <c r="N36" s="35" t="s">
        <v>3611</v>
      </c>
      <c r="O36" s="35" t="s">
        <v>3612</v>
      </c>
      <c r="P36" s="35" t="s">
        <v>803</v>
      </c>
      <c r="Q36" s="37">
        <v>46266.0</v>
      </c>
      <c r="R36" s="56"/>
      <c r="S36" s="38" t="s">
        <v>3595</v>
      </c>
      <c r="T36" s="39">
        <v>72721.8</v>
      </c>
      <c r="U36" s="39">
        <v>38907.00237</v>
      </c>
      <c r="V36" s="40">
        <v>33814.79763</v>
      </c>
      <c r="W36" s="57" t="s">
        <v>1427</v>
      </c>
      <c r="X36" s="42" t="s">
        <v>66</v>
      </c>
      <c r="Y36" s="42" t="str">
        <f>IFERROR(__xludf.DUMMYFUNCTION("vLOOKUP(A36,IMPORTRANGE(""https://docs.google.com/spreadsheets/d/1Rawwwdh8wntXGy8isdYNHxsNQS4n_rC8JSdPfj6vEq4"",""'500 объектов перенос на 2026'!A3:AB502""),13,0)"),"#REF!")</f>
        <v>#REF!</v>
      </c>
      <c r="Z36" s="42" t="str">
        <f>IFERROR(__xludf.DUMMYFUNCTION("vLOOKUP(A36,IMPORTRANGE(""https://docs.google.com/spreadsheets/d/1Rawwwdh8wntXGy8isdYNHxsNQS4n_rC8JSdPfj6vEq4"",""'500 объектов перенос на 2026'!A3:AB502""),14,0)"),"#REF!")</f>
        <v>#REF!</v>
      </c>
      <c r="AA36" s="297" t="s">
        <v>1428</v>
      </c>
      <c r="AB36" s="43"/>
    </row>
    <row r="37">
      <c r="A37" s="62" t="s">
        <v>331</v>
      </c>
      <c r="B37" s="63" t="s">
        <v>250</v>
      </c>
      <c r="C37" s="64" t="s">
        <v>332</v>
      </c>
      <c r="D37" s="64" t="s">
        <v>85</v>
      </c>
      <c r="E37" s="288"/>
      <c r="F37" s="64" t="s">
        <v>3550</v>
      </c>
      <c r="G37" s="64">
        <v>440.0</v>
      </c>
      <c r="H37" s="64" t="s">
        <v>3593</v>
      </c>
      <c r="I37" s="64">
        <v>2024.0</v>
      </c>
      <c r="J37" s="64">
        <v>2026.0</v>
      </c>
      <c r="K37" s="287">
        <v>0.9</v>
      </c>
      <c r="L37" s="288"/>
      <c r="M37" s="289" t="s">
        <v>3613</v>
      </c>
      <c r="N37" s="35" t="s">
        <v>3614</v>
      </c>
      <c r="O37" s="35" t="s">
        <v>336</v>
      </c>
      <c r="P37" s="35" t="s">
        <v>337</v>
      </c>
      <c r="Q37" s="38"/>
      <c r="R37" s="56"/>
      <c r="S37" s="38" t="s">
        <v>173</v>
      </c>
      <c r="T37" s="39">
        <v>28106.11</v>
      </c>
      <c r="U37" s="39">
        <v>22427.72923</v>
      </c>
      <c r="V37" s="39">
        <v>5678.38077</v>
      </c>
      <c r="W37" s="57" t="s">
        <v>339</v>
      </c>
      <c r="X37" s="42" t="s">
        <v>173</v>
      </c>
      <c r="Y37" s="42" t="str">
        <f>IFERROR(__xludf.DUMMYFUNCTION("vLOOKUP(A37,IMPORTRANGE(""https://docs.google.com/spreadsheets/d/1Rawwwdh8wntXGy8isdYNHxsNQS4n_rC8JSdPfj6vEq4"",""'500 объектов перенос на 2026'!A3:AB502""),13,0)"),"#REF!")</f>
        <v>#REF!</v>
      </c>
      <c r="Z37" s="42" t="str">
        <f>IFERROR(__xludf.DUMMYFUNCTION("vLOOKUP(A37,IMPORTRANGE(""https://docs.google.com/spreadsheets/d/1Rawwwdh8wntXGy8isdYNHxsNQS4n_rC8JSdPfj6vEq4"",""'500 объектов перенос на 2026'!A3:AB502""),14,0)"),"#REF!")</f>
        <v>#REF!</v>
      </c>
      <c r="AA37" s="42" t="s">
        <v>175</v>
      </c>
      <c r="AB37" s="43"/>
    </row>
    <row r="38">
      <c r="A38" s="62" t="s">
        <v>2868</v>
      </c>
      <c r="B38" s="63" t="s">
        <v>250</v>
      </c>
      <c r="C38" s="64" t="s">
        <v>2869</v>
      </c>
      <c r="D38" s="64" t="s">
        <v>324</v>
      </c>
      <c r="E38" s="64">
        <v>3.5</v>
      </c>
      <c r="F38" s="288"/>
      <c r="G38" s="288"/>
      <c r="H38" s="64" t="s">
        <v>3527</v>
      </c>
      <c r="I38" s="64">
        <v>2025.0</v>
      </c>
      <c r="J38" s="64">
        <v>2026.0</v>
      </c>
      <c r="K38" s="287">
        <v>0.97</v>
      </c>
      <c r="L38" s="288"/>
      <c r="M38" s="285" t="s">
        <v>3615</v>
      </c>
      <c r="N38" s="35" t="s">
        <v>3616</v>
      </c>
      <c r="O38" s="35" t="s">
        <v>2872</v>
      </c>
      <c r="P38" s="35" t="s">
        <v>1141</v>
      </c>
      <c r="Q38" s="37">
        <v>46142.0</v>
      </c>
      <c r="R38" s="56"/>
      <c r="S38" s="38" t="s">
        <v>3595</v>
      </c>
      <c r="T38" s="39">
        <v>130082.7</v>
      </c>
      <c r="U38" s="39">
        <v>126268.0573</v>
      </c>
      <c r="V38" s="40">
        <v>3814.64266</v>
      </c>
      <c r="W38" s="57" t="s">
        <v>2874</v>
      </c>
      <c r="X38" s="85" t="s">
        <v>820</v>
      </c>
      <c r="Y38" s="42" t="str">
        <f>IFERROR(__xludf.DUMMYFUNCTION("vLOOKUP(A38,IMPORTRANGE(""https://docs.google.com/spreadsheets/d/1Rawwwdh8wntXGy8isdYNHxsNQS4n_rC8JSdPfj6vEq4"",""'500 объектов перенос на 2026'!A3:AB502""),13,0)"),"#REF!")</f>
        <v>#REF!</v>
      </c>
      <c r="Z38" s="42" t="str">
        <f>IFERROR(__xludf.DUMMYFUNCTION("vLOOKUP(A38,IMPORTRANGE(""https://docs.google.com/spreadsheets/d/1Rawwwdh8wntXGy8isdYNHxsNQS4n_rC8JSdPfj6vEq4"",""'500 объектов перенос на 2026'!A3:AB502""),14,0)"),"#REF!")</f>
        <v>#REF!</v>
      </c>
      <c r="AA38" s="298" t="s">
        <v>3598</v>
      </c>
      <c r="AB38" s="43"/>
    </row>
    <row r="39">
      <c r="A39" s="62" t="s">
        <v>349</v>
      </c>
      <c r="B39" s="63" t="s">
        <v>257</v>
      </c>
      <c r="C39" s="64" t="s">
        <v>350</v>
      </c>
      <c r="D39" s="64" t="s">
        <v>59</v>
      </c>
      <c r="E39" s="64">
        <v>0.4</v>
      </c>
      <c r="F39" s="288"/>
      <c r="G39" s="288"/>
      <c r="H39" s="64" t="s">
        <v>3527</v>
      </c>
      <c r="I39" s="64">
        <v>2022.0</v>
      </c>
      <c r="J39" s="64">
        <v>2026.0</v>
      </c>
      <c r="K39" s="287">
        <v>0.89</v>
      </c>
      <c r="L39" s="288"/>
      <c r="M39" s="285" t="s">
        <v>3617</v>
      </c>
      <c r="N39" s="35" t="s">
        <v>3618</v>
      </c>
      <c r="O39" s="35" t="s">
        <v>3619</v>
      </c>
      <c r="P39" s="35" t="s">
        <v>338</v>
      </c>
      <c r="Q39" s="38"/>
      <c r="R39" s="56"/>
      <c r="S39" s="38"/>
      <c r="T39" s="39">
        <v>15307.9715</v>
      </c>
      <c r="U39" s="109">
        <v>4175.0</v>
      </c>
      <c r="V39" s="39">
        <v>11132.9715</v>
      </c>
      <c r="W39" s="57" t="s">
        <v>355</v>
      </c>
      <c r="X39" s="42" t="s">
        <v>356</v>
      </c>
      <c r="Y39" s="42" t="str">
        <f>IFERROR(__xludf.DUMMYFUNCTION("vLOOKUP(A39,IMPORTRANGE(""https://docs.google.com/spreadsheets/d/1Rawwwdh8wntXGy8isdYNHxsNQS4n_rC8JSdPfj6vEq4"",""'500 объектов перенос на 2026'!A3:AB502""),13,0)"),"#REF!")</f>
        <v>#REF!</v>
      </c>
      <c r="Z39" s="42" t="str">
        <f>IFERROR(__xludf.DUMMYFUNCTION("vLOOKUP(A39,IMPORTRANGE(""https://docs.google.com/spreadsheets/d/1Rawwwdh8wntXGy8isdYNHxsNQS4n_rC8JSdPfj6vEq4"",""'500 объектов перенос на 2026'!A3:AB502""),14,0)"),"#REF!")</f>
        <v>#REF!</v>
      </c>
      <c r="AA39" s="42" t="s">
        <v>356</v>
      </c>
      <c r="AB39" s="43"/>
    </row>
    <row r="40">
      <c r="A40" s="62" t="s">
        <v>357</v>
      </c>
      <c r="B40" s="63" t="s">
        <v>257</v>
      </c>
      <c r="C40" s="64" t="s">
        <v>358</v>
      </c>
      <c r="D40" s="90" t="s">
        <v>85</v>
      </c>
      <c r="E40" s="288"/>
      <c r="F40" s="288"/>
      <c r="G40" s="291" t="s">
        <v>3620</v>
      </c>
      <c r="H40" s="64" t="s">
        <v>3512</v>
      </c>
      <c r="I40" s="64">
        <v>2024.0</v>
      </c>
      <c r="J40" s="64">
        <v>2025.0</v>
      </c>
      <c r="K40" s="287">
        <v>0.99</v>
      </c>
      <c r="L40" s="292" t="s">
        <v>60</v>
      </c>
      <c r="M40" s="285" t="s">
        <v>3621</v>
      </c>
      <c r="N40" s="35">
        <v>0.0</v>
      </c>
      <c r="O40" s="35" t="s">
        <v>3621</v>
      </c>
      <c r="P40" s="35" t="s">
        <v>113</v>
      </c>
      <c r="Q40" s="38"/>
      <c r="R40" s="38" t="s">
        <v>115</v>
      </c>
      <c r="S40" s="38"/>
      <c r="T40" s="39">
        <v>165313.85</v>
      </c>
      <c r="U40" s="39">
        <v>59849.70667</v>
      </c>
      <c r="V40" s="39">
        <v>105464.1433</v>
      </c>
      <c r="W40" s="57" t="s">
        <v>361</v>
      </c>
      <c r="X40" s="42" t="s">
        <v>362</v>
      </c>
      <c r="Y40" s="42" t="str">
        <f>IFERROR(__xludf.DUMMYFUNCTION("vLOOKUP(A40,IMPORTRANGE(""https://docs.google.com/spreadsheets/d/1Rawwwdh8wntXGy8isdYNHxsNQS4n_rC8JSdPfj6vEq4"",""'500 объектов перенос на 2026'!A3:AB502""),13,0)"),"#REF!")</f>
        <v>#REF!</v>
      </c>
      <c r="Z40" s="42" t="str">
        <f>IFERROR(__xludf.DUMMYFUNCTION("vLOOKUP(A40,IMPORTRANGE(""https://docs.google.com/spreadsheets/d/1Rawwwdh8wntXGy8isdYNHxsNQS4n_rC8JSdPfj6vEq4"",""'500 объектов перенос на 2026'!A3:AB502""),14,0)"),"#REF!")</f>
        <v>#REF!</v>
      </c>
      <c r="AA40" s="42" t="s">
        <v>175</v>
      </c>
      <c r="AB40" s="43"/>
    </row>
    <row r="41">
      <c r="A41" s="62" t="s">
        <v>363</v>
      </c>
      <c r="B41" s="63" t="s">
        <v>257</v>
      </c>
      <c r="C41" s="64" t="s">
        <v>364</v>
      </c>
      <c r="D41" s="64" t="s">
        <v>85</v>
      </c>
      <c r="E41" s="288"/>
      <c r="F41" s="288"/>
      <c r="G41" s="291" t="s">
        <v>3622</v>
      </c>
      <c r="H41" s="64" t="s">
        <v>3512</v>
      </c>
      <c r="I41" s="64">
        <v>2024.0</v>
      </c>
      <c r="J41" s="64">
        <v>2025.0</v>
      </c>
      <c r="K41" s="287">
        <v>0.99</v>
      </c>
      <c r="L41" s="292" t="s">
        <v>3528</v>
      </c>
      <c r="M41" s="285" t="s">
        <v>3623</v>
      </c>
      <c r="N41" s="35">
        <v>0.0</v>
      </c>
      <c r="O41" s="35" t="s">
        <v>3623</v>
      </c>
      <c r="P41" s="35" t="s">
        <v>113</v>
      </c>
      <c r="Q41" s="38"/>
      <c r="R41" s="38" t="s">
        <v>115</v>
      </c>
      <c r="S41" s="38"/>
      <c r="T41" s="39">
        <v>210369.0</v>
      </c>
      <c r="U41" s="39">
        <v>59983.01198</v>
      </c>
      <c r="V41" s="39">
        <v>150385.988</v>
      </c>
      <c r="W41" s="57" t="s">
        <v>368</v>
      </c>
      <c r="X41" s="42" t="s">
        <v>362</v>
      </c>
      <c r="Y41" s="42" t="str">
        <f>IFERROR(__xludf.DUMMYFUNCTION("vLOOKUP(A41,IMPORTRANGE(""https://docs.google.com/spreadsheets/d/1Rawwwdh8wntXGy8isdYNHxsNQS4n_rC8JSdPfj6vEq4"",""'500 объектов перенос на 2026'!A3:AB502""),13,0)"),"#REF!")</f>
        <v>#REF!</v>
      </c>
      <c r="Z41" s="42" t="str">
        <f>IFERROR(__xludf.DUMMYFUNCTION("vLOOKUP(A41,IMPORTRANGE(""https://docs.google.com/spreadsheets/d/1Rawwwdh8wntXGy8isdYNHxsNQS4n_rC8JSdPfj6vEq4"",""'500 объектов перенос на 2026'!A3:AB502""),14,0)"),"#REF!")</f>
        <v>#REF!</v>
      </c>
      <c r="AA41" s="42" t="s">
        <v>175</v>
      </c>
      <c r="AB41" s="43"/>
    </row>
    <row r="42">
      <c r="A42" s="62" t="s">
        <v>369</v>
      </c>
      <c r="B42" s="111" t="s">
        <v>257</v>
      </c>
      <c r="C42" s="64" t="s">
        <v>370</v>
      </c>
      <c r="D42" s="64" t="s">
        <v>85</v>
      </c>
      <c r="E42" s="288"/>
      <c r="F42" s="288"/>
      <c r="G42" s="64">
        <v>200.0</v>
      </c>
      <c r="H42" s="64" t="s">
        <v>3512</v>
      </c>
      <c r="I42" s="64">
        <v>2024.0</v>
      </c>
      <c r="J42" s="64">
        <v>2025.0</v>
      </c>
      <c r="K42" s="287">
        <v>0.99</v>
      </c>
      <c r="L42" s="292" t="s">
        <v>3528</v>
      </c>
      <c r="M42" s="285" t="s">
        <v>3624</v>
      </c>
      <c r="N42" s="35" t="s">
        <v>3625</v>
      </c>
      <c r="O42" s="35" t="s">
        <v>3626</v>
      </c>
      <c r="P42" s="35" t="s">
        <v>113</v>
      </c>
      <c r="Q42" s="38" t="s">
        <v>3627</v>
      </c>
      <c r="R42" s="38" t="s">
        <v>115</v>
      </c>
      <c r="S42" s="38"/>
      <c r="T42" s="39">
        <v>6160.31</v>
      </c>
      <c r="U42" s="39">
        <v>0.0</v>
      </c>
      <c r="V42" s="39">
        <v>6160.31</v>
      </c>
      <c r="W42" s="57" t="s">
        <v>372</v>
      </c>
      <c r="X42" s="42" t="s">
        <v>373</v>
      </c>
      <c r="Y42" s="42" t="str">
        <f>IFERROR(__xludf.DUMMYFUNCTION("vLOOKUP(A42,IMPORTRANGE(""https://docs.google.com/spreadsheets/d/1Rawwwdh8wntXGy8isdYNHxsNQS4n_rC8JSdPfj6vEq4"",""'500 объектов перенос на 2026'!A3:AB502""),13,0)"),"#REF!")</f>
        <v>#REF!</v>
      </c>
      <c r="Z42" s="42" t="str">
        <f>IFERROR(__xludf.DUMMYFUNCTION("vLOOKUP(A42,IMPORTRANGE(""https://docs.google.com/spreadsheets/d/1Rawwwdh8wntXGy8isdYNHxsNQS4n_rC8JSdPfj6vEq4"",""'500 объектов перенос на 2026'!A3:AB502""),14,0)"),"#REF!")</f>
        <v>#REF!</v>
      </c>
      <c r="AA42" s="42" t="s">
        <v>373</v>
      </c>
      <c r="AB42" s="43"/>
    </row>
    <row r="43">
      <c r="A43" s="62" t="s">
        <v>374</v>
      </c>
      <c r="B43" s="63" t="s">
        <v>257</v>
      </c>
      <c r="C43" s="64" t="s">
        <v>375</v>
      </c>
      <c r="D43" s="64" t="s">
        <v>85</v>
      </c>
      <c r="E43" s="288"/>
      <c r="F43" s="288"/>
      <c r="G43" s="64">
        <v>910.0</v>
      </c>
      <c r="H43" s="64" t="s">
        <v>3512</v>
      </c>
      <c r="I43" s="64">
        <v>2024.0</v>
      </c>
      <c r="J43" s="64">
        <v>2025.0</v>
      </c>
      <c r="K43" s="287">
        <v>0.99</v>
      </c>
      <c r="L43" s="292" t="s">
        <v>3528</v>
      </c>
      <c r="M43" s="285" t="s">
        <v>3628</v>
      </c>
      <c r="N43" s="35" t="s">
        <v>3629</v>
      </c>
      <c r="O43" s="35" t="s">
        <v>3630</v>
      </c>
      <c r="P43" s="35" t="s">
        <v>113</v>
      </c>
      <c r="Q43" s="38" t="s">
        <v>3627</v>
      </c>
      <c r="R43" s="38" t="s">
        <v>115</v>
      </c>
      <c r="S43" s="38"/>
      <c r="T43" s="39">
        <v>3834.15</v>
      </c>
      <c r="U43" s="39">
        <v>0.0</v>
      </c>
      <c r="V43" s="39">
        <v>3834.15</v>
      </c>
      <c r="W43" s="57" t="s">
        <v>378</v>
      </c>
      <c r="X43" s="42" t="s">
        <v>373</v>
      </c>
      <c r="Y43" s="42" t="str">
        <f>IFERROR(__xludf.DUMMYFUNCTION("vLOOKUP(A43,IMPORTRANGE(""https://docs.google.com/spreadsheets/d/1Rawwwdh8wntXGy8isdYNHxsNQS4n_rC8JSdPfj6vEq4"",""'500 объектов перенос на 2026'!A3:AB502""),13,0)"),"#REF!")</f>
        <v>#REF!</v>
      </c>
      <c r="Z43" s="42" t="str">
        <f>IFERROR(__xludf.DUMMYFUNCTION("vLOOKUP(A43,IMPORTRANGE(""https://docs.google.com/spreadsheets/d/1Rawwwdh8wntXGy8isdYNHxsNQS4n_rC8JSdPfj6vEq4"",""'500 объектов перенос на 2026'!A3:AB502""),14,0)"),"#REF!")</f>
        <v>#REF!</v>
      </c>
      <c r="AA43" s="42" t="s">
        <v>373</v>
      </c>
      <c r="AB43" s="43"/>
    </row>
    <row r="44">
      <c r="A44" s="62" t="s">
        <v>512</v>
      </c>
      <c r="B44" s="63" t="s">
        <v>257</v>
      </c>
      <c r="C44" s="104" t="s">
        <v>513</v>
      </c>
      <c r="D44" s="64" t="s">
        <v>39</v>
      </c>
      <c r="E44" s="64">
        <v>15.0</v>
      </c>
      <c r="F44" s="288"/>
      <c r="G44" s="288"/>
      <c r="H44" s="64" t="s">
        <v>3527</v>
      </c>
      <c r="I44" s="64">
        <v>2024.0</v>
      </c>
      <c r="J44" s="64">
        <v>2026.0</v>
      </c>
      <c r="K44" s="287">
        <v>0.12</v>
      </c>
      <c r="L44" s="288"/>
      <c r="M44" s="285" t="s">
        <v>3631</v>
      </c>
      <c r="N44" s="35">
        <v>0.0</v>
      </c>
      <c r="O44" s="35" t="s">
        <v>3631</v>
      </c>
      <c r="P44" s="35" t="s">
        <v>262</v>
      </c>
      <c r="Q44" s="37">
        <v>46296.0</v>
      </c>
      <c r="R44" s="56"/>
      <c r="S44" s="38"/>
      <c r="T44" s="39">
        <v>150039.5</v>
      </c>
      <c r="U44" s="39">
        <v>45011.84852</v>
      </c>
      <c r="V44" s="40">
        <v>105027.6515</v>
      </c>
      <c r="W44" s="57" t="s">
        <v>355</v>
      </c>
      <c r="X44" s="42" t="s">
        <v>46</v>
      </c>
      <c r="Y44" s="42" t="str">
        <f>IFERROR(__xludf.DUMMYFUNCTION("vLOOKUP(A44,IMPORTRANGE(""https://docs.google.com/spreadsheets/d/1Rawwwdh8wntXGy8isdYNHxsNQS4n_rC8JSdPfj6vEq4"",""'500 объектов перенос на 2026'!A3:AB502""),13,0)"),"#REF!")</f>
        <v>#REF!</v>
      </c>
      <c r="Z44" s="42" t="str">
        <f>IFERROR(__xludf.DUMMYFUNCTION("vLOOKUP(A44,IMPORTRANGE(""https://docs.google.com/spreadsheets/d/1Rawwwdh8wntXGy8isdYNHxsNQS4n_rC8JSdPfj6vEq4"",""'500 объектов перенос на 2026'!A3:AB502""),14,0)"),"#REF!")</f>
        <v>#REF!</v>
      </c>
      <c r="AA44" s="85" t="s">
        <v>3632</v>
      </c>
      <c r="AB44" s="43"/>
    </row>
    <row r="45">
      <c r="A45" s="62" t="s">
        <v>256</v>
      </c>
      <c r="B45" s="63" t="s">
        <v>257</v>
      </c>
      <c r="C45" s="104" t="s">
        <v>258</v>
      </c>
      <c r="D45" s="64" t="s">
        <v>85</v>
      </c>
      <c r="E45" s="288"/>
      <c r="F45" s="64" t="s">
        <v>3550</v>
      </c>
      <c r="G45" s="291" t="s">
        <v>3633</v>
      </c>
      <c r="H45" s="64" t="s">
        <v>3512</v>
      </c>
      <c r="I45" s="64">
        <v>2024.0</v>
      </c>
      <c r="J45" s="64">
        <v>2026.0</v>
      </c>
      <c r="K45" s="287">
        <v>0.5</v>
      </c>
      <c r="L45" s="288"/>
      <c r="M45" s="285" t="s">
        <v>3634</v>
      </c>
      <c r="N45" s="35" t="s">
        <v>3568</v>
      </c>
      <c r="O45" s="35" t="s">
        <v>3568</v>
      </c>
      <c r="P45" s="35" t="s">
        <v>262</v>
      </c>
      <c r="Q45" s="37">
        <v>46296.0</v>
      </c>
      <c r="R45" s="56"/>
      <c r="S45" s="38"/>
      <c r="T45" s="39">
        <v>245768.8</v>
      </c>
      <c r="U45" s="39">
        <v>73730.64</v>
      </c>
      <c r="V45" s="40">
        <v>172038.16</v>
      </c>
      <c r="W45" s="57" t="s">
        <v>264</v>
      </c>
      <c r="X45" s="42" t="s">
        <v>46</v>
      </c>
      <c r="Y45" s="42" t="str">
        <f>IFERROR(__xludf.DUMMYFUNCTION("vLOOKUP(A45,IMPORTRANGE(""https://docs.google.com/spreadsheets/d/1Rawwwdh8wntXGy8isdYNHxsNQS4n_rC8JSdPfj6vEq4"",""'500 объектов перенос на 2026'!A3:AB502""),13,0)"),"#REF!")</f>
        <v>#REF!</v>
      </c>
      <c r="Z45" s="42" t="str">
        <f>IFERROR(__xludf.DUMMYFUNCTION("vLOOKUP(A45,IMPORTRANGE(""https://docs.google.com/spreadsheets/d/1Rawwwdh8wntXGy8isdYNHxsNQS4n_rC8JSdPfj6vEq4"",""'500 объектов перенос на 2026'!A3:AB502""),14,0)"),"#REF!")</f>
        <v>#REF!</v>
      </c>
      <c r="AA45" s="85" t="s">
        <v>3635</v>
      </c>
      <c r="AB45" s="43"/>
    </row>
    <row r="46">
      <c r="A46" s="62" t="s">
        <v>391</v>
      </c>
      <c r="B46" s="63" t="s">
        <v>392</v>
      </c>
      <c r="C46" s="113" t="s">
        <v>393</v>
      </c>
      <c r="D46" s="64" t="s">
        <v>39</v>
      </c>
      <c r="E46" s="64">
        <v>0.25</v>
      </c>
      <c r="F46" s="288"/>
      <c r="G46" s="288"/>
      <c r="H46" s="64" t="s">
        <v>3527</v>
      </c>
      <c r="I46" s="64">
        <v>2017.0</v>
      </c>
      <c r="J46" s="64">
        <v>2025.0</v>
      </c>
      <c r="K46" s="287">
        <v>1.0</v>
      </c>
      <c r="L46" s="292" t="s">
        <v>3528</v>
      </c>
      <c r="M46" s="285" t="s">
        <v>3568</v>
      </c>
      <c r="N46" s="35" t="s">
        <v>3568</v>
      </c>
      <c r="O46" s="35" t="s">
        <v>3568</v>
      </c>
      <c r="P46" s="35" t="s">
        <v>113</v>
      </c>
      <c r="Q46" s="38" t="s">
        <v>3627</v>
      </c>
      <c r="R46" s="56"/>
      <c r="S46" s="38"/>
      <c r="T46" s="39">
        <v>17263.87</v>
      </c>
      <c r="U46" s="39">
        <v>5179.16</v>
      </c>
      <c r="V46" s="39">
        <v>12084.71</v>
      </c>
      <c r="W46" s="57" t="s">
        <v>394</v>
      </c>
      <c r="X46" s="42" t="s">
        <v>395</v>
      </c>
      <c r="Y46" s="42" t="str">
        <f>IFERROR(__xludf.DUMMYFUNCTION("vLOOKUP(A46,IMPORTRANGE(""https://docs.google.com/spreadsheets/d/1Rawwwdh8wntXGy8isdYNHxsNQS4n_rC8JSdPfj6vEq4"",""'500 объектов перенос на 2026'!A3:AB502""),13,0)"),"#REF!")</f>
        <v>#REF!</v>
      </c>
      <c r="Z46" s="42" t="str">
        <f>IFERROR(__xludf.DUMMYFUNCTION("vLOOKUP(A46,IMPORTRANGE(""https://docs.google.com/spreadsheets/d/1Rawwwdh8wntXGy8isdYNHxsNQS4n_rC8JSdPfj6vEq4"",""'500 объектов перенос на 2026'!A3:AB502""),14,0)"),"#REF!")</f>
        <v>#REF!</v>
      </c>
      <c r="AA46" s="42" t="s">
        <v>175</v>
      </c>
      <c r="AB46" s="43"/>
    </row>
    <row r="47">
      <c r="A47" s="62" t="s">
        <v>396</v>
      </c>
      <c r="B47" s="63" t="s">
        <v>392</v>
      </c>
      <c r="C47" s="113" t="s">
        <v>397</v>
      </c>
      <c r="D47" s="64" t="s">
        <v>39</v>
      </c>
      <c r="E47" s="64">
        <v>0.4</v>
      </c>
      <c r="F47" s="288"/>
      <c r="G47" s="288"/>
      <c r="H47" s="64" t="s">
        <v>3527</v>
      </c>
      <c r="I47" s="64">
        <v>2017.0</v>
      </c>
      <c r="J47" s="64">
        <v>2025.0</v>
      </c>
      <c r="K47" s="287">
        <v>1.0</v>
      </c>
      <c r="L47" s="292" t="s">
        <v>3528</v>
      </c>
      <c r="M47" s="285" t="s">
        <v>3568</v>
      </c>
      <c r="N47" s="35" t="s">
        <v>3568</v>
      </c>
      <c r="O47" s="35" t="s">
        <v>3568</v>
      </c>
      <c r="P47" s="35" t="s">
        <v>113</v>
      </c>
      <c r="Q47" s="38" t="s">
        <v>3627</v>
      </c>
      <c r="R47" s="56"/>
      <c r="S47" s="38"/>
      <c r="T47" s="39">
        <v>17263.87</v>
      </c>
      <c r="U47" s="39">
        <v>5179.16</v>
      </c>
      <c r="V47" s="39">
        <v>12084.71</v>
      </c>
      <c r="W47" s="57" t="s">
        <v>398</v>
      </c>
      <c r="X47" s="42" t="s">
        <v>362</v>
      </c>
      <c r="Y47" s="42" t="str">
        <f>IFERROR(__xludf.DUMMYFUNCTION("vLOOKUP(A47,IMPORTRANGE(""https://docs.google.com/spreadsheets/d/1Rawwwdh8wntXGy8isdYNHxsNQS4n_rC8JSdPfj6vEq4"",""'500 объектов перенос на 2026'!A3:AB502""),13,0)"),"#REF!")</f>
        <v>#REF!</v>
      </c>
      <c r="Z47" s="42" t="str">
        <f>IFERROR(__xludf.DUMMYFUNCTION("vLOOKUP(A47,IMPORTRANGE(""https://docs.google.com/spreadsheets/d/1Rawwwdh8wntXGy8isdYNHxsNQS4n_rC8JSdPfj6vEq4"",""'500 объектов перенос на 2026'!A3:AB502""),14,0)"),"#REF!")</f>
        <v>#REF!</v>
      </c>
      <c r="AA47" s="42" t="s">
        <v>175</v>
      </c>
      <c r="AB47" s="43"/>
    </row>
    <row r="48">
      <c r="A48" s="62" t="s">
        <v>1310</v>
      </c>
      <c r="B48" s="63" t="s">
        <v>392</v>
      </c>
      <c r="C48" s="104" t="s">
        <v>1311</v>
      </c>
      <c r="D48" s="64" t="s">
        <v>39</v>
      </c>
      <c r="E48" s="64">
        <v>0.6</v>
      </c>
      <c r="F48" s="288"/>
      <c r="G48" s="288"/>
      <c r="H48" s="64" t="s">
        <v>3527</v>
      </c>
      <c r="I48" s="64">
        <v>2023.0</v>
      </c>
      <c r="J48" s="64">
        <v>2025.0</v>
      </c>
      <c r="K48" s="287">
        <v>0.87</v>
      </c>
      <c r="L48" s="288"/>
      <c r="M48" s="285" t="s">
        <v>3636</v>
      </c>
      <c r="N48" s="35">
        <v>0.0</v>
      </c>
      <c r="O48" s="35" t="s">
        <v>3636</v>
      </c>
      <c r="P48" s="35" t="s">
        <v>46</v>
      </c>
      <c r="Q48" s="290">
        <v>46244.0</v>
      </c>
      <c r="R48" s="56"/>
      <c r="S48" s="38" t="s">
        <v>1312</v>
      </c>
      <c r="T48" s="39" t="s">
        <v>1313</v>
      </c>
      <c r="U48" s="39">
        <v>3078.8</v>
      </c>
      <c r="V48" s="40">
        <v>89913.71</v>
      </c>
      <c r="W48" s="57" t="s">
        <v>1314</v>
      </c>
      <c r="X48" s="42" t="s">
        <v>1315</v>
      </c>
      <c r="Y48" s="42" t="str">
        <f>IFERROR(__xludf.DUMMYFUNCTION("vLOOKUP(A48,IMPORTRANGE(""https://docs.google.com/spreadsheets/d/1Rawwwdh8wntXGy8isdYNHxsNQS4n_rC8JSdPfj6vEq4"",""'500 объектов перенос на 2026'!A3:AB502""),13,0)"),"#REF!")</f>
        <v>#REF!</v>
      </c>
      <c r="Z48" s="42" t="str">
        <f>IFERROR(__xludf.DUMMYFUNCTION("vLOOKUP(A48,IMPORTRANGE(""https://docs.google.com/spreadsheets/d/1Rawwwdh8wntXGy8isdYNHxsNQS4n_rC8JSdPfj6vEq4"",""'500 объектов перенос на 2026'!A3:AB502""),14,0)"),"#REF!")</f>
        <v>#REF!</v>
      </c>
      <c r="AA48" s="85" t="s">
        <v>3637</v>
      </c>
      <c r="AB48" s="43"/>
    </row>
    <row r="49">
      <c r="A49" s="62" t="s">
        <v>406</v>
      </c>
      <c r="B49" s="111" t="s">
        <v>392</v>
      </c>
      <c r="C49" s="104" t="s">
        <v>407</v>
      </c>
      <c r="D49" s="64" t="s">
        <v>39</v>
      </c>
      <c r="E49" s="64">
        <v>0.3</v>
      </c>
      <c r="F49" s="288"/>
      <c r="G49" s="288"/>
      <c r="H49" s="64" t="s">
        <v>3527</v>
      </c>
      <c r="I49" s="64">
        <v>2017.0</v>
      </c>
      <c r="J49" s="64">
        <v>2025.0</v>
      </c>
      <c r="K49" s="287">
        <v>0.45</v>
      </c>
      <c r="L49" s="288"/>
      <c r="M49" s="285" t="s">
        <v>3568</v>
      </c>
      <c r="N49" s="35" t="s">
        <v>3568</v>
      </c>
      <c r="O49" s="35" t="s">
        <v>3568</v>
      </c>
      <c r="P49" s="35" t="s">
        <v>409</v>
      </c>
      <c r="Q49" s="37">
        <v>46305.0</v>
      </c>
      <c r="R49" s="56"/>
      <c r="S49" s="38" t="s">
        <v>3638</v>
      </c>
      <c r="T49" s="39" t="s">
        <v>411</v>
      </c>
      <c r="U49" s="39">
        <v>16839.66</v>
      </c>
      <c r="V49" s="40">
        <v>25946.89</v>
      </c>
      <c r="W49" s="57" t="s">
        <v>412</v>
      </c>
      <c r="X49" s="42" t="s">
        <v>413</v>
      </c>
      <c r="Y49" s="42" t="str">
        <f>IFERROR(__xludf.DUMMYFUNCTION("vLOOKUP(A49,IMPORTRANGE(""https://docs.google.com/spreadsheets/d/1Rawwwdh8wntXGy8isdYNHxsNQS4n_rC8JSdPfj6vEq4"",""'500 объектов перенос на 2026'!A3:AB502""),13,0)"),"#REF!")</f>
        <v>#REF!</v>
      </c>
      <c r="Z49" s="42" t="str">
        <f>IFERROR(__xludf.DUMMYFUNCTION("vLOOKUP(A49,IMPORTRANGE(""https://docs.google.com/spreadsheets/d/1Rawwwdh8wntXGy8isdYNHxsNQS4n_rC8JSdPfj6vEq4"",""'500 объектов перенос на 2026'!A3:AB502""),14,0)"),"#REF!")</f>
        <v>#REF!</v>
      </c>
      <c r="AA49" s="116"/>
      <c r="AB49" s="43"/>
    </row>
    <row r="50">
      <c r="A50" s="62" t="s">
        <v>414</v>
      </c>
      <c r="B50" s="63" t="s">
        <v>392</v>
      </c>
      <c r="C50" s="64" t="s">
        <v>415</v>
      </c>
      <c r="D50" s="64" t="s">
        <v>39</v>
      </c>
      <c r="E50" s="64">
        <v>4.8</v>
      </c>
      <c r="F50" s="288"/>
      <c r="G50" s="288"/>
      <c r="H50" s="64" t="s">
        <v>3527</v>
      </c>
      <c r="I50" s="64">
        <v>2017.0</v>
      </c>
      <c r="J50" s="64">
        <v>2025.0</v>
      </c>
      <c r="K50" s="301">
        <v>0.97</v>
      </c>
      <c r="L50" s="292" t="s">
        <v>3528</v>
      </c>
      <c r="M50" s="285" t="s">
        <v>3568</v>
      </c>
      <c r="N50" s="35" t="s">
        <v>3568</v>
      </c>
      <c r="O50" s="35" t="s">
        <v>3568</v>
      </c>
      <c r="P50" s="35" t="s">
        <v>113</v>
      </c>
      <c r="Q50" s="38"/>
      <c r="R50" s="56"/>
      <c r="S50" s="38"/>
      <c r="T50" s="39">
        <v>124900.0</v>
      </c>
      <c r="U50" s="39">
        <v>12490.0</v>
      </c>
      <c r="V50" s="39">
        <v>112410.0</v>
      </c>
      <c r="W50" s="116"/>
      <c r="X50" s="116"/>
      <c r="Y50" s="42" t="str">
        <f>IFERROR(__xludf.DUMMYFUNCTION("vLOOKUP(A50,IMPORTRANGE(""https://docs.google.com/spreadsheets/d/1Rawwwdh8wntXGy8isdYNHxsNQS4n_rC8JSdPfj6vEq4"",""'500 объектов перенос на 2026'!A3:AB502""),13,0)"),"#REF!")</f>
        <v>#REF!</v>
      </c>
      <c r="Z50" s="42" t="str">
        <f>IFERROR(__xludf.DUMMYFUNCTION("vLOOKUP(A50,IMPORTRANGE(""https://docs.google.com/spreadsheets/d/1Rawwwdh8wntXGy8isdYNHxsNQS4n_rC8JSdPfj6vEq4"",""'500 объектов перенос на 2026'!A3:AB502""),14,0)"),"#REF!")</f>
        <v>#REF!</v>
      </c>
      <c r="AA50" s="42" t="s">
        <v>175</v>
      </c>
      <c r="AB50" s="43"/>
    </row>
    <row r="51">
      <c r="A51" s="62" t="s">
        <v>417</v>
      </c>
      <c r="B51" s="63" t="s">
        <v>392</v>
      </c>
      <c r="C51" s="104" t="s">
        <v>418</v>
      </c>
      <c r="D51" s="64" t="s">
        <v>39</v>
      </c>
      <c r="E51" s="64">
        <v>0.4</v>
      </c>
      <c r="F51" s="288"/>
      <c r="G51" s="288"/>
      <c r="H51" s="64" t="s">
        <v>3527</v>
      </c>
      <c r="I51" s="64">
        <v>2017.0</v>
      </c>
      <c r="J51" s="64">
        <v>2025.0</v>
      </c>
      <c r="K51" s="287">
        <v>1.0</v>
      </c>
      <c r="L51" s="292" t="s">
        <v>3528</v>
      </c>
      <c r="M51" s="285" t="s">
        <v>3568</v>
      </c>
      <c r="N51" s="35" t="s">
        <v>3568</v>
      </c>
      <c r="O51" s="35" t="s">
        <v>3568</v>
      </c>
      <c r="P51" s="35" t="s">
        <v>113</v>
      </c>
      <c r="Q51" s="38"/>
      <c r="R51" s="56"/>
      <c r="S51" s="38"/>
      <c r="T51" s="39">
        <v>25030.0</v>
      </c>
      <c r="U51" s="39">
        <v>7509.0</v>
      </c>
      <c r="V51" s="39">
        <v>17521.0</v>
      </c>
      <c r="W51" s="57" t="s">
        <v>420</v>
      </c>
      <c r="X51" s="42" t="s">
        <v>362</v>
      </c>
      <c r="Y51" s="42" t="str">
        <f>IFERROR(__xludf.DUMMYFUNCTION("vLOOKUP(A51,IMPORTRANGE(""https://docs.google.com/spreadsheets/d/1Rawwwdh8wntXGy8isdYNHxsNQS4n_rC8JSdPfj6vEq4"",""'500 объектов перенос на 2026'!A3:AB502""),13,0)"),"#REF!")</f>
        <v>#REF!</v>
      </c>
      <c r="Z51" s="42" t="str">
        <f>IFERROR(__xludf.DUMMYFUNCTION("vLOOKUP(A51,IMPORTRANGE(""https://docs.google.com/spreadsheets/d/1Rawwwdh8wntXGy8isdYNHxsNQS4n_rC8JSdPfj6vEq4"",""'500 объектов перенос на 2026'!A3:AB502""),14,0)"),"#REF!")</f>
        <v>#REF!</v>
      </c>
      <c r="AA51" s="42" t="s">
        <v>175</v>
      </c>
      <c r="AB51" s="43"/>
    </row>
    <row r="52">
      <c r="A52" s="62" t="s">
        <v>421</v>
      </c>
      <c r="B52" s="63" t="s">
        <v>392</v>
      </c>
      <c r="C52" s="104" t="s">
        <v>422</v>
      </c>
      <c r="D52" s="64" t="s">
        <v>39</v>
      </c>
      <c r="E52" s="64">
        <v>1.0</v>
      </c>
      <c r="F52" s="288"/>
      <c r="G52" s="288"/>
      <c r="H52" s="64" t="s">
        <v>3527</v>
      </c>
      <c r="I52" s="64">
        <v>2017.0</v>
      </c>
      <c r="J52" s="64">
        <v>2025.0</v>
      </c>
      <c r="K52" s="287">
        <v>0.5</v>
      </c>
      <c r="L52" s="288"/>
      <c r="M52" s="285" t="s">
        <v>3568</v>
      </c>
      <c r="N52" s="35" t="s">
        <v>3568</v>
      </c>
      <c r="O52" s="35" t="s">
        <v>3568</v>
      </c>
      <c r="P52" s="35" t="s">
        <v>409</v>
      </c>
      <c r="Q52" s="37">
        <v>46296.0</v>
      </c>
      <c r="R52" s="56"/>
      <c r="S52" s="38" t="s">
        <v>3638</v>
      </c>
      <c r="T52" s="39">
        <v>59259.13</v>
      </c>
      <c r="U52" s="39">
        <v>5319.0</v>
      </c>
      <c r="V52" s="40">
        <v>53940.13</v>
      </c>
      <c r="W52" s="99" t="s">
        <v>3639</v>
      </c>
      <c r="X52" s="42" t="s">
        <v>284</v>
      </c>
      <c r="Y52" s="42" t="str">
        <f>IFERROR(__xludf.DUMMYFUNCTION("vLOOKUP(A52,IMPORTRANGE(""https://docs.google.com/spreadsheets/d/1Rawwwdh8wntXGy8isdYNHxsNQS4n_rC8JSdPfj6vEq4"",""'500 объектов перенос на 2026'!A3:AB502""),13,0)"),"#REF!")</f>
        <v>#REF!</v>
      </c>
      <c r="Z52" s="42" t="str">
        <f>IFERROR(__xludf.DUMMYFUNCTION("vLOOKUP(A52,IMPORTRANGE(""https://docs.google.com/spreadsheets/d/1Rawwwdh8wntXGy8isdYNHxsNQS4n_rC8JSdPfj6vEq4"",""'500 объектов перенос на 2026'!A3:AB502""),14,0)"),"#REF!")</f>
        <v>#REF!</v>
      </c>
      <c r="AA52" s="85" t="s">
        <v>284</v>
      </c>
      <c r="AB52" s="43"/>
    </row>
    <row r="53">
      <c r="A53" s="122" t="s">
        <v>572</v>
      </c>
      <c r="B53" s="63" t="s">
        <v>573</v>
      </c>
      <c r="C53" s="104" t="s">
        <v>574</v>
      </c>
      <c r="D53" s="90" t="s">
        <v>85</v>
      </c>
      <c r="E53" s="286"/>
      <c r="F53" s="286"/>
      <c r="G53" s="302" t="s">
        <v>3640</v>
      </c>
      <c r="H53" s="90" t="s">
        <v>3641</v>
      </c>
      <c r="I53" s="90">
        <v>2025.0</v>
      </c>
      <c r="J53" s="64">
        <v>2026.0</v>
      </c>
      <c r="K53" s="287">
        <v>0.96</v>
      </c>
      <c r="L53" s="288"/>
      <c r="M53" s="285" t="s">
        <v>3642</v>
      </c>
      <c r="N53" s="35">
        <v>0.0</v>
      </c>
      <c r="O53" s="35" t="s">
        <v>3643</v>
      </c>
      <c r="P53" s="35" t="s">
        <v>3644</v>
      </c>
      <c r="Q53" s="38" t="s">
        <v>437</v>
      </c>
      <c r="R53" s="56"/>
      <c r="S53" s="38" t="s">
        <v>580</v>
      </c>
      <c r="T53" s="39">
        <v>1665374.25</v>
      </c>
      <c r="U53" s="39">
        <v>1561783.315</v>
      </c>
      <c r="V53" s="40">
        <v>103590.935</v>
      </c>
      <c r="W53" s="57" t="s">
        <v>581</v>
      </c>
      <c r="X53" s="42" t="s">
        <v>582</v>
      </c>
      <c r="Y53" s="42" t="str">
        <f>IFERROR(__xludf.DUMMYFUNCTION("vLOOKUP(A53,IMPORTRANGE(""https://docs.google.com/spreadsheets/d/1Rawwwdh8wntXGy8isdYNHxsNQS4n_rC8JSdPfj6vEq4"",""'500 объектов перенос на 2026'!A3:AB502""),13,0)"),"#REF!")</f>
        <v>#REF!</v>
      </c>
      <c r="Z53" s="42" t="str">
        <f>IFERROR(__xludf.DUMMYFUNCTION("vLOOKUP(A53,IMPORTRANGE(""https://docs.google.com/spreadsheets/d/1Rawwwdh8wntXGy8isdYNHxsNQS4n_rC8JSdPfj6vEq4"",""'500 объектов перенос на 2026'!A3:AB502""),14,0)"),"#REF!")</f>
        <v>#REF!</v>
      </c>
      <c r="AA53" s="85" t="s">
        <v>3645</v>
      </c>
      <c r="AB53" s="43"/>
    </row>
    <row r="54">
      <c r="A54" s="62" t="s">
        <v>433</v>
      </c>
      <c r="B54" s="63" t="s">
        <v>268</v>
      </c>
      <c r="C54" s="64" t="s">
        <v>434</v>
      </c>
      <c r="D54" s="90" t="s">
        <v>59</v>
      </c>
      <c r="E54" s="64">
        <v>22.6</v>
      </c>
      <c r="F54" s="288"/>
      <c r="G54" s="286"/>
      <c r="H54" s="90" t="s">
        <v>3512</v>
      </c>
      <c r="I54" s="90">
        <v>2023.0</v>
      </c>
      <c r="J54" s="106">
        <v>2026.0</v>
      </c>
      <c r="K54" s="287">
        <v>1.0</v>
      </c>
      <c r="L54" s="292" t="s">
        <v>3528</v>
      </c>
      <c r="M54" s="285" t="s">
        <v>3646</v>
      </c>
      <c r="N54" s="295"/>
      <c r="O54" s="35"/>
      <c r="P54" s="35" t="s">
        <v>409</v>
      </c>
      <c r="Q54" s="38" t="s">
        <v>3627</v>
      </c>
      <c r="R54" s="38" t="s">
        <v>115</v>
      </c>
      <c r="S54" s="38" t="s">
        <v>438</v>
      </c>
      <c r="T54" s="39">
        <v>22462.79</v>
      </c>
      <c r="U54" s="39">
        <v>22462.78958</v>
      </c>
      <c r="V54" s="40">
        <v>4.2E-4</v>
      </c>
      <c r="W54" s="57" t="s">
        <v>439</v>
      </c>
      <c r="X54" s="42"/>
      <c r="Y54" s="42" t="str">
        <f>IFERROR(__xludf.DUMMYFUNCTION("vLOOKUP(A54,IMPORTRANGE(""https://docs.google.com/spreadsheets/d/1Rawwwdh8wntXGy8isdYNHxsNQS4n_rC8JSdPfj6vEq4"",""'500 объектов перенос на 2026'!A3:AB502""),13,0)"),"#REF!")</f>
        <v>#REF!</v>
      </c>
      <c r="Z54" s="42" t="str">
        <f>IFERROR(__xludf.DUMMYFUNCTION("vLOOKUP(A54,IMPORTRANGE(""https://docs.google.com/spreadsheets/d/1Rawwwdh8wntXGy8isdYNHxsNQS4n_rC8JSdPfj6vEq4"",""'500 объектов перенос на 2026'!A3:AB502""),14,0)"),"#REF!")</f>
        <v>#REF!</v>
      </c>
      <c r="AA54" s="42" t="s">
        <v>175</v>
      </c>
      <c r="AB54" s="43"/>
    </row>
    <row r="55">
      <c r="A55" s="62" t="s">
        <v>440</v>
      </c>
      <c r="B55" s="63" t="s">
        <v>268</v>
      </c>
      <c r="C55" s="64" t="s">
        <v>441</v>
      </c>
      <c r="D55" s="64" t="s">
        <v>85</v>
      </c>
      <c r="E55" s="288"/>
      <c r="F55" s="64">
        <v>500.0</v>
      </c>
      <c r="G55" s="64">
        <v>130.0</v>
      </c>
      <c r="H55" s="64" t="s">
        <v>3512</v>
      </c>
      <c r="I55" s="64">
        <v>2024.0</v>
      </c>
      <c r="J55" s="64">
        <v>2025.0</v>
      </c>
      <c r="K55" s="287">
        <v>0.96</v>
      </c>
      <c r="L55" s="292" t="s">
        <v>3528</v>
      </c>
      <c r="M55" s="285" t="s">
        <v>3647</v>
      </c>
      <c r="N55" s="35" t="s">
        <v>3648</v>
      </c>
      <c r="O55" s="35" t="s">
        <v>3649</v>
      </c>
      <c r="P55" s="35" t="s">
        <v>409</v>
      </c>
      <c r="Q55" s="38" t="s">
        <v>3627</v>
      </c>
      <c r="R55" s="38" t="s">
        <v>115</v>
      </c>
      <c r="S55" s="38" t="s">
        <v>438</v>
      </c>
      <c r="T55" s="39">
        <v>22891.7</v>
      </c>
      <c r="U55" s="39">
        <v>20609.05941</v>
      </c>
      <c r="V55" s="40">
        <v>2282.64059</v>
      </c>
      <c r="W55" s="57" t="s">
        <v>444</v>
      </c>
      <c r="X55" s="42"/>
      <c r="Y55" s="42" t="str">
        <f>IFERROR(__xludf.DUMMYFUNCTION("vLOOKUP(A55,IMPORTRANGE(""https://docs.google.com/spreadsheets/d/1Rawwwdh8wntXGy8isdYNHxsNQS4n_rC8JSdPfj6vEq4"",""'500 объектов перенос на 2026'!A3:AB502""),13,0)"),"#REF!")</f>
        <v>#REF!</v>
      </c>
      <c r="Z55" s="42" t="str">
        <f>IFERROR(__xludf.DUMMYFUNCTION("vLOOKUP(A55,IMPORTRANGE(""https://docs.google.com/spreadsheets/d/1Rawwwdh8wntXGy8isdYNHxsNQS4n_rC8JSdPfj6vEq4"",""'500 объектов перенос на 2026'!A3:AB502""),14,0)"),"#REF!")</f>
        <v>#REF!</v>
      </c>
      <c r="AA55" s="42" t="s">
        <v>175</v>
      </c>
      <c r="AB55" s="43"/>
    </row>
    <row r="56">
      <c r="A56" s="62" t="s">
        <v>445</v>
      </c>
      <c r="B56" s="63" t="s">
        <v>268</v>
      </c>
      <c r="C56" s="64" t="s">
        <v>446</v>
      </c>
      <c r="D56" s="64" t="s">
        <v>85</v>
      </c>
      <c r="E56" s="288"/>
      <c r="F56" s="64">
        <v>400.0</v>
      </c>
      <c r="G56" s="64">
        <v>125.0</v>
      </c>
      <c r="H56" s="64" t="s">
        <v>3512</v>
      </c>
      <c r="I56" s="64">
        <v>2024.0</v>
      </c>
      <c r="J56" s="64">
        <v>2025.0</v>
      </c>
      <c r="K56" s="287">
        <v>0.98</v>
      </c>
      <c r="L56" s="292" t="s">
        <v>3528</v>
      </c>
      <c r="M56" s="285" t="s">
        <v>3650</v>
      </c>
      <c r="N56" s="35" t="s">
        <v>3651</v>
      </c>
      <c r="O56" s="35" t="s">
        <v>3652</v>
      </c>
      <c r="P56" s="35" t="s">
        <v>409</v>
      </c>
      <c r="Q56" s="38" t="s">
        <v>3627</v>
      </c>
      <c r="R56" s="38" t="s">
        <v>115</v>
      </c>
      <c r="S56" s="38" t="s">
        <v>438</v>
      </c>
      <c r="T56" s="39">
        <v>17523.63</v>
      </c>
      <c r="U56" s="39">
        <v>15120.96682</v>
      </c>
      <c r="V56" s="40">
        <v>2402.66318</v>
      </c>
      <c r="W56" s="57" t="s">
        <v>448</v>
      </c>
      <c r="X56" s="42"/>
      <c r="Y56" s="42" t="str">
        <f>IFERROR(__xludf.DUMMYFUNCTION("vLOOKUP(A56,IMPORTRANGE(""https://docs.google.com/spreadsheets/d/1Rawwwdh8wntXGy8isdYNHxsNQS4n_rC8JSdPfj6vEq4"",""'500 объектов перенос на 2026'!A3:AB502""),13,0)"),"#REF!")</f>
        <v>#REF!</v>
      </c>
      <c r="Z56" s="42" t="str">
        <f>IFERROR(__xludf.DUMMYFUNCTION("vLOOKUP(A56,IMPORTRANGE(""https://docs.google.com/spreadsheets/d/1Rawwwdh8wntXGy8isdYNHxsNQS4n_rC8JSdPfj6vEq4"",""'500 объектов перенос на 2026'!A3:AB502""),14,0)"),"#REF!")</f>
        <v>#REF!</v>
      </c>
      <c r="AA56" s="42" t="s">
        <v>175</v>
      </c>
      <c r="AB56" s="43"/>
    </row>
    <row r="57">
      <c r="A57" s="62" t="s">
        <v>449</v>
      </c>
      <c r="B57" s="63" t="s">
        <v>268</v>
      </c>
      <c r="C57" s="64" t="s">
        <v>450</v>
      </c>
      <c r="D57" s="90" t="s">
        <v>85</v>
      </c>
      <c r="E57" s="286"/>
      <c r="F57" s="90">
        <v>400.0</v>
      </c>
      <c r="G57" s="90">
        <v>160.0</v>
      </c>
      <c r="H57" s="90" t="s">
        <v>3512</v>
      </c>
      <c r="I57" s="90">
        <v>2024.0</v>
      </c>
      <c r="J57" s="64">
        <v>2025.0</v>
      </c>
      <c r="K57" s="287">
        <v>0.98</v>
      </c>
      <c r="L57" s="292" t="s">
        <v>3528</v>
      </c>
      <c r="M57" s="285" t="s">
        <v>3653</v>
      </c>
      <c r="N57" s="35" t="s">
        <v>451</v>
      </c>
      <c r="O57" s="35" t="s">
        <v>3654</v>
      </c>
      <c r="P57" s="35" t="s">
        <v>409</v>
      </c>
      <c r="Q57" s="38" t="s">
        <v>3627</v>
      </c>
      <c r="R57" s="38" t="s">
        <v>115</v>
      </c>
      <c r="S57" s="38" t="s">
        <v>438</v>
      </c>
      <c r="T57" s="39">
        <v>21168.6</v>
      </c>
      <c r="U57" s="39">
        <v>16515.64541</v>
      </c>
      <c r="V57" s="40">
        <v>4652.95459</v>
      </c>
      <c r="W57" s="57" t="s">
        <v>452</v>
      </c>
      <c r="X57" s="42"/>
      <c r="Y57" s="42" t="str">
        <f>IFERROR(__xludf.DUMMYFUNCTION("vLOOKUP(A57,IMPORTRANGE(""https://docs.google.com/spreadsheets/d/1Rawwwdh8wntXGy8isdYNHxsNQS4n_rC8JSdPfj6vEq4"",""'500 объектов перенос на 2026'!A3:AB502""),13,0)"),"#REF!")</f>
        <v>#REF!</v>
      </c>
      <c r="Z57" s="42" t="str">
        <f>IFERROR(__xludf.DUMMYFUNCTION("vLOOKUP(A57,IMPORTRANGE(""https://docs.google.com/spreadsheets/d/1Rawwwdh8wntXGy8isdYNHxsNQS4n_rC8JSdPfj6vEq4"",""'500 объектов перенос на 2026'!A3:AB502""),14,0)"),"#REF!")</f>
        <v>#REF!</v>
      </c>
      <c r="AA57" s="42" t="s">
        <v>175</v>
      </c>
      <c r="AB57" s="43"/>
    </row>
    <row r="58">
      <c r="A58" s="62" t="s">
        <v>453</v>
      </c>
      <c r="B58" s="63" t="s">
        <v>268</v>
      </c>
      <c r="C58" s="64" t="s">
        <v>454</v>
      </c>
      <c r="D58" s="90" t="s">
        <v>85</v>
      </c>
      <c r="E58" s="286"/>
      <c r="F58" s="90">
        <v>400.0</v>
      </c>
      <c r="G58" s="90">
        <v>120.0</v>
      </c>
      <c r="H58" s="90" t="s">
        <v>3512</v>
      </c>
      <c r="I58" s="90">
        <v>2024.0</v>
      </c>
      <c r="J58" s="64">
        <v>2025.0</v>
      </c>
      <c r="K58" s="287">
        <v>0.98</v>
      </c>
      <c r="L58" s="292" t="s">
        <v>3528</v>
      </c>
      <c r="M58" s="285" t="s">
        <v>3655</v>
      </c>
      <c r="N58" s="35" t="s">
        <v>3656</v>
      </c>
      <c r="O58" s="35" t="s">
        <v>3657</v>
      </c>
      <c r="P58" s="35" t="s">
        <v>409</v>
      </c>
      <c r="Q58" s="38" t="s">
        <v>3627</v>
      </c>
      <c r="R58" s="38" t="s">
        <v>115</v>
      </c>
      <c r="S58" s="38" t="s">
        <v>438</v>
      </c>
      <c r="T58" s="39">
        <v>18902.54</v>
      </c>
      <c r="U58" s="39">
        <v>16355.05098</v>
      </c>
      <c r="V58" s="40">
        <v>2547.48902</v>
      </c>
      <c r="W58" s="57" t="s">
        <v>456</v>
      </c>
      <c r="X58" s="42"/>
      <c r="Y58" s="42" t="str">
        <f>IFERROR(__xludf.DUMMYFUNCTION("vLOOKUP(A58,IMPORTRANGE(""https://docs.google.com/spreadsheets/d/1Rawwwdh8wntXGy8isdYNHxsNQS4n_rC8JSdPfj6vEq4"",""'500 объектов перенос на 2026'!A3:AB502""),13,0)"),"#REF!")</f>
        <v>#REF!</v>
      </c>
      <c r="Z58" s="42" t="str">
        <f>IFERROR(__xludf.DUMMYFUNCTION("vLOOKUP(A58,IMPORTRANGE(""https://docs.google.com/spreadsheets/d/1Rawwwdh8wntXGy8isdYNHxsNQS4n_rC8JSdPfj6vEq4"",""'500 объектов перенос на 2026'!A3:AB502""),14,0)"),"#REF!")</f>
        <v>#REF!</v>
      </c>
      <c r="AA58" s="42" t="s">
        <v>175</v>
      </c>
      <c r="AB58" s="43"/>
    </row>
    <row r="59">
      <c r="A59" s="62" t="s">
        <v>457</v>
      </c>
      <c r="B59" s="63" t="s">
        <v>268</v>
      </c>
      <c r="C59" s="64" t="s">
        <v>458</v>
      </c>
      <c r="D59" s="64" t="s">
        <v>85</v>
      </c>
      <c r="E59" s="288"/>
      <c r="F59" s="64">
        <v>500.0</v>
      </c>
      <c r="G59" s="64">
        <v>220.0</v>
      </c>
      <c r="H59" s="64" t="s">
        <v>3512</v>
      </c>
      <c r="I59" s="64">
        <v>2024.0</v>
      </c>
      <c r="J59" s="64">
        <v>2025.0</v>
      </c>
      <c r="K59" s="287">
        <v>0.96</v>
      </c>
      <c r="L59" s="292" t="s">
        <v>3528</v>
      </c>
      <c r="M59" s="285" t="s">
        <v>3658</v>
      </c>
      <c r="N59" s="35" t="s">
        <v>3659</v>
      </c>
      <c r="O59" s="35" t="s">
        <v>3660</v>
      </c>
      <c r="P59" s="35" t="s">
        <v>409</v>
      </c>
      <c r="Q59" s="38" t="s">
        <v>3627</v>
      </c>
      <c r="R59" s="38" t="s">
        <v>115</v>
      </c>
      <c r="S59" s="38" t="s">
        <v>438</v>
      </c>
      <c r="T59" s="39">
        <v>31020.4</v>
      </c>
      <c r="U59" s="39">
        <v>29466.23859</v>
      </c>
      <c r="V59" s="40">
        <v>1554.16141</v>
      </c>
      <c r="W59" s="57" t="s">
        <v>460</v>
      </c>
      <c r="X59" s="42"/>
      <c r="Y59" s="42" t="str">
        <f>IFERROR(__xludf.DUMMYFUNCTION("vLOOKUP(A59,IMPORTRANGE(""https://docs.google.com/spreadsheets/d/1Rawwwdh8wntXGy8isdYNHxsNQS4n_rC8JSdPfj6vEq4"",""'500 объектов перенос на 2026'!A3:AB502""),13,0)"),"#REF!")</f>
        <v>#REF!</v>
      </c>
      <c r="Z59" s="42" t="str">
        <f>IFERROR(__xludf.DUMMYFUNCTION("vLOOKUP(A59,IMPORTRANGE(""https://docs.google.com/spreadsheets/d/1Rawwwdh8wntXGy8isdYNHxsNQS4n_rC8JSdPfj6vEq4"",""'500 объектов перенос на 2026'!A3:AB502""),14,0)"),"#REF!")</f>
        <v>#REF!</v>
      </c>
      <c r="AA59" s="42" t="s">
        <v>175</v>
      </c>
      <c r="AB59" s="43"/>
    </row>
    <row r="60">
      <c r="A60" s="62" t="s">
        <v>461</v>
      </c>
      <c r="B60" s="63" t="s">
        <v>268</v>
      </c>
      <c r="C60" s="64" t="s">
        <v>462</v>
      </c>
      <c r="D60" s="64" t="s">
        <v>85</v>
      </c>
      <c r="E60" s="288"/>
      <c r="F60" s="64">
        <v>400.0</v>
      </c>
      <c r="G60" s="64">
        <v>325.0</v>
      </c>
      <c r="H60" s="64" t="s">
        <v>3512</v>
      </c>
      <c r="I60" s="64">
        <v>2024.0</v>
      </c>
      <c r="J60" s="64">
        <v>2025.0</v>
      </c>
      <c r="K60" s="287">
        <v>0.9</v>
      </c>
      <c r="L60" s="292" t="s">
        <v>3528</v>
      </c>
      <c r="M60" s="285" t="s">
        <v>3661</v>
      </c>
      <c r="N60" s="35" t="s">
        <v>3662</v>
      </c>
      <c r="O60" s="35" t="s">
        <v>3663</v>
      </c>
      <c r="P60" s="35" t="s">
        <v>409</v>
      </c>
      <c r="Q60" s="38" t="s">
        <v>3627</v>
      </c>
      <c r="R60" s="38" t="s">
        <v>115</v>
      </c>
      <c r="S60" s="38" t="s">
        <v>438</v>
      </c>
      <c r="T60" s="39">
        <v>40234.08</v>
      </c>
      <c r="U60" s="39">
        <v>37488.66654</v>
      </c>
      <c r="V60" s="40">
        <v>2745.41346</v>
      </c>
      <c r="W60" s="57" t="s">
        <v>465</v>
      </c>
      <c r="X60" s="42"/>
      <c r="Y60" s="42" t="str">
        <f>IFERROR(__xludf.DUMMYFUNCTION("vLOOKUP(A60,IMPORTRANGE(""https://docs.google.com/spreadsheets/d/1Rawwwdh8wntXGy8isdYNHxsNQS4n_rC8JSdPfj6vEq4"",""'500 объектов перенос на 2026'!A3:AB502""),13,0)"),"#REF!")</f>
        <v>#REF!</v>
      </c>
      <c r="Z60" s="42" t="str">
        <f>IFERROR(__xludf.DUMMYFUNCTION("vLOOKUP(A60,IMPORTRANGE(""https://docs.google.com/spreadsheets/d/1Rawwwdh8wntXGy8isdYNHxsNQS4n_rC8JSdPfj6vEq4"",""'500 объектов перенос на 2026'!A3:AB502""),14,0)"),"#REF!")</f>
        <v>#REF!</v>
      </c>
      <c r="AA60" s="42" t="s">
        <v>175</v>
      </c>
      <c r="AB60" s="43"/>
    </row>
    <row r="61">
      <c r="A61" s="62" t="s">
        <v>267</v>
      </c>
      <c r="B61" s="63" t="s">
        <v>268</v>
      </c>
      <c r="C61" s="64" t="s">
        <v>269</v>
      </c>
      <c r="D61" s="64" t="s">
        <v>39</v>
      </c>
      <c r="E61" s="64">
        <v>11.1</v>
      </c>
      <c r="F61" s="288"/>
      <c r="G61" s="288"/>
      <c r="H61" s="64" t="s">
        <v>3527</v>
      </c>
      <c r="I61" s="64">
        <v>2025.0</v>
      </c>
      <c r="J61" s="64">
        <v>2026.0</v>
      </c>
      <c r="K61" s="287">
        <v>0.17</v>
      </c>
      <c r="L61" s="288"/>
      <c r="M61" s="285" t="s">
        <v>3568</v>
      </c>
      <c r="N61" s="35" t="s">
        <v>3568</v>
      </c>
      <c r="O61" s="35" t="s">
        <v>3568</v>
      </c>
      <c r="P61" s="35" t="s">
        <v>3664</v>
      </c>
      <c r="Q61" s="37">
        <v>46296.0</v>
      </c>
      <c r="R61" s="56"/>
      <c r="S61" s="38" t="s">
        <v>275</v>
      </c>
      <c r="T61" s="39">
        <v>243616.1</v>
      </c>
      <c r="U61" s="39">
        <v>73084.82921</v>
      </c>
      <c r="V61" s="40">
        <v>170531.2708</v>
      </c>
      <c r="W61" s="57" t="s">
        <v>276</v>
      </c>
      <c r="X61" s="42" t="s">
        <v>277</v>
      </c>
      <c r="Y61" s="42" t="str">
        <f>IFERROR(__xludf.DUMMYFUNCTION("vLOOKUP(A61,IMPORTRANGE(""https://docs.google.com/spreadsheets/d/1Rawwwdh8wntXGy8isdYNHxsNQS4n_rC8JSdPfj6vEq4"",""'500 объектов перенос на 2026'!A3:AB502""),13,0)"),"#REF!")</f>
        <v>#REF!</v>
      </c>
      <c r="Z61" s="42" t="str">
        <f>IFERROR(__xludf.DUMMYFUNCTION("vLOOKUP(A61,IMPORTRANGE(""https://docs.google.com/spreadsheets/d/1Rawwwdh8wntXGy8isdYNHxsNQS4n_rC8JSdPfj6vEq4"",""'500 объектов перенос на 2026'!A3:AB502""),14,0)"),"#REF!")</f>
        <v>#REF!</v>
      </c>
      <c r="AA61" s="297" t="s">
        <v>3665</v>
      </c>
      <c r="AB61" s="43"/>
    </row>
    <row r="62">
      <c r="A62" s="62" t="s">
        <v>1483</v>
      </c>
      <c r="B62" s="63" t="s">
        <v>268</v>
      </c>
      <c r="C62" s="64" t="s">
        <v>1484</v>
      </c>
      <c r="D62" s="64" t="s">
        <v>59</v>
      </c>
      <c r="E62" s="64">
        <v>23.2</v>
      </c>
      <c r="F62" s="288"/>
      <c r="G62" s="288"/>
      <c r="H62" s="64" t="s">
        <v>3512</v>
      </c>
      <c r="I62" s="64">
        <v>2025.0</v>
      </c>
      <c r="J62" s="64">
        <v>2025.0</v>
      </c>
      <c r="K62" s="287">
        <v>0.99</v>
      </c>
      <c r="L62" s="288"/>
      <c r="M62" s="289" t="s">
        <v>3666</v>
      </c>
      <c r="N62" s="35" t="s">
        <v>3667</v>
      </c>
      <c r="O62" s="35" t="s">
        <v>3520</v>
      </c>
      <c r="P62" s="35" t="s">
        <v>409</v>
      </c>
      <c r="Q62" s="38" t="s">
        <v>3627</v>
      </c>
      <c r="R62" s="38" t="s">
        <v>1489</v>
      </c>
      <c r="S62" s="38" t="s">
        <v>438</v>
      </c>
      <c r="T62" s="39">
        <v>44723.81</v>
      </c>
      <c r="U62" s="39">
        <v>13417.143</v>
      </c>
      <c r="V62" s="40">
        <v>31306.667</v>
      </c>
      <c r="W62" s="57" t="s">
        <v>1490</v>
      </c>
      <c r="X62" s="42" t="s">
        <v>3406</v>
      </c>
      <c r="Y62" s="42" t="str">
        <f>IFERROR(__xludf.DUMMYFUNCTION("vLOOKUP(A62,IMPORTRANGE(""https://docs.google.com/spreadsheets/d/1Rawwwdh8wntXGy8isdYNHxsNQS4n_rC8JSdPfj6vEq4"",""'500 объектов перенос на 2026'!A3:AB502""),13,0)"),"#REF!")</f>
        <v>#REF!</v>
      </c>
      <c r="Z62" s="42" t="str">
        <f>IFERROR(__xludf.DUMMYFUNCTION("vLOOKUP(A62,IMPORTRANGE(""https://docs.google.com/spreadsheets/d/1Rawwwdh8wntXGy8isdYNHxsNQS4n_rC8JSdPfj6vEq4"",""'500 объектов перенос на 2026'!A3:AB502""),14,0)"),"#REF!")</f>
        <v>#REF!</v>
      </c>
      <c r="AA62" s="297" t="s">
        <v>3668</v>
      </c>
      <c r="AB62" s="43"/>
    </row>
    <row r="63">
      <c r="A63" s="62" t="s">
        <v>481</v>
      </c>
      <c r="B63" s="63" t="s">
        <v>268</v>
      </c>
      <c r="C63" s="64" t="s">
        <v>482</v>
      </c>
      <c r="D63" s="64" t="s">
        <v>85</v>
      </c>
      <c r="E63" s="288"/>
      <c r="F63" s="64">
        <v>500.0</v>
      </c>
      <c r="G63" s="64">
        <v>300.0</v>
      </c>
      <c r="H63" s="64" t="s">
        <v>3512</v>
      </c>
      <c r="I63" s="64">
        <v>2024.0</v>
      </c>
      <c r="J63" s="294">
        <v>2025.0</v>
      </c>
      <c r="K63" s="287">
        <v>0.98</v>
      </c>
      <c r="L63" s="292" t="s">
        <v>3528</v>
      </c>
      <c r="M63" s="285" t="s">
        <v>3669</v>
      </c>
      <c r="N63" s="35" t="s">
        <v>3670</v>
      </c>
      <c r="O63" s="35" t="s">
        <v>3671</v>
      </c>
      <c r="P63" s="35" t="s">
        <v>409</v>
      </c>
      <c r="Q63" s="38" t="s">
        <v>3627</v>
      </c>
      <c r="R63" s="38" t="s">
        <v>115</v>
      </c>
      <c r="S63" s="38" t="s">
        <v>438</v>
      </c>
      <c r="T63" s="39">
        <v>52827.0</v>
      </c>
      <c r="U63" s="39">
        <v>47506.51281</v>
      </c>
      <c r="V63" s="40">
        <v>5320.48719</v>
      </c>
      <c r="W63" s="57" t="s">
        <v>484</v>
      </c>
      <c r="X63" s="42" t="s">
        <v>485</v>
      </c>
      <c r="Y63" s="42" t="str">
        <f>IFERROR(__xludf.DUMMYFUNCTION("vLOOKUP(A63,IMPORTRANGE(""https://docs.google.com/spreadsheets/d/1Rawwwdh8wntXGy8isdYNHxsNQS4n_rC8JSdPfj6vEq4"",""'500 объектов перенос на 2026'!A3:AB502""),13,0)"),"#REF!")</f>
        <v>#REF!</v>
      </c>
      <c r="Z63" s="42" t="str">
        <f>IFERROR(__xludf.DUMMYFUNCTION("vLOOKUP(A63,IMPORTRANGE(""https://docs.google.com/spreadsheets/d/1Rawwwdh8wntXGy8isdYNHxsNQS4n_rC8JSdPfj6vEq4"",""'500 объектов перенос на 2026'!A3:AB502""),14,0)"),"#REF!")</f>
        <v>#REF!</v>
      </c>
      <c r="AA63" s="42" t="s">
        <v>175</v>
      </c>
      <c r="AB63" s="43"/>
    </row>
    <row r="64">
      <c r="A64" s="62" t="s">
        <v>486</v>
      </c>
      <c r="B64" s="63" t="s">
        <v>268</v>
      </c>
      <c r="C64" s="64" t="s">
        <v>487</v>
      </c>
      <c r="D64" s="90" t="s">
        <v>85</v>
      </c>
      <c r="E64" s="286"/>
      <c r="F64" s="90">
        <v>400.0</v>
      </c>
      <c r="G64" s="90">
        <v>550.0</v>
      </c>
      <c r="H64" s="90" t="s">
        <v>3512</v>
      </c>
      <c r="I64" s="90">
        <v>2024.0</v>
      </c>
      <c r="J64" s="294">
        <v>2025.0</v>
      </c>
      <c r="K64" s="287">
        <v>0.92</v>
      </c>
      <c r="L64" s="288"/>
      <c r="M64" s="285" t="s">
        <v>3672</v>
      </c>
      <c r="N64" s="35" t="s">
        <v>3673</v>
      </c>
      <c r="O64" s="35" t="s">
        <v>3674</v>
      </c>
      <c r="P64" s="35" t="s">
        <v>409</v>
      </c>
      <c r="Q64" s="38" t="s">
        <v>3627</v>
      </c>
      <c r="R64" s="38" t="s">
        <v>115</v>
      </c>
      <c r="S64" s="38" t="s">
        <v>438</v>
      </c>
      <c r="T64" s="39">
        <v>96849.5</v>
      </c>
      <c r="U64" s="39">
        <v>57873.59588</v>
      </c>
      <c r="V64" s="40">
        <v>38975.90412</v>
      </c>
      <c r="W64" s="57" t="s">
        <v>489</v>
      </c>
      <c r="X64" s="42"/>
      <c r="Y64" s="42" t="str">
        <f>IFERROR(__xludf.DUMMYFUNCTION("vLOOKUP(A64,IMPORTRANGE(""https://docs.google.com/spreadsheets/d/1Rawwwdh8wntXGy8isdYNHxsNQS4n_rC8JSdPfj6vEq4"",""'500 объектов перенос на 2026'!A3:AB502""),13,0)"),"#REF!")</f>
        <v>#REF!</v>
      </c>
      <c r="Z64" s="42" t="str">
        <f>IFERROR(__xludf.DUMMYFUNCTION("vLOOKUP(A64,IMPORTRANGE(""https://docs.google.com/spreadsheets/d/1Rawwwdh8wntXGy8isdYNHxsNQS4n_rC8JSdPfj6vEq4"",""'500 объектов перенос на 2026'!A3:AB502""),14,0)"),"#REF!")</f>
        <v>#REF!</v>
      </c>
      <c r="AA64" s="42" t="s">
        <v>175</v>
      </c>
      <c r="AB64" s="43"/>
    </row>
    <row r="65">
      <c r="A65" s="62" t="s">
        <v>1473</v>
      </c>
      <c r="B65" s="63" t="s">
        <v>268</v>
      </c>
      <c r="C65" s="64" t="s">
        <v>1474</v>
      </c>
      <c r="D65" s="64" t="s">
        <v>324</v>
      </c>
      <c r="E65" s="64">
        <v>12.79</v>
      </c>
      <c r="F65" s="288"/>
      <c r="G65" s="288"/>
      <c r="H65" s="64" t="s">
        <v>3527</v>
      </c>
      <c r="I65" s="64">
        <v>2024.0</v>
      </c>
      <c r="J65" s="64">
        <v>2026.0</v>
      </c>
      <c r="K65" s="288"/>
      <c r="L65" s="288"/>
      <c r="M65" s="285" t="s">
        <v>3675</v>
      </c>
      <c r="N65" s="35">
        <v>0.0</v>
      </c>
      <c r="O65" s="35" t="s">
        <v>3675</v>
      </c>
      <c r="P65" s="35" t="s">
        <v>507</v>
      </c>
      <c r="Q65" s="37">
        <v>46280.0</v>
      </c>
      <c r="R65" s="56"/>
      <c r="S65" s="38" t="s">
        <v>1479</v>
      </c>
      <c r="T65" s="39">
        <v>45000.0</v>
      </c>
      <c r="U65" s="39">
        <v>13500.0</v>
      </c>
      <c r="V65" s="40">
        <v>31500.0</v>
      </c>
      <c r="W65" s="57" t="s">
        <v>1480</v>
      </c>
      <c r="X65" s="42" t="s">
        <v>1481</v>
      </c>
      <c r="Y65" s="42" t="str">
        <f>IFERROR(__xludf.DUMMYFUNCTION("vLOOKUP(A65,IMPORTRANGE(""https://docs.google.com/spreadsheets/d/1Rawwwdh8wntXGy8isdYNHxsNQS4n_rC8JSdPfj6vEq4"",""'500 объектов перенос на 2026'!A3:AB502""),13,0)"),"#REF!")</f>
        <v>#REF!</v>
      </c>
      <c r="Z65" s="42" t="str">
        <f>IFERROR(__xludf.DUMMYFUNCTION("vLOOKUP(A65,IMPORTRANGE(""https://docs.google.com/spreadsheets/d/1Rawwwdh8wntXGy8isdYNHxsNQS4n_rC8JSdPfj6vEq4"",""'500 объектов перенос на 2026'!A3:AB502""),14,0)"),"#REF!")</f>
        <v>#REF!</v>
      </c>
      <c r="AA65" s="297" t="s">
        <v>3676</v>
      </c>
      <c r="AB65" s="43"/>
    </row>
    <row r="66">
      <c r="A66" s="62" t="s">
        <v>846</v>
      </c>
      <c r="B66" s="63" t="s">
        <v>268</v>
      </c>
      <c r="C66" s="64" t="s">
        <v>847</v>
      </c>
      <c r="D66" s="64" t="s">
        <v>85</v>
      </c>
      <c r="E66" s="288"/>
      <c r="F66" s="64">
        <v>300.0</v>
      </c>
      <c r="G66" s="291" t="s">
        <v>3677</v>
      </c>
      <c r="H66" s="64" t="s">
        <v>3593</v>
      </c>
      <c r="I66" s="64">
        <v>2025.0</v>
      </c>
      <c r="J66" s="64">
        <v>2026.0</v>
      </c>
      <c r="K66" s="287">
        <v>0.14</v>
      </c>
      <c r="L66" s="288"/>
      <c r="M66" s="289" t="s">
        <v>3678</v>
      </c>
      <c r="N66" s="35">
        <v>0.0</v>
      </c>
      <c r="O66" s="35" t="s">
        <v>3520</v>
      </c>
      <c r="P66" s="35" t="s">
        <v>3664</v>
      </c>
      <c r="Q66" s="37">
        <v>46280.0</v>
      </c>
      <c r="R66" s="56"/>
      <c r="S66" s="38" t="s">
        <v>852</v>
      </c>
      <c r="T66" s="39">
        <v>125944.0</v>
      </c>
      <c r="U66" s="39">
        <v>61719.46131</v>
      </c>
      <c r="V66" s="40">
        <v>64224.53869</v>
      </c>
      <c r="W66" s="57" t="s">
        <v>853</v>
      </c>
      <c r="X66" s="42" t="s">
        <v>854</v>
      </c>
      <c r="Y66" s="42" t="str">
        <f>IFERROR(__xludf.DUMMYFUNCTION("vLOOKUP(A66,IMPORTRANGE(""https://docs.google.com/spreadsheets/d/1Rawwwdh8wntXGy8isdYNHxsNQS4n_rC8JSdPfj6vEq4"",""'500 объектов перенос на 2026'!A3:AB502""),13,0)"),"#REF!")</f>
        <v>#REF!</v>
      </c>
      <c r="Z66" s="42" t="str">
        <f>IFERROR(__xludf.DUMMYFUNCTION("vLOOKUP(A66,IMPORTRANGE(""https://docs.google.com/spreadsheets/d/1Rawwwdh8wntXGy8isdYNHxsNQS4n_rC8JSdPfj6vEq4"",""'500 объектов перенос на 2026'!A3:AB502""),14,0)"),"#REF!")</f>
        <v>#REF!</v>
      </c>
      <c r="AA66" s="297" t="s">
        <v>3679</v>
      </c>
      <c r="AB66" s="43"/>
    </row>
    <row r="67">
      <c r="A67" s="62" t="s">
        <v>2607</v>
      </c>
      <c r="B67" s="63" t="s">
        <v>268</v>
      </c>
      <c r="C67" s="64" t="s">
        <v>2608</v>
      </c>
      <c r="D67" s="64" t="s">
        <v>85</v>
      </c>
      <c r="E67" s="288"/>
      <c r="F67" s="64">
        <v>200.0</v>
      </c>
      <c r="G67" s="64">
        <v>200.0</v>
      </c>
      <c r="H67" s="64" t="s">
        <v>3512</v>
      </c>
      <c r="I67" s="64">
        <v>2025.0</v>
      </c>
      <c r="J67" s="64">
        <v>2026.0</v>
      </c>
      <c r="K67" s="287">
        <v>0.93</v>
      </c>
      <c r="L67" s="288"/>
      <c r="M67" s="285" t="s">
        <v>3568</v>
      </c>
      <c r="N67" s="35" t="s">
        <v>3568</v>
      </c>
      <c r="O67" s="35" t="s">
        <v>3568</v>
      </c>
      <c r="P67" s="35" t="s">
        <v>3680</v>
      </c>
      <c r="Q67" s="37">
        <v>46218.0</v>
      </c>
      <c r="R67" s="56"/>
      <c r="S67" s="38"/>
      <c r="T67" s="39">
        <v>13609.19</v>
      </c>
      <c r="U67" s="39">
        <v>6396.32024</v>
      </c>
      <c r="V67" s="40">
        <v>7212.86976</v>
      </c>
      <c r="W67" s="57" t="s">
        <v>2611</v>
      </c>
      <c r="X67" s="42" t="s">
        <v>2612</v>
      </c>
      <c r="Y67" s="42" t="str">
        <f>IFERROR(__xludf.DUMMYFUNCTION("vLOOKUP(A67,IMPORTRANGE(""https://docs.google.com/spreadsheets/d/1Rawwwdh8wntXGy8isdYNHxsNQS4n_rC8JSdPfj6vEq4"",""'500 объектов перенос на 2026'!A3:AB502""),13,0)"),"#REF!")</f>
        <v>#REF!</v>
      </c>
      <c r="Z67" s="42" t="str">
        <f>IFERROR(__xludf.DUMMYFUNCTION("vLOOKUP(A67,IMPORTRANGE(""https://docs.google.com/spreadsheets/d/1Rawwwdh8wntXGy8isdYNHxsNQS4n_rC8JSdPfj6vEq4"",""'500 объектов перенос на 2026'!A3:AB502""),14,0)"),"#REF!")</f>
        <v>#REF!</v>
      </c>
      <c r="AA67" s="297" t="s">
        <v>3681</v>
      </c>
      <c r="AB67" s="43"/>
    </row>
    <row r="68">
      <c r="A68" s="62" t="s">
        <v>517</v>
      </c>
      <c r="B68" s="63" t="s">
        <v>268</v>
      </c>
      <c r="C68" s="64" t="s">
        <v>518</v>
      </c>
      <c r="D68" s="64" t="s">
        <v>85</v>
      </c>
      <c r="E68" s="288"/>
      <c r="F68" s="64">
        <v>500.0</v>
      </c>
      <c r="G68" s="64">
        <v>200.0</v>
      </c>
      <c r="H68" s="64" t="s">
        <v>3512</v>
      </c>
      <c r="I68" s="64">
        <v>2024.0</v>
      </c>
      <c r="J68" s="294">
        <v>2025.0</v>
      </c>
      <c r="K68" s="287">
        <v>0.92</v>
      </c>
      <c r="L68" s="288"/>
      <c r="M68" s="285" t="s">
        <v>3682</v>
      </c>
      <c r="N68" s="35">
        <v>0.0</v>
      </c>
      <c r="O68" s="35" t="s">
        <v>3682</v>
      </c>
      <c r="P68" s="35" t="s">
        <v>409</v>
      </c>
      <c r="Q68" s="38" t="s">
        <v>3627</v>
      </c>
      <c r="R68" s="38" t="s">
        <v>115</v>
      </c>
      <c r="S68" s="38" t="s">
        <v>438</v>
      </c>
      <c r="T68" s="39">
        <v>35211.42</v>
      </c>
      <c r="U68" s="39">
        <v>27910.922</v>
      </c>
      <c r="V68" s="40">
        <v>7300.498</v>
      </c>
      <c r="W68" s="57" t="s">
        <v>520</v>
      </c>
      <c r="X68" s="42" t="s">
        <v>485</v>
      </c>
      <c r="Y68" s="42" t="str">
        <f>IFERROR(__xludf.DUMMYFUNCTION("vLOOKUP(A68,IMPORTRANGE(""https://docs.google.com/spreadsheets/d/1Rawwwdh8wntXGy8isdYNHxsNQS4n_rC8JSdPfj6vEq4"",""'500 объектов перенос на 2026'!A3:AB502""),13,0)"),"#REF!")</f>
        <v>#REF!</v>
      </c>
      <c r="Z68" s="42" t="str">
        <f>IFERROR(__xludf.DUMMYFUNCTION("vLOOKUP(A68,IMPORTRANGE(""https://docs.google.com/spreadsheets/d/1Rawwwdh8wntXGy8isdYNHxsNQS4n_rC8JSdPfj6vEq4"",""'500 объектов перенос на 2026'!A3:AB502""),14,0)"),"#REF!")</f>
        <v>#REF!</v>
      </c>
      <c r="AA68" s="85" t="s">
        <v>3683</v>
      </c>
      <c r="AB68" s="43"/>
    </row>
    <row r="69">
      <c r="A69" s="62" t="s">
        <v>1765</v>
      </c>
      <c r="B69" s="63" t="s">
        <v>268</v>
      </c>
      <c r="C69" s="64" t="s">
        <v>1766</v>
      </c>
      <c r="D69" s="64" t="s">
        <v>85</v>
      </c>
      <c r="E69" s="288"/>
      <c r="F69" s="64">
        <v>200.0</v>
      </c>
      <c r="G69" s="64">
        <v>350.0</v>
      </c>
      <c r="H69" s="64" t="s">
        <v>3512</v>
      </c>
      <c r="I69" s="64">
        <v>2025.0</v>
      </c>
      <c r="J69" s="64">
        <v>2026.0</v>
      </c>
      <c r="K69" s="287">
        <v>1.0</v>
      </c>
      <c r="L69" s="288"/>
      <c r="M69" s="289" t="s">
        <v>3684</v>
      </c>
      <c r="N69" s="35">
        <v>0.0</v>
      </c>
      <c r="O69" s="35" t="s">
        <v>3520</v>
      </c>
      <c r="P69" s="35" t="s">
        <v>1768</v>
      </c>
      <c r="Q69" s="37">
        <v>46174.0</v>
      </c>
      <c r="R69" s="56"/>
      <c r="S69" s="38"/>
      <c r="T69" s="39">
        <v>23113.16</v>
      </c>
      <c r="U69" s="39">
        <v>6933.948</v>
      </c>
      <c r="V69" s="40">
        <v>16179.212</v>
      </c>
      <c r="W69" s="57" t="s">
        <v>1770</v>
      </c>
      <c r="X69" s="42" t="s">
        <v>3430</v>
      </c>
      <c r="Y69" s="42" t="str">
        <f>IFERROR(__xludf.DUMMYFUNCTION("vLOOKUP(A69,IMPORTRANGE(""https://docs.google.com/spreadsheets/d/1Rawwwdh8wntXGy8isdYNHxsNQS4n_rC8JSdPfj6vEq4"",""'500 объектов перенос на 2026'!A3:AB502""),13,0)"),"#REF!")</f>
        <v>#REF!</v>
      </c>
      <c r="Z69" s="42" t="str">
        <f>IFERROR(__xludf.DUMMYFUNCTION("vLOOKUP(A69,IMPORTRANGE(""https://docs.google.com/spreadsheets/d/1Rawwwdh8wntXGy8isdYNHxsNQS4n_rC8JSdPfj6vEq4"",""'500 объектов перенос на 2026'!A3:AB502""),14,0)"),"#REF!")</f>
        <v>#REF!</v>
      </c>
      <c r="AA69" s="297" t="s">
        <v>3685</v>
      </c>
      <c r="AB69" s="43"/>
    </row>
    <row r="70">
      <c r="A70" s="62" t="s">
        <v>533</v>
      </c>
      <c r="B70" s="63" t="s">
        <v>268</v>
      </c>
      <c r="C70" s="64" t="s">
        <v>534</v>
      </c>
      <c r="D70" s="64" t="s">
        <v>85</v>
      </c>
      <c r="E70" s="288"/>
      <c r="F70" s="64">
        <v>350.0</v>
      </c>
      <c r="G70" s="64">
        <v>240.0</v>
      </c>
      <c r="H70" s="64" t="s">
        <v>3512</v>
      </c>
      <c r="I70" s="64">
        <v>2025.0</v>
      </c>
      <c r="J70" s="294">
        <v>2025.0</v>
      </c>
      <c r="K70" s="287">
        <v>1.0</v>
      </c>
      <c r="L70" s="288"/>
      <c r="M70" s="289" t="s">
        <v>3686</v>
      </c>
      <c r="N70" s="295" t="s">
        <v>536</v>
      </c>
      <c r="O70" s="35" t="s">
        <v>3520</v>
      </c>
      <c r="P70" s="35" t="s">
        <v>409</v>
      </c>
      <c r="Q70" s="38" t="s">
        <v>3627</v>
      </c>
      <c r="R70" s="38" t="s">
        <v>115</v>
      </c>
      <c r="S70" s="38" t="s">
        <v>438</v>
      </c>
      <c r="T70" s="39">
        <v>22553.664</v>
      </c>
      <c r="U70" s="39">
        <v>26108.0992</v>
      </c>
      <c r="V70" s="40">
        <v>-3554.4352</v>
      </c>
      <c r="W70" s="57" t="s">
        <v>537</v>
      </c>
      <c r="X70" s="42"/>
      <c r="Y70" s="42" t="str">
        <f>IFERROR(__xludf.DUMMYFUNCTION("vLOOKUP(A70,IMPORTRANGE(""https://docs.google.com/spreadsheets/d/1Rawwwdh8wntXGy8isdYNHxsNQS4n_rC8JSdPfj6vEq4"",""'500 объектов перенос на 2026'!A3:AB502""),13,0)"),"#REF!")</f>
        <v>#REF!</v>
      </c>
      <c r="Z70" s="42" t="str">
        <f>IFERROR(__xludf.DUMMYFUNCTION("vLOOKUP(A70,IMPORTRANGE(""https://docs.google.com/spreadsheets/d/1Rawwwdh8wntXGy8isdYNHxsNQS4n_rC8JSdPfj6vEq4"",""'500 объектов перенос на 2026'!A3:AB502""),14,0)"),"#REF!")</f>
        <v>#REF!</v>
      </c>
      <c r="AA70" s="42" t="s">
        <v>175</v>
      </c>
      <c r="AB70" s="43"/>
    </row>
    <row r="71">
      <c r="A71" s="62" t="s">
        <v>538</v>
      </c>
      <c r="B71" s="63" t="s">
        <v>268</v>
      </c>
      <c r="C71" s="64" t="s">
        <v>539</v>
      </c>
      <c r="D71" s="64" t="s">
        <v>85</v>
      </c>
      <c r="E71" s="288"/>
      <c r="F71" s="64">
        <v>350.0</v>
      </c>
      <c r="G71" s="64">
        <v>423.0</v>
      </c>
      <c r="H71" s="64" t="s">
        <v>3512</v>
      </c>
      <c r="I71" s="64">
        <v>2025.0</v>
      </c>
      <c r="J71" s="294">
        <v>2025.0</v>
      </c>
      <c r="K71" s="287">
        <v>1.0</v>
      </c>
      <c r="L71" s="288"/>
      <c r="M71" s="289" t="s">
        <v>3687</v>
      </c>
      <c r="N71" s="35">
        <v>0.0</v>
      </c>
      <c r="O71" s="35" t="s">
        <v>3520</v>
      </c>
      <c r="P71" s="35" t="s">
        <v>409</v>
      </c>
      <c r="Q71" s="38" t="s">
        <v>3627</v>
      </c>
      <c r="R71" s="38" t="s">
        <v>115</v>
      </c>
      <c r="S71" s="38" t="s">
        <v>438</v>
      </c>
      <c r="T71" s="39">
        <v>54778.54</v>
      </c>
      <c r="U71" s="39">
        <v>49141.81042</v>
      </c>
      <c r="V71" s="40">
        <v>5636.72958</v>
      </c>
      <c r="W71" s="57" t="s">
        <v>541</v>
      </c>
      <c r="X71" s="42"/>
      <c r="Y71" s="42" t="str">
        <f>IFERROR(__xludf.DUMMYFUNCTION("vLOOKUP(A71,IMPORTRANGE(""https://docs.google.com/spreadsheets/d/1Rawwwdh8wntXGy8isdYNHxsNQS4n_rC8JSdPfj6vEq4"",""'500 объектов перенос на 2026'!A3:AB502""),13,0)"),"#REF!")</f>
        <v>#REF!</v>
      </c>
      <c r="Z71" s="42" t="str">
        <f>IFERROR(__xludf.DUMMYFUNCTION("vLOOKUP(A71,IMPORTRANGE(""https://docs.google.com/spreadsheets/d/1Rawwwdh8wntXGy8isdYNHxsNQS4n_rC8JSdPfj6vEq4"",""'500 объектов перенос на 2026'!A3:AB502""),14,0)"),"#REF!")</f>
        <v>#REF!</v>
      </c>
      <c r="AA71" s="42" t="s">
        <v>175</v>
      </c>
      <c r="AB71" s="43"/>
    </row>
    <row r="72">
      <c r="A72" s="62" t="s">
        <v>2876</v>
      </c>
      <c r="B72" s="63" t="s">
        <v>268</v>
      </c>
      <c r="C72" s="64" t="s">
        <v>2877</v>
      </c>
      <c r="D72" s="64" t="s">
        <v>85</v>
      </c>
      <c r="E72" s="288"/>
      <c r="F72" s="64">
        <v>300.0</v>
      </c>
      <c r="G72" s="64">
        <v>75.0</v>
      </c>
      <c r="H72" s="64" t="s">
        <v>3512</v>
      </c>
      <c r="I72" s="64">
        <v>2025.0</v>
      </c>
      <c r="J72" s="64">
        <v>2026.0</v>
      </c>
      <c r="K72" s="287">
        <v>0.88</v>
      </c>
      <c r="L72" s="288"/>
      <c r="M72" s="285" t="s">
        <v>3568</v>
      </c>
      <c r="N72" s="35" t="s">
        <v>3568</v>
      </c>
      <c r="O72" s="35" t="s">
        <v>3568</v>
      </c>
      <c r="P72" s="35" t="s">
        <v>49</v>
      </c>
      <c r="Q72" s="290">
        <v>46235.0</v>
      </c>
      <c r="R72" s="56"/>
      <c r="S72" s="38" t="s">
        <v>2571</v>
      </c>
      <c r="T72" s="39">
        <v>7193.34</v>
      </c>
      <c r="U72" s="39">
        <v>3380.8698</v>
      </c>
      <c r="V72" s="40">
        <v>3812.4702</v>
      </c>
      <c r="W72" s="57" t="s">
        <v>2879</v>
      </c>
      <c r="X72" s="42" t="s">
        <v>854</v>
      </c>
      <c r="Y72" s="42" t="str">
        <f>IFERROR(__xludf.DUMMYFUNCTION("vLOOKUP(A72,IMPORTRANGE(""https://docs.google.com/spreadsheets/d/1Rawwwdh8wntXGy8isdYNHxsNQS4n_rC8JSdPfj6vEq4"",""'500 объектов перенос на 2026'!A3:AB502""),13,0)"),"#REF!")</f>
        <v>#REF!</v>
      </c>
      <c r="Z72" s="42" t="str">
        <f>IFERROR(__xludf.DUMMYFUNCTION("vLOOKUP(A72,IMPORTRANGE(""https://docs.google.com/spreadsheets/d/1Rawwwdh8wntXGy8isdYNHxsNQS4n_rC8JSdPfj6vEq4"",""'500 объектов перенос на 2026'!A3:AB502""),14,0)"),"#REF!")</f>
        <v>#REF!</v>
      </c>
      <c r="AA72" s="297" t="s">
        <v>3688</v>
      </c>
      <c r="AB72" s="43"/>
    </row>
    <row r="73">
      <c r="A73" s="62" t="s">
        <v>2855</v>
      </c>
      <c r="B73" s="63" t="s">
        <v>268</v>
      </c>
      <c r="C73" s="64" t="s">
        <v>2856</v>
      </c>
      <c r="D73" s="64" t="s">
        <v>85</v>
      </c>
      <c r="E73" s="288"/>
      <c r="F73" s="64">
        <v>200.0</v>
      </c>
      <c r="G73" s="64">
        <v>119.0</v>
      </c>
      <c r="H73" s="64" t="s">
        <v>3512</v>
      </c>
      <c r="I73" s="64">
        <v>2025.0</v>
      </c>
      <c r="J73" s="64">
        <v>2026.0</v>
      </c>
      <c r="K73" s="287">
        <v>0.82</v>
      </c>
      <c r="L73" s="288"/>
      <c r="M73" s="285" t="s">
        <v>3568</v>
      </c>
      <c r="N73" s="35" t="s">
        <v>3568</v>
      </c>
      <c r="O73" s="35" t="s">
        <v>3568</v>
      </c>
      <c r="P73" s="35" t="s">
        <v>1268</v>
      </c>
      <c r="Q73" s="290">
        <v>46218.0</v>
      </c>
      <c r="R73" s="56"/>
      <c r="S73" s="35" t="s">
        <v>187</v>
      </c>
      <c r="T73" s="39">
        <v>8097.4</v>
      </c>
      <c r="U73" s="39">
        <v>3805.778</v>
      </c>
      <c r="V73" s="40">
        <v>4291.622</v>
      </c>
      <c r="W73" s="57" t="s">
        <v>2858</v>
      </c>
      <c r="X73" s="42" t="s">
        <v>2612</v>
      </c>
      <c r="Y73" s="42" t="str">
        <f>IFERROR(__xludf.DUMMYFUNCTION("vLOOKUP(A73,IMPORTRANGE(""https://docs.google.com/spreadsheets/d/1Rawwwdh8wntXGy8isdYNHxsNQS4n_rC8JSdPfj6vEq4"",""'500 объектов перенос на 2026'!A3:AB502""),13,0)"),"#REF!")</f>
        <v>#REF!</v>
      </c>
      <c r="Z73" s="42" t="str">
        <f>IFERROR(__xludf.DUMMYFUNCTION("vLOOKUP(A73,IMPORTRANGE(""https://docs.google.com/spreadsheets/d/1Rawwwdh8wntXGy8isdYNHxsNQS4n_rC8JSdPfj6vEq4"",""'500 объектов перенос на 2026'!A3:AB502""),14,0)"),"#REF!")</f>
        <v>#REF!</v>
      </c>
      <c r="AA73" s="297" t="s">
        <v>3689</v>
      </c>
      <c r="AB73" s="43"/>
    </row>
    <row r="74">
      <c r="A74" s="62" t="s">
        <v>2654</v>
      </c>
      <c r="B74" s="63" t="s">
        <v>268</v>
      </c>
      <c r="C74" s="64" t="s">
        <v>2655</v>
      </c>
      <c r="D74" s="64" t="s">
        <v>85</v>
      </c>
      <c r="E74" s="288"/>
      <c r="F74" s="64">
        <v>250.0</v>
      </c>
      <c r="G74" s="64">
        <v>129.0</v>
      </c>
      <c r="H74" s="64" t="s">
        <v>3512</v>
      </c>
      <c r="I74" s="64">
        <v>2025.0</v>
      </c>
      <c r="J74" s="64">
        <v>2026.0</v>
      </c>
      <c r="K74" s="287">
        <v>0.82</v>
      </c>
      <c r="L74" s="288"/>
      <c r="M74" s="285" t="s">
        <v>3568</v>
      </c>
      <c r="N74" s="35" t="s">
        <v>3568</v>
      </c>
      <c r="O74" s="35" t="s">
        <v>3568</v>
      </c>
      <c r="P74" s="35" t="s">
        <v>49</v>
      </c>
      <c r="Q74" s="290">
        <v>46280.0</v>
      </c>
      <c r="R74" s="56"/>
      <c r="S74" s="121" t="s">
        <v>2571</v>
      </c>
      <c r="T74" s="39">
        <v>12491.26</v>
      </c>
      <c r="U74" s="39">
        <v>5870.89267</v>
      </c>
      <c r="V74" s="40">
        <v>6620.36733</v>
      </c>
      <c r="W74" s="57" t="s">
        <v>2658</v>
      </c>
      <c r="X74" s="42" t="s">
        <v>854</v>
      </c>
      <c r="Y74" s="42" t="str">
        <f>IFERROR(__xludf.DUMMYFUNCTION("vLOOKUP(A74,IMPORTRANGE(""https://docs.google.com/spreadsheets/d/1Rawwwdh8wntXGy8isdYNHxsNQS4n_rC8JSdPfj6vEq4"",""'500 объектов перенос на 2026'!A3:AB502""),13,0)"),"#REF!")</f>
        <v>#REF!</v>
      </c>
      <c r="Z74" s="42" t="str">
        <f>IFERROR(__xludf.DUMMYFUNCTION("vLOOKUP(A74,IMPORTRANGE(""https://docs.google.com/spreadsheets/d/1Rawwwdh8wntXGy8isdYNHxsNQS4n_rC8JSdPfj6vEq4"",""'500 объектов перенос на 2026'!A3:AB502""),14,0)"),"#REF!")</f>
        <v>#REF!</v>
      </c>
      <c r="AA74" s="297" t="s">
        <v>3690</v>
      </c>
      <c r="AB74" s="43"/>
    </row>
    <row r="75">
      <c r="A75" s="62" t="s">
        <v>2892</v>
      </c>
      <c r="B75" s="63" t="s">
        <v>268</v>
      </c>
      <c r="C75" s="64" t="s">
        <v>2893</v>
      </c>
      <c r="D75" s="64" t="s">
        <v>85</v>
      </c>
      <c r="E75" s="288"/>
      <c r="F75" s="64">
        <v>200.0</v>
      </c>
      <c r="G75" s="64">
        <v>90.0</v>
      </c>
      <c r="H75" s="64" t="s">
        <v>3512</v>
      </c>
      <c r="I75" s="64">
        <v>2025.0</v>
      </c>
      <c r="J75" s="64">
        <v>2026.0</v>
      </c>
      <c r="K75" s="287">
        <v>0.67</v>
      </c>
      <c r="L75" s="288"/>
      <c r="M75" s="285" t="s">
        <v>3568</v>
      </c>
      <c r="N75" s="35" t="s">
        <v>3568</v>
      </c>
      <c r="O75" s="35" t="s">
        <v>3568</v>
      </c>
      <c r="P75" s="35" t="s">
        <v>1268</v>
      </c>
      <c r="Q75" s="290">
        <v>46235.0</v>
      </c>
      <c r="R75" s="56"/>
      <c r="S75" s="121" t="s">
        <v>187</v>
      </c>
      <c r="T75" s="39">
        <v>6124.1</v>
      </c>
      <c r="U75" s="39">
        <v>2878.327</v>
      </c>
      <c r="V75" s="40">
        <v>3245.773</v>
      </c>
      <c r="W75" s="57" t="s">
        <v>2895</v>
      </c>
      <c r="X75" s="42" t="s">
        <v>854</v>
      </c>
      <c r="Y75" s="42" t="str">
        <f>IFERROR(__xludf.DUMMYFUNCTION("vLOOKUP(A75,IMPORTRANGE(""https://docs.google.com/spreadsheets/d/1Rawwwdh8wntXGy8isdYNHxsNQS4n_rC8JSdPfj6vEq4"",""'500 объектов перенос на 2026'!A3:AB502""),13,0)"),"#REF!")</f>
        <v>#REF!</v>
      </c>
      <c r="Z75" s="42" t="str">
        <f>IFERROR(__xludf.DUMMYFUNCTION("vLOOKUP(A75,IMPORTRANGE(""https://docs.google.com/spreadsheets/d/1Rawwwdh8wntXGy8isdYNHxsNQS4n_rC8JSdPfj6vEq4"",""'500 объектов перенос на 2026'!A3:AB502""),14,0)"),"#REF!")</f>
        <v>#REF!</v>
      </c>
      <c r="AA75" s="297" t="s">
        <v>3691</v>
      </c>
      <c r="AB75" s="43"/>
    </row>
    <row r="76">
      <c r="A76" s="62" t="s">
        <v>1579</v>
      </c>
      <c r="B76" s="63" t="s">
        <v>268</v>
      </c>
      <c r="C76" s="64" t="s">
        <v>1580</v>
      </c>
      <c r="D76" s="64" t="s">
        <v>85</v>
      </c>
      <c r="E76" s="288"/>
      <c r="F76" s="64">
        <v>200.0</v>
      </c>
      <c r="G76" s="64">
        <v>680.0</v>
      </c>
      <c r="H76" s="64" t="s">
        <v>3512</v>
      </c>
      <c r="I76" s="64">
        <v>2025.0</v>
      </c>
      <c r="J76" s="64">
        <v>2026.0</v>
      </c>
      <c r="K76" s="287">
        <v>0.9</v>
      </c>
      <c r="L76" s="288"/>
      <c r="M76" s="285" t="s">
        <v>3568</v>
      </c>
      <c r="N76" s="35" t="s">
        <v>3568</v>
      </c>
      <c r="O76" s="35" t="s">
        <v>3568</v>
      </c>
      <c r="P76" s="35" t="s">
        <v>49</v>
      </c>
      <c r="Q76" s="290">
        <v>46235.0</v>
      </c>
      <c r="R76" s="56"/>
      <c r="S76" s="121"/>
      <c r="T76" s="39">
        <v>45368.51</v>
      </c>
      <c r="U76" s="39">
        <v>20079.06418</v>
      </c>
      <c r="V76" s="40">
        <v>25289.44582</v>
      </c>
      <c r="W76" s="57" t="s">
        <v>1583</v>
      </c>
      <c r="X76" s="42" t="s">
        <v>854</v>
      </c>
      <c r="Y76" s="42" t="str">
        <f>IFERROR(__xludf.DUMMYFUNCTION("vLOOKUP(A76,IMPORTRANGE(""https://docs.google.com/spreadsheets/d/1Rawwwdh8wntXGy8isdYNHxsNQS4n_rC8JSdPfj6vEq4"",""'500 объектов перенос на 2026'!A3:AB502""),13,0)"),"#REF!")</f>
        <v>#REF!</v>
      </c>
      <c r="Z76" s="42" t="str">
        <f>IFERROR(__xludf.DUMMYFUNCTION("vLOOKUP(A76,IMPORTRANGE(""https://docs.google.com/spreadsheets/d/1Rawwwdh8wntXGy8isdYNHxsNQS4n_rC8JSdPfj6vEq4"",""'500 объектов перенос на 2026'!A3:AB502""),14,0)"),"#REF!")</f>
        <v>#REF!</v>
      </c>
      <c r="AA76" s="85" t="s">
        <v>3692</v>
      </c>
      <c r="AB76" s="43"/>
    </row>
    <row r="77">
      <c r="A77" s="62" t="s">
        <v>1566</v>
      </c>
      <c r="B77" s="63" t="s">
        <v>268</v>
      </c>
      <c r="C77" s="64" t="s">
        <v>1567</v>
      </c>
      <c r="D77" s="64" t="s">
        <v>85</v>
      </c>
      <c r="E77" s="288"/>
      <c r="F77" s="64">
        <v>300.0</v>
      </c>
      <c r="G77" s="64">
        <v>475.0</v>
      </c>
      <c r="H77" s="64" t="s">
        <v>3512</v>
      </c>
      <c r="I77" s="64">
        <v>2025.0</v>
      </c>
      <c r="J77" s="64">
        <v>2026.0</v>
      </c>
      <c r="K77" s="287">
        <v>0.89</v>
      </c>
      <c r="L77" s="288"/>
      <c r="M77" s="285" t="s">
        <v>3568</v>
      </c>
      <c r="N77" s="35" t="s">
        <v>3568</v>
      </c>
      <c r="O77" s="35" t="s">
        <v>3568</v>
      </c>
      <c r="P77" s="35" t="s">
        <v>49</v>
      </c>
      <c r="Q77" s="290">
        <v>46280.0</v>
      </c>
      <c r="R77" s="56"/>
      <c r="S77" s="121" t="s">
        <v>187</v>
      </c>
      <c r="T77" s="39">
        <v>45917.0</v>
      </c>
      <c r="U77" s="39">
        <v>19031.79214</v>
      </c>
      <c r="V77" s="40">
        <v>26885.20786</v>
      </c>
      <c r="W77" s="57" t="s">
        <v>1570</v>
      </c>
      <c r="X77" s="42" t="s">
        <v>854</v>
      </c>
      <c r="Y77" s="42" t="str">
        <f>IFERROR(__xludf.DUMMYFUNCTION("vLOOKUP(A77,IMPORTRANGE(""https://docs.google.com/spreadsheets/d/1Rawwwdh8wntXGy8isdYNHxsNQS4n_rC8JSdPfj6vEq4"",""'500 объектов перенос на 2026'!A3:AB502""),13,0)"),"#REF!")</f>
        <v>#REF!</v>
      </c>
      <c r="Z77" s="42" t="str">
        <f>IFERROR(__xludf.DUMMYFUNCTION("vLOOKUP(A77,IMPORTRANGE(""https://docs.google.com/spreadsheets/d/1Rawwwdh8wntXGy8isdYNHxsNQS4n_rC8JSdPfj6vEq4"",""'500 объектов перенос на 2026'!A3:AB502""),14,0)"),"#REF!")</f>
        <v>#REF!</v>
      </c>
      <c r="AA77" s="85" t="s">
        <v>3693</v>
      </c>
      <c r="AB77" s="43"/>
    </row>
    <row r="78">
      <c r="A78" s="62" t="s">
        <v>3014</v>
      </c>
      <c r="B78" s="63" t="s">
        <v>268</v>
      </c>
      <c r="C78" s="64" t="s">
        <v>3015</v>
      </c>
      <c r="D78" s="64" t="s">
        <v>85</v>
      </c>
      <c r="E78" s="288"/>
      <c r="F78" s="64">
        <v>200.0</v>
      </c>
      <c r="G78" s="64">
        <v>55.0</v>
      </c>
      <c r="H78" s="64" t="s">
        <v>3512</v>
      </c>
      <c r="I78" s="64">
        <v>2025.0</v>
      </c>
      <c r="J78" s="64">
        <v>2026.0</v>
      </c>
      <c r="K78" s="287">
        <v>0.95</v>
      </c>
      <c r="L78" s="288"/>
      <c r="M78" s="289" t="s">
        <v>3694</v>
      </c>
      <c r="N78" s="35">
        <v>0.0</v>
      </c>
      <c r="O78" s="35" t="s">
        <v>3520</v>
      </c>
      <c r="P78" s="35" t="s">
        <v>3018</v>
      </c>
      <c r="Q78" s="290">
        <v>46235.0</v>
      </c>
      <c r="R78" s="56"/>
      <c r="S78" s="121"/>
      <c r="T78" s="39">
        <v>3729.4</v>
      </c>
      <c r="U78" s="39">
        <v>1118.82</v>
      </c>
      <c r="V78" s="40">
        <v>2610.58</v>
      </c>
      <c r="W78" s="57" t="s">
        <v>3019</v>
      </c>
      <c r="X78" s="42" t="s">
        <v>3020</v>
      </c>
      <c r="Y78" s="42" t="str">
        <f>IFERROR(__xludf.DUMMYFUNCTION("vLOOKUP(A78,IMPORTRANGE(""https://docs.google.com/spreadsheets/d/1Rawwwdh8wntXGy8isdYNHxsNQS4n_rC8JSdPfj6vEq4"",""'500 объектов перенос на 2026'!A3:AB502""),13,0)"),"#REF!")</f>
        <v>#REF!</v>
      </c>
      <c r="Z78" s="42" t="str">
        <f>IFERROR(__xludf.DUMMYFUNCTION("vLOOKUP(A78,IMPORTRANGE(""https://docs.google.com/spreadsheets/d/1Rawwwdh8wntXGy8isdYNHxsNQS4n_rC8JSdPfj6vEq4"",""'500 объектов перенос на 2026'!A3:AB502""),14,0)"),"#REF!")</f>
        <v>#REF!</v>
      </c>
      <c r="AA78" s="85" t="s">
        <v>3695</v>
      </c>
      <c r="AB78" s="43"/>
    </row>
    <row r="79">
      <c r="A79" s="62" t="s">
        <v>1363</v>
      </c>
      <c r="B79" s="63" t="s">
        <v>268</v>
      </c>
      <c r="C79" s="64" t="s">
        <v>1364</v>
      </c>
      <c r="D79" s="64" t="s">
        <v>85</v>
      </c>
      <c r="E79" s="288"/>
      <c r="F79" s="64" t="s">
        <v>3696</v>
      </c>
      <c r="G79" s="64">
        <v>565.0</v>
      </c>
      <c r="H79" s="64" t="s">
        <v>3512</v>
      </c>
      <c r="I79" s="64">
        <v>2025.0</v>
      </c>
      <c r="J79" s="64">
        <v>2026.0</v>
      </c>
      <c r="K79" s="287">
        <v>0.94</v>
      </c>
      <c r="L79" s="288"/>
      <c r="M79" s="285" t="s">
        <v>3568</v>
      </c>
      <c r="N79" s="35" t="s">
        <v>3568</v>
      </c>
      <c r="O79" s="35" t="s">
        <v>3568</v>
      </c>
      <c r="P79" s="35" t="s">
        <v>49</v>
      </c>
      <c r="Q79" s="290">
        <v>46280.0</v>
      </c>
      <c r="R79" s="56"/>
      <c r="S79" s="121" t="s">
        <v>46</v>
      </c>
      <c r="T79" s="39">
        <v>53124.4</v>
      </c>
      <c r="U79" s="39">
        <v>15777.9468</v>
      </c>
      <c r="V79" s="40">
        <v>37346.4532</v>
      </c>
      <c r="W79" s="57" t="s">
        <v>1367</v>
      </c>
      <c r="X79" s="42" t="s">
        <v>49</v>
      </c>
      <c r="Y79" s="42" t="str">
        <f>IFERROR(__xludf.DUMMYFUNCTION("vLOOKUP(A79,IMPORTRANGE(""https://docs.google.com/spreadsheets/d/1Rawwwdh8wntXGy8isdYNHxsNQS4n_rC8JSdPfj6vEq4"",""'500 объектов перенос на 2026'!A3:AB502""),13,0)"),"#REF!")</f>
        <v>#REF!</v>
      </c>
      <c r="Z79" s="42" t="str">
        <f>IFERROR(__xludf.DUMMYFUNCTION("vLOOKUP(A79,IMPORTRANGE(""https://docs.google.com/spreadsheets/d/1Rawwwdh8wntXGy8isdYNHxsNQS4n_rC8JSdPfj6vEq4"",""'500 объектов перенос на 2026'!A3:AB502""),14,0)"),"#REF!")</f>
        <v>#REF!</v>
      </c>
      <c r="AA79" s="85" t="s">
        <v>3697</v>
      </c>
      <c r="AB79" s="43"/>
    </row>
    <row r="80">
      <c r="A80" s="62" t="s">
        <v>2567</v>
      </c>
      <c r="B80" s="63" t="s">
        <v>268</v>
      </c>
      <c r="C80" s="64" t="s">
        <v>2568</v>
      </c>
      <c r="D80" s="64" t="s">
        <v>85</v>
      </c>
      <c r="E80" s="288"/>
      <c r="F80" s="64">
        <v>300.0</v>
      </c>
      <c r="G80" s="64">
        <v>150.0</v>
      </c>
      <c r="H80" s="64" t="s">
        <v>3512</v>
      </c>
      <c r="I80" s="64">
        <v>2025.0</v>
      </c>
      <c r="J80" s="64">
        <v>2026.0</v>
      </c>
      <c r="K80" s="287">
        <v>0.95</v>
      </c>
      <c r="L80" s="288"/>
      <c r="M80" s="285" t="s">
        <v>3568</v>
      </c>
      <c r="N80" s="35" t="s">
        <v>3568</v>
      </c>
      <c r="O80" s="35" t="s">
        <v>3568</v>
      </c>
      <c r="P80" s="35" t="s">
        <v>49</v>
      </c>
      <c r="Q80" s="290">
        <v>46235.0</v>
      </c>
      <c r="R80" s="56"/>
      <c r="S80" s="121" t="s">
        <v>2571</v>
      </c>
      <c r="T80" s="39">
        <v>14386.68</v>
      </c>
      <c r="U80" s="39">
        <v>6761.7396</v>
      </c>
      <c r="V80" s="40">
        <v>7624.9404</v>
      </c>
      <c r="W80" s="57" t="s">
        <v>2572</v>
      </c>
      <c r="X80" s="42" t="s">
        <v>49</v>
      </c>
      <c r="Y80" s="42" t="str">
        <f>IFERROR(__xludf.DUMMYFUNCTION("vLOOKUP(A80,IMPORTRANGE(""https://docs.google.com/spreadsheets/d/1Rawwwdh8wntXGy8isdYNHxsNQS4n_rC8JSdPfj6vEq4"",""'500 объектов перенос на 2026'!A3:AB502""),13,0)"),"#REF!")</f>
        <v>#REF!</v>
      </c>
      <c r="Z80" s="42" t="str">
        <f>IFERROR(__xludf.DUMMYFUNCTION("vLOOKUP(A80,IMPORTRANGE(""https://docs.google.com/spreadsheets/d/1Rawwwdh8wntXGy8isdYNHxsNQS4n_rC8JSdPfj6vEq4"",""'500 объектов перенос на 2026'!A3:AB502""),14,0)"),"#REF!")</f>
        <v>#REF!</v>
      </c>
      <c r="AA80" s="85" t="s">
        <v>3698</v>
      </c>
      <c r="AB80" s="43"/>
    </row>
    <row r="81">
      <c r="A81" s="62" t="s">
        <v>2896</v>
      </c>
      <c r="B81" s="63" t="s">
        <v>268</v>
      </c>
      <c r="C81" s="64" t="s">
        <v>2897</v>
      </c>
      <c r="D81" s="64" t="s">
        <v>85</v>
      </c>
      <c r="E81" s="288"/>
      <c r="F81" s="64">
        <v>300.0</v>
      </c>
      <c r="G81" s="64">
        <v>48.0</v>
      </c>
      <c r="H81" s="64" t="s">
        <v>3512</v>
      </c>
      <c r="I81" s="64">
        <v>2025.0</v>
      </c>
      <c r="J81" s="64">
        <v>2026.0</v>
      </c>
      <c r="K81" s="287">
        <v>0.97</v>
      </c>
      <c r="L81" s="288"/>
      <c r="M81" s="289" t="s">
        <v>3699</v>
      </c>
      <c r="N81" s="35">
        <v>0.0</v>
      </c>
      <c r="O81" s="35" t="s">
        <v>3520</v>
      </c>
      <c r="P81" s="35" t="s">
        <v>2899</v>
      </c>
      <c r="Q81" s="37">
        <v>46174.0</v>
      </c>
      <c r="R81" s="56"/>
      <c r="S81" s="38" t="s">
        <v>2899</v>
      </c>
      <c r="T81" s="39">
        <v>4635.24</v>
      </c>
      <c r="U81" s="39">
        <v>1390.572</v>
      </c>
      <c r="V81" s="40">
        <v>3244.668</v>
      </c>
      <c r="W81" s="57" t="s">
        <v>2901</v>
      </c>
      <c r="X81" s="42" t="s">
        <v>2902</v>
      </c>
      <c r="Y81" s="42" t="str">
        <f>IFERROR(__xludf.DUMMYFUNCTION("vLOOKUP(A81,IMPORTRANGE(""https://docs.google.com/spreadsheets/d/1Rawwwdh8wntXGy8isdYNHxsNQS4n_rC8JSdPfj6vEq4"",""'500 объектов перенос на 2026'!A3:AB502""),13,0)"),"#REF!")</f>
        <v>#REF!</v>
      </c>
      <c r="Z81" s="42" t="str">
        <f>IFERROR(__xludf.DUMMYFUNCTION("vLOOKUP(A81,IMPORTRANGE(""https://docs.google.com/spreadsheets/d/1Rawwwdh8wntXGy8isdYNHxsNQS4n_rC8JSdPfj6vEq4"",""'500 объектов перенос на 2026'!A3:AB502""),14,0)"),"#REF!")</f>
        <v>#REF!</v>
      </c>
      <c r="AA81" s="85" t="s">
        <v>3700</v>
      </c>
      <c r="AB81" s="43"/>
    </row>
    <row r="82">
      <c r="A82" s="62" t="s">
        <v>2824</v>
      </c>
      <c r="B82" s="63" t="s">
        <v>268</v>
      </c>
      <c r="C82" s="64" t="s">
        <v>2825</v>
      </c>
      <c r="D82" s="64" t="s">
        <v>85</v>
      </c>
      <c r="E82" s="288"/>
      <c r="F82" s="64">
        <v>125.0</v>
      </c>
      <c r="G82" s="64">
        <v>130.0</v>
      </c>
      <c r="H82" s="64" t="s">
        <v>3512</v>
      </c>
      <c r="I82" s="64">
        <v>2025.0</v>
      </c>
      <c r="J82" s="64">
        <v>2026.0</v>
      </c>
      <c r="K82" s="287">
        <v>0.9</v>
      </c>
      <c r="L82" s="288"/>
      <c r="M82" s="285" t="s">
        <v>3568</v>
      </c>
      <c r="N82" s="35" t="s">
        <v>3568</v>
      </c>
      <c r="O82" s="35" t="s">
        <v>3568</v>
      </c>
      <c r="P82" s="35" t="s">
        <v>3552</v>
      </c>
      <c r="Q82" s="290">
        <v>46280.0</v>
      </c>
      <c r="R82" s="56"/>
      <c r="S82" s="38"/>
      <c r="T82" s="39">
        <v>8806.15</v>
      </c>
      <c r="U82" s="39">
        <v>4138.88956</v>
      </c>
      <c r="V82" s="40">
        <v>4667.26044</v>
      </c>
      <c r="W82" s="57" t="s">
        <v>2827</v>
      </c>
      <c r="X82" s="42" t="s">
        <v>1693</v>
      </c>
      <c r="Y82" s="42" t="str">
        <f>IFERROR(__xludf.DUMMYFUNCTION("vLOOKUP(A82,IMPORTRANGE(""https://docs.google.com/spreadsheets/d/1Rawwwdh8wntXGy8isdYNHxsNQS4n_rC8JSdPfj6vEq4"",""'500 объектов перенос на 2026'!A3:AB502""),13,0)"),"#REF!")</f>
        <v>#REF!</v>
      </c>
      <c r="Z82" s="42" t="str">
        <f>IFERROR(__xludf.DUMMYFUNCTION("vLOOKUP(A82,IMPORTRANGE(""https://docs.google.com/spreadsheets/d/1Rawwwdh8wntXGy8isdYNHxsNQS4n_rC8JSdPfj6vEq4"",""'500 объектов перенос на 2026'!A3:AB502""),14,0)"),"#REF!")</f>
        <v>#REF!</v>
      </c>
      <c r="AA82" s="85" t="s">
        <v>3701</v>
      </c>
      <c r="AB82" s="43"/>
    </row>
    <row r="83">
      <c r="A83" s="62" t="s">
        <v>2716</v>
      </c>
      <c r="B83" s="63" t="s">
        <v>268</v>
      </c>
      <c r="C83" s="64" t="s">
        <v>2717</v>
      </c>
      <c r="D83" s="64" t="s">
        <v>85</v>
      </c>
      <c r="E83" s="288"/>
      <c r="F83" s="64">
        <v>200.0</v>
      </c>
      <c r="G83" s="64">
        <v>146.0</v>
      </c>
      <c r="H83" s="64" t="s">
        <v>3512</v>
      </c>
      <c r="I83" s="64">
        <v>2025.0</v>
      </c>
      <c r="J83" s="64">
        <v>2026.0</v>
      </c>
      <c r="K83" s="287">
        <v>0.82</v>
      </c>
      <c r="L83" s="288"/>
      <c r="M83" s="285" t="s">
        <v>3568</v>
      </c>
      <c r="N83" s="35" t="s">
        <v>3568</v>
      </c>
      <c r="O83" s="35" t="s">
        <v>3568</v>
      </c>
      <c r="P83" s="35" t="s">
        <v>49</v>
      </c>
      <c r="Q83" s="290">
        <v>46251.0</v>
      </c>
      <c r="R83" s="56"/>
      <c r="S83" s="38"/>
      <c r="T83" s="39">
        <v>9889.99155</v>
      </c>
      <c r="U83" s="39">
        <v>4648.29602</v>
      </c>
      <c r="V83" s="40">
        <v>5241.69553</v>
      </c>
      <c r="W83" s="57" t="s">
        <v>2719</v>
      </c>
      <c r="X83" s="42" t="s">
        <v>49</v>
      </c>
      <c r="Y83" s="42" t="str">
        <f>IFERROR(__xludf.DUMMYFUNCTION("vLOOKUP(A83,IMPORTRANGE(""https://docs.google.com/spreadsheets/d/1Rawwwdh8wntXGy8isdYNHxsNQS4n_rC8JSdPfj6vEq4"",""'500 объектов перенос на 2026'!A3:AB502""),13,0)"),"#REF!")</f>
        <v>#REF!</v>
      </c>
      <c r="Z83" s="42" t="str">
        <f>IFERROR(__xludf.DUMMYFUNCTION("vLOOKUP(A83,IMPORTRANGE(""https://docs.google.com/spreadsheets/d/1Rawwwdh8wntXGy8isdYNHxsNQS4n_rC8JSdPfj6vEq4"",""'500 объектов перенос на 2026'!A3:AB502""),14,0)"),"#REF!")</f>
        <v>#REF!</v>
      </c>
      <c r="AA83" s="85" t="s">
        <v>3702</v>
      </c>
      <c r="AB83" s="43"/>
    </row>
    <row r="84">
      <c r="A84" s="62" t="s">
        <v>2218</v>
      </c>
      <c r="B84" s="63" t="s">
        <v>268</v>
      </c>
      <c r="C84" s="64" t="s">
        <v>2219</v>
      </c>
      <c r="D84" s="64" t="s">
        <v>85</v>
      </c>
      <c r="E84" s="288"/>
      <c r="F84" s="64">
        <v>250.0</v>
      </c>
      <c r="G84" s="64">
        <v>250.0</v>
      </c>
      <c r="H84" s="64" t="s">
        <v>3512</v>
      </c>
      <c r="I84" s="64">
        <v>2025.0</v>
      </c>
      <c r="J84" s="64">
        <v>2026.0</v>
      </c>
      <c r="K84" s="287">
        <v>0.8</v>
      </c>
      <c r="L84" s="288"/>
      <c r="M84" s="285" t="s">
        <v>3568</v>
      </c>
      <c r="N84" s="35" t="s">
        <v>3568</v>
      </c>
      <c r="O84" s="35" t="s">
        <v>3568</v>
      </c>
      <c r="P84" s="35" t="s">
        <v>1268</v>
      </c>
      <c r="Q84" s="290">
        <v>46189.0</v>
      </c>
      <c r="R84" s="56"/>
      <c r="S84" s="38" t="s">
        <v>2221</v>
      </c>
      <c r="T84" s="39">
        <v>24207.89</v>
      </c>
      <c r="U84" s="39">
        <v>11173.98509</v>
      </c>
      <c r="V84" s="40">
        <v>13033.90491</v>
      </c>
      <c r="W84" s="57" t="s">
        <v>2222</v>
      </c>
      <c r="X84" s="42" t="s">
        <v>49</v>
      </c>
      <c r="Y84" s="42" t="str">
        <f>IFERROR(__xludf.DUMMYFUNCTION("vLOOKUP(A84,IMPORTRANGE(""https://docs.google.com/spreadsheets/d/1Rawwwdh8wntXGy8isdYNHxsNQS4n_rC8JSdPfj6vEq4"",""'500 объектов перенос на 2026'!A3:AB502""),13,0)"),"#REF!")</f>
        <v>#REF!</v>
      </c>
      <c r="Z84" s="42" t="str">
        <f>IFERROR(__xludf.DUMMYFUNCTION("vLOOKUP(A84,IMPORTRANGE(""https://docs.google.com/spreadsheets/d/1Rawwwdh8wntXGy8isdYNHxsNQS4n_rC8JSdPfj6vEq4"",""'500 объектов перенос на 2026'!A3:AB502""),14,0)"),"#REF!")</f>
        <v>#REF!</v>
      </c>
      <c r="AA84" s="85" t="s">
        <v>3703</v>
      </c>
      <c r="AB84" s="43"/>
    </row>
    <row r="85">
      <c r="A85" s="62" t="s">
        <v>2881</v>
      </c>
      <c r="B85" s="63" t="s">
        <v>268</v>
      </c>
      <c r="C85" s="64" t="s">
        <v>2882</v>
      </c>
      <c r="D85" s="64" t="s">
        <v>85</v>
      </c>
      <c r="E85" s="288"/>
      <c r="F85" s="64">
        <v>200.0</v>
      </c>
      <c r="G85" s="64">
        <v>104.0</v>
      </c>
      <c r="H85" s="64" t="s">
        <v>3512</v>
      </c>
      <c r="I85" s="64">
        <v>2025.0</v>
      </c>
      <c r="J85" s="64">
        <v>2026.0</v>
      </c>
      <c r="K85" s="287">
        <v>0.81</v>
      </c>
      <c r="L85" s="288"/>
      <c r="M85" s="285" t="s">
        <v>3568</v>
      </c>
      <c r="N85" s="35" t="s">
        <v>3568</v>
      </c>
      <c r="O85" s="35" t="s">
        <v>3568</v>
      </c>
      <c r="P85" s="35" t="s">
        <v>49</v>
      </c>
      <c r="Q85" s="290">
        <v>46275.0</v>
      </c>
      <c r="R85" s="56"/>
      <c r="S85" s="121" t="s">
        <v>2571</v>
      </c>
      <c r="T85" s="39">
        <v>7009.52</v>
      </c>
      <c r="U85" s="39">
        <v>3294.4729</v>
      </c>
      <c r="V85" s="40">
        <v>3715.0471</v>
      </c>
      <c r="W85" s="57" t="s">
        <v>2885</v>
      </c>
      <c r="X85" s="42" t="s">
        <v>49</v>
      </c>
      <c r="Y85" s="42" t="str">
        <f>IFERROR(__xludf.DUMMYFUNCTION("vLOOKUP(A85,IMPORTRANGE(""https://docs.google.com/spreadsheets/d/1Rawwwdh8wntXGy8isdYNHxsNQS4n_rC8JSdPfj6vEq4"",""'500 объектов перенос на 2026'!A3:AB502""),13,0)"),"#REF!")</f>
        <v>#REF!</v>
      </c>
      <c r="Z85" s="42" t="str">
        <f>IFERROR(__xludf.DUMMYFUNCTION("vLOOKUP(A85,IMPORTRANGE(""https://docs.google.com/spreadsheets/d/1Rawwwdh8wntXGy8isdYNHxsNQS4n_rC8JSdPfj6vEq4"",""'500 объектов перенос на 2026'!A3:AB502""),14,0)"),"#REF!")</f>
        <v>#REF!</v>
      </c>
      <c r="AA85" s="85" t="s">
        <v>3704</v>
      </c>
      <c r="AB85" s="43"/>
    </row>
    <row r="86">
      <c r="A86" s="62" t="s">
        <v>678</v>
      </c>
      <c r="B86" s="63" t="s">
        <v>268</v>
      </c>
      <c r="C86" s="64" t="s">
        <v>679</v>
      </c>
      <c r="D86" s="64" t="s">
        <v>59</v>
      </c>
      <c r="E86" s="64">
        <v>11.6</v>
      </c>
      <c r="F86" s="288"/>
      <c r="G86" s="288"/>
      <c r="H86" s="64" t="s">
        <v>3512</v>
      </c>
      <c r="I86" s="64">
        <v>2025.0</v>
      </c>
      <c r="J86" s="64">
        <v>2025.0</v>
      </c>
      <c r="K86" s="287">
        <v>1.0</v>
      </c>
      <c r="L86" s="292" t="s">
        <v>3528</v>
      </c>
      <c r="M86" s="285" t="s">
        <v>3705</v>
      </c>
      <c r="N86" s="35" t="s">
        <v>3706</v>
      </c>
      <c r="O86" s="35" t="s">
        <v>3707</v>
      </c>
      <c r="P86" s="35" t="s">
        <v>113</v>
      </c>
      <c r="Q86" s="38" t="s">
        <v>3627</v>
      </c>
      <c r="R86" s="38" t="s">
        <v>115</v>
      </c>
      <c r="S86" s="38"/>
      <c r="T86" s="39">
        <v>29546.43</v>
      </c>
      <c r="U86" s="39">
        <v>28258.91256</v>
      </c>
      <c r="V86" s="39">
        <v>1287.51744</v>
      </c>
      <c r="W86" s="57" t="s">
        <v>681</v>
      </c>
      <c r="X86" s="42"/>
      <c r="Y86" s="42" t="str">
        <f>IFERROR(__xludf.DUMMYFUNCTION("vLOOKUP(A86,IMPORTRANGE(""https://docs.google.com/spreadsheets/d/1Rawwwdh8wntXGy8isdYNHxsNQS4n_rC8JSdPfj6vEq4"",""'500 объектов перенос на 2026'!A3:AB502""),13,0)"),"#REF!")</f>
        <v>#REF!</v>
      </c>
      <c r="Z86" s="42" t="str">
        <f>IFERROR(__xludf.DUMMYFUNCTION("vLOOKUP(A86,IMPORTRANGE(""https://docs.google.com/spreadsheets/d/1Rawwwdh8wntXGy8isdYNHxsNQS4n_rC8JSdPfj6vEq4"",""'500 объектов перенос на 2026'!A3:AB502""),14,0)"),"#REF!")</f>
        <v>#REF!</v>
      </c>
      <c r="AA86" s="42" t="s">
        <v>175</v>
      </c>
      <c r="AB86" s="43"/>
    </row>
    <row r="87">
      <c r="A87" s="62" t="s">
        <v>682</v>
      </c>
      <c r="B87" s="63" t="s">
        <v>268</v>
      </c>
      <c r="C87" s="64" t="s">
        <v>683</v>
      </c>
      <c r="D87" s="90" t="s">
        <v>59</v>
      </c>
      <c r="E87" s="64">
        <v>5.5</v>
      </c>
      <c r="F87" s="288"/>
      <c r="G87" s="286"/>
      <c r="H87" s="90" t="s">
        <v>3512</v>
      </c>
      <c r="I87" s="64">
        <v>2025.0</v>
      </c>
      <c r="J87" s="64">
        <v>2025.0</v>
      </c>
      <c r="K87" s="287">
        <v>1.0</v>
      </c>
      <c r="L87" s="288"/>
      <c r="M87" s="285" t="s">
        <v>3708</v>
      </c>
      <c r="N87" s="35">
        <v>0.0</v>
      </c>
      <c r="O87" s="35" t="s">
        <v>3708</v>
      </c>
      <c r="P87" s="35" t="s">
        <v>113</v>
      </c>
      <c r="Q87" s="38" t="s">
        <v>3627</v>
      </c>
      <c r="R87" s="38" t="s">
        <v>115</v>
      </c>
      <c r="S87" s="38"/>
      <c r="T87" s="39">
        <v>15917.18</v>
      </c>
      <c r="U87" s="39">
        <v>4153.5</v>
      </c>
      <c r="V87" s="39">
        <v>11763.68</v>
      </c>
      <c r="W87" s="57" t="s">
        <v>685</v>
      </c>
      <c r="X87" s="42"/>
      <c r="Y87" s="42" t="str">
        <f>IFERROR(__xludf.DUMMYFUNCTION("vLOOKUP(A87,IMPORTRANGE(""https://docs.google.com/spreadsheets/d/1Rawwwdh8wntXGy8isdYNHxsNQS4n_rC8JSdPfj6vEq4"",""'500 объектов перенос на 2026'!A3:AB502""),13,0)"),"#REF!")</f>
        <v>#REF!</v>
      </c>
      <c r="Z87" s="42" t="str">
        <f>IFERROR(__xludf.DUMMYFUNCTION("vLOOKUP(A87,IMPORTRANGE(""https://docs.google.com/spreadsheets/d/1Rawwwdh8wntXGy8isdYNHxsNQS4n_rC8JSdPfj6vEq4"",""'500 объектов перенос на 2026'!A3:AB502""),14,0)"),"#REF!")</f>
        <v>#REF!</v>
      </c>
      <c r="AA87" s="42" t="s">
        <v>175</v>
      </c>
      <c r="AB87" s="43"/>
    </row>
    <row r="88">
      <c r="A88" s="62" t="s">
        <v>340</v>
      </c>
      <c r="B88" s="63" t="s">
        <v>268</v>
      </c>
      <c r="C88" s="64" t="s">
        <v>341</v>
      </c>
      <c r="D88" s="64" t="s">
        <v>39</v>
      </c>
      <c r="E88" s="64">
        <v>25.6</v>
      </c>
      <c r="F88" s="288"/>
      <c r="G88" s="288"/>
      <c r="H88" s="64" t="s">
        <v>3527</v>
      </c>
      <c r="I88" s="64">
        <v>2024.0</v>
      </c>
      <c r="J88" s="64">
        <v>2026.0</v>
      </c>
      <c r="K88" s="287">
        <v>0.35</v>
      </c>
      <c r="L88" s="288"/>
      <c r="M88" s="285" t="s">
        <v>3709</v>
      </c>
      <c r="N88" s="35">
        <v>0.0</v>
      </c>
      <c r="O88" s="35" t="s">
        <v>3709</v>
      </c>
      <c r="P88" s="35" t="s">
        <v>345</v>
      </c>
      <c r="Q88" s="290">
        <v>46313.0</v>
      </c>
      <c r="R88" s="56"/>
      <c r="S88" s="38"/>
      <c r="T88" s="39">
        <v>255804.15</v>
      </c>
      <c r="U88" s="39">
        <v>113653.7851</v>
      </c>
      <c r="V88" s="40">
        <v>142150.3649</v>
      </c>
      <c r="W88" s="57" t="s">
        <v>348</v>
      </c>
      <c r="X88" s="42" t="s">
        <v>49</v>
      </c>
      <c r="Y88" s="42" t="str">
        <f>IFERROR(__xludf.DUMMYFUNCTION("vLOOKUP(A88,IMPORTRANGE(""https://docs.google.com/spreadsheets/d/1Rawwwdh8wntXGy8isdYNHxsNQS4n_rC8JSdPfj6vEq4"",""'500 объектов перенос на 2026'!A3:AB502""),13,0)"),"#REF!")</f>
        <v>#REF!</v>
      </c>
      <c r="Z88" s="42" t="str">
        <f>IFERROR(__xludf.DUMMYFUNCTION("vLOOKUP(A88,IMPORTRANGE(""https://docs.google.com/spreadsheets/d/1Rawwwdh8wntXGy8isdYNHxsNQS4n_rC8JSdPfj6vEq4"",""'500 объектов перенос на 2026'!A3:AB502""),14,0)"),"#REF!")</f>
        <v>#REF!</v>
      </c>
      <c r="AA88" s="85" t="s">
        <v>3710</v>
      </c>
      <c r="AB88" s="43"/>
    </row>
    <row r="89">
      <c r="A89" s="62" t="s">
        <v>2913</v>
      </c>
      <c r="B89" s="63" t="s">
        <v>268</v>
      </c>
      <c r="C89" s="64" t="s">
        <v>2914</v>
      </c>
      <c r="D89" s="64" t="s">
        <v>85</v>
      </c>
      <c r="E89" s="288"/>
      <c r="F89" s="64">
        <v>250.0</v>
      </c>
      <c r="G89" s="64">
        <v>55.0</v>
      </c>
      <c r="H89" s="64" t="s">
        <v>3512</v>
      </c>
      <c r="I89" s="64">
        <v>2025.0</v>
      </c>
      <c r="J89" s="64">
        <v>2026.0</v>
      </c>
      <c r="K89" s="287">
        <v>0.96</v>
      </c>
      <c r="L89" s="288"/>
      <c r="M89" s="285" t="s">
        <v>3568</v>
      </c>
      <c r="N89" s="35" t="s">
        <v>3568</v>
      </c>
      <c r="O89" s="35" t="s">
        <v>3568</v>
      </c>
      <c r="P89" s="35" t="s">
        <v>49</v>
      </c>
      <c r="Q89" s="290">
        <v>46269.0</v>
      </c>
      <c r="R89" s="56"/>
      <c r="S89" s="38"/>
      <c r="T89" s="39">
        <v>5275.12</v>
      </c>
      <c r="U89" s="39">
        <v>2479.30452</v>
      </c>
      <c r="V89" s="40">
        <v>2795.81548</v>
      </c>
      <c r="W89" s="57" t="s">
        <v>2917</v>
      </c>
      <c r="X89" s="42" t="s">
        <v>49</v>
      </c>
      <c r="Y89" s="42" t="str">
        <f>IFERROR(__xludf.DUMMYFUNCTION("vLOOKUP(A89,IMPORTRANGE(""https://docs.google.com/spreadsheets/d/1Rawwwdh8wntXGy8isdYNHxsNQS4n_rC8JSdPfj6vEq4"",""'500 объектов перенос на 2026'!A3:AB502""),13,0)"),"#REF!")</f>
        <v>#REF!</v>
      </c>
      <c r="Z89" s="42" t="str">
        <f>IFERROR(__xludf.DUMMYFUNCTION("vLOOKUP(A89,IMPORTRANGE(""https://docs.google.com/spreadsheets/d/1Rawwwdh8wntXGy8isdYNHxsNQS4n_rC8JSdPfj6vEq4"",""'500 объектов перенос на 2026'!A3:AB502""),14,0)"),"#REF!")</f>
        <v>#REF!</v>
      </c>
      <c r="AA89" s="85" t="s">
        <v>3711</v>
      </c>
      <c r="AB89" s="43"/>
    </row>
    <row r="90">
      <c r="A90" s="62" t="s">
        <v>1265</v>
      </c>
      <c r="B90" s="63" t="s">
        <v>268</v>
      </c>
      <c r="C90" s="64" t="s">
        <v>1266</v>
      </c>
      <c r="D90" s="64" t="s">
        <v>85</v>
      </c>
      <c r="E90" s="288"/>
      <c r="F90" s="64">
        <v>300.0</v>
      </c>
      <c r="G90" s="64">
        <v>595.0</v>
      </c>
      <c r="H90" s="64" t="s">
        <v>3512</v>
      </c>
      <c r="I90" s="64">
        <v>2025.0</v>
      </c>
      <c r="J90" s="64">
        <v>2026.0</v>
      </c>
      <c r="K90" s="287">
        <v>0.95</v>
      </c>
      <c r="L90" s="288"/>
      <c r="M90" s="285" t="s">
        <v>3568</v>
      </c>
      <c r="N90" s="35" t="s">
        <v>3568</v>
      </c>
      <c r="O90" s="35" t="s">
        <v>3568</v>
      </c>
      <c r="P90" s="35" t="s">
        <v>1268</v>
      </c>
      <c r="Q90" s="290">
        <v>46251.0</v>
      </c>
      <c r="R90" s="56"/>
      <c r="S90" s="38"/>
      <c r="T90" s="39">
        <v>57067.16</v>
      </c>
      <c r="U90" s="39">
        <v>17120.1492</v>
      </c>
      <c r="V90" s="40">
        <v>39947.0108</v>
      </c>
      <c r="W90" s="57" t="s">
        <v>1270</v>
      </c>
      <c r="X90" s="42" t="s">
        <v>49</v>
      </c>
      <c r="Y90" s="42" t="str">
        <f>IFERROR(__xludf.DUMMYFUNCTION("vLOOKUP(A90,IMPORTRANGE(""https://docs.google.com/spreadsheets/d/1Rawwwdh8wntXGy8isdYNHxsNQS4n_rC8JSdPfj6vEq4"",""'500 объектов перенос на 2026'!A3:AB502""),13,0)"),"#REF!")</f>
        <v>#REF!</v>
      </c>
      <c r="Z90" s="42" t="str">
        <f>IFERROR(__xludf.DUMMYFUNCTION("vLOOKUP(A90,IMPORTRANGE(""https://docs.google.com/spreadsheets/d/1Rawwwdh8wntXGy8isdYNHxsNQS4n_rC8JSdPfj6vEq4"",""'500 объектов перенос на 2026'!A3:AB502""),14,0)"),"#REF!")</f>
        <v>#REF!</v>
      </c>
      <c r="AA90" s="85" t="s">
        <v>3712</v>
      </c>
      <c r="AB90" s="43"/>
    </row>
    <row r="91">
      <c r="A91" s="62" t="s">
        <v>1994</v>
      </c>
      <c r="B91" s="63" t="s">
        <v>268</v>
      </c>
      <c r="C91" s="64" t="s">
        <v>1995</v>
      </c>
      <c r="D91" s="64" t="s">
        <v>85</v>
      </c>
      <c r="E91" s="288"/>
      <c r="F91" s="64">
        <v>200.0</v>
      </c>
      <c r="G91" s="64">
        <v>470.0</v>
      </c>
      <c r="H91" s="64" t="s">
        <v>3512</v>
      </c>
      <c r="I91" s="64">
        <v>2025.0</v>
      </c>
      <c r="J91" s="64">
        <v>2026.0</v>
      </c>
      <c r="K91" s="287">
        <v>0.94</v>
      </c>
      <c r="L91" s="288"/>
      <c r="M91" s="285" t="s">
        <v>3568</v>
      </c>
      <c r="N91" s="35" t="s">
        <v>3568</v>
      </c>
      <c r="O91" s="35" t="s">
        <v>3568</v>
      </c>
      <c r="P91" s="35" t="s">
        <v>49</v>
      </c>
      <c r="Q91" s="290">
        <v>46248.0</v>
      </c>
      <c r="R91" s="56"/>
      <c r="S91" s="38"/>
      <c r="T91" s="39">
        <v>31357.65</v>
      </c>
      <c r="U91" s="39">
        <v>14173.95168</v>
      </c>
      <c r="V91" s="40">
        <v>17183.69832</v>
      </c>
      <c r="W91" s="57" t="s">
        <v>1998</v>
      </c>
      <c r="X91" s="42" t="s">
        <v>49</v>
      </c>
      <c r="Y91" s="42" t="str">
        <f>IFERROR(__xludf.DUMMYFUNCTION("vLOOKUP(A91,IMPORTRANGE(""https://docs.google.com/spreadsheets/d/1Rawwwdh8wntXGy8isdYNHxsNQS4n_rC8JSdPfj6vEq4"",""'500 объектов перенос на 2026'!A3:AB502""),13,0)"),"#REF!")</f>
        <v>#REF!</v>
      </c>
      <c r="Z91" s="42" t="str">
        <f>IFERROR(__xludf.DUMMYFUNCTION("vLOOKUP(A91,IMPORTRANGE(""https://docs.google.com/spreadsheets/d/1Rawwwdh8wntXGy8isdYNHxsNQS4n_rC8JSdPfj6vEq4"",""'500 объектов перенос на 2026'!A3:AB502""),14,0)"),"#REF!")</f>
        <v>#REF!</v>
      </c>
      <c r="AA91" s="85" t="s">
        <v>3713</v>
      </c>
      <c r="AB91" s="43"/>
    </row>
    <row r="92">
      <c r="A92" s="62" t="s">
        <v>720</v>
      </c>
      <c r="B92" s="63" t="s">
        <v>268</v>
      </c>
      <c r="C92" s="64" t="s">
        <v>721</v>
      </c>
      <c r="D92" s="64" t="s">
        <v>59</v>
      </c>
      <c r="E92" s="64">
        <v>27.6</v>
      </c>
      <c r="F92" s="288"/>
      <c r="G92" s="288"/>
      <c r="H92" s="64" t="s">
        <v>3512</v>
      </c>
      <c r="I92" s="64">
        <v>2025.0</v>
      </c>
      <c r="J92" s="64">
        <v>2025.0</v>
      </c>
      <c r="K92" s="287">
        <v>1.0</v>
      </c>
      <c r="L92" s="288"/>
      <c r="M92" s="289" t="s">
        <v>3714</v>
      </c>
      <c r="N92" s="35" t="s">
        <v>3715</v>
      </c>
      <c r="O92" s="35" t="s">
        <v>3520</v>
      </c>
      <c r="P92" s="35" t="s">
        <v>113</v>
      </c>
      <c r="Q92" s="38" t="s">
        <v>3627</v>
      </c>
      <c r="R92" s="38" t="s">
        <v>115</v>
      </c>
      <c r="S92" s="38"/>
      <c r="T92" s="39">
        <v>12629.93</v>
      </c>
      <c r="U92" s="39">
        <v>3788.979</v>
      </c>
      <c r="V92" s="39">
        <v>8840.951</v>
      </c>
      <c r="W92" s="57" t="s">
        <v>723</v>
      </c>
      <c r="X92" s="42"/>
      <c r="Y92" s="42" t="str">
        <f>IFERROR(__xludf.DUMMYFUNCTION("vLOOKUP(A92,IMPORTRANGE(""https://docs.google.com/spreadsheets/d/1Rawwwdh8wntXGy8isdYNHxsNQS4n_rC8JSdPfj6vEq4"",""'500 объектов перенос на 2026'!A3:AB502""),13,0)"),"#REF!")</f>
        <v>#REF!</v>
      </c>
      <c r="Z92" s="42" t="str">
        <f>IFERROR(__xludf.DUMMYFUNCTION("vLOOKUP(A92,IMPORTRANGE(""https://docs.google.com/spreadsheets/d/1Rawwwdh8wntXGy8isdYNHxsNQS4n_rC8JSdPfj6vEq4"",""'500 объектов перенос на 2026'!A3:AB502""),14,0)"),"#REF!")</f>
        <v>#REF!</v>
      </c>
      <c r="AA92" s="42" t="s">
        <v>175</v>
      </c>
      <c r="AB92" s="43"/>
    </row>
    <row r="93">
      <c r="A93" s="62" t="s">
        <v>2473</v>
      </c>
      <c r="B93" s="63" t="s">
        <v>268</v>
      </c>
      <c r="C93" s="64" t="s">
        <v>2474</v>
      </c>
      <c r="D93" s="64" t="s">
        <v>85</v>
      </c>
      <c r="E93" s="288"/>
      <c r="F93" s="64">
        <v>200.0</v>
      </c>
      <c r="G93" s="64">
        <v>250.0</v>
      </c>
      <c r="H93" s="64" t="s">
        <v>3512</v>
      </c>
      <c r="I93" s="64">
        <v>2025.0</v>
      </c>
      <c r="J93" s="64">
        <v>2026.0</v>
      </c>
      <c r="K93" s="287">
        <v>0.9</v>
      </c>
      <c r="L93" s="288"/>
      <c r="M93" s="285" t="s">
        <v>3568</v>
      </c>
      <c r="N93" s="35" t="s">
        <v>3568</v>
      </c>
      <c r="O93" s="35" t="s">
        <v>3568</v>
      </c>
      <c r="P93" s="35" t="s">
        <v>49</v>
      </c>
      <c r="Q93" s="290">
        <v>46251.0</v>
      </c>
      <c r="R93" s="56"/>
      <c r="S93" s="38"/>
      <c r="T93" s="39">
        <v>16917.88</v>
      </c>
      <c r="U93" s="39">
        <v>8291.50021</v>
      </c>
      <c r="V93" s="40">
        <v>8626.37979</v>
      </c>
      <c r="W93" s="57" t="s">
        <v>2477</v>
      </c>
      <c r="X93" s="42" t="s">
        <v>49</v>
      </c>
      <c r="Y93" s="42" t="str">
        <f>IFERROR(__xludf.DUMMYFUNCTION("vLOOKUP(A93,IMPORTRANGE(""https://docs.google.com/spreadsheets/d/1Rawwwdh8wntXGy8isdYNHxsNQS4n_rC8JSdPfj6vEq4"",""'500 объектов перенос на 2026'!A3:AB502""),13,0)"),"#REF!")</f>
        <v>#REF!</v>
      </c>
      <c r="Z93" s="42" t="str">
        <f>IFERROR(__xludf.DUMMYFUNCTION("vLOOKUP(A93,IMPORTRANGE(""https://docs.google.com/spreadsheets/d/1Rawwwdh8wntXGy8isdYNHxsNQS4n_rC8JSdPfj6vEq4"",""'500 объектов перенос на 2026'!A3:AB502""),14,0)"),"#REF!")</f>
        <v>#REF!</v>
      </c>
      <c r="AA93" s="85" t="s">
        <v>3716</v>
      </c>
      <c r="AB93" s="43"/>
    </row>
    <row r="94">
      <c r="A94" s="62" t="s">
        <v>2034</v>
      </c>
      <c r="B94" s="63" t="s">
        <v>268</v>
      </c>
      <c r="C94" s="64" t="s">
        <v>2035</v>
      </c>
      <c r="D94" s="64" t="s">
        <v>85</v>
      </c>
      <c r="E94" s="288"/>
      <c r="F94" s="64">
        <v>300.0</v>
      </c>
      <c r="G94" s="64">
        <v>320.0</v>
      </c>
      <c r="H94" s="64" t="s">
        <v>3512</v>
      </c>
      <c r="I94" s="64">
        <v>2025.0</v>
      </c>
      <c r="J94" s="90">
        <v>2026.0</v>
      </c>
      <c r="K94" s="287">
        <v>0.9</v>
      </c>
      <c r="L94" s="288"/>
      <c r="M94" s="285" t="s">
        <v>3568</v>
      </c>
      <c r="N94" s="35" t="s">
        <v>3568</v>
      </c>
      <c r="O94" s="35" t="s">
        <v>3568</v>
      </c>
      <c r="P94" s="35" t="s">
        <v>49</v>
      </c>
      <c r="Q94" s="290">
        <v>46251.0</v>
      </c>
      <c r="R94" s="56"/>
      <c r="S94" s="38"/>
      <c r="T94" s="39">
        <v>30815.59</v>
      </c>
      <c r="U94" s="39">
        <v>15102.70016</v>
      </c>
      <c r="V94" s="40">
        <v>15712.88984</v>
      </c>
      <c r="W94" s="57" t="s">
        <v>2038</v>
      </c>
      <c r="X94" s="42" t="s">
        <v>49</v>
      </c>
      <c r="Y94" s="42" t="str">
        <f>IFERROR(__xludf.DUMMYFUNCTION("vLOOKUP(A94,IMPORTRANGE(""https://docs.google.com/spreadsheets/d/1Rawwwdh8wntXGy8isdYNHxsNQS4n_rC8JSdPfj6vEq4"",""'500 объектов перенос на 2026'!A3:AB502""),13,0)"),"#REF!")</f>
        <v>#REF!</v>
      </c>
      <c r="Z94" s="42" t="str">
        <f>IFERROR(__xludf.DUMMYFUNCTION("vLOOKUP(A94,IMPORTRANGE(""https://docs.google.com/spreadsheets/d/1Rawwwdh8wntXGy8isdYNHxsNQS4n_rC8JSdPfj6vEq4"",""'500 объектов перенос на 2026'!A3:AB502""),14,0)"),"#REF!")</f>
        <v>#REF!</v>
      </c>
      <c r="AA94" s="85" t="s">
        <v>3716</v>
      </c>
      <c r="AB94" s="43"/>
    </row>
    <row r="95">
      <c r="A95" s="62" t="s">
        <v>2188</v>
      </c>
      <c r="B95" s="63" t="s">
        <v>268</v>
      </c>
      <c r="C95" s="64" t="s">
        <v>2189</v>
      </c>
      <c r="D95" s="64" t="s">
        <v>85</v>
      </c>
      <c r="E95" s="288"/>
      <c r="F95" s="64">
        <v>200.0</v>
      </c>
      <c r="G95" s="64">
        <v>380.0</v>
      </c>
      <c r="H95" s="64" t="s">
        <v>3512</v>
      </c>
      <c r="I95" s="64">
        <v>2025.0</v>
      </c>
      <c r="J95" s="64">
        <v>2026.0</v>
      </c>
      <c r="K95" s="287">
        <v>0.89</v>
      </c>
      <c r="L95" s="288"/>
      <c r="M95" s="285" t="s">
        <v>3568</v>
      </c>
      <c r="N95" s="35" t="s">
        <v>3568</v>
      </c>
      <c r="O95" s="35" t="s">
        <v>3568</v>
      </c>
      <c r="P95" s="35" t="s">
        <v>49</v>
      </c>
      <c r="Q95" s="290">
        <v>46251.0</v>
      </c>
      <c r="R95" s="56"/>
      <c r="S95" s="38"/>
      <c r="T95" s="39">
        <v>25715.18</v>
      </c>
      <c r="U95" s="39">
        <v>12603.08032</v>
      </c>
      <c r="V95" s="40">
        <v>13112.09968</v>
      </c>
      <c r="W95" s="57" t="s">
        <v>2192</v>
      </c>
      <c r="X95" s="42" t="s">
        <v>49</v>
      </c>
      <c r="Y95" s="42" t="str">
        <f>IFERROR(__xludf.DUMMYFUNCTION("vLOOKUP(A95,IMPORTRANGE(""https://docs.google.com/spreadsheets/d/1Rawwwdh8wntXGy8isdYNHxsNQS4n_rC8JSdPfj6vEq4"",""'500 объектов перенос на 2026'!A3:AB502""),13,0)"),"#REF!")</f>
        <v>#REF!</v>
      </c>
      <c r="Z95" s="42" t="str">
        <f>IFERROR(__xludf.DUMMYFUNCTION("vLOOKUP(A95,IMPORTRANGE(""https://docs.google.com/spreadsheets/d/1Rawwwdh8wntXGy8isdYNHxsNQS4n_rC8JSdPfj6vEq4"",""'500 объектов перенос на 2026'!A3:AB502""),14,0)"),"#REF!")</f>
        <v>#REF!</v>
      </c>
      <c r="AA95" s="85" t="s">
        <v>3716</v>
      </c>
      <c r="AB95" s="43"/>
    </row>
    <row r="96">
      <c r="A96" s="62" t="s">
        <v>2056</v>
      </c>
      <c r="B96" s="63" t="s">
        <v>268</v>
      </c>
      <c r="C96" s="64" t="s">
        <v>2057</v>
      </c>
      <c r="D96" s="64" t="s">
        <v>85</v>
      </c>
      <c r="E96" s="288"/>
      <c r="F96" s="64">
        <v>200.0</v>
      </c>
      <c r="G96" s="64">
        <v>429.0</v>
      </c>
      <c r="H96" s="64" t="s">
        <v>3512</v>
      </c>
      <c r="I96" s="64">
        <v>2025.0</v>
      </c>
      <c r="J96" s="90">
        <v>2026.0</v>
      </c>
      <c r="K96" s="287">
        <v>0.9</v>
      </c>
      <c r="L96" s="288"/>
      <c r="M96" s="285" t="s">
        <v>3568</v>
      </c>
      <c r="N96" s="35" t="s">
        <v>3568</v>
      </c>
      <c r="O96" s="35" t="s">
        <v>3568</v>
      </c>
      <c r="P96" s="35" t="s">
        <v>49</v>
      </c>
      <c r="Q96" s="290">
        <v>46251.0</v>
      </c>
      <c r="R96" s="56"/>
      <c r="S96" s="38"/>
      <c r="T96" s="39">
        <v>29031.07</v>
      </c>
      <c r="U96" s="39">
        <v>14228.2095</v>
      </c>
      <c r="V96" s="40">
        <v>14802.8605</v>
      </c>
      <c r="W96" s="57" t="s">
        <v>2060</v>
      </c>
      <c r="X96" s="42" t="s">
        <v>49</v>
      </c>
      <c r="Y96" s="42" t="str">
        <f>IFERROR(__xludf.DUMMYFUNCTION("vLOOKUP(A96,IMPORTRANGE(""https://docs.google.com/spreadsheets/d/1Rawwwdh8wntXGy8isdYNHxsNQS4n_rC8JSdPfj6vEq4"",""'500 объектов перенос на 2026'!A3:AB502""),13,0)"),"#REF!")</f>
        <v>#REF!</v>
      </c>
      <c r="Z96" s="42" t="str">
        <f>IFERROR(__xludf.DUMMYFUNCTION("vLOOKUP(A96,IMPORTRANGE(""https://docs.google.com/spreadsheets/d/1Rawwwdh8wntXGy8isdYNHxsNQS4n_rC8JSdPfj6vEq4"",""'500 объектов перенос на 2026'!A3:AB502""),14,0)"),"#REF!")</f>
        <v>#REF!</v>
      </c>
      <c r="AA96" s="85" t="s">
        <v>3716</v>
      </c>
      <c r="AB96" s="43"/>
    </row>
    <row r="97">
      <c r="A97" s="62" t="s">
        <v>763</v>
      </c>
      <c r="B97" s="63" t="s">
        <v>764</v>
      </c>
      <c r="C97" s="64" t="s">
        <v>765</v>
      </c>
      <c r="D97" s="64" t="s">
        <v>59</v>
      </c>
      <c r="E97" s="64">
        <v>8.6</v>
      </c>
      <c r="F97" s="288"/>
      <c r="G97" s="288"/>
      <c r="H97" s="64" t="s">
        <v>3512</v>
      </c>
      <c r="I97" s="64">
        <v>2024.0</v>
      </c>
      <c r="J97" s="64">
        <v>2025.0</v>
      </c>
      <c r="K97" s="287">
        <v>1.0</v>
      </c>
      <c r="L97" s="292" t="s">
        <v>3528</v>
      </c>
      <c r="M97" s="285" t="s">
        <v>3717</v>
      </c>
      <c r="N97" s="35" t="s">
        <v>3718</v>
      </c>
      <c r="O97" s="35" t="s">
        <v>3719</v>
      </c>
      <c r="P97" s="35" t="s">
        <v>113</v>
      </c>
      <c r="Q97" s="38" t="s">
        <v>1219</v>
      </c>
      <c r="R97" s="38" t="s">
        <v>115</v>
      </c>
      <c r="S97" s="38"/>
      <c r="T97" s="39">
        <v>124592.94</v>
      </c>
      <c r="U97" s="39">
        <v>124329.7162</v>
      </c>
      <c r="V97" s="39">
        <v>263.22385</v>
      </c>
      <c r="W97" s="57" t="s">
        <v>767</v>
      </c>
      <c r="X97" s="42" t="s">
        <v>768</v>
      </c>
      <c r="Y97" s="42" t="s">
        <v>768</v>
      </c>
      <c r="Z97" s="42" t="s">
        <v>768</v>
      </c>
      <c r="AA97" s="42" t="s">
        <v>175</v>
      </c>
      <c r="AB97" s="43"/>
    </row>
    <row r="98">
      <c r="A98" s="62" t="s">
        <v>176</v>
      </c>
      <c r="B98" s="63" t="s">
        <v>177</v>
      </c>
      <c r="C98" s="64" t="s">
        <v>178</v>
      </c>
      <c r="D98" s="64" t="s">
        <v>85</v>
      </c>
      <c r="E98" s="288"/>
      <c r="F98" s="64" t="s">
        <v>3720</v>
      </c>
      <c r="G98" s="291" t="s">
        <v>3721</v>
      </c>
      <c r="H98" s="64" t="s">
        <v>3593</v>
      </c>
      <c r="I98" s="64">
        <v>2024.0</v>
      </c>
      <c r="J98" s="64">
        <v>2026.0</v>
      </c>
      <c r="K98" s="287">
        <v>0.93</v>
      </c>
      <c r="L98" s="288"/>
      <c r="M98" s="285" t="s">
        <v>3722</v>
      </c>
      <c r="N98" s="35">
        <v>0.0</v>
      </c>
      <c r="O98" s="35" t="s">
        <v>3722</v>
      </c>
      <c r="P98" s="35" t="s">
        <v>184</v>
      </c>
      <c r="Q98" s="37">
        <v>46188.0</v>
      </c>
      <c r="R98" s="56"/>
      <c r="S98" s="38" t="s">
        <v>187</v>
      </c>
      <c r="T98" s="39">
        <v>190110.0</v>
      </c>
      <c r="U98" s="39">
        <v>57025.5</v>
      </c>
      <c r="V98" s="40">
        <v>133084.5</v>
      </c>
      <c r="W98" s="93" t="s">
        <v>188</v>
      </c>
      <c r="X98" s="85"/>
      <c r="Y98" s="42" t="str">
        <f>IFERROR(__xludf.DUMMYFUNCTION("vLOOKUP(A98,IMPORTRANGE(""https://docs.google.com/spreadsheets/d/1Rawwwdh8wntXGy8isdYNHxsNQS4n_rC8JSdPfj6vEq4"",""'500 объектов перенос на 2026'!A3:AB502""),13,0)"),"#REF!")</f>
        <v>#REF!</v>
      </c>
      <c r="Z98" s="42" t="str">
        <f>IFERROR(__xludf.DUMMYFUNCTION("vLOOKUP(A98,IMPORTRANGE(""https://docs.google.com/spreadsheets/d/1Rawwwdh8wntXGy8isdYNHxsNQS4n_rC8JSdPfj6vEq4"",""'500 объектов перенос на 2026'!A3:AB502""),14,0)"),"#REF!")</f>
        <v>#REF!</v>
      </c>
      <c r="AA98" s="85" t="s">
        <v>3723</v>
      </c>
      <c r="AB98" s="43"/>
    </row>
    <row r="99">
      <c r="A99" s="62" t="s">
        <v>1676</v>
      </c>
      <c r="B99" s="63" t="s">
        <v>177</v>
      </c>
      <c r="C99" s="64" t="s">
        <v>1677</v>
      </c>
      <c r="D99" s="64" t="s">
        <v>85</v>
      </c>
      <c r="E99" s="288"/>
      <c r="F99" s="64" t="s">
        <v>3720</v>
      </c>
      <c r="G99" s="64">
        <v>190.0</v>
      </c>
      <c r="H99" s="64" t="s">
        <v>3593</v>
      </c>
      <c r="I99" s="64">
        <v>2024.0</v>
      </c>
      <c r="J99" s="64">
        <v>2026.0</v>
      </c>
      <c r="K99" s="287">
        <v>0.99</v>
      </c>
      <c r="L99" s="288"/>
      <c r="M99" s="285" t="s">
        <v>3724</v>
      </c>
      <c r="N99" s="35">
        <v>0.0</v>
      </c>
      <c r="O99" s="35" t="s">
        <v>3724</v>
      </c>
      <c r="P99" s="35" t="s">
        <v>3725</v>
      </c>
      <c r="Q99" s="37">
        <v>46142.0</v>
      </c>
      <c r="R99" s="56"/>
      <c r="S99" s="38"/>
      <c r="T99" s="39">
        <v>12850.0</v>
      </c>
      <c r="U99" s="39">
        <v>6425.0</v>
      </c>
      <c r="V99" s="40">
        <v>6425.0</v>
      </c>
      <c r="W99" s="93" t="s">
        <v>3423</v>
      </c>
      <c r="X99" s="85"/>
      <c r="Y99" s="42" t="str">
        <f>IFERROR(__xludf.DUMMYFUNCTION("vLOOKUP(A99,IMPORTRANGE(""https://docs.google.com/spreadsheets/d/1Rawwwdh8wntXGy8isdYNHxsNQS4n_rC8JSdPfj6vEq4"",""'500 объектов перенос на 2026'!A3:AB502""),13,0)"),"#REF!")</f>
        <v>#REF!</v>
      </c>
      <c r="Z99" s="42" t="str">
        <f>IFERROR(__xludf.DUMMYFUNCTION("vLOOKUP(A99,IMPORTRANGE(""https://docs.google.com/spreadsheets/d/1Rawwwdh8wntXGy8isdYNHxsNQS4n_rC8JSdPfj6vEq4"",""'500 объектов перенос на 2026'!A3:AB502""),14,0)"),"#REF!")</f>
        <v>#REF!</v>
      </c>
      <c r="AA99" s="85" t="s">
        <v>3723</v>
      </c>
      <c r="AB99" s="43"/>
    </row>
    <row r="100">
      <c r="A100" s="62" t="s">
        <v>1696</v>
      </c>
      <c r="B100" s="63" t="s">
        <v>177</v>
      </c>
      <c r="C100" s="64" t="s">
        <v>1697</v>
      </c>
      <c r="D100" s="64" t="s">
        <v>85</v>
      </c>
      <c r="E100" s="288"/>
      <c r="F100" s="64" t="s">
        <v>3720</v>
      </c>
      <c r="G100" s="64">
        <v>450.0</v>
      </c>
      <c r="H100" s="64" t="s">
        <v>3593</v>
      </c>
      <c r="I100" s="64">
        <v>2024.0</v>
      </c>
      <c r="J100" s="64">
        <v>2026.0</v>
      </c>
      <c r="K100" s="287">
        <v>0.98</v>
      </c>
      <c r="L100" s="288"/>
      <c r="M100" s="285" t="s">
        <v>3726</v>
      </c>
      <c r="N100" s="35">
        <v>0.0</v>
      </c>
      <c r="O100" s="35" t="s">
        <v>3726</v>
      </c>
      <c r="P100" s="35" t="s">
        <v>184</v>
      </c>
      <c r="Q100" s="37">
        <v>46157.0</v>
      </c>
      <c r="R100" s="56"/>
      <c r="S100" s="38"/>
      <c r="T100" s="39">
        <v>31790.0</v>
      </c>
      <c r="U100" s="39">
        <v>9537.0</v>
      </c>
      <c r="V100" s="40">
        <v>22253.0</v>
      </c>
      <c r="W100" s="93" t="s">
        <v>3425</v>
      </c>
      <c r="X100" s="85"/>
      <c r="Y100" s="42" t="str">
        <f>IFERROR(__xludf.DUMMYFUNCTION("vLOOKUP(A100,IMPORTRANGE(""https://docs.google.com/spreadsheets/d/1Rawwwdh8wntXGy8isdYNHxsNQS4n_rC8JSdPfj6vEq4"",""'500 объектов перенос на 2026'!A3:AB502""),13,0)"),"#REF!")</f>
        <v>#REF!</v>
      </c>
      <c r="Z100" s="42" t="str">
        <f>IFERROR(__xludf.DUMMYFUNCTION("vLOOKUP(A100,IMPORTRANGE(""https://docs.google.com/spreadsheets/d/1Rawwwdh8wntXGy8isdYNHxsNQS4n_rC8JSdPfj6vEq4"",""'500 объектов перенос на 2026'!A3:AB502""),14,0)"),"#REF!")</f>
        <v>#REF!</v>
      </c>
      <c r="AA100" s="85" t="s">
        <v>3727</v>
      </c>
      <c r="AB100" s="43"/>
    </row>
    <row r="101">
      <c r="A101" s="62" t="s">
        <v>1437</v>
      </c>
      <c r="B101" s="63" t="s">
        <v>177</v>
      </c>
      <c r="C101" s="64" t="s">
        <v>1438</v>
      </c>
      <c r="D101" s="64" t="s">
        <v>39</v>
      </c>
      <c r="E101" s="64">
        <v>1.5</v>
      </c>
      <c r="F101" s="288"/>
      <c r="G101" s="288"/>
      <c r="H101" s="64" t="s">
        <v>3527</v>
      </c>
      <c r="I101" s="64">
        <v>2025.0</v>
      </c>
      <c r="J101" s="64">
        <v>2026.0</v>
      </c>
      <c r="K101" s="287">
        <v>0.78</v>
      </c>
      <c r="L101" s="288"/>
      <c r="M101" s="285" t="s">
        <v>3568</v>
      </c>
      <c r="N101" s="35" t="s">
        <v>3568</v>
      </c>
      <c r="O101" s="35" t="s">
        <v>3568</v>
      </c>
      <c r="P101" s="35" t="s">
        <v>46</v>
      </c>
      <c r="Q101" s="37">
        <v>46234.0</v>
      </c>
      <c r="R101" s="56"/>
      <c r="S101" s="38"/>
      <c r="T101" s="39">
        <v>47199.15</v>
      </c>
      <c r="U101" s="39">
        <v>14159.75</v>
      </c>
      <c r="V101" s="40">
        <v>33039.4</v>
      </c>
      <c r="W101" s="99" t="s">
        <v>1441</v>
      </c>
      <c r="X101" s="85"/>
      <c r="Y101" s="42" t="str">
        <f>IFERROR(__xludf.DUMMYFUNCTION("vLOOKUP(A101,IMPORTRANGE(""https://docs.google.com/spreadsheets/d/1Rawwwdh8wntXGy8isdYNHxsNQS4n_rC8JSdPfj6vEq4"",""'500 объектов перенос на 2026'!A3:AB502""),13,0)"),"#REF!")</f>
        <v>#REF!</v>
      </c>
      <c r="Z101" s="42" t="str">
        <f>IFERROR(__xludf.DUMMYFUNCTION("vLOOKUP(A101,IMPORTRANGE(""https://docs.google.com/spreadsheets/d/1Rawwwdh8wntXGy8isdYNHxsNQS4n_rC8JSdPfj6vEq4"",""'500 объектов перенос на 2026'!A3:AB502""),14,0)"),"#REF!")</f>
        <v>#REF!</v>
      </c>
      <c r="AA101" s="85" t="s">
        <v>3728</v>
      </c>
      <c r="AB101" s="43"/>
    </row>
    <row r="102">
      <c r="A102" s="62" t="s">
        <v>800</v>
      </c>
      <c r="B102" s="63" t="s">
        <v>177</v>
      </c>
      <c r="C102" s="64" t="s">
        <v>801</v>
      </c>
      <c r="D102" s="64" t="s">
        <v>85</v>
      </c>
      <c r="E102" s="288"/>
      <c r="F102" s="288"/>
      <c r="G102" s="64">
        <v>293.0</v>
      </c>
      <c r="H102" s="64" t="s">
        <v>3512</v>
      </c>
      <c r="I102" s="64">
        <v>2025.0</v>
      </c>
      <c r="J102" s="64">
        <v>2025.0</v>
      </c>
      <c r="K102" s="287">
        <v>1.0</v>
      </c>
      <c r="L102" s="288"/>
      <c r="M102" s="289" t="s">
        <v>3729</v>
      </c>
      <c r="N102" s="35">
        <v>0.0</v>
      </c>
      <c r="O102" s="35" t="s">
        <v>3520</v>
      </c>
      <c r="P102" s="35" t="s">
        <v>803</v>
      </c>
      <c r="Q102" s="38" t="s">
        <v>115</v>
      </c>
      <c r="R102" s="38" t="s">
        <v>115</v>
      </c>
      <c r="S102" s="38"/>
      <c r="T102" s="39">
        <v>28444.35</v>
      </c>
      <c r="U102" s="39">
        <v>27723.56895</v>
      </c>
      <c r="V102" s="40">
        <v>720.78105</v>
      </c>
      <c r="W102" s="99" t="s">
        <v>804</v>
      </c>
      <c r="X102" s="42"/>
      <c r="Y102" s="116" t="s">
        <v>115</v>
      </c>
      <c r="Z102" s="116" t="s">
        <v>115</v>
      </c>
      <c r="AA102" s="42" t="s">
        <v>175</v>
      </c>
      <c r="AB102" s="43"/>
    </row>
    <row r="103">
      <c r="A103" s="62" t="s">
        <v>805</v>
      </c>
      <c r="B103" s="63" t="s">
        <v>177</v>
      </c>
      <c r="C103" s="64" t="s">
        <v>806</v>
      </c>
      <c r="D103" s="64" t="s">
        <v>85</v>
      </c>
      <c r="E103" s="288"/>
      <c r="F103" s="64">
        <v>200.0</v>
      </c>
      <c r="G103" s="291" t="s">
        <v>3730</v>
      </c>
      <c r="H103" s="64" t="s">
        <v>3512</v>
      </c>
      <c r="I103" s="64">
        <v>2025.0</v>
      </c>
      <c r="J103" s="64">
        <v>2026.0</v>
      </c>
      <c r="K103" s="287">
        <v>1.0</v>
      </c>
      <c r="L103" s="288"/>
      <c r="M103" s="285" t="s">
        <v>3731</v>
      </c>
      <c r="N103" s="35">
        <v>0.0</v>
      </c>
      <c r="O103" s="35" t="s">
        <v>3731</v>
      </c>
      <c r="P103" s="35" t="s">
        <v>3732</v>
      </c>
      <c r="Q103" s="38" t="s">
        <v>115</v>
      </c>
      <c r="R103" s="38" t="s">
        <v>115</v>
      </c>
      <c r="S103" s="38"/>
      <c r="T103" s="39">
        <v>95103.77</v>
      </c>
      <c r="U103" s="39">
        <v>88945.64561</v>
      </c>
      <c r="V103" s="40">
        <v>6158.12439</v>
      </c>
      <c r="W103" s="99" t="s">
        <v>808</v>
      </c>
      <c r="X103" s="42"/>
      <c r="Y103" s="85" t="s">
        <v>3733</v>
      </c>
      <c r="Z103" s="85" t="s">
        <v>3733</v>
      </c>
      <c r="AA103" s="85" t="s">
        <v>3734</v>
      </c>
      <c r="AB103" s="43"/>
    </row>
    <row r="104">
      <c r="A104" s="62" t="s">
        <v>810</v>
      </c>
      <c r="B104" s="111" t="s">
        <v>635</v>
      </c>
      <c r="C104" s="64" t="s">
        <v>811</v>
      </c>
      <c r="D104" s="64" t="s">
        <v>85</v>
      </c>
      <c r="E104" s="288"/>
      <c r="F104" s="64">
        <v>500.0</v>
      </c>
      <c r="G104" s="64">
        <v>696.0</v>
      </c>
      <c r="H104" s="64" t="s">
        <v>3512</v>
      </c>
      <c r="I104" s="64">
        <v>2024.0</v>
      </c>
      <c r="J104" s="64">
        <v>2026.0</v>
      </c>
      <c r="K104" s="287">
        <v>0.78</v>
      </c>
      <c r="L104" s="292" t="s">
        <v>3528</v>
      </c>
      <c r="M104" s="285" t="s">
        <v>3735</v>
      </c>
      <c r="N104" s="35" t="s">
        <v>3736</v>
      </c>
      <c r="O104" s="35" t="s">
        <v>3737</v>
      </c>
      <c r="P104" s="35" t="s">
        <v>814</v>
      </c>
      <c r="Q104" s="38" t="s">
        <v>3627</v>
      </c>
      <c r="R104" s="56"/>
      <c r="S104" s="38" t="s">
        <v>284</v>
      </c>
      <c r="T104" s="39">
        <v>125959.38</v>
      </c>
      <c r="U104" s="39">
        <v>115063.8246</v>
      </c>
      <c r="V104" s="39">
        <v>10895.55537</v>
      </c>
      <c r="W104" s="57" t="s">
        <v>815</v>
      </c>
      <c r="X104" s="42"/>
      <c r="Y104" s="42" t="str">
        <f>IFERROR(__xludf.DUMMYFUNCTION("vLOOKUP(A104,IMPORTRANGE(""https://docs.google.com/spreadsheets/d/1Rawwwdh8wntXGy8isdYNHxsNQS4n_rC8JSdPfj6vEq4"",""'500 объектов перенос на 2026'!A3:AB502""),13,0)"),"#REF!")</f>
        <v>#REF!</v>
      </c>
      <c r="Z104" s="42" t="str">
        <f>IFERROR(__xludf.DUMMYFUNCTION("vLOOKUP(A104,IMPORTRANGE(""https://docs.google.com/spreadsheets/d/1Rawwwdh8wntXGy8isdYNHxsNQS4n_rC8JSdPfj6vEq4"",""'500 объектов перенос на 2026'!A3:AB502""),14,0)"),"#REF!")</f>
        <v>#REF!</v>
      </c>
      <c r="AA104" s="85" t="s">
        <v>3738</v>
      </c>
      <c r="AB104" s="43"/>
    </row>
    <row r="105">
      <c r="A105" s="62" t="s">
        <v>816</v>
      </c>
      <c r="B105" s="111" t="s">
        <v>635</v>
      </c>
      <c r="C105" s="64" t="s">
        <v>817</v>
      </c>
      <c r="D105" s="64" t="s">
        <v>85</v>
      </c>
      <c r="E105" s="288"/>
      <c r="F105" s="64">
        <v>500.0</v>
      </c>
      <c r="G105" s="64">
        <v>228.0</v>
      </c>
      <c r="H105" s="64" t="s">
        <v>3512</v>
      </c>
      <c r="I105" s="64">
        <v>2024.0</v>
      </c>
      <c r="J105" s="64">
        <v>2026.0</v>
      </c>
      <c r="K105" s="287">
        <v>0.17</v>
      </c>
      <c r="L105" s="288"/>
      <c r="M105" s="285" t="s">
        <v>3739</v>
      </c>
      <c r="N105" s="35" t="s">
        <v>3740</v>
      </c>
      <c r="O105" s="35" t="s">
        <v>3741</v>
      </c>
      <c r="P105" s="35" t="s">
        <v>3742</v>
      </c>
      <c r="Q105" s="290">
        <v>46346.0</v>
      </c>
      <c r="R105" s="56"/>
      <c r="S105" s="38" t="s">
        <v>823</v>
      </c>
      <c r="T105" s="39">
        <v>39747.03</v>
      </c>
      <c r="U105" s="39">
        <v>18244.53085</v>
      </c>
      <c r="V105" s="40">
        <v>21502.49915</v>
      </c>
      <c r="W105" s="57" t="s">
        <v>824</v>
      </c>
      <c r="X105" s="42"/>
      <c r="Y105" s="42" t="str">
        <f>IFERROR(__xludf.DUMMYFUNCTION("vLOOKUP(A105,IMPORTRANGE(""https://docs.google.com/spreadsheets/d/1Rawwwdh8wntXGy8isdYNHxsNQS4n_rC8JSdPfj6vEq4"",""'500 объектов перенос на 2026'!A3:AB502""),13,0)"),"#REF!")</f>
        <v>#REF!</v>
      </c>
      <c r="Z105" s="42" t="str">
        <f>IFERROR(__xludf.DUMMYFUNCTION("vLOOKUP(A105,IMPORTRANGE(""https://docs.google.com/spreadsheets/d/1Rawwwdh8wntXGy8isdYNHxsNQS4n_rC8JSdPfj6vEq4"",""'500 объектов перенос на 2026'!A3:AB502""),14,0)"),"#REF!")</f>
        <v>#REF!</v>
      </c>
      <c r="AA105" s="85" t="s">
        <v>3743</v>
      </c>
      <c r="AB105" s="43"/>
    </row>
    <row r="106">
      <c r="A106" s="62" t="s">
        <v>3161</v>
      </c>
      <c r="B106" s="63" t="s">
        <v>635</v>
      </c>
      <c r="C106" s="64" t="s">
        <v>1713</v>
      </c>
      <c r="D106" s="64" t="s">
        <v>85</v>
      </c>
      <c r="E106" s="288"/>
      <c r="F106" s="64">
        <v>400.0</v>
      </c>
      <c r="G106" s="64">
        <v>371.0</v>
      </c>
      <c r="H106" s="64" t="s">
        <v>3512</v>
      </c>
      <c r="I106" s="64">
        <v>2024.0</v>
      </c>
      <c r="J106" s="64">
        <v>2026.0</v>
      </c>
      <c r="K106" s="287">
        <v>0.8</v>
      </c>
      <c r="L106" s="292" t="s">
        <v>3528</v>
      </c>
      <c r="M106" s="285" t="s">
        <v>3744</v>
      </c>
      <c r="N106" s="35" t="s">
        <v>3745</v>
      </c>
      <c r="O106" s="35" t="s">
        <v>3746</v>
      </c>
      <c r="P106" s="35" t="s">
        <v>3747</v>
      </c>
      <c r="Q106" s="37">
        <v>46234.0</v>
      </c>
      <c r="R106" s="56"/>
      <c r="S106" s="38" t="s">
        <v>3748</v>
      </c>
      <c r="T106" s="39">
        <v>67381.68</v>
      </c>
      <c r="U106" s="39">
        <v>45446.19192</v>
      </c>
      <c r="V106" s="40">
        <v>21935.48808</v>
      </c>
      <c r="W106" s="57" t="s">
        <v>1720</v>
      </c>
      <c r="X106" s="42" t="s">
        <v>49</v>
      </c>
      <c r="Y106" s="42" t="str">
        <f>IFERROR(__xludf.DUMMYFUNCTION("vLOOKUP(A106,IMPORTRANGE(""https://docs.google.com/spreadsheets/d/1Rawwwdh8wntXGy8isdYNHxsNQS4n_rC8JSdPfj6vEq4"",""'500 объектов перенос на 2026'!A3:AB502""),13,0)"),"#REF!")</f>
        <v>#REF!</v>
      </c>
      <c r="Z106" s="42" t="str">
        <f>IFERROR(__xludf.DUMMYFUNCTION("vLOOKUP(A106,IMPORTRANGE(""https://docs.google.com/spreadsheets/d/1Rawwwdh8wntXGy8isdYNHxsNQS4n_rC8JSdPfj6vEq4"",""'500 объектов перенос на 2026'!A3:AB502""),14,0)"),"#REF!")</f>
        <v>#REF!</v>
      </c>
      <c r="AA106" s="85" t="s">
        <v>3749</v>
      </c>
      <c r="AB106" s="43"/>
    </row>
    <row r="107">
      <c r="A107" s="62" t="s">
        <v>835</v>
      </c>
      <c r="B107" s="63" t="s">
        <v>635</v>
      </c>
      <c r="C107" s="64" t="s">
        <v>836</v>
      </c>
      <c r="D107" s="64" t="s">
        <v>59</v>
      </c>
      <c r="E107" s="64">
        <v>230.0</v>
      </c>
      <c r="F107" s="288"/>
      <c r="G107" s="288"/>
      <c r="H107" s="64" t="s">
        <v>3512</v>
      </c>
      <c r="I107" s="64">
        <v>2024.0</v>
      </c>
      <c r="J107" s="64">
        <v>2025.0</v>
      </c>
      <c r="K107" s="287">
        <v>1.0</v>
      </c>
      <c r="L107" s="292" t="s">
        <v>3528</v>
      </c>
      <c r="M107" s="285" t="s">
        <v>3750</v>
      </c>
      <c r="N107" s="35" t="s">
        <v>3751</v>
      </c>
      <c r="O107" s="35" t="s">
        <v>3752</v>
      </c>
      <c r="P107" s="35" t="s">
        <v>113</v>
      </c>
      <c r="Q107" s="38" t="s">
        <v>3627</v>
      </c>
      <c r="R107" s="38" t="s">
        <v>115</v>
      </c>
      <c r="S107" s="38"/>
      <c r="T107" s="39">
        <v>7920.0</v>
      </c>
      <c r="U107" s="39">
        <v>4425.49561</v>
      </c>
      <c r="V107" s="39">
        <v>3494.50439</v>
      </c>
      <c r="W107" s="57" t="s">
        <v>838</v>
      </c>
      <c r="X107" s="42"/>
      <c r="Y107" s="42" t="str">
        <f>IFERROR(__xludf.DUMMYFUNCTION("vLOOKUP(A107,IMPORTRANGE(""https://docs.google.com/spreadsheets/d/1Rawwwdh8wntXGy8isdYNHxsNQS4n_rC8JSdPfj6vEq4"",""'500 объектов перенос на 2026'!A3:AB502""),13,0)"),"#REF!")</f>
        <v>#REF!</v>
      </c>
      <c r="Z107" s="42" t="str">
        <f>IFERROR(__xludf.DUMMYFUNCTION("vLOOKUP(A107,IMPORTRANGE(""https://docs.google.com/spreadsheets/d/1Rawwwdh8wntXGy8isdYNHxsNQS4n_rC8JSdPfj6vEq4"",""'500 объектов перенос на 2026'!A3:AB502""),14,0)"),"#REF!")</f>
        <v>#REF!</v>
      </c>
      <c r="AA107" s="42" t="s">
        <v>175</v>
      </c>
      <c r="AB107" s="43"/>
    </row>
    <row r="108">
      <c r="A108" s="62" t="s">
        <v>839</v>
      </c>
      <c r="B108" s="63" t="s">
        <v>635</v>
      </c>
      <c r="C108" s="64" t="s">
        <v>840</v>
      </c>
      <c r="D108" s="64" t="s">
        <v>59</v>
      </c>
      <c r="E108" s="64">
        <v>230.0</v>
      </c>
      <c r="F108" s="288"/>
      <c r="G108" s="288"/>
      <c r="H108" s="64" t="s">
        <v>3512</v>
      </c>
      <c r="I108" s="64">
        <v>2024.0</v>
      </c>
      <c r="J108" s="64">
        <v>2025.0</v>
      </c>
      <c r="K108" s="287">
        <v>1.0</v>
      </c>
      <c r="L108" s="292" t="s">
        <v>3528</v>
      </c>
      <c r="M108" s="285" t="s">
        <v>3753</v>
      </c>
      <c r="N108" s="35">
        <v>0.0</v>
      </c>
      <c r="O108" s="35" t="s">
        <v>3753</v>
      </c>
      <c r="P108" s="35" t="s">
        <v>113</v>
      </c>
      <c r="Q108" s="38" t="s">
        <v>3627</v>
      </c>
      <c r="R108" s="38" t="s">
        <v>115</v>
      </c>
      <c r="S108" s="38"/>
      <c r="T108" s="39">
        <v>71161.3</v>
      </c>
      <c r="U108" s="39">
        <v>68710.21899</v>
      </c>
      <c r="V108" s="39">
        <v>2451.08101</v>
      </c>
      <c r="W108" s="57" t="s">
        <v>842</v>
      </c>
      <c r="X108" s="42"/>
      <c r="Y108" s="42" t="str">
        <f>IFERROR(__xludf.DUMMYFUNCTION("vLOOKUP(A108,IMPORTRANGE(""https://docs.google.com/spreadsheets/d/1Rawwwdh8wntXGy8isdYNHxsNQS4n_rC8JSdPfj6vEq4"",""'500 объектов перенос на 2026'!A3:AB502""),13,0)"),"#REF!")</f>
        <v>#REF!</v>
      </c>
      <c r="Z108" s="42" t="str">
        <f>IFERROR(__xludf.DUMMYFUNCTION("vLOOKUP(A108,IMPORTRANGE(""https://docs.google.com/spreadsheets/d/1Rawwwdh8wntXGy8isdYNHxsNQS4n_rC8JSdPfj6vEq4"",""'500 объектов перенос на 2026'!A3:AB502""),14,0)"),"#REF!")</f>
        <v>#REF!</v>
      </c>
      <c r="AA108" s="42" t="s">
        <v>175</v>
      </c>
      <c r="AB108" s="43"/>
    </row>
    <row r="109">
      <c r="A109" s="62" t="s">
        <v>2859</v>
      </c>
      <c r="B109" s="63" t="s">
        <v>635</v>
      </c>
      <c r="C109" s="64" t="s">
        <v>2860</v>
      </c>
      <c r="D109" s="64" t="s">
        <v>85</v>
      </c>
      <c r="E109" s="288"/>
      <c r="F109" s="288"/>
      <c r="G109" s="64">
        <v>85.0</v>
      </c>
      <c r="H109" s="64" t="s">
        <v>3593</v>
      </c>
      <c r="I109" s="64">
        <v>2025.0</v>
      </c>
      <c r="J109" s="64">
        <v>2026.0</v>
      </c>
      <c r="K109" s="287">
        <v>0.98</v>
      </c>
      <c r="L109" s="288"/>
      <c r="M109" s="285" t="s">
        <v>3568</v>
      </c>
      <c r="N109" s="35" t="s">
        <v>3568</v>
      </c>
      <c r="O109" s="35" t="s">
        <v>3568</v>
      </c>
      <c r="P109" s="35" t="s">
        <v>49</v>
      </c>
      <c r="Q109" s="37">
        <v>46218.0</v>
      </c>
      <c r="R109" s="56"/>
      <c r="S109" s="38"/>
      <c r="T109" s="39">
        <v>5786.8</v>
      </c>
      <c r="U109" s="39">
        <v>1736.04</v>
      </c>
      <c r="V109" s="40">
        <v>4050.76</v>
      </c>
      <c r="W109" s="57" t="s">
        <v>2864</v>
      </c>
      <c r="X109" s="42" t="s">
        <v>49</v>
      </c>
      <c r="Y109" s="42" t="str">
        <f>IFERROR(__xludf.DUMMYFUNCTION("vLOOKUP(A109,IMPORTRANGE(""https://docs.google.com/spreadsheets/d/1Rawwwdh8wntXGy8isdYNHxsNQS4n_rC8JSdPfj6vEq4"",""'500 объектов перенос на 2026'!A3:AB502""),13,0)"),"#REF!")</f>
        <v>#REF!</v>
      </c>
      <c r="Z109" s="42" t="str">
        <f>IFERROR(__xludf.DUMMYFUNCTION("vLOOKUP(A109,IMPORTRANGE(""https://docs.google.com/spreadsheets/d/1Rawwwdh8wntXGy8isdYNHxsNQS4n_rC8JSdPfj6vEq4"",""'500 объектов перенос на 2026'!A3:AB502""),14,0)"),"#REF!")</f>
        <v>#REF!</v>
      </c>
      <c r="AA109" s="85" t="s">
        <v>3754</v>
      </c>
      <c r="AB109" s="43"/>
    </row>
    <row r="110">
      <c r="A110" s="62" t="s">
        <v>2583</v>
      </c>
      <c r="B110" s="63" t="s">
        <v>635</v>
      </c>
      <c r="C110" s="64" t="s">
        <v>2584</v>
      </c>
      <c r="D110" s="64" t="s">
        <v>85</v>
      </c>
      <c r="E110" s="288"/>
      <c r="F110" s="64">
        <v>150.0</v>
      </c>
      <c r="G110" s="64">
        <v>162.0</v>
      </c>
      <c r="H110" s="64" t="s">
        <v>3512</v>
      </c>
      <c r="I110" s="64">
        <v>2025.0</v>
      </c>
      <c r="J110" s="64">
        <v>2026.0</v>
      </c>
      <c r="K110" s="287">
        <v>0.98</v>
      </c>
      <c r="L110" s="288"/>
      <c r="M110" s="285" t="s">
        <v>3755</v>
      </c>
      <c r="N110" s="35">
        <v>0.0</v>
      </c>
      <c r="O110" s="35" t="s">
        <v>3755</v>
      </c>
      <c r="P110" s="35" t="s">
        <v>1169</v>
      </c>
      <c r="Q110" s="290">
        <v>46174.0</v>
      </c>
      <c r="R110" s="56"/>
      <c r="S110" s="38" t="s">
        <v>1246</v>
      </c>
      <c r="T110" s="39">
        <v>11319.26</v>
      </c>
      <c r="U110" s="39">
        <v>4092.7598</v>
      </c>
      <c r="V110" s="40">
        <v>7226.5002</v>
      </c>
      <c r="W110" s="57" t="s">
        <v>3473</v>
      </c>
      <c r="X110" s="42" t="s">
        <v>1693</v>
      </c>
      <c r="Y110" s="42" t="str">
        <f>IFERROR(__xludf.DUMMYFUNCTION("vLOOKUP(A110,IMPORTRANGE(""https://docs.google.com/spreadsheets/d/1Rawwwdh8wntXGy8isdYNHxsNQS4n_rC8JSdPfj6vEq4"",""'500 объектов перенос на 2026'!A3:AB502""),13,0)"),"#REF!")</f>
        <v>#REF!</v>
      </c>
      <c r="Z110" s="42" t="str">
        <f>IFERROR(__xludf.DUMMYFUNCTION("vLOOKUP(A110,IMPORTRANGE(""https://docs.google.com/spreadsheets/d/1Rawwwdh8wntXGy8isdYNHxsNQS4n_rC8JSdPfj6vEq4"",""'500 объектов перенос на 2026'!A3:AB502""),14,0)"),"#REF!")</f>
        <v>#REF!</v>
      </c>
      <c r="AA110" s="85" t="s">
        <v>3756</v>
      </c>
      <c r="AB110" s="43"/>
    </row>
    <row r="111">
      <c r="A111" s="62" t="s">
        <v>856</v>
      </c>
      <c r="B111" s="63" t="s">
        <v>635</v>
      </c>
      <c r="C111" s="64" t="s">
        <v>857</v>
      </c>
      <c r="D111" s="64" t="s">
        <v>85</v>
      </c>
      <c r="E111" s="288"/>
      <c r="F111" s="64">
        <v>150.0</v>
      </c>
      <c r="G111" s="64">
        <v>114.0</v>
      </c>
      <c r="H111" s="64" t="s">
        <v>3512</v>
      </c>
      <c r="I111" s="64">
        <v>2024.0</v>
      </c>
      <c r="J111" s="64">
        <v>2025.0</v>
      </c>
      <c r="K111" s="287">
        <v>0.86</v>
      </c>
      <c r="L111" s="292" t="s">
        <v>3528</v>
      </c>
      <c r="M111" s="289" t="s">
        <v>3757</v>
      </c>
      <c r="N111" s="35">
        <v>0.0</v>
      </c>
      <c r="O111" s="35" t="s">
        <v>3520</v>
      </c>
      <c r="P111" s="35" t="s">
        <v>113</v>
      </c>
      <c r="Q111" s="38" t="s">
        <v>284</v>
      </c>
      <c r="R111" s="38" t="s">
        <v>115</v>
      </c>
      <c r="S111" s="38" t="s">
        <v>284</v>
      </c>
      <c r="T111" s="39">
        <v>7761.12</v>
      </c>
      <c r="U111" s="39">
        <v>2328.33476</v>
      </c>
      <c r="V111" s="39">
        <v>5432.78524</v>
      </c>
      <c r="W111" s="57" t="s">
        <v>859</v>
      </c>
      <c r="X111" s="42"/>
      <c r="Y111" s="42" t="str">
        <f>IFERROR(__xludf.DUMMYFUNCTION("vLOOKUP(A111,IMPORTRANGE(""https://docs.google.com/spreadsheets/d/1Rawwwdh8wntXGy8isdYNHxsNQS4n_rC8JSdPfj6vEq4"",""'500 объектов перенос на 2026'!A3:AB502""),13,0)"),"#REF!")</f>
        <v>#REF!</v>
      </c>
      <c r="Z111" s="42" t="str">
        <f>IFERROR(__xludf.DUMMYFUNCTION("vLOOKUP(A111,IMPORTRANGE(""https://docs.google.com/spreadsheets/d/1Rawwwdh8wntXGy8isdYNHxsNQS4n_rC8JSdPfj6vEq4"",""'500 объектов перенос на 2026'!A3:AB502""),14,0)"),"#REF!")</f>
        <v>#REF!</v>
      </c>
      <c r="AA111" s="42" t="s">
        <v>175</v>
      </c>
      <c r="AB111" s="43"/>
    </row>
    <row r="112">
      <c r="A112" s="62" t="s">
        <v>1239</v>
      </c>
      <c r="B112" s="63" t="s">
        <v>635</v>
      </c>
      <c r="C112" s="64" t="s">
        <v>1240</v>
      </c>
      <c r="D112" s="64" t="s">
        <v>85</v>
      </c>
      <c r="E112" s="288"/>
      <c r="F112" s="64">
        <v>300.0</v>
      </c>
      <c r="G112" s="64">
        <v>475.0</v>
      </c>
      <c r="H112" s="64" t="s">
        <v>3512</v>
      </c>
      <c r="I112" s="64">
        <v>2025.0</v>
      </c>
      <c r="J112" s="64">
        <v>2026.0</v>
      </c>
      <c r="K112" s="287">
        <v>0.99</v>
      </c>
      <c r="L112" s="288"/>
      <c r="M112" s="285" t="s">
        <v>3568</v>
      </c>
      <c r="N112" s="35" t="s">
        <v>3568</v>
      </c>
      <c r="O112" s="35" t="s">
        <v>3568</v>
      </c>
      <c r="P112" s="35" t="s">
        <v>1690</v>
      </c>
      <c r="Q112" s="290">
        <v>46174.0</v>
      </c>
      <c r="R112" s="56"/>
      <c r="S112" s="38" t="s">
        <v>1246</v>
      </c>
      <c r="T112" s="39">
        <v>57772.15</v>
      </c>
      <c r="U112" s="39">
        <v>16970.69925</v>
      </c>
      <c r="V112" s="40">
        <v>40801.45075</v>
      </c>
      <c r="W112" s="57" t="s">
        <v>3387</v>
      </c>
      <c r="X112" s="42" t="s">
        <v>1693</v>
      </c>
      <c r="Y112" s="42" t="str">
        <f>IFERROR(__xludf.DUMMYFUNCTION("vLOOKUP(A112,IMPORTRANGE(""https://docs.google.com/spreadsheets/d/1Rawwwdh8wntXGy8isdYNHxsNQS4n_rC8JSdPfj6vEq4"",""'500 объектов перенос на 2026'!A3:AB502""),13,0)"),"#REF!")</f>
        <v>#REF!</v>
      </c>
      <c r="Z112" s="42" t="str">
        <f>IFERROR(__xludf.DUMMYFUNCTION("vLOOKUP(A112,IMPORTRANGE(""https://docs.google.com/spreadsheets/d/1Rawwwdh8wntXGy8isdYNHxsNQS4n_rC8JSdPfj6vEq4"",""'500 объектов перенос на 2026'!A3:AB502""),14,0)"),"#REF!")</f>
        <v>#REF!</v>
      </c>
      <c r="AA112" s="85" t="s">
        <v>3758</v>
      </c>
      <c r="AB112" s="43"/>
    </row>
    <row r="113">
      <c r="A113" s="62" t="s">
        <v>1687</v>
      </c>
      <c r="B113" s="63" t="s">
        <v>635</v>
      </c>
      <c r="C113" s="64" t="s">
        <v>1688</v>
      </c>
      <c r="D113" s="64" t="s">
        <v>85</v>
      </c>
      <c r="E113" s="288"/>
      <c r="F113" s="64">
        <v>300.0</v>
      </c>
      <c r="G113" s="64">
        <v>415.0</v>
      </c>
      <c r="H113" s="64" t="s">
        <v>3512</v>
      </c>
      <c r="I113" s="64">
        <v>2025.0</v>
      </c>
      <c r="J113" s="64">
        <v>2026.0</v>
      </c>
      <c r="K113" s="287">
        <v>0.98</v>
      </c>
      <c r="L113" s="288"/>
      <c r="M113" s="289" t="s">
        <v>3759</v>
      </c>
      <c r="N113" s="35">
        <v>0.0</v>
      </c>
      <c r="O113" s="35" t="s">
        <v>3520</v>
      </c>
      <c r="P113" s="35" t="s">
        <v>1690</v>
      </c>
      <c r="Q113" s="290">
        <v>46175.0</v>
      </c>
      <c r="R113" s="56"/>
      <c r="S113" s="38" t="s">
        <v>1246</v>
      </c>
      <c r="T113" s="39">
        <v>40204.0</v>
      </c>
      <c r="U113" s="39">
        <v>14274.83628</v>
      </c>
      <c r="V113" s="40">
        <v>25929.16372</v>
      </c>
      <c r="W113" s="57" t="s">
        <v>1692</v>
      </c>
      <c r="X113" s="42" t="s">
        <v>1693</v>
      </c>
      <c r="Y113" s="42" t="str">
        <f>IFERROR(__xludf.DUMMYFUNCTION("vLOOKUP(A113,IMPORTRANGE(""https://docs.google.com/spreadsheets/d/1Rawwwdh8wntXGy8isdYNHxsNQS4n_rC8JSdPfj6vEq4"",""'500 объектов перенос на 2026'!A3:AB502""),13,0)"),"#REF!")</f>
        <v>#REF!</v>
      </c>
      <c r="Z113" s="42" t="str">
        <f>IFERROR(__xludf.DUMMYFUNCTION("vLOOKUP(A113,IMPORTRANGE(""https://docs.google.com/spreadsheets/d/1Rawwwdh8wntXGy8isdYNHxsNQS4n_rC8JSdPfj6vEq4"",""'500 объектов перенос на 2026'!A3:AB502""),14,0)"),"#REF!")</f>
        <v>#REF!</v>
      </c>
      <c r="AA113" s="85" t="s">
        <v>3758</v>
      </c>
      <c r="AB113" s="43"/>
    </row>
    <row r="114">
      <c r="A114" s="62" t="s">
        <v>634</v>
      </c>
      <c r="B114" s="63" t="s">
        <v>635</v>
      </c>
      <c r="C114" s="64" t="s">
        <v>636</v>
      </c>
      <c r="D114" s="64" t="s">
        <v>59</v>
      </c>
      <c r="E114" s="64">
        <v>126.0</v>
      </c>
      <c r="F114" s="288"/>
      <c r="G114" s="288"/>
      <c r="H114" s="64" t="s">
        <v>3593</v>
      </c>
      <c r="I114" s="64">
        <v>2025.0</v>
      </c>
      <c r="J114" s="64">
        <v>2026.0</v>
      </c>
      <c r="K114" s="287">
        <v>0.87</v>
      </c>
      <c r="L114" s="288"/>
      <c r="M114" s="285" t="s">
        <v>3568</v>
      </c>
      <c r="N114" s="35" t="s">
        <v>3568</v>
      </c>
      <c r="O114" s="35" t="s">
        <v>3568</v>
      </c>
      <c r="P114" s="35" t="s">
        <v>49</v>
      </c>
      <c r="Q114" s="37">
        <v>46218.0</v>
      </c>
      <c r="R114" s="56"/>
      <c r="S114" s="38"/>
      <c r="T114" s="39">
        <v>129362.51</v>
      </c>
      <c r="U114" s="39">
        <v>38133.9</v>
      </c>
      <c r="V114" s="40">
        <v>91228.61</v>
      </c>
      <c r="W114" s="57" t="s">
        <v>641</v>
      </c>
      <c r="X114" s="42" t="s">
        <v>49</v>
      </c>
      <c r="Y114" s="42" t="str">
        <f>IFERROR(__xludf.DUMMYFUNCTION("vLOOKUP(A114,IMPORTRANGE(""https://docs.google.com/spreadsheets/d/1Rawwwdh8wntXGy8isdYNHxsNQS4n_rC8JSdPfj6vEq4"",""'500 объектов перенос на 2026'!A3:AB502""),13,0)"),"#REF!")</f>
        <v>#REF!</v>
      </c>
      <c r="Z114" s="42" t="str">
        <f>IFERROR(__xludf.DUMMYFUNCTION("vLOOKUP(A114,IMPORTRANGE(""https://docs.google.com/spreadsheets/d/1Rawwwdh8wntXGy8isdYNHxsNQS4n_rC8JSdPfj6vEq4"",""'500 объектов перенос на 2026'!A3:AB502""),14,0)"),"#REF!")</f>
        <v>#REF!</v>
      </c>
      <c r="AA114" s="85" t="s">
        <v>3760</v>
      </c>
      <c r="AB114" s="43"/>
    </row>
    <row r="115">
      <c r="A115" s="62" t="s">
        <v>883</v>
      </c>
      <c r="B115" s="63" t="s">
        <v>503</v>
      </c>
      <c r="C115" s="64" t="s">
        <v>884</v>
      </c>
      <c r="D115" s="64" t="s">
        <v>85</v>
      </c>
      <c r="E115" s="288"/>
      <c r="F115" s="288"/>
      <c r="G115" s="291" t="s">
        <v>3761</v>
      </c>
      <c r="H115" s="64" t="s">
        <v>3512</v>
      </c>
      <c r="I115" s="64">
        <v>2024.0</v>
      </c>
      <c r="J115" s="64">
        <v>2027.0</v>
      </c>
      <c r="K115" s="287">
        <v>1.0</v>
      </c>
      <c r="L115" s="292" t="s">
        <v>3528</v>
      </c>
      <c r="M115" s="285" t="s">
        <v>3762</v>
      </c>
      <c r="N115" s="35" t="s">
        <v>3763</v>
      </c>
      <c r="O115" s="35" t="s">
        <v>3764</v>
      </c>
      <c r="P115" s="35" t="s">
        <v>113</v>
      </c>
      <c r="Q115" s="38"/>
      <c r="R115" s="38" t="s">
        <v>115</v>
      </c>
      <c r="S115" s="38"/>
      <c r="T115" s="39">
        <v>156167.3911</v>
      </c>
      <c r="U115" s="39">
        <v>156167.3911</v>
      </c>
      <c r="V115" s="39">
        <v>0.0</v>
      </c>
      <c r="W115" s="57" t="s">
        <v>886</v>
      </c>
      <c r="X115" s="42" t="s">
        <v>887</v>
      </c>
      <c r="Y115" s="42" t="str">
        <f>IFERROR(__xludf.DUMMYFUNCTION("vLOOKUP(A115,IMPORTRANGE(""https://docs.google.com/spreadsheets/d/1Rawwwdh8wntXGy8isdYNHxsNQS4n_rC8JSdPfj6vEq4"",""'500 объектов перенос на 2026'!A3:AB502""),13,0)"),"#REF!")</f>
        <v>#REF!</v>
      </c>
      <c r="Z115" s="42" t="str">
        <f>IFERROR(__xludf.DUMMYFUNCTION("vLOOKUP(A115,IMPORTRANGE(""https://docs.google.com/spreadsheets/d/1Rawwwdh8wntXGy8isdYNHxsNQS4n_rC8JSdPfj6vEq4"",""'500 объектов перенос на 2026'!A3:AB502""),14,0)"),"#REF!")</f>
        <v>#REF!</v>
      </c>
      <c r="AA115" s="42" t="s">
        <v>175</v>
      </c>
      <c r="AB115" s="43"/>
    </row>
    <row r="116">
      <c r="A116" s="62" t="s">
        <v>888</v>
      </c>
      <c r="B116" s="63" t="s">
        <v>503</v>
      </c>
      <c r="C116" s="64" t="s">
        <v>889</v>
      </c>
      <c r="D116" s="64" t="s">
        <v>85</v>
      </c>
      <c r="E116" s="288"/>
      <c r="F116" s="64" t="s">
        <v>3765</v>
      </c>
      <c r="G116" s="64">
        <v>349.5</v>
      </c>
      <c r="H116" s="64" t="s">
        <v>3512</v>
      </c>
      <c r="I116" s="64">
        <v>2024.0</v>
      </c>
      <c r="J116" s="64">
        <v>2025.0</v>
      </c>
      <c r="K116" s="287">
        <v>1.0</v>
      </c>
      <c r="L116" s="292" t="s">
        <v>3528</v>
      </c>
      <c r="M116" s="285" t="s">
        <v>3766</v>
      </c>
      <c r="N116" s="35" t="s">
        <v>3767</v>
      </c>
      <c r="O116" s="35" t="s">
        <v>3768</v>
      </c>
      <c r="P116" s="35" t="s">
        <v>113</v>
      </c>
      <c r="Q116" s="38"/>
      <c r="R116" s="38" t="s">
        <v>115</v>
      </c>
      <c r="S116" s="38"/>
      <c r="T116" s="39">
        <v>12815.12</v>
      </c>
      <c r="U116" s="39">
        <v>11636.72603</v>
      </c>
      <c r="V116" s="139">
        <v>1178.39397</v>
      </c>
      <c r="W116" s="57" t="s">
        <v>891</v>
      </c>
      <c r="X116" s="42" t="s">
        <v>892</v>
      </c>
      <c r="Y116" s="42" t="str">
        <f>IFERROR(__xludf.DUMMYFUNCTION("vLOOKUP(A116,IMPORTRANGE(""https://docs.google.com/spreadsheets/d/1Rawwwdh8wntXGy8isdYNHxsNQS4n_rC8JSdPfj6vEq4"",""'500 объектов перенос на 2026'!A3:AB502""),13,0)"),"#REF!")</f>
        <v>#REF!</v>
      </c>
      <c r="Z116" s="42" t="str">
        <f>IFERROR(__xludf.DUMMYFUNCTION("vLOOKUP(A116,IMPORTRANGE(""https://docs.google.com/spreadsheets/d/1Rawwwdh8wntXGy8isdYNHxsNQS4n_rC8JSdPfj6vEq4"",""'500 объектов перенос на 2026'!A3:AB502""),14,0)"),"#REF!")</f>
        <v>#REF!</v>
      </c>
      <c r="AA116" s="42" t="s">
        <v>175</v>
      </c>
      <c r="AB116" s="43"/>
    </row>
    <row r="117">
      <c r="A117" s="62" t="s">
        <v>1374</v>
      </c>
      <c r="B117" s="63" t="s">
        <v>503</v>
      </c>
      <c r="C117" s="64" t="s">
        <v>1375</v>
      </c>
      <c r="D117" s="64" t="s">
        <v>59</v>
      </c>
      <c r="E117" s="64">
        <v>5.8</v>
      </c>
      <c r="F117" s="288"/>
      <c r="G117" s="288"/>
      <c r="H117" s="64" t="s">
        <v>3512</v>
      </c>
      <c r="I117" s="64">
        <v>2025.0</v>
      </c>
      <c r="J117" s="64">
        <v>2026.0</v>
      </c>
      <c r="K117" s="287">
        <v>0.83</v>
      </c>
      <c r="L117" s="288"/>
      <c r="M117" s="285" t="s">
        <v>3568</v>
      </c>
      <c r="N117" s="35" t="s">
        <v>3568</v>
      </c>
      <c r="O117" s="35" t="s">
        <v>3568</v>
      </c>
      <c r="P117" s="35" t="s">
        <v>46</v>
      </c>
      <c r="Q117" s="37">
        <v>46218.0</v>
      </c>
      <c r="R117" s="56"/>
      <c r="S117" s="38"/>
      <c r="T117" s="39">
        <v>50900.65</v>
      </c>
      <c r="U117" s="39">
        <v>15270.1956</v>
      </c>
      <c r="V117" s="40">
        <v>35630.4544</v>
      </c>
      <c r="W117" s="57" t="s">
        <v>3769</v>
      </c>
      <c r="X117" s="85" t="s">
        <v>1379</v>
      </c>
      <c r="Y117" s="42" t="str">
        <f>IFERROR(__xludf.DUMMYFUNCTION("vLOOKUP(A117,IMPORTRANGE(""https://docs.google.com/spreadsheets/d/1Rawwwdh8wntXGy8isdYNHxsNQS4n_rC8JSdPfj6vEq4"",""'500 объектов перенос на 2026'!A3:AB502""),13,0)"),"#REF!")</f>
        <v>#REF!</v>
      </c>
      <c r="Z117" s="42" t="str">
        <f>IFERROR(__xludf.DUMMYFUNCTION("vLOOKUP(A117,IMPORTRANGE(""https://docs.google.com/spreadsheets/d/1Rawwwdh8wntXGy8isdYNHxsNQS4n_rC8JSdPfj6vEq4"",""'500 объектов перенос на 2026'!A3:AB502""),14,0)"),"#REF!")</f>
        <v>#REF!</v>
      </c>
      <c r="AA117" s="85" t="s">
        <v>3770</v>
      </c>
      <c r="AB117" s="43"/>
    </row>
    <row r="118">
      <c r="A118" s="122" t="s">
        <v>2016</v>
      </c>
      <c r="B118" s="63" t="s">
        <v>503</v>
      </c>
      <c r="C118" s="64" t="s">
        <v>2017</v>
      </c>
      <c r="D118" s="64" t="s">
        <v>39</v>
      </c>
      <c r="E118" s="64">
        <v>0.6</v>
      </c>
      <c r="F118" s="288"/>
      <c r="G118" s="288"/>
      <c r="H118" s="64" t="s">
        <v>3527</v>
      </c>
      <c r="I118" s="64">
        <v>2025.0</v>
      </c>
      <c r="J118" s="64">
        <v>2026.0</v>
      </c>
      <c r="K118" s="287">
        <v>0.75</v>
      </c>
      <c r="L118" s="288"/>
      <c r="M118" s="285" t="s">
        <v>3568</v>
      </c>
      <c r="N118" s="35" t="s">
        <v>3568</v>
      </c>
      <c r="O118" s="35" t="s">
        <v>3568</v>
      </c>
      <c r="P118" s="35" t="s">
        <v>49</v>
      </c>
      <c r="Q118" s="37">
        <v>46223.0</v>
      </c>
      <c r="R118" s="56"/>
      <c r="S118" s="38"/>
      <c r="T118" s="39">
        <v>16504.70756</v>
      </c>
      <c r="U118" s="39">
        <v>0.0</v>
      </c>
      <c r="V118" s="40">
        <v>16504.70756</v>
      </c>
      <c r="W118" s="99" t="s">
        <v>2021</v>
      </c>
      <c r="X118" s="85" t="s">
        <v>2022</v>
      </c>
      <c r="Y118" s="42" t="str">
        <f>IFERROR(__xludf.DUMMYFUNCTION("vLOOKUP(A118,IMPORTRANGE(""https://docs.google.com/spreadsheets/d/1Rawwwdh8wntXGy8isdYNHxsNQS4n_rC8JSdPfj6vEq4"",""'500 объектов перенос на 2026'!A3:AB502""),13,0)"),"#REF!")</f>
        <v>#REF!</v>
      </c>
      <c r="Z118" s="42" t="str">
        <f>IFERROR(__xludf.DUMMYFUNCTION("vLOOKUP(A118,IMPORTRANGE(""https://docs.google.com/spreadsheets/d/1Rawwwdh8wntXGy8isdYNHxsNQS4n_rC8JSdPfj6vEq4"",""'500 объектов перенос на 2026'!A3:AB502""),14,0)"),"#REF!")</f>
        <v>#REF!</v>
      </c>
      <c r="AA118" s="85" t="s">
        <v>3771</v>
      </c>
      <c r="AB118" s="43"/>
    </row>
    <row r="119">
      <c r="A119" s="62" t="s">
        <v>2067</v>
      </c>
      <c r="B119" s="63" t="s">
        <v>503</v>
      </c>
      <c r="C119" s="64" t="s">
        <v>2068</v>
      </c>
      <c r="D119" s="64" t="s">
        <v>59</v>
      </c>
      <c r="E119" s="64">
        <v>0.6</v>
      </c>
      <c r="F119" s="288"/>
      <c r="G119" s="288"/>
      <c r="H119" s="64" t="s">
        <v>3593</v>
      </c>
      <c r="I119" s="64">
        <v>2025.0</v>
      </c>
      <c r="J119" s="64">
        <v>2026.0</v>
      </c>
      <c r="K119" s="287">
        <v>0.95</v>
      </c>
      <c r="L119" s="288"/>
      <c r="M119" s="285">
        <v>0.0</v>
      </c>
      <c r="N119" s="35">
        <v>0.0</v>
      </c>
      <c r="O119" s="35">
        <v>0.0</v>
      </c>
      <c r="P119" s="35" t="s">
        <v>49</v>
      </c>
      <c r="Q119" s="37">
        <v>46223.0</v>
      </c>
      <c r="R119" s="56"/>
      <c r="S119" s="38" t="s">
        <v>49</v>
      </c>
      <c r="T119" s="39">
        <v>20000.0</v>
      </c>
      <c r="U119" s="39">
        <v>5400.0</v>
      </c>
      <c r="V119" s="40">
        <v>14600.0</v>
      </c>
      <c r="W119" s="57" t="s">
        <v>2073</v>
      </c>
      <c r="X119" s="85" t="s">
        <v>2074</v>
      </c>
      <c r="Y119" s="42" t="str">
        <f>IFERROR(__xludf.DUMMYFUNCTION("vLOOKUP(A119,IMPORTRANGE(""https://docs.google.com/spreadsheets/d/1Rawwwdh8wntXGy8isdYNHxsNQS4n_rC8JSdPfj6vEq4"",""'500 объектов перенос на 2026'!A3:AB502""),13,0)"),"#REF!")</f>
        <v>#REF!</v>
      </c>
      <c r="Z119" s="42" t="str">
        <f>IFERROR(__xludf.DUMMYFUNCTION("vLOOKUP(A119,IMPORTRANGE(""https://docs.google.com/spreadsheets/d/1Rawwwdh8wntXGy8isdYNHxsNQS4n_rC8JSdPfj6vEq4"",""'500 объектов перенос на 2026'!A3:AB502""),14,0)"),"#REF!")</f>
        <v>#REF!</v>
      </c>
      <c r="AA119" s="85" t="s">
        <v>2074</v>
      </c>
      <c r="AB119" s="43"/>
    </row>
    <row r="120">
      <c r="A120" s="122" t="s">
        <v>2597</v>
      </c>
      <c r="B120" s="63" t="s">
        <v>503</v>
      </c>
      <c r="C120" s="64" t="s">
        <v>2598</v>
      </c>
      <c r="D120" s="64" t="s">
        <v>59</v>
      </c>
      <c r="E120" s="64">
        <v>69.7</v>
      </c>
      <c r="F120" s="288"/>
      <c r="G120" s="288"/>
      <c r="H120" s="64" t="s">
        <v>3512</v>
      </c>
      <c r="I120" s="64">
        <v>2025.0</v>
      </c>
      <c r="J120" s="64">
        <v>2026.0</v>
      </c>
      <c r="K120" s="287">
        <v>1.0</v>
      </c>
      <c r="L120" s="288"/>
      <c r="M120" s="289" t="s">
        <v>3772</v>
      </c>
      <c r="N120" s="35">
        <v>0.0</v>
      </c>
      <c r="O120" s="35" t="s">
        <v>3520</v>
      </c>
      <c r="P120" s="35" t="s">
        <v>49</v>
      </c>
      <c r="Q120" s="37">
        <v>46218.0</v>
      </c>
      <c r="R120" s="56"/>
      <c r="S120" s="38"/>
      <c r="T120" s="39">
        <v>10379.17</v>
      </c>
      <c r="U120" s="39">
        <v>3113.751</v>
      </c>
      <c r="V120" s="40">
        <v>7265.419</v>
      </c>
      <c r="W120" s="57" t="s">
        <v>2602</v>
      </c>
      <c r="X120" s="42" t="s">
        <v>2603</v>
      </c>
      <c r="Y120" s="42" t="str">
        <f>IFERROR(__xludf.DUMMYFUNCTION("vLOOKUP(A120,IMPORTRANGE(""https://docs.google.com/spreadsheets/d/1Rawwwdh8wntXGy8isdYNHxsNQS4n_rC8JSdPfj6vEq4"",""'500 объектов перенос на 2026'!A3:AB502""),13,0)"),"#REF!")</f>
        <v>#REF!</v>
      </c>
      <c r="Z120" s="42" t="str">
        <f>IFERROR(__xludf.DUMMYFUNCTION("vLOOKUP(A120,IMPORTRANGE(""https://docs.google.com/spreadsheets/d/1Rawwwdh8wntXGy8isdYNHxsNQS4n_rC8JSdPfj6vEq4"",""'500 объектов перенос на 2026'!A3:AB502""),14,0)"),"#REF!")</f>
        <v>#REF!</v>
      </c>
      <c r="AA120" s="85" t="s">
        <v>3773</v>
      </c>
      <c r="AB120" s="43"/>
    </row>
    <row r="121">
      <c r="A121" s="62" t="s">
        <v>928</v>
      </c>
      <c r="B121" s="111" t="s">
        <v>503</v>
      </c>
      <c r="C121" s="64" t="s">
        <v>929</v>
      </c>
      <c r="D121" s="64" t="s">
        <v>931</v>
      </c>
      <c r="E121" s="288"/>
      <c r="F121" s="288"/>
      <c r="G121" s="288"/>
      <c r="H121" s="64" t="s">
        <v>3527</v>
      </c>
      <c r="I121" s="64">
        <v>2025.0</v>
      </c>
      <c r="J121" s="64">
        <v>2025.0</v>
      </c>
      <c r="K121" s="287">
        <v>0.0</v>
      </c>
      <c r="L121" s="288"/>
      <c r="M121" s="285" t="s">
        <v>3568</v>
      </c>
      <c r="N121" s="35" t="s">
        <v>3568</v>
      </c>
      <c r="O121" s="35" t="s">
        <v>3568</v>
      </c>
      <c r="P121" s="35" t="s">
        <v>932</v>
      </c>
      <c r="Q121" s="38" t="s">
        <v>437</v>
      </c>
      <c r="R121" s="56"/>
      <c r="S121" s="38"/>
      <c r="T121" s="39">
        <v>2618.29</v>
      </c>
      <c r="U121" s="39">
        <v>0.0</v>
      </c>
      <c r="V121" s="40">
        <v>2618.29</v>
      </c>
      <c r="W121" s="57" t="s">
        <v>933</v>
      </c>
      <c r="X121" s="42" t="s">
        <v>933</v>
      </c>
      <c r="Y121" s="42" t="s">
        <v>933</v>
      </c>
      <c r="Z121" s="42" t="s">
        <v>933</v>
      </c>
      <c r="AA121" s="42" t="s">
        <v>933</v>
      </c>
      <c r="AB121" s="43"/>
    </row>
    <row r="122">
      <c r="A122" s="62" t="s">
        <v>934</v>
      </c>
      <c r="B122" s="63" t="s">
        <v>503</v>
      </c>
      <c r="C122" s="64" t="s">
        <v>935</v>
      </c>
      <c r="D122" s="64" t="s">
        <v>85</v>
      </c>
      <c r="E122" s="288"/>
      <c r="F122" s="288"/>
      <c r="G122" s="291" t="s">
        <v>3774</v>
      </c>
      <c r="H122" s="64" t="s">
        <v>3512</v>
      </c>
      <c r="I122" s="64">
        <v>2024.0</v>
      </c>
      <c r="J122" s="64">
        <v>2027.0</v>
      </c>
      <c r="K122" s="287">
        <v>0.99</v>
      </c>
      <c r="L122" s="292" t="s">
        <v>3528</v>
      </c>
      <c r="M122" s="285" t="s">
        <v>3775</v>
      </c>
      <c r="N122" s="35" t="s">
        <v>3776</v>
      </c>
      <c r="O122" s="35" t="s">
        <v>3777</v>
      </c>
      <c r="P122" s="35" t="s">
        <v>113</v>
      </c>
      <c r="Q122" s="38"/>
      <c r="R122" s="38" t="s">
        <v>115</v>
      </c>
      <c r="S122" s="38"/>
      <c r="T122" s="39">
        <v>33200.0</v>
      </c>
      <c r="U122" s="39">
        <v>24330.03122</v>
      </c>
      <c r="V122" s="39">
        <v>8869.96878</v>
      </c>
      <c r="W122" s="57" t="s">
        <v>937</v>
      </c>
      <c r="X122" s="42" t="s">
        <v>938</v>
      </c>
      <c r="Y122" s="42" t="str">
        <f>IFERROR(__xludf.DUMMYFUNCTION("vLOOKUP(A122,IMPORTRANGE(""https://docs.google.com/spreadsheets/d/1Rawwwdh8wntXGy8isdYNHxsNQS4n_rC8JSdPfj6vEq4"",""'500 объектов перенос на 2026'!A3:AB502""),13,0)"),"#REF!")</f>
        <v>#REF!</v>
      </c>
      <c r="Z122" s="42" t="str">
        <f>IFERROR(__xludf.DUMMYFUNCTION("vLOOKUP(A122,IMPORTRANGE(""https://docs.google.com/spreadsheets/d/1Rawwwdh8wntXGy8isdYNHxsNQS4n_rC8JSdPfj6vEq4"",""'500 объектов перенос на 2026'!A3:AB502""),14,0)"),"#REF!")</f>
        <v>#REF!</v>
      </c>
      <c r="AA122" s="42" t="s">
        <v>175</v>
      </c>
      <c r="AB122" s="43"/>
    </row>
    <row r="123">
      <c r="A123" s="62" t="s">
        <v>939</v>
      </c>
      <c r="B123" s="111" t="s">
        <v>503</v>
      </c>
      <c r="C123" s="64" t="s">
        <v>940</v>
      </c>
      <c r="D123" s="64" t="s">
        <v>85</v>
      </c>
      <c r="E123" s="288"/>
      <c r="F123" s="64">
        <v>250.0</v>
      </c>
      <c r="G123" s="291" t="s">
        <v>3778</v>
      </c>
      <c r="H123" s="64" t="s">
        <v>3512</v>
      </c>
      <c r="I123" s="64">
        <v>2024.0</v>
      </c>
      <c r="J123" s="64">
        <v>2025.0</v>
      </c>
      <c r="K123" s="287">
        <v>0.96</v>
      </c>
      <c r="L123" s="292" t="s">
        <v>3528</v>
      </c>
      <c r="M123" s="285" t="s">
        <v>3779</v>
      </c>
      <c r="N123" s="35" t="s">
        <v>3780</v>
      </c>
      <c r="O123" s="35" t="s">
        <v>3781</v>
      </c>
      <c r="P123" s="35" t="s">
        <v>113</v>
      </c>
      <c r="Q123" s="38"/>
      <c r="R123" s="38" t="s">
        <v>115</v>
      </c>
      <c r="S123" s="38"/>
      <c r="T123" s="39">
        <v>49230.96</v>
      </c>
      <c r="U123" s="39">
        <v>20219.46576</v>
      </c>
      <c r="V123" s="39">
        <v>29011.49424</v>
      </c>
      <c r="W123" s="57" t="s">
        <v>941</v>
      </c>
      <c r="X123" s="42" t="s">
        <v>938</v>
      </c>
      <c r="Y123" s="42" t="str">
        <f>IFERROR(__xludf.DUMMYFUNCTION("vLOOKUP(A123,IMPORTRANGE(""https://docs.google.com/spreadsheets/d/1Rawwwdh8wntXGy8isdYNHxsNQS4n_rC8JSdPfj6vEq4"",""'500 объектов перенос на 2026'!A3:AB502""),13,0)"),"#REF!")</f>
        <v>#REF!</v>
      </c>
      <c r="Z123" s="42" t="str">
        <f>IFERROR(__xludf.DUMMYFUNCTION("vLOOKUP(A123,IMPORTRANGE(""https://docs.google.com/spreadsheets/d/1Rawwwdh8wntXGy8isdYNHxsNQS4n_rC8JSdPfj6vEq4"",""'500 объектов перенос на 2026'!A3:AB502""),14,0)"),"#REF!")</f>
        <v>#REF!</v>
      </c>
      <c r="AA123" s="42" t="s">
        <v>175</v>
      </c>
      <c r="AB123" s="43"/>
    </row>
    <row r="124">
      <c r="A124" s="114" t="s">
        <v>502</v>
      </c>
      <c r="B124" s="63" t="s">
        <v>503</v>
      </c>
      <c r="C124" s="64" t="s">
        <v>504</v>
      </c>
      <c r="D124" s="64" t="s">
        <v>59</v>
      </c>
      <c r="E124" s="64">
        <v>131.4</v>
      </c>
      <c r="F124" s="288"/>
      <c r="G124" s="288"/>
      <c r="H124" s="64" t="s">
        <v>3512</v>
      </c>
      <c r="I124" s="64">
        <v>2024.0</v>
      </c>
      <c r="J124" s="64">
        <v>2026.0</v>
      </c>
      <c r="K124" s="287">
        <v>0.97</v>
      </c>
      <c r="L124" s="288"/>
      <c r="M124" s="285" t="s">
        <v>3782</v>
      </c>
      <c r="N124" s="35">
        <v>0.0</v>
      </c>
      <c r="O124" s="35" t="s">
        <v>3782</v>
      </c>
      <c r="P124" s="35" t="s">
        <v>507</v>
      </c>
      <c r="Q124" s="37">
        <v>46142.0</v>
      </c>
      <c r="R124" s="56"/>
      <c r="S124" s="38"/>
      <c r="T124" s="39">
        <v>148023.62</v>
      </c>
      <c r="U124" s="39">
        <v>42224.86602</v>
      </c>
      <c r="V124" s="40">
        <v>105798.754</v>
      </c>
      <c r="W124" s="57" t="s">
        <v>510</v>
      </c>
      <c r="X124" s="85" t="s">
        <v>3783</v>
      </c>
      <c r="Y124" s="42" t="str">
        <f>IFERROR(__xludf.DUMMYFUNCTION("vLOOKUP(A124,IMPORTRANGE(""https://docs.google.com/spreadsheets/d/1Rawwwdh8wntXGy8isdYNHxsNQS4n_rC8JSdPfj6vEq4"",""'500 объектов перенос на 2026'!A3:AB502""),13,0)"),"#REF!")</f>
        <v>#REF!</v>
      </c>
      <c r="Z124" s="42" t="str">
        <f>IFERROR(__xludf.DUMMYFUNCTION("vLOOKUP(A124,IMPORTRANGE(""https://docs.google.com/spreadsheets/d/1Rawwwdh8wntXGy8isdYNHxsNQS4n_rC8JSdPfj6vEq4"",""'500 объектов перенос на 2026'!A3:AB502""),14,0)"),"#REF!")</f>
        <v>#REF!</v>
      </c>
      <c r="AA124" s="85" t="s">
        <v>3783</v>
      </c>
      <c r="AB124" s="43"/>
    </row>
    <row r="125">
      <c r="A125" s="62" t="s">
        <v>951</v>
      </c>
      <c r="B125" s="63" t="s">
        <v>503</v>
      </c>
      <c r="C125" s="64" t="s">
        <v>952</v>
      </c>
      <c r="D125" s="64" t="s">
        <v>85</v>
      </c>
      <c r="E125" s="288"/>
      <c r="F125" s="64">
        <v>159.0</v>
      </c>
      <c r="G125" s="291" t="s">
        <v>3784</v>
      </c>
      <c r="H125" s="64" t="s">
        <v>3512</v>
      </c>
      <c r="I125" s="64">
        <v>2025.0</v>
      </c>
      <c r="J125" s="64">
        <v>2025.0</v>
      </c>
      <c r="K125" s="287">
        <v>1.0</v>
      </c>
      <c r="L125" s="292" t="s">
        <v>3528</v>
      </c>
      <c r="M125" s="289" t="s">
        <v>3785</v>
      </c>
      <c r="N125" s="35">
        <v>0.0</v>
      </c>
      <c r="O125" s="35" t="s">
        <v>3520</v>
      </c>
      <c r="P125" s="35" t="s">
        <v>113</v>
      </c>
      <c r="Q125" s="38"/>
      <c r="R125" s="38" t="s">
        <v>115</v>
      </c>
      <c r="S125" s="38"/>
      <c r="T125" s="39">
        <v>64500.0</v>
      </c>
      <c r="U125" s="39">
        <v>33578.60029</v>
      </c>
      <c r="V125" s="39">
        <v>30921.39971</v>
      </c>
      <c r="W125" s="57" t="s">
        <v>3786</v>
      </c>
      <c r="X125" s="85" t="s">
        <v>11</v>
      </c>
      <c r="Y125" s="85" t="s">
        <v>11</v>
      </c>
      <c r="Z125" s="85" t="s">
        <v>11</v>
      </c>
      <c r="AA125" s="42" t="s">
        <v>175</v>
      </c>
      <c r="AB125" s="43"/>
    </row>
    <row r="126">
      <c r="A126" s="62" t="s">
        <v>1088</v>
      </c>
      <c r="B126" s="63" t="s">
        <v>967</v>
      </c>
      <c r="C126" s="64" t="s">
        <v>1089</v>
      </c>
      <c r="D126" s="64" t="s">
        <v>59</v>
      </c>
      <c r="E126" s="64">
        <v>392.0</v>
      </c>
      <c r="F126" s="288"/>
      <c r="G126" s="288"/>
      <c r="H126" s="64" t="s">
        <v>3593</v>
      </c>
      <c r="I126" s="64">
        <v>2025.0</v>
      </c>
      <c r="J126" s="64">
        <v>2026.0</v>
      </c>
      <c r="K126" s="287">
        <v>0.75</v>
      </c>
      <c r="L126" s="288"/>
      <c r="M126" s="285" t="s">
        <v>3568</v>
      </c>
      <c r="N126" s="35" t="s">
        <v>3568</v>
      </c>
      <c r="O126" s="35" t="s">
        <v>3568</v>
      </c>
      <c r="P126" s="35" t="s">
        <v>49</v>
      </c>
      <c r="Q126" s="37">
        <v>46235.0</v>
      </c>
      <c r="R126" s="56"/>
      <c r="S126" s="38"/>
      <c r="T126" s="39">
        <v>95286.9312</v>
      </c>
      <c r="U126" s="39">
        <v>47643.4656</v>
      </c>
      <c r="V126" s="40">
        <v>47643.4656</v>
      </c>
      <c r="W126" s="57" t="s">
        <v>1092</v>
      </c>
      <c r="X126" s="85" t="s">
        <v>1093</v>
      </c>
      <c r="Y126" s="42" t="str">
        <f>IFERROR(__xludf.DUMMYFUNCTION("vLOOKUP(A126,IMPORTRANGE(""https://docs.google.com/spreadsheets/d/1Rawwwdh8wntXGy8isdYNHxsNQS4n_rC8JSdPfj6vEq4"",""'500 объектов перенос на 2026'!A3:AB502""),13,0)"),"#REF!")</f>
        <v>#REF!</v>
      </c>
      <c r="Z126" s="42" t="str">
        <f>IFERROR(__xludf.DUMMYFUNCTION("vLOOKUP(A126,IMPORTRANGE(""https://docs.google.com/spreadsheets/d/1Rawwwdh8wntXGy8isdYNHxsNQS4n_rC8JSdPfj6vEq4"",""'500 объектов перенос на 2026'!A3:AB502""),14,0)"),"#REF!")</f>
        <v>#REF!</v>
      </c>
      <c r="AA126" s="85" t="s">
        <v>1093</v>
      </c>
      <c r="AB126" s="43"/>
    </row>
    <row r="127">
      <c r="A127" s="62" t="s">
        <v>966</v>
      </c>
      <c r="B127" s="63" t="s">
        <v>967</v>
      </c>
      <c r="C127" s="64" t="s">
        <v>968</v>
      </c>
      <c r="D127" s="64" t="s">
        <v>85</v>
      </c>
      <c r="E127" s="288"/>
      <c r="F127" s="64">
        <v>800.0</v>
      </c>
      <c r="G127" s="64">
        <v>650.0</v>
      </c>
      <c r="H127" s="64" t="s">
        <v>3593</v>
      </c>
      <c r="I127" s="64">
        <v>2025.0</v>
      </c>
      <c r="J127" s="64">
        <v>2025.0</v>
      </c>
      <c r="K127" s="287">
        <v>1.0</v>
      </c>
      <c r="L127" s="292" t="s">
        <v>3528</v>
      </c>
      <c r="M127" s="285" t="s">
        <v>3787</v>
      </c>
      <c r="N127" s="35">
        <v>0.0</v>
      </c>
      <c r="O127" s="35" t="s">
        <v>3787</v>
      </c>
      <c r="P127" s="35" t="s">
        <v>113</v>
      </c>
      <c r="Q127" s="38"/>
      <c r="R127" s="38" t="s">
        <v>115</v>
      </c>
      <c r="S127" s="38"/>
      <c r="T127" s="39">
        <v>114458.5</v>
      </c>
      <c r="U127" s="39">
        <v>163181.8525</v>
      </c>
      <c r="V127" s="39">
        <v>-48723.35252</v>
      </c>
      <c r="W127" s="57" t="s">
        <v>970</v>
      </c>
      <c r="X127" s="42" t="s">
        <v>971</v>
      </c>
      <c r="Y127" s="42" t="str">
        <f>IFERROR(__xludf.DUMMYFUNCTION("vLOOKUP(A127,IMPORTRANGE(""https://docs.google.com/spreadsheets/d/1Rawwwdh8wntXGy8isdYNHxsNQS4n_rC8JSdPfj6vEq4"",""'500 объектов перенос на 2026'!A3:AB502""),13,0)"),"#REF!")</f>
        <v>#REF!</v>
      </c>
      <c r="Z127" s="42" t="str">
        <f>IFERROR(__xludf.DUMMYFUNCTION("vLOOKUP(A127,IMPORTRANGE(""https://docs.google.com/spreadsheets/d/1Rawwwdh8wntXGy8isdYNHxsNQS4n_rC8JSdPfj6vEq4"",""'500 объектов перенос на 2026'!A3:AB502""),14,0)"),"#REF!")</f>
        <v>#REF!</v>
      </c>
      <c r="AA127" s="42" t="s">
        <v>175</v>
      </c>
      <c r="AB127" s="43"/>
    </row>
    <row r="128">
      <c r="A128" s="62" t="s">
        <v>1286</v>
      </c>
      <c r="B128" s="63" t="s">
        <v>1287</v>
      </c>
      <c r="C128" s="64" t="s">
        <v>1288</v>
      </c>
      <c r="D128" s="64" t="s">
        <v>85</v>
      </c>
      <c r="E128" s="288"/>
      <c r="F128" s="64" t="s">
        <v>3788</v>
      </c>
      <c r="G128" s="64">
        <v>833.0</v>
      </c>
      <c r="H128" s="64" t="s">
        <v>3512</v>
      </c>
      <c r="I128" s="64">
        <v>2025.0</v>
      </c>
      <c r="J128" s="64">
        <v>2026.0</v>
      </c>
      <c r="K128" s="287">
        <v>0.93</v>
      </c>
      <c r="L128" s="288"/>
      <c r="M128" s="300">
        <v>5.6856463E7</v>
      </c>
      <c r="N128" s="35">
        <v>0.0</v>
      </c>
      <c r="O128" s="35">
        <f>M128-N128</f>
        <v>56856463</v>
      </c>
      <c r="P128" s="35" t="s">
        <v>1290</v>
      </c>
      <c r="Q128" s="303">
        <v>46172.0</v>
      </c>
      <c r="R128" s="143"/>
      <c r="S128" s="35" t="s">
        <v>1293</v>
      </c>
      <c r="T128" s="39">
        <v>56856.46</v>
      </c>
      <c r="U128" s="39">
        <v>17056.9389</v>
      </c>
      <c r="V128" s="40">
        <v>39799.5211</v>
      </c>
      <c r="W128" s="57" t="s">
        <v>1294</v>
      </c>
      <c r="X128" s="42" t="s">
        <v>1295</v>
      </c>
      <c r="Y128" s="42" t="str">
        <f>IFERROR(__xludf.DUMMYFUNCTION("vLOOKUP(A128,IMPORTRANGE(""https://docs.google.com/spreadsheets/d/1Rawwwdh8wntXGy8isdYNHxsNQS4n_rC8JSdPfj6vEq4"",""'500 объектов перенос на 2026'!A3:AB502""),13,0)"),"#REF!")</f>
        <v>#REF!</v>
      </c>
      <c r="Z128" s="42" t="str">
        <f>IFERROR(__xludf.DUMMYFUNCTION("vLOOKUP(A128,IMPORTRANGE(""https://docs.google.com/spreadsheets/d/1Rawwwdh8wntXGy8isdYNHxsNQS4n_rC8JSdPfj6vEq4"",""'500 объектов перенос на 2026'!A3:AB502""),14,0)"),"#REF!")</f>
        <v>#REF!</v>
      </c>
      <c r="AA128" s="85" t="s">
        <v>3789</v>
      </c>
      <c r="AB128" s="43"/>
    </row>
    <row r="129">
      <c r="A129" s="62" t="s">
        <v>2512</v>
      </c>
      <c r="B129" s="63" t="s">
        <v>992</v>
      </c>
      <c r="C129" s="64" t="s">
        <v>2513</v>
      </c>
      <c r="D129" s="64" t="s">
        <v>85</v>
      </c>
      <c r="E129" s="288"/>
      <c r="F129" s="64">
        <v>300.0</v>
      </c>
      <c r="G129" s="64">
        <v>124.0</v>
      </c>
      <c r="H129" s="64" t="s">
        <v>3512</v>
      </c>
      <c r="I129" s="64">
        <v>2025.0</v>
      </c>
      <c r="J129" s="64">
        <v>2026.0</v>
      </c>
      <c r="K129" s="287">
        <v>0.74</v>
      </c>
      <c r="L129" s="288"/>
      <c r="M129" s="285" t="s">
        <v>3568</v>
      </c>
      <c r="N129" s="35" t="s">
        <v>3568</v>
      </c>
      <c r="O129" s="35" t="s">
        <v>3568</v>
      </c>
      <c r="P129" s="35" t="s">
        <v>49</v>
      </c>
      <c r="Q129" s="290">
        <v>46265.0</v>
      </c>
      <c r="R129" s="56"/>
      <c r="S129" s="38" t="s">
        <v>2517</v>
      </c>
      <c r="T129" s="39">
        <v>11630.1</v>
      </c>
      <c r="U129" s="39">
        <v>3316.82931</v>
      </c>
      <c r="V129" s="40">
        <v>8313.27069</v>
      </c>
      <c r="W129" s="57" t="s">
        <v>2518</v>
      </c>
      <c r="X129" s="42" t="s">
        <v>2519</v>
      </c>
      <c r="Y129" s="42" t="str">
        <f>IFERROR(__xludf.DUMMYFUNCTION("vLOOKUP(A129,IMPORTRANGE(""https://docs.google.com/spreadsheets/d/1Rawwwdh8wntXGy8isdYNHxsNQS4n_rC8JSdPfj6vEq4"",""'500 объектов перенос на 2026'!A3:AB502""),13,0)"),"#REF!")</f>
        <v>#REF!</v>
      </c>
      <c r="Z129" s="42" t="str">
        <f>IFERROR(__xludf.DUMMYFUNCTION("vLOOKUP(A129,IMPORTRANGE(""https://docs.google.com/spreadsheets/d/1Rawwwdh8wntXGy8isdYNHxsNQS4n_rC8JSdPfj6vEq4"",""'500 объектов перенос на 2026'!A3:AB502""),14,0)"),"#REF!")</f>
        <v>#REF!</v>
      </c>
      <c r="AA129" s="85" t="s">
        <v>3790</v>
      </c>
      <c r="AB129" s="43"/>
    </row>
    <row r="130">
      <c r="A130" s="62" t="s">
        <v>991</v>
      </c>
      <c r="B130" s="63" t="s">
        <v>992</v>
      </c>
      <c r="C130" s="64" t="s">
        <v>993</v>
      </c>
      <c r="D130" s="64" t="s">
        <v>85</v>
      </c>
      <c r="E130" s="288"/>
      <c r="F130" s="64" t="s">
        <v>3791</v>
      </c>
      <c r="G130" s="291" t="s">
        <v>3792</v>
      </c>
      <c r="H130" s="64" t="s">
        <v>3512</v>
      </c>
      <c r="I130" s="64">
        <v>2025.0</v>
      </c>
      <c r="J130" s="64">
        <v>2025.0</v>
      </c>
      <c r="K130" s="287">
        <v>1.0</v>
      </c>
      <c r="L130" s="292" t="s">
        <v>3528</v>
      </c>
      <c r="M130" s="285" t="s">
        <v>3793</v>
      </c>
      <c r="N130" s="35">
        <v>0.0</v>
      </c>
      <c r="O130" s="35" t="s">
        <v>3793</v>
      </c>
      <c r="P130" s="35" t="s">
        <v>113</v>
      </c>
      <c r="Q130" s="38" t="s">
        <v>11</v>
      </c>
      <c r="R130" s="38" t="s">
        <v>115</v>
      </c>
      <c r="S130" s="38"/>
      <c r="T130" s="39">
        <v>233283.57</v>
      </c>
      <c r="U130" s="39">
        <v>88044.01217</v>
      </c>
      <c r="V130" s="39">
        <v>145239.5578</v>
      </c>
      <c r="W130" s="57" t="s">
        <v>3794</v>
      </c>
      <c r="X130" s="42" t="s">
        <v>996</v>
      </c>
      <c r="Y130" s="42" t="str">
        <f>IFERROR(__xludf.DUMMYFUNCTION("vLOOKUP(A130,IMPORTRANGE(""https://docs.google.com/spreadsheets/d/1Rawwwdh8wntXGy8isdYNHxsNQS4n_rC8JSdPfj6vEq4"",""'500 объектов перенос на 2026'!A3:AB502""),13,0)"),"#REF!")</f>
        <v>#REF!</v>
      </c>
      <c r="Z130" s="42" t="str">
        <f>IFERROR(__xludf.DUMMYFUNCTION("vLOOKUP(A130,IMPORTRANGE(""https://docs.google.com/spreadsheets/d/1Rawwwdh8wntXGy8isdYNHxsNQS4n_rC8JSdPfj6vEq4"",""'500 объектов перенос на 2026'!A3:AB502""),14,0)"),"#REF!")</f>
        <v>#REF!</v>
      </c>
      <c r="AA130" s="42" t="s">
        <v>175</v>
      </c>
      <c r="AB130" s="43"/>
    </row>
    <row r="131">
      <c r="A131" s="62" t="s">
        <v>997</v>
      </c>
      <c r="B131" s="63" t="s">
        <v>998</v>
      </c>
      <c r="C131" s="64" t="s">
        <v>999</v>
      </c>
      <c r="D131" s="64" t="s">
        <v>85</v>
      </c>
      <c r="E131" s="288"/>
      <c r="F131" s="64" t="s">
        <v>3795</v>
      </c>
      <c r="G131" s="291" t="s">
        <v>3796</v>
      </c>
      <c r="H131" s="64" t="s">
        <v>3512</v>
      </c>
      <c r="I131" s="64">
        <v>2024.0</v>
      </c>
      <c r="J131" s="64">
        <v>2025.0</v>
      </c>
      <c r="K131" s="287">
        <v>1.0</v>
      </c>
      <c r="L131" s="292" t="s">
        <v>3528</v>
      </c>
      <c r="M131" s="289" t="s">
        <v>3797</v>
      </c>
      <c r="N131" s="35">
        <v>0.0</v>
      </c>
      <c r="O131" s="35">
        <v>0.0</v>
      </c>
      <c r="P131" s="35" t="s">
        <v>113</v>
      </c>
      <c r="Q131" s="38"/>
      <c r="R131" s="38" t="s">
        <v>115</v>
      </c>
      <c r="S131" s="38" t="s">
        <v>284</v>
      </c>
      <c r="T131" s="39">
        <v>233912.2</v>
      </c>
      <c r="U131" s="39">
        <v>214183.1705</v>
      </c>
      <c r="V131" s="39">
        <v>19729.02954</v>
      </c>
      <c r="W131" s="57" t="s">
        <v>1001</v>
      </c>
      <c r="X131" s="42" t="s">
        <v>284</v>
      </c>
      <c r="Y131" s="42" t="str">
        <f>IFERROR(__xludf.DUMMYFUNCTION("vLOOKUP(A131,IMPORTRANGE(""https://docs.google.com/spreadsheets/d/1Rawwwdh8wntXGy8isdYNHxsNQS4n_rC8JSdPfj6vEq4"",""'500 объектов перенос на 2026'!A3:AB502""),13,0)"),"#REF!")</f>
        <v>#REF!</v>
      </c>
      <c r="Z131" s="42" t="str">
        <f>IFERROR(__xludf.DUMMYFUNCTION("vLOOKUP(A131,IMPORTRANGE(""https://docs.google.com/spreadsheets/d/1Rawwwdh8wntXGy8isdYNHxsNQS4n_rC8JSdPfj6vEq4"",""'500 объектов перенос на 2026'!A3:AB502""),14,0)"),"#REF!")</f>
        <v>#REF!</v>
      </c>
      <c r="AA131" s="42" t="s">
        <v>284</v>
      </c>
      <c r="AB131" s="43"/>
    </row>
    <row r="132">
      <c r="A132" s="62" t="s">
        <v>1002</v>
      </c>
      <c r="B132" s="63" t="s">
        <v>998</v>
      </c>
      <c r="C132" s="64" t="s">
        <v>1003</v>
      </c>
      <c r="D132" s="64" t="s">
        <v>85</v>
      </c>
      <c r="E132" s="288"/>
      <c r="F132" s="64" t="s">
        <v>3550</v>
      </c>
      <c r="G132" s="291" t="s">
        <v>3620</v>
      </c>
      <c r="H132" s="64" t="s">
        <v>3512</v>
      </c>
      <c r="I132" s="64">
        <v>2025.0</v>
      </c>
      <c r="J132" s="64">
        <v>2025.0</v>
      </c>
      <c r="K132" s="287">
        <v>1.0</v>
      </c>
      <c r="L132" s="292" t="s">
        <v>3528</v>
      </c>
      <c r="M132" s="285" t="s">
        <v>3798</v>
      </c>
      <c r="N132" s="35" t="s">
        <v>3799</v>
      </c>
      <c r="O132" s="35" t="s">
        <v>3800</v>
      </c>
      <c r="P132" s="35" t="s">
        <v>113</v>
      </c>
      <c r="Q132" s="38"/>
      <c r="R132" s="38" t="s">
        <v>115</v>
      </c>
      <c r="S132" s="38" t="s">
        <v>284</v>
      </c>
      <c r="T132" s="39">
        <v>109518.12</v>
      </c>
      <c r="U132" s="39">
        <v>109513.6777</v>
      </c>
      <c r="V132" s="39">
        <v>4.44228</v>
      </c>
      <c r="W132" s="57" t="s">
        <v>1004</v>
      </c>
      <c r="X132" s="42" t="s">
        <v>284</v>
      </c>
      <c r="Y132" s="42" t="str">
        <f>IFERROR(__xludf.DUMMYFUNCTION("vLOOKUP(A132,IMPORTRANGE(""https://docs.google.com/spreadsheets/d/1Rawwwdh8wntXGy8isdYNHxsNQS4n_rC8JSdPfj6vEq4"",""'500 объектов перенос на 2026'!A3:AB502""),13,0)"),"#REF!")</f>
        <v>#REF!</v>
      </c>
      <c r="Z132" s="42" t="str">
        <f>IFERROR(__xludf.DUMMYFUNCTION("vLOOKUP(A132,IMPORTRANGE(""https://docs.google.com/spreadsheets/d/1Rawwwdh8wntXGy8isdYNHxsNQS4n_rC8JSdPfj6vEq4"",""'500 объектов перенос на 2026'!A3:AB502""),14,0)"),"#REF!")</f>
        <v>#REF!</v>
      </c>
      <c r="AA132" s="42" t="s">
        <v>175</v>
      </c>
      <c r="AB132" s="43"/>
    </row>
    <row r="133">
      <c r="A133" s="62" t="s">
        <v>1005</v>
      </c>
      <c r="B133" s="63" t="s">
        <v>998</v>
      </c>
      <c r="C133" s="64" t="s">
        <v>1006</v>
      </c>
      <c r="D133" s="64" t="s">
        <v>85</v>
      </c>
      <c r="E133" s="288"/>
      <c r="F133" s="64" t="s">
        <v>3795</v>
      </c>
      <c r="G133" s="291" t="s">
        <v>3620</v>
      </c>
      <c r="H133" s="64" t="s">
        <v>3512</v>
      </c>
      <c r="I133" s="64">
        <v>2025.0</v>
      </c>
      <c r="J133" s="64">
        <v>2025.0</v>
      </c>
      <c r="K133" s="287">
        <v>1.0</v>
      </c>
      <c r="L133" s="292" t="s">
        <v>3528</v>
      </c>
      <c r="M133" s="285" t="s">
        <v>3801</v>
      </c>
      <c r="N133" s="35" t="s">
        <v>3802</v>
      </c>
      <c r="O133" s="35" t="s">
        <v>3803</v>
      </c>
      <c r="P133" s="35" t="s">
        <v>113</v>
      </c>
      <c r="Q133" s="38"/>
      <c r="R133" s="38" t="s">
        <v>115</v>
      </c>
      <c r="S133" s="38" t="s">
        <v>284</v>
      </c>
      <c r="T133" s="39">
        <v>177296.0</v>
      </c>
      <c r="U133" s="39">
        <v>94251.48856</v>
      </c>
      <c r="V133" s="39">
        <v>83044.51144</v>
      </c>
      <c r="W133" s="57" t="s">
        <v>1007</v>
      </c>
      <c r="X133" s="42" t="s">
        <v>284</v>
      </c>
      <c r="Y133" s="42" t="str">
        <f>IFERROR(__xludf.DUMMYFUNCTION("vLOOKUP(A133,IMPORTRANGE(""https://docs.google.com/spreadsheets/d/1Rawwwdh8wntXGy8isdYNHxsNQS4n_rC8JSdPfj6vEq4"",""'500 объектов перенос на 2026'!A3:AB502""),13,0)"),"#REF!")</f>
        <v>#REF!</v>
      </c>
      <c r="Z133" s="42" t="str">
        <f>IFERROR(__xludf.DUMMYFUNCTION("vLOOKUP(A133,IMPORTRANGE(""https://docs.google.com/spreadsheets/d/1Rawwwdh8wntXGy8isdYNHxsNQS4n_rC8JSdPfj6vEq4"",""'500 объектов перенос на 2026'!A3:AB502""),14,0)"),"#REF!")</f>
        <v>#REF!</v>
      </c>
      <c r="AA133" s="42" t="s">
        <v>175</v>
      </c>
      <c r="AB133" s="43"/>
    </row>
    <row r="134">
      <c r="A134" s="62" t="s">
        <v>1008</v>
      </c>
      <c r="B134" s="63" t="s">
        <v>998</v>
      </c>
      <c r="C134" s="64" t="s">
        <v>1009</v>
      </c>
      <c r="D134" s="64" t="s">
        <v>85</v>
      </c>
      <c r="E134" s="288"/>
      <c r="F134" s="64" t="s">
        <v>3795</v>
      </c>
      <c r="G134" s="291" t="s">
        <v>3804</v>
      </c>
      <c r="H134" s="64" t="s">
        <v>3512</v>
      </c>
      <c r="I134" s="64">
        <v>2024.0</v>
      </c>
      <c r="J134" s="64">
        <v>2025.0</v>
      </c>
      <c r="K134" s="287">
        <v>1.0</v>
      </c>
      <c r="L134" s="292" t="s">
        <v>3528</v>
      </c>
      <c r="M134" s="289">
        <v>2.6011438E8</v>
      </c>
      <c r="N134" s="35">
        <v>0.0</v>
      </c>
      <c r="O134" s="35">
        <v>0.0</v>
      </c>
      <c r="P134" s="35" t="s">
        <v>113</v>
      </c>
      <c r="Q134" s="38"/>
      <c r="R134" s="38" t="s">
        <v>115</v>
      </c>
      <c r="S134" s="38" t="s">
        <v>1010</v>
      </c>
      <c r="T134" s="39">
        <v>195435.66</v>
      </c>
      <c r="U134" s="39">
        <v>195435.6545</v>
      </c>
      <c r="V134" s="39">
        <v>0.00546</v>
      </c>
      <c r="W134" s="57" t="s">
        <v>1011</v>
      </c>
      <c r="X134" s="42" t="s">
        <v>1010</v>
      </c>
      <c r="Y134" s="42" t="str">
        <f>IFERROR(__xludf.DUMMYFUNCTION("vLOOKUP(A134,IMPORTRANGE(""https://docs.google.com/spreadsheets/d/1Rawwwdh8wntXGy8isdYNHxsNQS4n_rC8JSdPfj6vEq4"",""'500 объектов перенос на 2026'!A3:AB502""),13,0)"),"#REF!")</f>
        <v>#REF!</v>
      </c>
      <c r="Z134" s="42" t="str">
        <f>IFERROR(__xludf.DUMMYFUNCTION("vLOOKUP(A134,IMPORTRANGE(""https://docs.google.com/spreadsheets/d/1Rawwwdh8wntXGy8isdYNHxsNQS4n_rC8JSdPfj6vEq4"",""'500 объектов перенос на 2026'!A3:AB502""),14,0)"),"#REF!")</f>
        <v>#REF!</v>
      </c>
      <c r="AA134" s="42" t="s">
        <v>175</v>
      </c>
      <c r="AB134" s="43"/>
    </row>
    <row r="135">
      <c r="A135" s="62" t="s">
        <v>1012</v>
      </c>
      <c r="B135" s="63" t="s">
        <v>998</v>
      </c>
      <c r="C135" s="64" t="s">
        <v>1013</v>
      </c>
      <c r="D135" s="64" t="s">
        <v>59</v>
      </c>
      <c r="E135" s="64">
        <v>8.4</v>
      </c>
      <c r="F135" s="288"/>
      <c r="G135" s="288"/>
      <c r="H135" s="64" t="s">
        <v>3512</v>
      </c>
      <c r="I135" s="64">
        <v>2024.0</v>
      </c>
      <c r="J135" s="64">
        <v>2025.0</v>
      </c>
      <c r="K135" s="287">
        <v>1.0</v>
      </c>
      <c r="L135" s="292" t="s">
        <v>3528</v>
      </c>
      <c r="M135" s="285" t="s">
        <v>3805</v>
      </c>
      <c r="N135" s="35" t="s">
        <v>3806</v>
      </c>
      <c r="O135" s="35" t="s">
        <v>3807</v>
      </c>
      <c r="P135" s="35" t="s">
        <v>113</v>
      </c>
      <c r="Q135" s="38"/>
      <c r="R135" s="38" t="s">
        <v>115</v>
      </c>
      <c r="S135" s="38" t="s">
        <v>284</v>
      </c>
      <c r="T135" s="39">
        <v>111559.023</v>
      </c>
      <c r="U135" s="39">
        <v>106478.7956</v>
      </c>
      <c r="V135" s="39">
        <v>5080.22744</v>
      </c>
      <c r="W135" s="57" t="s">
        <v>1015</v>
      </c>
      <c r="X135" s="42" t="s">
        <v>284</v>
      </c>
      <c r="Y135" s="42" t="str">
        <f>IFERROR(__xludf.DUMMYFUNCTION("vLOOKUP(A135,IMPORTRANGE(""https://docs.google.com/spreadsheets/d/1Rawwwdh8wntXGy8isdYNHxsNQS4n_rC8JSdPfj6vEq4"",""'500 объектов перенос на 2026'!A3:AB502""),13,0)"),"#REF!")</f>
        <v>#REF!</v>
      </c>
      <c r="Z135" s="42" t="str">
        <f>IFERROR(__xludf.DUMMYFUNCTION("vLOOKUP(A135,IMPORTRANGE(""https://docs.google.com/spreadsheets/d/1Rawwwdh8wntXGy8isdYNHxsNQS4n_rC8JSdPfj6vEq4"",""'500 объектов перенос на 2026'!A3:AB502""),14,0)"),"#REF!")</f>
        <v>#REF!</v>
      </c>
      <c r="AA135" s="42" t="s">
        <v>175</v>
      </c>
      <c r="AB135" s="43"/>
    </row>
    <row r="136">
      <c r="A136" s="62" t="s">
        <v>1016</v>
      </c>
      <c r="B136" s="63" t="s">
        <v>605</v>
      </c>
      <c r="C136" s="64" t="s">
        <v>1017</v>
      </c>
      <c r="D136" s="64" t="s">
        <v>85</v>
      </c>
      <c r="E136" s="288"/>
      <c r="F136" s="288"/>
      <c r="G136" s="291" t="s">
        <v>3808</v>
      </c>
      <c r="H136" s="64" t="s">
        <v>3593</v>
      </c>
      <c r="I136" s="64">
        <v>2023.0</v>
      </c>
      <c r="J136" s="64">
        <v>2026.0</v>
      </c>
      <c r="K136" s="287">
        <v>0.98</v>
      </c>
      <c r="L136" s="288"/>
      <c r="M136" s="285" t="s">
        <v>3809</v>
      </c>
      <c r="N136" s="35">
        <v>0.0</v>
      </c>
      <c r="O136" s="35" t="s">
        <v>3809</v>
      </c>
      <c r="P136" s="35" t="s">
        <v>507</v>
      </c>
      <c r="Q136" s="37">
        <v>46265.0</v>
      </c>
      <c r="R136" s="56"/>
      <c r="S136" s="38" t="s">
        <v>3810</v>
      </c>
      <c r="T136" s="39">
        <v>640326.85</v>
      </c>
      <c r="U136" s="39">
        <v>452023.6057</v>
      </c>
      <c r="V136" s="40">
        <v>188303.2444</v>
      </c>
      <c r="W136" s="99" t="s">
        <v>1021</v>
      </c>
      <c r="X136" s="85"/>
      <c r="Y136" s="42" t="str">
        <f>IFERROR(__xludf.DUMMYFUNCTION("vLOOKUP(A136,IMPORTRANGE(""https://docs.google.com/spreadsheets/d/1Rawwwdh8wntXGy8isdYNHxsNQS4n_rC8JSdPfj6vEq4"",""'500 объектов перенос на 2026'!A3:AB502""),13,0)"),"#REF!")</f>
        <v>#REF!</v>
      </c>
      <c r="Z136" s="42" t="str">
        <f>IFERROR(__xludf.DUMMYFUNCTION("vLOOKUP(A136,IMPORTRANGE(""https://docs.google.com/spreadsheets/d/1Rawwwdh8wntXGy8isdYNHxsNQS4n_rC8JSdPfj6vEq4"",""'500 объектов перенос на 2026'!A3:AB502""),14,0)"),"#REF!")</f>
        <v>#REF!</v>
      </c>
      <c r="AA136" s="85" t="s">
        <v>2104</v>
      </c>
      <c r="AB136" s="43"/>
    </row>
    <row r="137">
      <c r="A137" s="62" t="s">
        <v>2355</v>
      </c>
      <c r="B137" s="63" t="s">
        <v>605</v>
      </c>
      <c r="C137" s="64" t="s">
        <v>2356</v>
      </c>
      <c r="D137" s="64" t="s">
        <v>85</v>
      </c>
      <c r="E137" s="288"/>
      <c r="F137" s="64">
        <v>200.0</v>
      </c>
      <c r="G137" s="64">
        <v>200.0</v>
      </c>
      <c r="H137" s="64" t="s">
        <v>3527</v>
      </c>
      <c r="I137" s="64">
        <v>2024.0</v>
      </c>
      <c r="J137" s="64">
        <v>2026.0</v>
      </c>
      <c r="K137" s="288"/>
      <c r="L137" s="288"/>
      <c r="M137" s="285" t="s">
        <v>437</v>
      </c>
      <c r="N137" s="35">
        <v>0.0</v>
      </c>
      <c r="O137" s="35" t="s">
        <v>3568</v>
      </c>
      <c r="P137" s="35" t="s">
        <v>49</v>
      </c>
      <c r="Q137" s="37">
        <v>46265.0</v>
      </c>
      <c r="R137" s="56"/>
      <c r="S137" s="38" t="s">
        <v>1214</v>
      </c>
      <c r="T137" s="39">
        <v>13851.0</v>
      </c>
      <c r="U137" s="39">
        <v>3906.5623</v>
      </c>
      <c r="V137" s="40">
        <v>9944.4377</v>
      </c>
      <c r="W137" s="99" t="s">
        <v>2360</v>
      </c>
      <c r="X137" s="85"/>
      <c r="Y137" s="42" t="str">
        <f>IFERROR(__xludf.DUMMYFUNCTION("vLOOKUP(A137,IMPORTRANGE(""https://docs.google.com/spreadsheets/d/1Rawwwdh8wntXGy8isdYNHxsNQS4n_rC8JSdPfj6vEq4"",""'500 объектов перенос на 2026'!A3:AB502""),13,0)"),"#REF!")</f>
        <v>#REF!</v>
      </c>
      <c r="Z137" s="42" t="str">
        <f>IFERROR(__xludf.DUMMYFUNCTION("vLOOKUP(A137,IMPORTRANGE(""https://docs.google.com/spreadsheets/d/1Rawwwdh8wntXGy8isdYNHxsNQS4n_rC8JSdPfj6vEq4"",""'500 объектов перенос на 2026'!A3:AB502""),14,0)"),"#REF!")</f>
        <v>#REF!</v>
      </c>
      <c r="AA137" s="85" t="s">
        <v>3811</v>
      </c>
      <c r="AB137" s="43"/>
    </row>
    <row r="138">
      <c r="A138" s="62" t="s">
        <v>2675</v>
      </c>
      <c r="B138" s="63" t="s">
        <v>605</v>
      </c>
      <c r="C138" s="64" t="s">
        <v>2676</v>
      </c>
      <c r="D138" s="64" t="s">
        <v>85</v>
      </c>
      <c r="E138" s="288"/>
      <c r="F138" s="64">
        <v>219.0</v>
      </c>
      <c r="G138" s="64">
        <v>170.0</v>
      </c>
      <c r="H138" s="64" t="s">
        <v>3527</v>
      </c>
      <c r="I138" s="64">
        <v>2024.0</v>
      </c>
      <c r="J138" s="64">
        <v>2026.0</v>
      </c>
      <c r="K138" s="288"/>
      <c r="L138" s="288"/>
      <c r="M138" s="285" t="s">
        <v>3812</v>
      </c>
      <c r="N138" s="35">
        <v>0.0</v>
      </c>
      <c r="O138" s="35" t="s">
        <v>3812</v>
      </c>
      <c r="P138" s="35" t="s">
        <v>1169</v>
      </c>
      <c r="Q138" s="37">
        <v>46265.0</v>
      </c>
      <c r="R138" s="56"/>
      <c r="S138" s="38" t="s">
        <v>1349</v>
      </c>
      <c r="T138" s="39">
        <v>12393.0</v>
      </c>
      <c r="U138" s="39">
        <v>6153.94659</v>
      </c>
      <c r="V138" s="40">
        <v>6239.05341</v>
      </c>
      <c r="W138" s="99" t="s">
        <v>2679</v>
      </c>
      <c r="X138" s="85"/>
      <c r="Y138" s="42" t="str">
        <f>IFERROR(__xludf.DUMMYFUNCTION("vLOOKUP(A138,IMPORTRANGE(""https://docs.google.com/spreadsheets/d/1Rawwwdh8wntXGy8isdYNHxsNQS4n_rC8JSdPfj6vEq4"",""'500 объектов перенос на 2026'!A3:AB502""),13,0)"),"#REF!")</f>
        <v>#REF!</v>
      </c>
      <c r="Z138" s="42" t="str">
        <f>IFERROR(__xludf.DUMMYFUNCTION("vLOOKUP(A138,IMPORTRANGE(""https://docs.google.com/spreadsheets/d/1Rawwwdh8wntXGy8isdYNHxsNQS4n_rC8JSdPfj6vEq4"",""'500 объектов перенос на 2026'!A3:AB502""),14,0)"),"#REF!")</f>
        <v>#REF!</v>
      </c>
      <c r="AA138" s="85" t="s">
        <v>3811</v>
      </c>
      <c r="AB138" s="43"/>
    </row>
    <row r="139">
      <c r="A139" s="62" t="s">
        <v>1493</v>
      </c>
      <c r="B139" s="63" t="s">
        <v>605</v>
      </c>
      <c r="C139" s="64" t="s">
        <v>1494</v>
      </c>
      <c r="D139" s="64" t="s">
        <v>85</v>
      </c>
      <c r="E139" s="288"/>
      <c r="F139" s="64">
        <v>219.0</v>
      </c>
      <c r="G139" s="64">
        <v>572.0</v>
      </c>
      <c r="H139" s="64" t="s">
        <v>3527</v>
      </c>
      <c r="I139" s="64">
        <v>2025.0</v>
      </c>
      <c r="J139" s="64">
        <v>2026.0</v>
      </c>
      <c r="K139" s="288"/>
      <c r="L139" s="288"/>
      <c r="M139" s="285" t="s">
        <v>437</v>
      </c>
      <c r="N139" s="35">
        <v>0.0</v>
      </c>
      <c r="O139" s="35" t="s">
        <v>3568</v>
      </c>
      <c r="P139" s="35" t="s">
        <v>46</v>
      </c>
      <c r="Q139" s="37">
        <v>46265.0</v>
      </c>
      <c r="R139" s="56"/>
      <c r="S139" s="38" t="s">
        <v>49</v>
      </c>
      <c r="T139" s="39">
        <v>42984.78</v>
      </c>
      <c r="U139" s="39">
        <v>12098.3004</v>
      </c>
      <c r="V139" s="40">
        <v>30886.4796</v>
      </c>
      <c r="W139" s="162" t="s">
        <v>1498</v>
      </c>
      <c r="X139" s="85"/>
      <c r="Y139" s="42" t="str">
        <f>IFERROR(__xludf.DUMMYFUNCTION("vLOOKUP(A139,IMPORTRANGE(""https://docs.google.com/spreadsheets/d/1Rawwwdh8wntXGy8isdYNHxsNQS4n_rC8JSdPfj6vEq4"",""'500 объектов перенос на 2026'!A3:AB502""),13,0)"),"#REF!")</f>
        <v>#REF!</v>
      </c>
      <c r="Z139" s="42" t="str">
        <f>IFERROR(__xludf.DUMMYFUNCTION("vLOOKUP(A139,IMPORTRANGE(""https://docs.google.com/spreadsheets/d/1Rawwwdh8wntXGy8isdYNHxsNQS4n_rC8JSdPfj6vEq4"",""'500 объектов перенос на 2026'!A3:AB502""),14,0)"),"#REF!")</f>
        <v>#REF!</v>
      </c>
      <c r="AA139" s="85" t="s">
        <v>3813</v>
      </c>
      <c r="AB139" s="43"/>
    </row>
    <row r="140">
      <c r="A140" s="62" t="s">
        <v>1665</v>
      </c>
      <c r="B140" s="63" t="s">
        <v>605</v>
      </c>
      <c r="C140" s="64" t="s">
        <v>1666</v>
      </c>
      <c r="D140" s="64" t="s">
        <v>39</v>
      </c>
      <c r="E140" s="64">
        <v>1.0</v>
      </c>
      <c r="F140" s="288"/>
      <c r="G140" s="288"/>
      <c r="H140" s="64" t="s">
        <v>3527</v>
      </c>
      <c r="I140" s="64">
        <v>2025.0</v>
      </c>
      <c r="J140" s="64">
        <v>2026.0</v>
      </c>
      <c r="K140" s="287">
        <v>0.94</v>
      </c>
      <c r="L140" s="288"/>
      <c r="M140" s="289" t="s">
        <v>3814</v>
      </c>
      <c r="N140" s="35">
        <v>0.0</v>
      </c>
      <c r="O140" s="35" t="s">
        <v>3520</v>
      </c>
      <c r="P140" s="35" t="s">
        <v>507</v>
      </c>
      <c r="Q140" s="37">
        <v>46265.0</v>
      </c>
      <c r="R140" s="56"/>
      <c r="S140" s="38"/>
      <c r="T140" s="39">
        <v>32858.71477</v>
      </c>
      <c r="U140" s="39">
        <v>9459.76111</v>
      </c>
      <c r="V140" s="40">
        <v>23398.95366</v>
      </c>
      <c r="W140" s="162" t="s">
        <v>1669</v>
      </c>
      <c r="X140" s="85"/>
      <c r="Y140" s="42" t="str">
        <f>IFERROR(__xludf.DUMMYFUNCTION("vLOOKUP(A140,IMPORTRANGE(""https://docs.google.com/spreadsheets/d/1Rawwwdh8wntXGy8isdYNHxsNQS4n_rC8JSdPfj6vEq4"",""'500 объектов перенос на 2026'!A3:AB502""),13,0)"),"#REF!")</f>
        <v>#REF!</v>
      </c>
      <c r="Z140" s="42" t="str">
        <f>IFERROR(__xludf.DUMMYFUNCTION("vLOOKUP(A140,IMPORTRANGE(""https://docs.google.com/spreadsheets/d/1Rawwwdh8wntXGy8isdYNHxsNQS4n_rC8JSdPfj6vEq4"",""'500 объектов перенос на 2026'!A3:AB502""),14,0)"),"#REF!")</f>
        <v>#REF!</v>
      </c>
      <c r="AA140" s="85" t="s">
        <v>3815</v>
      </c>
      <c r="AB140" s="43"/>
    </row>
    <row r="141">
      <c r="A141" s="62" t="s">
        <v>2738</v>
      </c>
      <c r="B141" s="63" t="s">
        <v>605</v>
      </c>
      <c r="C141" s="64" t="s">
        <v>2739</v>
      </c>
      <c r="D141" s="90" t="s">
        <v>85</v>
      </c>
      <c r="E141" s="288"/>
      <c r="F141" s="64" t="s">
        <v>3550</v>
      </c>
      <c r="G141" s="64">
        <v>103.0</v>
      </c>
      <c r="H141" s="64" t="s">
        <v>3593</v>
      </c>
      <c r="I141" s="64">
        <v>2025.0</v>
      </c>
      <c r="J141" s="64">
        <v>2026.0</v>
      </c>
      <c r="K141" s="287">
        <v>0.31</v>
      </c>
      <c r="L141" s="288"/>
      <c r="M141" s="285" t="s">
        <v>437</v>
      </c>
      <c r="N141" s="35">
        <v>0.0</v>
      </c>
      <c r="O141" s="35" t="s">
        <v>3568</v>
      </c>
      <c r="P141" s="35" t="s">
        <v>46</v>
      </c>
      <c r="Q141" s="37">
        <v>46265.0</v>
      </c>
      <c r="R141" s="56"/>
      <c r="S141" s="38" t="s">
        <v>3816</v>
      </c>
      <c r="T141" s="39">
        <v>7011.24</v>
      </c>
      <c r="U141" s="39">
        <v>1998.2</v>
      </c>
      <c r="V141" s="40">
        <v>5013.04</v>
      </c>
      <c r="W141" s="162" t="s">
        <v>2743</v>
      </c>
      <c r="X141" s="85"/>
      <c r="Y141" s="42" t="str">
        <f>IFERROR(__xludf.DUMMYFUNCTION("vLOOKUP(A141,IMPORTRANGE(""https://docs.google.com/spreadsheets/d/1Rawwwdh8wntXGy8isdYNHxsNQS4n_rC8JSdPfj6vEq4"",""'500 объектов перенос на 2026'!A3:AB502""),13,0)"),"#REF!")</f>
        <v>#REF!</v>
      </c>
      <c r="Z141" s="42" t="str">
        <f>IFERROR(__xludf.DUMMYFUNCTION("vLOOKUP(A141,IMPORTRANGE(""https://docs.google.com/spreadsheets/d/1Rawwwdh8wntXGy8isdYNHxsNQS4n_rC8JSdPfj6vEq4"",""'500 объектов перенос на 2026'!A3:AB502""),14,0)"),"#REF!")</f>
        <v>#REF!</v>
      </c>
      <c r="AA141" s="85" t="s">
        <v>3813</v>
      </c>
      <c r="AB141" s="43"/>
    </row>
    <row r="142">
      <c r="A142" s="62" t="s">
        <v>604</v>
      </c>
      <c r="B142" s="63" t="s">
        <v>605</v>
      </c>
      <c r="C142" s="64" t="s">
        <v>606</v>
      </c>
      <c r="D142" s="64" t="s">
        <v>85</v>
      </c>
      <c r="E142" s="288"/>
      <c r="F142" s="64" t="s">
        <v>3795</v>
      </c>
      <c r="G142" s="291" t="s">
        <v>3817</v>
      </c>
      <c r="H142" s="64" t="s">
        <v>3593</v>
      </c>
      <c r="I142" s="64">
        <v>2025.0</v>
      </c>
      <c r="J142" s="64">
        <v>2026.0</v>
      </c>
      <c r="K142" s="287">
        <v>0.94</v>
      </c>
      <c r="L142" s="288"/>
      <c r="M142" s="285" t="s">
        <v>3818</v>
      </c>
      <c r="N142" s="35">
        <v>0.0</v>
      </c>
      <c r="O142" s="35" t="s">
        <v>3818</v>
      </c>
      <c r="P142" s="35" t="s">
        <v>507</v>
      </c>
      <c r="Q142" s="37">
        <v>46265.0</v>
      </c>
      <c r="R142" s="56"/>
      <c r="S142" s="38"/>
      <c r="T142" s="39">
        <v>127937.789</v>
      </c>
      <c r="U142" s="39">
        <v>36462.26989</v>
      </c>
      <c r="V142" s="40">
        <v>91475.51911</v>
      </c>
      <c r="W142" s="99" t="s">
        <v>609</v>
      </c>
      <c r="X142" s="85"/>
      <c r="Y142" s="42" t="str">
        <f>IFERROR(__xludf.DUMMYFUNCTION("vLOOKUP(A142,IMPORTRANGE(""https://docs.google.com/spreadsheets/d/1Rawwwdh8wntXGy8isdYNHxsNQS4n_rC8JSdPfj6vEq4"",""'500 объектов перенос на 2026'!A3:AB502""),13,0)"),"#REF!")</f>
        <v>#REF!</v>
      </c>
      <c r="Z142" s="42" t="str">
        <f>IFERROR(__xludf.DUMMYFUNCTION("vLOOKUP(A142,IMPORTRANGE(""https://docs.google.com/spreadsheets/d/1Rawwwdh8wntXGy8isdYNHxsNQS4n_rC8JSdPfj6vEq4"",""'500 объектов перенос на 2026'!A3:AB502""),14,0)"),"#REF!")</f>
        <v>#REF!</v>
      </c>
      <c r="AA142" s="85" t="s">
        <v>3819</v>
      </c>
      <c r="AB142" s="43"/>
    </row>
    <row r="143">
      <c r="A143" s="62" t="s">
        <v>2711</v>
      </c>
      <c r="B143" s="63" t="s">
        <v>605</v>
      </c>
      <c r="C143" s="64" t="s">
        <v>2712</v>
      </c>
      <c r="D143" s="64" t="s">
        <v>85</v>
      </c>
      <c r="E143" s="288"/>
      <c r="F143" s="64" t="s">
        <v>3550</v>
      </c>
      <c r="G143" s="64">
        <v>205.0</v>
      </c>
      <c r="H143" s="64" t="s">
        <v>3593</v>
      </c>
      <c r="I143" s="64">
        <v>2025.0</v>
      </c>
      <c r="J143" s="64">
        <v>2026.0</v>
      </c>
      <c r="K143" s="287">
        <v>0.73</v>
      </c>
      <c r="L143" s="288"/>
      <c r="M143" s="285" t="s">
        <v>437</v>
      </c>
      <c r="N143" s="35">
        <v>0.0</v>
      </c>
      <c r="O143" s="35" t="s">
        <v>3568</v>
      </c>
      <c r="P143" s="35" t="s">
        <v>49</v>
      </c>
      <c r="Q143" s="37">
        <v>46280.0</v>
      </c>
      <c r="R143" s="56"/>
      <c r="S143" s="38" t="s">
        <v>1214</v>
      </c>
      <c r="T143" s="39">
        <v>10709.76</v>
      </c>
      <c r="U143" s="39">
        <v>5087.13512</v>
      </c>
      <c r="V143" s="40">
        <v>5622.62488</v>
      </c>
      <c r="W143" s="99" t="s">
        <v>2715</v>
      </c>
      <c r="X143" s="85"/>
      <c r="Y143" s="42" t="str">
        <f>IFERROR(__xludf.DUMMYFUNCTION("vLOOKUP(A143,IMPORTRANGE(""https://docs.google.com/spreadsheets/d/1Rawwwdh8wntXGy8isdYNHxsNQS4n_rC8JSdPfj6vEq4"",""'500 объектов перенос на 2026'!A3:AB502""),13,0)"),"#REF!")</f>
        <v>#REF!</v>
      </c>
      <c r="Z143" s="42" t="str">
        <f>IFERROR(__xludf.DUMMYFUNCTION("vLOOKUP(A143,IMPORTRANGE(""https://docs.google.com/spreadsheets/d/1Rawwwdh8wntXGy8isdYNHxsNQS4n_rC8JSdPfj6vEq4"",""'500 объектов перенос на 2026'!A3:AB502""),14,0)"),"#REF!")</f>
        <v>#REF!</v>
      </c>
      <c r="AA143" s="85" t="s">
        <v>3813</v>
      </c>
      <c r="AB143" s="43"/>
    </row>
    <row r="144">
      <c r="A144" s="62" t="s">
        <v>3070</v>
      </c>
      <c r="B144" s="63" t="s">
        <v>605</v>
      </c>
      <c r="C144" s="64" t="s">
        <v>3071</v>
      </c>
      <c r="D144" s="64" t="s">
        <v>85</v>
      </c>
      <c r="E144" s="288"/>
      <c r="F144" s="64" t="s">
        <v>3550</v>
      </c>
      <c r="G144" s="64">
        <v>50.0</v>
      </c>
      <c r="H144" s="64" t="s">
        <v>3593</v>
      </c>
      <c r="I144" s="64">
        <v>2025.0</v>
      </c>
      <c r="J144" s="64">
        <v>2026.0</v>
      </c>
      <c r="K144" s="287">
        <v>0.96</v>
      </c>
      <c r="L144" s="288"/>
      <c r="M144" s="285" t="s">
        <v>3820</v>
      </c>
      <c r="N144" s="35">
        <v>0.0</v>
      </c>
      <c r="O144" s="35" t="s">
        <v>3820</v>
      </c>
      <c r="P144" s="35" t="s">
        <v>49</v>
      </c>
      <c r="Q144" s="37">
        <v>46280.0</v>
      </c>
      <c r="R144" s="56"/>
      <c r="S144" s="38"/>
      <c r="T144" s="39">
        <v>2589.28</v>
      </c>
      <c r="U144" s="39">
        <v>727.68257</v>
      </c>
      <c r="V144" s="40">
        <v>1861.59743</v>
      </c>
      <c r="W144" s="99" t="s">
        <v>3074</v>
      </c>
      <c r="X144" s="85"/>
      <c r="Y144" s="42" t="str">
        <f>IFERROR(__xludf.DUMMYFUNCTION("vLOOKUP(A144,IMPORTRANGE(""https://docs.google.com/spreadsheets/d/1Rawwwdh8wntXGy8isdYNHxsNQS4n_rC8JSdPfj6vEq4"",""'500 объектов перенос на 2026'!A3:AB502""),13,0)"),"#REF!")</f>
        <v>#REF!</v>
      </c>
      <c r="Z144" s="42" t="str">
        <f>IFERROR(__xludf.DUMMYFUNCTION("vLOOKUP(A144,IMPORTRANGE(""https://docs.google.com/spreadsheets/d/1Rawwwdh8wntXGy8isdYNHxsNQS4n_rC8JSdPfj6vEq4"",""'500 объектов перенос на 2026'!A3:AB502""),14,0)"),"#REF!")</f>
        <v>#REF!</v>
      </c>
      <c r="AA144" s="85" t="s">
        <v>3813</v>
      </c>
      <c r="AB144" s="43"/>
    </row>
    <row r="145">
      <c r="A145" s="62" t="s">
        <v>2028</v>
      </c>
      <c r="B145" s="63" t="s">
        <v>605</v>
      </c>
      <c r="C145" s="64" t="s">
        <v>2029</v>
      </c>
      <c r="D145" s="64" t="s">
        <v>85</v>
      </c>
      <c r="E145" s="288"/>
      <c r="F145" s="64" t="s">
        <v>3795</v>
      </c>
      <c r="G145" s="64">
        <v>291.2</v>
      </c>
      <c r="H145" s="64" t="s">
        <v>3593</v>
      </c>
      <c r="I145" s="64">
        <v>2025.0</v>
      </c>
      <c r="J145" s="64">
        <v>2026.0</v>
      </c>
      <c r="K145" s="287">
        <v>0.79</v>
      </c>
      <c r="L145" s="288"/>
      <c r="M145" s="285" t="s">
        <v>437</v>
      </c>
      <c r="N145" s="35">
        <v>0.0</v>
      </c>
      <c r="O145" s="35" t="s">
        <v>3568</v>
      </c>
      <c r="P145" s="35" t="s">
        <v>49</v>
      </c>
      <c r="Q145" s="37">
        <v>46280.0</v>
      </c>
      <c r="R145" s="56"/>
      <c r="S145" s="38" t="s">
        <v>3821</v>
      </c>
      <c r="T145" s="39">
        <v>22028.299</v>
      </c>
      <c r="U145" s="39">
        <v>6278.06</v>
      </c>
      <c r="V145" s="40">
        <v>15750.239</v>
      </c>
      <c r="W145" s="99" t="s">
        <v>2032</v>
      </c>
      <c r="X145" s="85"/>
      <c r="Y145" s="42" t="str">
        <f>IFERROR(__xludf.DUMMYFUNCTION("vLOOKUP(A145,IMPORTRANGE(""https://docs.google.com/spreadsheets/d/1Rawwwdh8wntXGy8isdYNHxsNQS4n_rC8JSdPfj6vEq4"",""'500 объектов перенос на 2026'!A3:AB502""),13,0)"),"#REF!")</f>
        <v>#REF!</v>
      </c>
      <c r="Z145" s="42" t="str">
        <f>IFERROR(__xludf.DUMMYFUNCTION("vLOOKUP(A145,IMPORTRANGE(""https://docs.google.com/spreadsheets/d/1Rawwwdh8wntXGy8isdYNHxsNQS4n_rC8JSdPfj6vEq4"",""'500 объектов перенос на 2026'!A3:AB502""),14,0)"),"#REF!")</f>
        <v>#REF!</v>
      </c>
      <c r="AA145" s="85" t="s">
        <v>3813</v>
      </c>
      <c r="AB145" s="43"/>
    </row>
    <row r="146">
      <c r="A146" s="62" t="s">
        <v>2143</v>
      </c>
      <c r="B146" s="63" t="s">
        <v>605</v>
      </c>
      <c r="C146" s="64" t="s">
        <v>2144</v>
      </c>
      <c r="D146" s="64" t="s">
        <v>85</v>
      </c>
      <c r="E146" s="288"/>
      <c r="F146" s="64">
        <v>400.0</v>
      </c>
      <c r="G146" s="64">
        <v>188.9</v>
      </c>
      <c r="H146" s="64" t="s">
        <v>3593</v>
      </c>
      <c r="I146" s="64">
        <v>2025.0</v>
      </c>
      <c r="J146" s="64">
        <v>2026.0</v>
      </c>
      <c r="K146" s="287">
        <v>0.9</v>
      </c>
      <c r="L146" s="288"/>
      <c r="M146" s="285" t="s">
        <v>437</v>
      </c>
      <c r="N146" s="35">
        <v>0.0</v>
      </c>
      <c r="O146" s="35" t="s">
        <v>3568</v>
      </c>
      <c r="P146" s="35" t="s">
        <v>49</v>
      </c>
      <c r="Q146" s="37">
        <v>46280.0</v>
      </c>
      <c r="R146" s="56"/>
      <c r="S146" s="38"/>
      <c r="T146" s="39">
        <v>25831.28</v>
      </c>
      <c r="U146" s="39">
        <v>12269.85734</v>
      </c>
      <c r="V146" s="40">
        <v>13561.42266</v>
      </c>
      <c r="W146" s="99" t="s">
        <v>2147</v>
      </c>
      <c r="X146" s="85"/>
      <c r="Y146" s="42" t="str">
        <f>IFERROR(__xludf.DUMMYFUNCTION("vLOOKUP(A146,IMPORTRANGE(""https://docs.google.com/spreadsheets/d/1Rawwwdh8wntXGy8isdYNHxsNQS4n_rC8JSdPfj6vEq4"",""'500 объектов перенос на 2026'!A3:AB502""),13,0)"),"#REF!")</f>
        <v>#REF!</v>
      </c>
      <c r="Z146" s="42" t="str">
        <f>IFERROR(__xludf.DUMMYFUNCTION("vLOOKUP(A146,IMPORTRANGE(""https://docs.google.com/spreadsheets/d/1Rawwwdh8wntXGy8isdYNHxsNQS4n_rC8JSdPfj6vEq4"",""'500 объектов перенос на 2026'!A3:AB502""),14,0)"),"#REF!")</f>
        <v>#REF!</v>
      </c>
      <c r="AA146" s="85" t="s">
        <v>3813</v>
      </c>
      <c r="AB146" s="43"/>
    </row>
    <row r="147">
      <c r="A147" s="62" t="s">
        <v>2533</v>
      </c>
      <c r="B147" s="63" t="s">
        <v>605</v>
      </c>
      <c r="C147" s="64" t="s">
        <v>2534</v>
      </c>
      <c r="D147" s="64" t="s">
        <v>85</v>
      </c>
      <c r="E147" s="288"/>
      <c r="F147" s="64" t="s">
        <v>3550</v>
      </c>
      <c r="G147" s="64">
        <v>170.0</v>
      </c>
      <c r="H147" s="64" t="s">
        <v>3593</v>
      </c>
      <c r="I147" s="64">
        <v>2025.0</v>
      </c>
      <c r="J147" s="64">
        <v>2026.0</v>
      </c>
      <c r="K147" s="287">
        <v>0.76</v>
      </c>
      <c r="L147" s="288"/>
      <c r="M147" s="285" t="s">
        <v>437</v>
      </c>
      <c r="N147" s="35">
        <v>0.0</v>
      </c>
      <c r="O147" s="35" t="s">
        <v>3568</v>
      </c>
      <c r="P147" s="35" t="s">
        <v>49</v>
      </c>
      <c r="Q147" s="37">
        <v>46280.0</v>
      </c>
      <c r="R147" s="56"/>
      <c r="S147" s="38" t="s">
        <v>1214</v>
      </c>
      <c r="T147" s="39">
        <v>10994.92</v>
      </c>
      <c r="U147" s="39">
        <v>3133.55</v>
      </c>
      <c r="V147" s="40">
        <v>7861.37</v>
      </c>
      <c r="W147" s="99" t="s">
        <v>2537</v>
      </c>
      <c r="X147" s="85"/>
      <c r="Y147" s="42" t="str">
        <f>IFERROR(__xludf.DUMMYFUNCTION("vLOOKUP(A147,IMPORTRANGE(""https://docs.google.com/spreadsheets/d/1Rawwwdh8wntXGy8isdYNHxsNQS4n_rC8JSdPfj6vEq4"",""'500 объектов перенос на 2026'!A3:AB502""),13,0)"),"#REF!")</f>
        <v>#REF!</v>
      </c>
      <c r="Z147" s="42" t="str">
        <f>IFERROR(__xludf.DUMMYFUNCTION("vLOOKUP(A147,IMPORTRANGE(""https://docs.google.com/spreadsheets/d/1Rawwwdh8wntXGy8isdYNHxsNQS4n_rC8JSdPfj6vEq4"",""'500 объектов перенос на 2026'!A3:AB502""),14,0)"),"#REF!")</f>
        <v>#REF!</v>
      </c>
      <c r="AA147" s="85" t="s">
        <v>3813</v>
      </c>
      <c r="AB147" s="43"/>
    </row>
    <row r="148">
      <c r="A148" s="62" t="s">
        <v>1208</v>
      </c>
      <c r="B148" s="63" t="s">
        <v>605</v>
      </c>
      <c r="C148" s="64" t="s">
        <v>1209</v>
      </c>
      <c r="D148" s="64" t="s">
        <v>85</v>
      </c>
      <c r="E148" s="288"/>
      <c r="F148" s="64" t="s">
        <v>3550</v>
      </c>
      <c r="G148" s="64">
        <v>850.0</v>
      </c>
      <c r="H148" s="64" t="s">
        <v>3512</v>
      </c>
      <c r="I148" s="64">
        <v>2025.0</v>
      </c>
      <c r="J148" s="64">
        <v>2026.0</v>
      </c>
      <c r="K148" s="287">
        <v>0.97</v>
      </c>
      <c r="L148" s="288"/>
      <c r="M148" s="285" t="s">
        <v>437</v>
      </c>
      <c r="N148" s="35">
        <v>0.0</v>
      </c>
      <c r="O148" s="35" t="s">
        <v>3568</v>
      </c>
      <c r="P148" s="35" t="s">
        <v>49</v>
      </c>
      <c r="Q148" s="37">
        <v>46280.0</v>
      </c>
      <c r="R148" s="56"/>
      <c r="S148" s="38" t="s">
        <v>3821</v>
      </c>
      <c r="T148" s="39">
        <v>59550.0</v>
      </c>
      <c r="U148" s="39">
        <v>17865.0</v>
      </c>
      <c r="V148" s="40">
        <v>41685.0</v>
      </c>
      <c r="W148" s="99" t="s">
        <v>1215</v>
      </c>
      <c r="X148" s="85"/>
      <c r="Y148" s="42" t="str">
        <f>IFERROR(__xludf.DUMMYFUNCTION("vLOOKUP(A148,IMPORTRANGE(""https://docs.google.com/spreadsheets/d/1Rawwwdh8wntXGy8isdYNHxsNQS4n_rC8JSdPfj6vEq4"",""'500 объектов перенос на 2026'!A3:AB502""),13,0)"),"#REF!")</f>
        <v>#REF!</v>
      </c>
      <c r="Z148" s="42" t="str">
        <f>IFERROR(__xludf.DUMMYFUNCTION("vLOOKUP(A148,IMPORTRANGE(""https://docs.google.com/spreadsheets/d/1Rawwwdh8wntXGy8isdYNHxsNQS4n_rC8JSdPfj6vEq4"",""'500 объектов перенос на 2026'!A3:AB502""),14,0)"),"#REF!")</f>
        <v>#REF!</v>
      </c>
      <c r="AA148" s="85" t="s">
        <v>3822</v>
      </c>
      <c r="AB148" s="43"/>
    </row>
    <row r="149">
      <c r="A149" s="62" t="s">
        <v>1553</v>
      </c>
      <c r="B149" s="63" t="s">
        <v>605</v>
      </c>
      <c r="C149" s="64" t="s">
        <v>1554</v>
      </c>
      <c r="D149" s="64" t="s">
        <v>85</v>
      </c>
      <c r="E149" s="288"/>
      <c r="F149" s="64" t="s">
        <v>3550</v>
      </c>
      <c r="G149" s="64">
        <v>604.0</v>
      </c>
      <c r="H149" s="64" t="s">
        <v>3512</v>
      </c>
      <c r="I149" s="64">
        <v>2025.0</v>
      </c>
      <c r="J149" s="64">
        <v>2026.0</v>
      </c>
      <c r="K149" s="287">
        <v>0.79</v>
      </c>
      <c r="L149" s="288"/>
      <c r="M149" s="285" t="s">
        <v>437</v>
      </c>
      <c r="N149" s="35">
        <v>0.0</v>
      </c>
      <c r="O149" s="35" t="s">
        <v>3568</v>
      </c>
      <c r="P149" s="35" t="s">
        <v>49</v>
      </c>
      <c r="Q149" s="37">
        <v>46280.0</v>
      </c>
      <c r="R149" s="56"/>
      <c r="S149" s="38" t="s">
        <v>1557</v>
      </c>
      <c r="T149" s="39">
        <v>39064.28</v>
      </c>
      <c r="U149" s="39">
        <v>11133.32</v>
      </c>
      <c r="V149" s="40">
        <v>27930.96</v>
      </c>
      <c r="W149" s="99" t="s">
        <v>1558</v>
      </c>
      <c r="X149" s="85"/>
      <c r="Y149" s="42" t="str">
        <f>IFERROR(__xludf.DUMMYFUNCTION("vLOOKUP(A149,IMPORTRANGE(""https://docs.google.com/spreadsheets/d/1Rawwwdh8wntXGy8isdYNHxsNQS4n_rC8JSdPfj6vEq4"",""'500 объектов перенос на 2026'!A3:AB502""),13,0)"),"#REF!")</f>
        <v>#REF!</v>
      </c>
      <c r="Z149" s="42" t="str">
        <f>IFERROR(__xludf.DUMMYFUNCTION("vLOOKUP(A149,IMPORTRANGE(""https://docs.google.com/spreadsheets/d/1Rawwwdh8wntXGy8isdYNHxsNQS4n_rC8JSdPfj6vEq4"",""'500 объектов перенос на 2026'!A3:AB502""),14,0)"),"#REF!")</f>
        <v>#REF!</v>
      </c>
      <c r="AA149" s="85" t="s">
        <v>3813</v>
      </c>
      <c r="AB149" s="43"/>
    </row>
    <row r="150">
      <c r="A150" s="62" t="s">
        <v>1123</v>
      </c>
      <c r="B150" s="63" t="s">
        <v>605</v>
      </c>
      <c r="C150" s="64" t="s">
        <v>1124</v>
      </c>
      <c r="D150" s="64" t="s">
        <v>39</v>
      </c>
      <c r="E150" s="64">
        <v>4.0</v>
      </c>
      <c r="F150" s="288"/>
      <c r="G150" s="288"/>
      <c r="H150" s="64" t="s">
        <v>3527</v>
      </c>
      <c r="I150" s="64">
        <v>2024.0</v>
      </c>
      <c r="J150" s="64">
        <v>2026.0</v>
      </c>
      <c r="K150" s="287">
        <v>0.95</v>
      </c>
      <c r="L150" s="292" t="s">
        <v>3528</v>
      </c>
      <c r="M150" s="289" t="s">
        <v>3823</v>
      </c>
      <c r="N150" s="35">
        <v>0.0</v>
      </c>
      <c r="O150" s="35" t="s">
        <v>3520</v>
      </c>
      <c r="P150" s="35" t="s">
        <v>113</v>
      </c>
      <c r="Q150" s="38"/>
      <c r="R150" s="56"/>
      <c r="S150" s="38"/>
      <c r="T150" s="39">
        <v>94565.59</v>
      </c>
      <c r="U150" s="39">
        <v>92301.79089</v>
      </c>
      <c r="V150" s="39">
        <v>2263.79911</v>
      </c>
      <c r="W150" s="99" t="s">
        <v>1129</v>
      </c>
      <c r="X150" s="85"/>
      <c r="Y150" s="42" t="str">
        <f>IFERROR(__xludf.DUMMYFUNCTION("vLOOKUP(A150,IMPORTRANGE(""https://docs.google.com/spreadsheets/d/1Rawwwdh8wntXGy8isdYNHxsNQS4n_rC8JSdPfj6vEq4"",""'500 объектов перенос на 2026'!A3:AB502""),13,0)"),"#REF!")</f>
        <v>#REF!</v>
      </c>
      <c r="Z150" s="42" t="str">
        <f>IFERROR(__xludf.DUMMYFUNCTION("vLOOKUP(A150,IMPORTRANGE(""https://docs.google.com/spreadsheets/d/1Rawwwdh8wntXGy8isdYNHxsNQS4n_rC8JSdPfj6vEq4"",""'500 объектов перенос на 2026'!A3:AB502""),14,0)"),"#REF!")</f>
        <v>#REF!</v>
      </c>
      <c r="AA150" s="42" t="s">
        <v>175</v>
      </c>
      <c r="AB150" s="43"/>
    </row>
    <row r="151">
      <c r="A151" s="62" t="s">
        <v>749</v>
      </c>
      <c r="B151" s="63" t="s">
        <v>605</v>
      </c>
      <c r="C151" s="64" t="s">
        <v>750</v>
      </c>
      <c r="D151" s="64" t="s">
        <v>39</v>
      </c>
      <c r="E151" s="64">
        <v>6.0</v>
      </c>
      <c r="F151" s="288"/>
      <c r="G151" s="288"/>
      <c r="H151" s="64" t="s">
        <v>3527</v>
      </c>
      <c r="I151" s="64">
        <v>2024.0</v>
      </c>
      <c r="J151" s="64">
        <v>2026.0</v>
      </c>
      <c r="K151" s="287">
        <v>0.82</v>
      </c>
      <c r="L151" s="288"/>
      <c r="M151" s="285" t="s">
        <v>437</v>
      </c>
      <c r="N151" s="35">
        <v>0.0</v>
      </c>
      <c r="O151" s="35" t="s">
        <v>3568</v>
      </c>
      <c r="P151" s="35" t="s">
        <v>49</v>
      </c>
      <c r="Q151" s="37">
        <v>46280.0</v>
      </c>
      <c r="R151" s="56"/>
      <c r="S151" s="38" t="s">
        <v>46</v>
      </c>
      <c r="T151" s="39">
        <v>149221.02</v>
      </c>
      <c r="U151" s="39">
        <v>59950.0</v>
      </c>
      <c r="V151" s="40">
        <v>89271.02</v>
      </c>
      <c r="W151" s="99" t="s">
        <v>755</v>
      </c>
      <c r="X151" s="85"/>
      <c r="Y151" s="42" t="str">
        <f>IFERROR(__xludf.DUMMYFUNCTION("vLOOKUP(A151,IMPORTRANGE(""https://docs.google.com/spreadsheets/d/1Rawwwdh8wntXGy8isdYNHxsNQS4n_rC8JSdPfj6vEq4"",""'500 объектов перенос на 2026'!A3:AB502""),13,0)"),"#REF!")</f>
        <v>#REF!</v>
      </c>
      <c r="Z151" s="42" t="str">
        <f>IFERROR(__xludf.DUMMYFUNCTION("vLOOKUP(A151,IMPORTRANGE(""https://docs.google.com/spreadsheets/d/1Rawwwdh8wntXGy8isdYNHxsNQS4n_rC8JSdPfj6vEq4"",""'500 объектов перенос на 2026'!A3:AB502""),14,0)"),"#REF!")</f>
        <v>#REF!</v>
      </c>
      <c r="AA151" s="85" t="s">
        <v>3822</v>
      </c>
      <c r="AB151" s="43"/>
    </row>
    <row r="152">
      <c r="A152" s="62" t="s">
        <v>1030</v>
      </c>
      <c r="B152" s="63" t="s">
        <v>133</v>
      </c>
      <c r="C152" s="64" t="s">
        <v>1031</v>
      </c>
      <c r="D152" s="64" t="s">
        <v>59</v>
      </c>
      <c r="E152" s="64">
        <v>1.4</v>
      </c>
      <c r="F152" s="288"/>
      <c r="G152" s="288"/>
      <c r="H152" s="64" t="s">
        <v>3593</v>
      </c>
      <c r="I152" s="64">
        <v>2024.0</v>
      </c>
      <c r="J152" s="64">
        <v>2026.0</v>
      </c>
      <c r="K152" s="287">
        <v>0.95</v>
      </c>
      <c r="L152" s="288"/>
      <c r="M152" s="285" t="s">
        <v>3824</v>
      </c>
      <c r="N152" s="35">
        <v>0.0</v>
      </c>
      <c r="O152" s="35" t="s">
        <v>3824</v>
      </c>
      <c r="P152" s="35" t="s">
        <v>507</v>
      </c>
      <c r="Q152" s="37">
        <v>46142.0</v>
      </c>
      <c r="R152" s="56"/>
      <c r="S152" s="38"/>
      <c r="T152" s="39">
        <v>39300.0</v>
      </c>
      <c r="U152" s="39">
        <v>11200.50089</v>
      </c>
      <c r="V152" s="40">
        <v>28099.49911</v>
      </c>
      <c r="W152" s="57" t="s">
        <v>1035</v>
      </c>
      <c r="X152" s="42" t="s">
        <v>1036</v>
      </c>
      <c r="Y152" s="42" t="str">
        <f>IFERROR(__xludf.DUMMYFUNCTION("vLOOKUP(A152,IMPORTRANGE(""https://docs.google.com/spreadsheets/d/1Rawwwdh8wntXGy8isdYNHxsNQS4n_rC8JSdPfj6vEq4"",""'500 объектов перенос на 2026'!A3:AB502""),13,0)"),"#REF!")</f>
        <v>#REF!</v>
      </c>
      <c r="Z152" s="42" t="str">
        <f>IFERROR(__xludf.DUMMYFUNCTION("vLOOKUP(A152,IMPORTRANGE(""https://docs.google.com/spreadsheets/d/1Rawwwdh8wntXGy8isdYNHxsNQS4n_rC8JSdPfj6vEq4"",""'500 объектов перенос на 2026'!A3:AB502""),14,0)"),"#REF!")</f>
        <v>#REF!</v>
      </c>
      <c r="AA152" s="85" t="s">
        <v>3825</v>
      </c>
      <c r="AB152" s="43"/>
    </row>
    <row r="153">
      <c r="A153" s="62" t="s">
        <v>1202</v>
      </c>
      <c r="B153" s="111" t="s">
        <v>133</v>
      </c>
      <c r="C153" s="64" t="s">
        <v>1203</v>
      </c>
      <c r="D153" s="64" t="s">
        <v>39</v>
      </c>
      <c r="E153" s="64">
        <v>13.0</v>
      </c>
      <c r="F153" s="288"/>
      <c r="G153" s="288"/>
      <c r="H153" s="64" t="s">
        <v>3527</v>
      </c>
      <c r="I153" s="64">
        <v>2022.0</v>
      </c>
      <c r="J153" s="64">
        <v>2026.0</v>
      </c>
      <c r="K153" s="287">
        <v>0.7</v>
      </c>
      <c r="L153" s="288"/>
      <c r="M153" s="285" t="s">
        <v>3568</v>
      </c>
      <c r="N153" s="35" t="s">
        <v>3568</v>
      </c>
      <c r="O153" s="35" t="s">
        <v>3568</v>
      </c>
      <c r="P153" s="35" t="s">
        <v>409</v>
      </c>
      <c r="Q153" s="38" t="s">
        <v>11</v>
      </c>
      <c r="R153" s="56"/>
      <c r="S153" s="38" t="s">
        <v>1205</v>
      </c>
      <c r="T153" s="39">
        <v>154740.1178</v>
      </c>
      <c r="U153" s="39">
        <v>82435.32444</v>
      </c>
      <c r="V153" s="40">
        <v>72304.79336</v>
      </c>
      <c r="W153" s="57" t="s">
        <v>1206</v>
      </c>
      <c r="X153" s="42" t="s">
        <v>284</v>
      </c>
      <c r="Y153" s="42" t="str">
        <f>IFERROR(__xludf.DUMMYFUNCTION("vLOOKUP(A153,IMPORTRANGE(""https://docs.google.com/spreadsheets/d/1Rawwwdh8wntXGy8isdYNHxsNQS4n_rC8JSdPfj6vEq4"",""'500 объектов перенос на 2026'!A3:AB502""),13,0)"),"#REF!")</f>
        <v>#REF!</v>
      </c>
      <c r="Z153" s="42" t="str">
        <f>IFERROR(__xludf.DUMMYFUNCTION("vLOOKUP(A153,IMPORTRANGE(""https://docs.google.com/spreadsheets/d/1Rawwwdh8wntXGy8isdYNHxsNQS4n_rC8JSdPfj6vEq4"",""'500 объектов перенос на 2026'!A3:AB502""),14,0)"),"#REF!")</f>
        <v>#REF!</v>
      </c>
      <c r="AA153" s="42" t="s">
        <v>284</v>
      </c>
      <c r="AB153" s="43"/>
    </row>
    <row r="154">
      <c r="A154" s="62" t="s">
        <v>1429</v>
      </c>
      <c r="B154" s="63" t="s">
        <v>133</v>
      </c>
      <c r="C154" s="64" t="s">
        <v>1430</v>
      </c>
      <c r="D154" s="64" t="s">
        <v>39</v>
      </c>
      <c r="E154" s="64">
        <v>2.5</v>
      </c>
      <c r="F154" s="288"/>
      <c r="G154" s="288"/>
      <c r="H154" s="64" t="s">
        <v>3527</v>
      </c>
      <c r="I154" s="64">
        <v>2024.0</v>
      </c>
      <c r="J154" s="64">
        <v>2026.0</v>
      </c>
      <c r="K154" s="287">
        <v>0.01</v>
      </c>
      <c r="L154" s="288"/>
      <c r="M154" s="285" t="s">
        <v>3568</v>
      </c>
      <c r="N154" s="35" t="s">
        <v>3568</v>
      </c>
      <c r="O154" s="35" t="s">
        <v>3568</v>
      </c>
      <c r="P154" s="35" t="s">
        <v>46</v>
      </c>
      <c r="Q154" s="83">
        <v>46305.0</v>
      </c>
      <c r="R154" s="56"/>
      <c r="S154" s="38"/>
      <c r="T154" s="39">
        <v>37817.45</v>
      </c>
      <c r="U154" s="39">
        <v>4140.27</v>
      </c>
      <c r="V154" s="40">
        <v>33677.18</v>
      </c>
      <c r="W154" s="57" t="s">
        <v>1433</v>
      </c>
      <c r="X154" s="42" t="s">
        <v>1434</v>
      </c>
      <c r="Y154" s="42" t="str">
        <f>IFERROR(__xludf.DUMMYFUNCTION("vLOOKUP(A154,IMPORTRANGE(""https://docs.google.com/spreadsheets/d/1Rawwwdh8wntXGy8isdYNHxsNQS4n_rC8JSdPfj6vEq4"",""'500 объектов перенос на 2026'!A3:AB502""),13,0)"),"#REF!")</f>
        <v>#REF!</v>
      </c>
      <c r="Z154" s="42" t="str">
        <f>IFERROR(__xludf.DUMMYFUNCTION("vLOOKUP(A154,IMPORTRANGE(""https://docs.google.com/spreadsheets/d/1Rawwwdh8wntXGy8isdYNHxsNQS4n_rC8JSdPfj6vEq4"",""'500 объектов перенос на 2026'!A3:AB502""),14,0)"),"#REF!")</f>
        <v>#REF!</v>
      </c>
      <c r="AA154" s="85" t="s">
        <v>1434</v>
      </c>
      <c r="AB154" s="43"/>
    </row>
    <row r="155">
      <c r="A155" s="62" t="s">
        <v>132</v>
      </c>
      <c r="B155" s="63" t="s">
        <v>133</v>
      </c>
      <c r="C155" s="64" t="s">
        <v>134</v>
      </c>
      <c r="D155" s="64" t="s">
        <v>85</v>
      </c>
      <c r="E155" s="288"/>
      <c r="F155" s="64" t="s">
        <v>3795</v>
      </c>
      <c r="G155" s="291" t="s">
        <v>3826</v>
      </c>
      <c r="H155" s="64" t="s">
        <v>3512</v>
      </c>
      <c r="I155" s="64">
        <v>2025.0</v>
      </c>
      <c r="J155" s="64">
        <v>2026.0</v>
      </c>
      <c r="K155" s="287">
        <v>0.22</v>
      </c>
      <c r="L155" s="288"/>
      <c r="M155" s="285" t="s">
        <v>3568</v>
      </c>
      <c r="N155" s="35" t="s">
        <v>3568</v>
      </c>
      <c r="O155" s="35" t="s">
        <v>3568</v>
      </c>
      <c r="P155" s="35" t="s">
        <v>46</v>
      </c>
      <c r="Q155" s="37">
        <v>46280.0</v>
      </c>
      <c r="R155" s="56"/>
      <c r="S155" s="38"/>
      <c r="T155" s="39">
        <v>297701.13</v>
      </c>
      <c r="U155" s="39">
        <v>0.0</v>
      </c>
      <c r="V155" s="40">
        <v>297701.13</v>
      </c>
      <c r="W155" s="57" t="s">
        <v>137</v>
      </c>
      <c r="X155" s="42" t="s">
        <v>138</v>
      </c>
      <c r="Y155" s="42" t="str">
        <f>IFERROR(__xludf.DUMMYFUNCTION("vLOOKUP(A155,IMPORTRANGE(""https://docs.google.com/spreadsheets/d/1Rawwwdh8wntXGy8isdYNHxsNQS4n_rC8JSdPfj6vEq4"",""'500 объектов перенос на 2026'!A3:AB502""),13,0)"),"#REF!")</f>
        <v>#REF!</v>
      </c>
      <c r="Z155" s="85" t="s">
        <v>3827</v>
      </c>
      <c r="AA155" s="85" t="s">
        <v>3828</v>
      </c>
      <c r="AB155" s="43"/>
    </row>
    <row r="156">
      <c r="A156" s="62" t="s">
        <v>1174</v>
      </c>
      <c r="B156" s="63" t="s">
        <v>133</v>
      </c>
      <c r="C156" s="64" t="s">
        <v>1175</v>
      </c>
      <c r="D156" s="64" t="s">
        <v>85</v>
      </c>
      <c r="E156" s="288"/>
      <c r="F156" s="64" t="s">
        <v>3795</v>
      </c>
      <c r="G156" s="64">
        <v>460.0</v>
      </c>
      <c r="H156" s="64" t="s">
        <v>3512</v>
      </c>
      <c r="I156" s="64">
        <v>2025.0</v>
      </c>
      <c r="J156" s="64">
        <v>2025.0</v>
      </c>
      <c r="K156" s="287">
        <v>1.0</v>
      </c>
      <c r="L156" s="292" t="s">
        <v>3528</v>
      </c>
      <c r="M156" s="289" t="s">
        <v>3829</v>
      </c>
      <c r="N156" s="35">
        <v>0.0</v>
      </c>
      <c r="O156" s="35" t="s">
        <v>3520</v>
      </c>
      <c r="P156" s="35" t="s">
        <v>113</v>
      </c>
      <c r="Q156" s="38" t="s">
        <v>11</v>
      </c>
      <c r="R156" s="38" t="s">
        <v>115</v>
      </c>
      <c r="S156" s="38"/>
      <c r="T156" s="39">
        <v>34675.76</v>
      </c>
      <c r="U156" s="39">
        <v>22088.84271</v>
      </c>
      <c r="V156" s="39">
        <v>12586.91729</v>
      </c>
      <c r="W156" s="57" t="s">
        <v>1176</v>
      </c>
      <c r="X156" s="42" t="s">
        <v>1177</v>
      </c>
      <c r="Y156" s="42" t="str">
        <f>IFERROR(__xludf.DUMMYFUNCTION("vLOOKUP(A156,IMPORTRANGE(""https://docs.google.com/spreadsheets/d/1Rawwwdh8wntXGy8isdYNHxsNQS4n_rC8JSdPfj6vEq4"",""'500 объектов перенос на 2026'!A3:AB502""),13,0)"),"#REF!")</f>
        <v>#REF!</v>
      </c>
      <c r="Z156" s="42" t="str">
        <f>IFERROR(__xludf.DUMMYFUNCTION("vLOOKUP(A156,IMPORTRANGE(""https://docs.google.com/spreadsheets/d/1Rawwwdh8wntXGy8isdYNHxsNQS4n_rC8JSdPfj6vEq4"",""'500 объектов перенос на 2026'!A3:AB502""),14,0)"),"#REF!")</f>
        <v>#REF!</v>
      </c>
      <c r="AA156" s="85" t="s">
        <v>3830</v>
      </c>
      <c r="AB156" s="43"/>
    </row>
    <row r="157">
      <c r="A157" s="62" t="s">
        <v>1178</v>
      </c>
      <c r="B157" s="63" t="s">
        <v>133</v>
      </c>
      <c r="C157" s="64" t="s">
        <v>1179</v>
      </c>
      <c r="D157" s="64" t="s">
        <v>85</v>
      </c>
      <c r="E157" s="288"/>
      <c r="F157" s="64" t="s">
        <v>3550</v>
      </c>
      <c r="G157" s="64">
        <v>651.5</v>
      </c>
      <c r="H157" s="64" t="s">
        <v>3512</v>
      </c>
      <c r="I157" s="64">
        <v>2024.0</v>
      </c>
      <c r="J157" s="64">
        <v>2025.0</v>
      </c>
      <c r="K157" s="287">
        <v>1.0</v>
      </c>
      <c r="L157" s="292" t="s">
        <v>3528</v>
      </c>
      <c r="M157" s="285" t="s">
        <v>3831</v>
      </c>
      <c r="N157" s="35">
        <v>0.0</v>
      </c>
      <c r="O157" s="35" t="s">
        <v>3831</v>
      </c>
      <c r="P157" s="35" t="s">
        <v>113</v>
      </c>
      <c r="Q157" s="38" t="s">
        <v>11</v>
      </c>
      <c r="R157" s="38" t="s">
        <v>115</v>
      </c>
      <c r="S157" s="38"/>
      <c r="T157" s="39">
        <v>34001.47</v>
      </c>
      <c r="U157" s="39">
        <v>34001.47483</v>
      </c>
      <c r="V157" s="39">
        <v>-0.00483</v>
      </c>
      <c r="W157" s="57" t="s">
        <v>1181</v>
      </c>
      <c r="X157" s="42" t="s">
        <v>1177</v>
      </c>
      <c r="Y157" s="42" t="str">
        <f>IFERROR(__xludf.DUMMYFUNCTION("vLOOKUP(A157,IMPORTRANGE(""https://docs.google.com/spreadsheets/d/1Rawwwdh8wntXGy8isdYNHxsNQS4n_rC8JSdPfj6vEq4"",""'500 объектов перенос на 2026'!A3:AB502""),13,0)"),"#REF!")</f>
        <v>#REF!</v>
      </c>
      <c r="Z157" s="42" t="str">
        <f>IFERROR(__xludf.DUMMYFUNCTION("vLOOKUP(A157,IMPORTRANGE(""https://docs.google.com/spreadsheets/d/1Rawwwdh8wntXGy8isdYNHxsNQS4n_rC8JSdPfj6vEq4"",""'500 объектов перенос на 2026'!A3:AB502""),14,0)"),"#REF!")</f>
        <v>#REF!</v>
      </c>
      <c r="AA157" s="85" t="s">
        <v>3830</v>
      </c>
      <c r="AB157" s="43"/>
    </row>
    <row r="158">
      <c r="A158" s="62" t="s">
        <v>1182</v>
      </c>
      <c r="B158" s="63" t="s">
        <v>133</v>
      </c>
      <c r="C158" s="64" t="s">
        <v>1183</v>
      </c>
      <c r="D158" s="64" t="s">
        <v>85</v>
      </c>
      <c r="E158" s="288"/>
      <c r="F158" s="64" t="s">
        <v>3832</v>
      </c>
      <c r="G158" s="64">
        <v>720.0</v>
      </c>
      <c r="H158" s="64" t="s">
        <v>3512</v>
      </c>
      <c r="I158" s="64">
        <v>2024.0</v>
      </c>
      <c r="J158" s="64">
        <v>2025.0</v>
      </c>
      <c r="K158" s="287">
        <v>1.0</v>
      </c>
      <c r="L158" s="292" t="s">
        <v>3528</v>
      </c>
      <c r="M158" s="285">
        <v>0.0</v>
      </c>
      <c r="N158" s="35">
        <v>0.0</v>
      </c>
      <c r="O158" s="35">
        <v>0.0</v>
      </c>
      <c r="P158" s="35" t="s">
        <v>113</v>
      </c>
      <c r="Q158" s="38" t="s">
        <v>11</v>
      </c>
      <c r="R158" s="38" t="s">
        <v>115</v>
      </c>
      <c r="S158" s="38"/>
      <c r="T158" s="39">
        <v>69753.6</v>
      </c>
      <c r="U158" s="39">
        <v>47381.80963</v>
      </c>
      <c r="V158" s="39">
        <v>22371.79037</v>
      </c>
      <c r="W158" s="57" t="s">
        <v>1185</v>
      </c>
      <c r="X158" s="42" t="s">
        <v>1177</v>
      </c>
      <c r="Y158" s="42" t="str">
        <f>IFERROR(__xludf.DUMMYFUNCTION("vLOOKUP(A158,IMPORTRANGE(""https://docs.google.com/spreadsheets/d/1Rawwwdh8wntXGy8isdYNHxsNQS4n_rC8JSdPfj6vEq4"",""'500 объектов перенос на 2026'!A3:AB502""),13,0)"),"#REF!")</f>
        <v>#REF!</v>
      </c>
      <c r="Z158" s="42" t="str">
        <f>IFERROR(__xludf.DUMMYFUNCTION("vLOOKUP(A158,IMPORTRANGE(""https://docs.google.com/spreadsheets/d/1Rawwwdh8wntXGy8isdYNHxsNQS4n_rC8JSdPfj6vEq4"",""'500 объектов перенос на 2026'!A3:AB502""),14,0)"),"#REF!")</f>
        <v>#REF!</v>
      </c>
      <c r="AA158" s="85" t="s">
        <v>3830</v>
      </c>
      <c r="AB158" s="43"/>
    </row>
    <row r="159">
      <c r="A159" s="62" t="s">
        <v>1186</v>
      </c>
      <c r="B159" s="63" t="s">
        <v>1187</v>
      </c>
      <c r="C159" s="64" t="s">
        <v>1188</v>
      </c>
      <c r="D159" s="64" t="s">
        <v>85</v>
      </c>
      <c r="E159" s="288"/>
      <c r="F159" s="288"/>
      <c r="G159" s="291" t="s">
        <v>3833</v>
      </c>
      <c r="H159" s="64" t="s">
        <v>3512</v>
      </c>
      <c r="I159" s="64">
        <v>2024.0</v>
      </c>
      <c r="J159" s="64">
        <v>2025.0</v>
      </c>
      <c r="K159" s="287">
        <v>1.0</v>
      </c>
      <c r="L159" s="292" t="s">
        <v>3528</v>
      </c>
      <c r="M159" s="285" t="s">
        <v>3834</v>
      </c>
      <c r="N159" s="35" t="s">
        <v>3835</v>
      </c>
      <c r="O159" s="35" t="s">
        <v>3836</v>
      </c>
      <c r="P159" s="35" t="s">
        <v>113</v>
      </c>
      <c r="Q159" s="38" t="s">
        <v>1219</v>
      </c>
      <c r="R159" s="38" t="s">
        <v>115</v>
      </c>
      <c r="S159" s="38"/>
      <c r="T159" s="39">
        <v>433459.66</v>
      </c>
      <c r="U159" s="39">
        <v>433459.656</v>
      </c>
      <c r="V159" s="39">
        <v>0.004</v>
      </c>
      <c r="W159" s="57" t="s">
        <v>1190</v>
      </c>
      <c r="X159" s="42" t="s">
        <v>1191</v>
      </c>
      <c r="Y159" s="42" t="s">
        <v>1191</v>
      </c>
      <c r="Z159" s="42" t="s">
        <v>1191</v>
      </c>
      <c r="AA159" s="42" t="s">
        <v>175</v>
      </c>
      <c r="AB159" s="43"/>
    </row>
    <row r="160">
      <c r="A160" s="62" t="s">
        <v>3043</v>
      </c>
      <c r="B160" s="63" t="s">
        <v>133</v>
      </c>
      <c r="C160" s="64" t="s">
        <v>3044</v>
      </c>
      <c r="D160" s="64" t="s">
        <v>39</v>
      </c>
      <c r="E160" s="64">
        <v>6.5</v>
      </c>
      <c r="F160" s="288"/>
      <c r="G160" s="288"/>
      <c r="H160" s="64" t="s">
        <v>3527</v>
      </c>
      <c r="I160" s="64">
        <v>2019.0</v>
      </c>
      <c r="J160" s="64">
        <v>2025.0</v>
      </c>
      <c r="K160" s="287">
        <v>1.0</v>
      </c>
      <c r="L160" s="288"/>
      <c r="M160" s="285" t="s">
        <v>3837</v>
      </c>
      <c r="N160" s="35">
        <v>0.0</v>
      </c>
      <c r="O160" s="35" t="s">
        <v>3837</v>
      </c>
      <c r="P160" s="38" t="s">
        <v>3046</v>
      </c>
      <c r="Q160" s="37">
        <v>46132.0</v>
      </c>
      <c r="R160" s="43"/>
      <c r="S160" s="43"/>
      <c r="T160" s="39">
        <v>113055.0</v>
      </c>
      <c r="U160" s="39">
        <v>112043.348</v>
      </c>
      <c r="V160" s="40">
        <v>1011.65197</v>
      </c>
      <c r="W160" s="57" t="s">
        <v>3048</v>
      </c>
      <c r="X160" s="42" t="s">
        <v>1177</v>
      </c>
      <c r="Y160" s="42" t="str">
        <f>IFERROR(__xludf.DUMMYFUNCTION("vLOOKUP(A160,IMPORTRANGE(""https://docs.google.com/spreadsheets/d/1Rawwwdh8wntXGy8isdYNHxsNQS4n_rC8JSdPfj6vEq4"",""'500 объектов перенос на 2026'!A3:AB502""),13,0)"),"#REF!")</f>
        <v>#REF!</v>
      </c>
      <c r="Z160" s="42" t="str">
        <f>IFERROR(__xludf.DUMMYFUNCTION("vLOOKUP(A160,IMPORTRANGE(""https://docs.google.com/spreadsheets/d/1Rawwwdh8wntXGy8isdYNHxsNQS4n_rC8JSdPfj6vEq4"",""'500 объектов перенос на 2026'!A3:AB502""),14,0)"),"#REF!")</f>
        <v>#REF!</v>
      </c>
      <c r="AA160" s="85" t="s">
        <v>3830</v>
      </c>
      <c r="AB160" s="43"/>
    </row>
    <row r="161">
      <c r="A161" s="62" t="s">
        <v>793</v>
      </c>
      <c r="B161" s="63" t="s">
        <v>757</v>
      </c>
      <c r="C161" s="64" t="s">
        <v>794</v>
      </c>
      <c r="D161" s="64" t="s">
        <v>85</v>
      </c>
      <c r="E161" s="288"/>
      <c r="F161" s="64">
        <v>400.0</v>
      </c>
      <c r="G161" s="64">
        <v>421.0</v>
      </c>
      <c r="H161" s="64" t="s">
        <v>3512</v>
      </c>
      <c r="I161" s="64">
        <v>2024.0</v>
      </c>
      <c r="J161" s="64">
        <v>2026.0</v>
      </c>
      <c r="K161" s="287">
        <v>0.8</v>
      </c>
      <c r="L161" s="288"/>
      <c r="M161" s="285" t="s">
        <v>3838</v>
      </c>
      <c r="N161" s="35">
        <v>0.0</v>
      </c>
      <c r="O161" s="35" t="s">
        <v>3838</v>
      </c>
      <c r="P161" s="35" t="s">
        <v>507</v>
      </c>
      <c r="Q161" s="37">
        <v>46157.0</v>
      </c>
      <c r="R161" s="56"/>
      <c r="S161" s="38"/>
      <c r="T161" s="39">
        <v>74133.89</v>
      </c>
      <c r="U161" s="39">
        <v>21128.157</v>
      </c>
      <c r="V161" s="40">
        <v>53005.733</v>
      </c>
      <c r="W161" s="57" t="s">
        <v>799</v>
      </c>
      <c r="X161" s="42" t="s">
        <v>762</v>
      </c>
      <c r="Y161" s="42" t="str">
        <f>IFERROR(__xludf.DUMMYFUNCTION("vLOOKUP(A161,IMPORTRANGE(""https://docs.google.com/spreadsheets/d/1Rawwwdh8wntXGy8isdYNHxsNQS4n_rC8JSdPfj6vEq4"",""'500 объектов перенос на 2026'!A3:AB502""),13,0)"),"#REF!")</f>
        <v>#REF!</v>
      </c>
      <c r="Z161" s="42" t="str">
        <f>IFERROR(__xludf.DUMMYFUNCTION("vLOOKUP(A161,IMPORTRANGE(""https://docs.google.com/spreadsheets/d/1Rawwwdh8wntXGy8isdYNHxsNQS4n_rC8JSdPfj6vEq4"",""'500 объектов перенос на 2026'!A3:AB502""),14,0)"),"#REF!")</f>
        <v>#REF!</v>
      </c>
      <c r="AA161" s="85" t="s">
        <v>3839</v>
      </c>
      <c r="AB161" s="43"/>
    </row>
    <row r="162">
      <c r="A162" s="62" t="s">
        <v>1988</v>
      </c>
      <c r="B162" s="63" t="s">
        <v>757</v>
      </c>
      <c r="C162" s="64" t="s">
        <v>1989</v>
      </c>
      <c r="D162" s="64" t="s">
        <v>85</v>
      </c>
      <c r="E162" s="288"/>
      <c r="F162" s="64">
        <v>200.0</v>
      </c>
      <c r="G162" s="64">
        <v>157.0</v>
      </c>
      <c r="H162" s="64" t="s">
        <v>3512</v>
      </c>
      <c r="I162" s="64">
        <v>2024.0</v>
      </c>
      <c r="J162" s="64">
        <v>2026.0</v>
      </c>
      <c r="K162" s="287">
        <v>0.81</v>
      </c>
      <c r="L162" s="288"/>
      <c r="M162" s="285" t="s">
        <v>3840</v>
      </c>
      <c r="N162" s="35">
        <v>0.0</v>
      </c>
      <c r="O162" s="35" t="s">
        <v>3840</v>
      </c>
      <c r="P162" s="35" t="s">
        <v>507</v>
      </c>
      <c r="Q162" s="37">
        <v>46157.0</v>
      </c>
      <c r="R162" s="56"/>
      <c r="S162" s="38"/>
      <c r="T162" s="39">
        <v>10688.56</v>
      </c>
      <c r="U162" s="39">
        <v>3047.85934</v>
      </c>
      <c r="V162" s="40">
        <v>7640.70066</v>
      </c>
      <c r="W162" s="57" t="s">
        <v>1992</v>
      </c>
      <c r="X162" s="42" t="s">
        <v>762</v>
      </c>
      <c r="Y162" s="42" t="str">
        <f>IFERROR(__xludf.DUMMYFUNCTION("vLOOKUP(A162,IMPORTRANGE(""https://docs.google.com/spreadsheets/d/1Rawwwdh8wntXGy8isdYNHxsNQS4n_rC8JSdPfj6vEq4"",""'500 объектов перенос на 2026'!A3:AB502""),13,0)"),"#REF!")</f>
        <v>#REF!</v>
      </c>
      <c r="Z162" s="42" t="str">
        <f>IFERROR(__xludf.DUMMYFUNCTION("vLOOKUP(A162,IMPORTRANGE(""https://docs.google.com/spreadsheets/d/1Rawwwdh8wntXGy8isdYNHxsNQS4n_rC8JSdPfj6vEq4"",""'500 объектов перенос на 2026'!A3:AB502""),14,0)"),"#REF!")</f>
        <v>#REF!</v>
      </c>
      <c r="AA162" s="85" t="s">
        <v>3839</v>
      </c>
      <c r="AB162" s="43"/>
    </row>
    <row r="163">
      <c r="A163" s="62" t="s">
        <v>1217</v>
      </c>
      <c r="B163" s="63" t="s">
        <v>757</v>
      </c>
      <c r="C163" s="64" t="s">
        <v>1218</v>
      </c>
      <c r="D163" s="64" t="s">
        <v>85</v>
      </c>
      <c r="E163" s="288"/>
      <c r="F163" s="64">
        <v>700.0</v>
      </c>
      <c r="G163" s="64">
        <v>540.0</v>
      </c>
      <c r="H163" s="64" t="s">
        <v>3512</v>
      </c>
      <c r="I163" s="64">
        <v>2024.0</v>
      </c>
      <c r="J163" s="64">
        <v>2025.0</v>
      </c>
      <c r="K163" s="287">
        <v>0.93</v>
      </c>
      <c r="L163" s="288"/>
      <c r="M163" s="285" t="s">
        <v>3841</v>
      </c>
      <c r="N163" s="35" t="s">
        <v>3842</v>
      </c>
      <c r="O163" s="35" t="s">
        <v>3843</v>
      </c>
      <c r="P163" s="35" t="s">
        <v>3747</v>
      </c>
      <c r="Q163" s="37">
        <v>46188.0</v>
      </c>
      <c r="R163" s="38" t="s">
        <v>115</v>
      </c>
      <c r="S163" s="38"/>
      <c r="T163" s="39">
        <v>142969.66</v>
      </c>
      <c r="U163" s="39">
        <v>152437.4854</v>
      </c>
      <c r="V163" s="40">
        <v>-9467.82544</v>
      </c>
      <c r="W163" s="57" t="s">
        <v>1220</v>
      </c>
      <c r="X163" s="85" t="s">
        <v>762</v>
      </c>
      <c r="Y163" s="42" t="str">
        <f>IFERROR(__xludf.DUMMYFUNCTION("vLOOKUP(A163,IMPORTRANGE(""https://docs.google.com/spreadsheets/d/1Rawwwdh8wntXGy8isdYNHxsNQS4n_rC8JSdPfj6vEq4"",""'500 объектов перенос на 2026'!A3:AB502""),13,0)"),"#REF!")</f>
        <v>#REF!</v>
      </c>
      <c r="Z163" s="42" t="str">
        <f>IFERROR(__xludf.DUMMYFUNCTION("vLOOKUP(A163,IMPORTRANGE(""https://docs.google.com/spreadsheets/d/1Rawwwdh8wntXGy8isdYNHxsNQS4n_rC8JSdPfj6vEq4"",""'500 объектов перенос на 2026'!A3:AB502""),14,0)"),"#REF!")</f>
        <v>#REF!</v>
      </c>
      <c r="AA163" s="85" t="s">
        <v>3839</v>
      </c>
      <c r="AB163" s="43"/>
    </row>
    <row r="164">
      <c r="A164" s="62" t="s">
        <v>756</v>
      </c>
      <c r="B164" s="63" t="s">
        <v>757</v>
      </c>
      <c r="C164" s="64" t="s">
        <v>758</v>
      </c>
      <c r="D164" s="64" t="s">
        <v>85</v>
      </c>
      <c r="E164" s="288"/>
      <c r="F164" s="64" t="s">
        <v>3844</v>
      </c>
      <c r="G164" s="64">
        <v>544.0</v>
      </c>
      <c r="H164" s="64" t="s">
        <v>3512</v>
      </c>
      <c r="I164" s="64">
        <v>2024.0</v>
      </c>
      <c r="J164" s="64">
        <v>2026.0</v>
      </c>
      <c r="K164" s="287">
        <v>0.74</v>
      </c>
      <c r="L164" s="288"/>
      <c r="M164" s="285" t="s">
        <v>3845</v>
      </c>
      <c r="N164" s="35">
        <v>0.0</v>
      </c>
      <c r="O164" s="35" t="s">
        <v>3845</v>
      </c>
      <c r="P164" s="35" t="s">
        <v>507</v>
      </c>
      <c r="Q164" s="37">
        <v>46188.0</v>
      </c>
      <c r="R164" s="56"/>
      <c r="S164" s="38"/>
      <c r="T164" s="39">
        <v>41960.32</v>
      </c>
      <c r="U164" s="39">
        <v>11964.996</v>
      </c>
      <c r="V164" s="40">
        <v>29995.324</v>
      </c>
      <c r="W164" s="57" t="s">
        <v>761</v>
      </c>
      <c r="X164" s="42" t="s">
        <v>762</v>
      </c>
      <c r="Y164" s="42" t="str">
        <f>IFERROR(__xludf.DUMMYFUNCTION("vLOOKUP(A164,IMPORTRANGE(""https://docs.google.com/spreadsheets/d/1Rawwwdh8wntXGy8isdYNHxsNQS4n_rC8JSdPfj6vEq4"",""'500 объектов перенос на 2026'!A3:AB502""),13,0)"),"#REF!")</f>
        <v>#REF!</v>
      </c>
      <c r="Z164" s="42" t="str">
        <f>IFERROR(__xludf.DUMMYFUNCTION("vLOOKUP(A164,IMPORTRANGE(""https://docs.google.com/spreadsheets/d/1Rawwwdh8wntXGy8isdYNHxsNQS4n_rC8JSdPfj6vEq4"",""'500 объектов перенос на 2026'!A3:AB502""),14,0)"),"#REF!")</f>
        <v>#REF!</v>
      </c>
      <c r="AA164" s="85" t="s">
        <v>3839</v>
      </c>
      <c r="AB164" s="43"/>
    </row>
    <row r="165">
      <c r="A165" s="62" t="s">
        <v>1231</v>
      </c>
      <c r="B165" s="63" t="s">
        <v>1039</v>
      </c>
      <c r="C165" s="104" t="s">
        <v>1232</v>
      </c>
      <c r="D165" s="64" t="s">
        <v>59</v>
      </c>
      <c r="E165" s="64">
        <v>27.6</v>
      </c>
      <c r="F165" s="288"/>
      <c r="G165" s="288"/>
      <c r="H165" s="64" t="s">
        <v>3527</v>
      </c>
      <c r="I165" s="64">
        <v>2018.0</v>
      </c>
      <c r="J165" s="64">
        <v>2026.0</v>
      </c>
      <c r="K165" s="287">
        <v>1.0</v>
      </c>
      <c r="L165" s="288"/>
      <c r="M165" s="285" t="s">
        <v>3846</v>
      </c>
      <c r="N165" s="35" t="s">
        <v>3568</v>
      </c>
      <c r="O165" s="35" t="s">
        <v>3568</v>
      </c>
      <c r="P165" s="35" t="s">
        <v>209</v>
      </c>
      <c r="Q165" s="38"/>
      <c r="R165" s="38" t="s">
        <v>1234</v>
      </c>
      <c r="S165" s="38"/>
      <c r="T165" s="39">
        <v>265959.3109</v>
      </c>
      <c r="U165" s="39">
        <v>41525.18973</v>
      </c>
      <c r="V165" s="39">
        <v>224434.1212</v>
      </c>
      <c r="W165" s="57" t="s">
        <v>1235</v>
      </c>
      <c r="X165" s="42" t="s">
        <v>362</v>
      </c>
      <c r="Y165" s="42" t="str">
        <f>IFERROR(__xludf.DUMMYFUNCTION("vLOOKUP(A165,IMPORTRANGE(""https://docs.google.com/spreadsheets/d/1Rawwwdh8wntXGy8isdYNHxsNQS4n_rC8JSdPfj6vEq4"",""'500 объектов перенос на 2026'!A3:AB502""),13,0)"),"#REF!")</f>
        <v>#REF!</v>
      </c>
      <c r="Z165" s="42" t="str">
        <f>IFERROR(__xludf.DUMMYFUNCTION("vLOOKUP(A165,IMPORTRANGE(""https://docs.google.com/spreadsheets/d/1Rawwwdh8wntXGy8isdYNHxsNQS4n_rC8JSdPfj6vEq4"",""'500 объектов перенос на 2026'!A3:AB502""),14,0)"),"#REF!")</f>
        <v>#REF!</v>
      </c>
      <c r="AA165" s="42" t="s">
        <v>175</v>
      </c>
      <c r="AB165" s="43"/>
    </row>
    <row r="166">
      <c r="A166" s="62" t="s">
        <v>1236</v>
      </c>
      <c r="B166" s="63" t="s">
        <v>1039</v>
      </c>
      <c r="C166" s="64" t="s">
        <v>1237</v>
      </c>
      <c r="D166" s="64" t="s">
        <v>85</v>
      </c>
      <c r="E166" s="288"/>
      <c r="F166" s="64">
        <v>400.0</v>
      </c>
      <c r="G166" s="64">
        <v>665.0</v>
      </c>
      <c r="H166" s="64" t="s">
        <v>3512</v>
      </c>
      <c r="I166" s="64">
        <v>2024.0</v>
      </c>
      <c r="J166" s="64">
        <v>2025.0</v>
      </c>
      <c r="K166" s="287">
        <v>1.0</v>
      </c>
      <c r="L166" s="292" t="s">
        <v>3528</v>
      </c>
      <c r="M166" s="285" t="s">
        <v>3847</v>
      </c>
      <c r="N166" s="35" t="s">
        <v>3848</v>
      </c>
      <c r="O166" s="35" t="s">
        <v>3849</v>
      </c>
      <c r="P166" s="35" t="s">
        <v>113</v>
      </c>
      <c r="Q166" s="38"/>
      <c r="R166" s="38" t="s">
        <v>115</v>
      </c>
      <c r="S166" s="38"/>
      <c r="T166" s="39">
        <v>88644.4</v>
      </c>
      <c r="U166" s="39">
        <v>84047.80399</v>
      </c>
      <c r="V166" s="39">
        <v>4596.59601</v>
      </c>
      <c r="W166" s="57" t="s">
        <v>1238</v>
      </c>
      <c r="X166" s="42" t="s">
        <v>362</v>
      </c>
      <c r="Y166" s="42" t="str">
        <f>IFERROR(__xludf.DUMMYFUNCTION("vLOOKUP(A166,IMPORTRANGE(""https://docs.google.com/spreadsheets/d/1Rawwwdh8wntXGy8isdYNHxsNQS4n_rC8JSdPfj6vEq4"",""'500 объектов перенос на 2026'!A3:AB502""),13,0)"),"#REF!")</f>
        <v>#REF!</v>
      </c>
      <c r="Z166" s="42" t="str">
        <f>IFERROR(__xludf.DUMMYFUNCTION("vLOOKUP(A166,IMPORTRANGE(""https://docs.google.com/spreadsheets/d/1Rawwwdh8wntXGy8isdYNHxsNQS4n_rC8JSdPfj6vEq4"",""'500 объектов перенос на 2026'!A3:AB502""),14,0)"),"#REF!")</f>
        <v>#REF!</v>
      </c>
      <c r="AA166" s="42" t="s">
        <v>175</v>
      </c>
      <c r="AB166" s="43"/>
    </row>
    <row r="167">
      <c r="A167" s="62" t="s">
        <v>1038</v>
      </c>
      <c r="B167" s="63" t="s">
        <v>1039</v>
      </c>
      <c r="C167" s="104" t="s">
        <v>1040</v>
      </c>
      <c r="D167" s="64" t="s">
        <v>85</v>
      </c>
      <c r="E167" s="288"/>
      <c r="F167" s="64">
        <v>400.0</v>
      </c>
      <c r="G167" s="64">
        <v>433.0</v>
      </c>
      <c r="H167" s="64" t="s">
        <v>3593</v>
      </c>
      <c r="I167" s="64">
        <v>2024.0</v>
      </c>
      <c r="J167" s="64">
        <v>2026.0</v>
      </c>
      <c r="K167" s="287">
        <v>0.01</v>
      </c>
      <c r="L167" s="288"/>
      <c r="M167" s="285" t="s">
        <v>3850</v>
      </c>
      <c r="N167" s="35">
        <v>0.0</v>
      </c>
      <c r="O167" s="35" t="s">
        <v>3850</v>
      </c>
      <c r="P167" s="35" t="s">
        <v>46</v>
      </c>
      <c r="Q167" s="37">
        <v>46296.0</v>
      </c>
      <c r="R167" s="56"/>
      <c r="S167" s="38"/>
      <c r="T167" s="39">
        <v>70757.19</v>
      </c>
      <c r="U167" s="39">
        <v>24765.01585</v>
      </c>
      <c r="V167" s="40">
        <v>45992.17415</v>
      </c>
      <c r="W167" s="57" t="s">
        <v>1043</v>
      </c>
      <c r="X167" s="42" t="s">
        <v>46</v>
      </c>
      <c r="Y167" s="42" t="str">
        <f>IFERROR(__xludf.DUMMYFUNCTION("vLOOKUP(A167,IMPORTRANGE(""https://docs.google.com/spreadsheets/d/1Rawwwdh8wntXGy8isdYNHxsNQS4n_rC8JSdPfj6vEq4"",""'500 объектов перенос на 2026'!A3:AB502""),13,0)"),"#REF!")</f>
        <v>#REF!</v>
      </c>
      <c r="Z167" s="42" t="str">
        <f>IFERROR(__xludf.DUMMYFUNCTION("vLOOKUP(A167,IMPORTRANGE(""https://docs.google.com/spreadsheets/d/1Rawwwdh8wntXGy8isdYNHxsNQS4n_rC8JSdPfj6vEq4"",""'500 объектов перенос на 2026'!A3:AB502""),14,0)"),"#REF!")</f>
        <v>#REF!</v>
      </c>
      <c r="AA167" s="85" t="s">
        <v>46</v>
      </c>
      <c r="AB167" s="43"/>
    </row>
    <row r="168">
      <c r="A168" s="62" t="s">
        <v>1251</v>
      </c>
      <c r="B168" s="63" t="s">
        <v>1039</v>
      </c>
      <c r="C168" s="64" t="s">
        <v>1252</v>
      </c>
      <c r="D168" s="64" t="s">
        <v>59</v>
      </c>
      <c r="E168" s="64">
        <v>139.2</v>
      </c>
      <c r="F168" s="288"/>
      <c r="G168" s="288"/>
      <c r="H168" s="64" t="s">
        <v>3512</v>
      </c>
      <c r="I168" s="64">
        <v>2025.0</v>
      </c>
      <c r="J168" s="64">
        <v>2025.0</v>
      </c>
      <c r="K168" s="287">
        <v>0.99</v>
      </c>
      <c r="L168" s="292" t="s">
        <v>3528</v>
      </c>
      <c r="M168" s="285" t="s">
        <v>3851</v>
      </c>
      <c r="N168" s="35" t="s">
        <v>3852</v>
      </c>
      <c r="O168" s="35" t="s">
        <v>3853</v>
      </c>
      <c r="P168" s="35" t="s">
        <v>113</v>
      </c>
      <c r="Q168" s="38"/>
      <c r="R168" s="38" t="s">
        <v>115</v>
      </c>
      <c r="S168" s="38"/>
      <c r="T168" s="39">
        <v>15600.0</v>
      </c>
      <c r="U168" s="39">
        <v>15433.47854</v>
      </c>
      <c r="V168" s="39">
        <v>166.52146</v>
      </c>
      <c r="W168" s="57" t="s">
        <v>1254</v>
      </c>
      <c r="X168" s="42" t="s">
        <v>1191</v>
      </c>
      <c r="Y168" s="42" t="str">
        <f>IFERROR(__xludf.DUMMYFUNCTION("vLOOKUP(A168,IMPORTRANGE(""https://docs.google.com/spreadsheets/d/1Rawwwdh8wntXGy8isdYNHxsNQS4n_rC8JSdPfj6vEq4"",""'500 объектов перенос на 2026'!A3:AB502""),13,0)"),"#REF!")</f>
        <v>#REF!</v>
      </c>
      <c r="Z168" s="42" t="str">
        <f>IFERROR(__xludf.DUMMYFUNCTION("vLOOKUP(A168,IMPORTRANGE(""https://docs.google.com/spreadsheets/d/1Rawwwdh8wntXGy8isdYNHxsNQS4n_rC8JSdPfj6vEq4"",""'500 объектов перенос на 2026'!A3:AB502""),14,0)"),"#REF!")</f>
        <v>#REF!</v>
      </c>
      <c r="AA168" s="42" t="s">
        <v>175</v>
      </c>
      <c r="AB168" s="43"/>
    </row>
    <row r="169">
      <c r="A169" s="62" t="s">
        <v>1571</v>
      </c>
      <c r="B169" s="63" t="s">
        <v>1039</v>
      </c>
      <c r="C169" s="104" t="s">
        <v>1572</v>
      </c>
      <c r="D169" s="64" t="s">
        <v>85</v>
      </c>
      <c r="E169" s="288"/>
      <c r="F169" s="64">
        <v>500.0</v>
      </c>
      <c r="G169" s="64">
        <v>325.0</v>
      </c>
      <c r="H169" s="64" t="s">
        <v>3512</v>
      </c>
      <c r="I169" s="64">
        <v>2024.0</v>
      </c>
      <c r="J169" s="64">
        <v>2026.0</v>
      </c>
      <c r="K169" s="287">
        <v>0.98</v>
      </c>
      <c r="L169" s="288"/>
      <c r="M169" s="285" t="s">
        <v>3854</v>
      </c>
      <c r="N169" s="35">
        <v>0.0</v>
      </c>
      <c r="O169" s="35" t="s">
        <v>3854</v>
      </c>
      <c r="P169" s="35" t="s">
        <v>507</v>
      </c>
      <c r="Q169" s="37">
        <v>46174.0</v>
      </c>
      <c r="R169" s="56"/>
      <c r="S169" s="38"/>
      <c r="T169" s="39">
        <v>52937.05</v>
      </c>
      <c r="U169" s="39">
        <v>26468.52581</v>
      </c>
      <c r="V169" s="40">
        <v>26468.52419</v>
      </c>
      <c r="W169" s="57" t="s">
        <v>1575</v>
      </c>
      <c r="X169" s="42" t="s">
        <v>1576</v>
      </c>
      <c r="Y169" s="42" t="str">
        <f>IFERROR(__xludf.DUMMYFUNCTION("vLOOKUP(A169,IMPORTRANGE(""https://docs.google.com/spreadsheets/d/1Rawwwdh8wntXGy8isdYNHxsNQS4n_rC8JSdPfj6vEq4"",""'500 объектов перенос на 2026'!A3:AB502""),13,0)"),"#REF!")</f>
        <v>#REF!</v>
      </c>
      <c r="Z169" s="42" t="str">
        <f>IFERROR(__xludf.DUMMYFUNCTION("vLOOKUP(A169,IMPORTRANGE(""https://docs.google.com/spreadsheets/d/1Rawwwdh8wntXGy8isdYNHxsNQS4n_rC8JSdPfj6vEq4"",""'500 объектов перенос на 2026'!A3:AB502""),14,0)"),"#REF!")</f>
        <v>#REF!</v>
      </c>
      <c r="AA169" s="85" t="s">
        <v>3855</v>
      </c>
      <c r="AB169" s="43"/>
    </row>
    <row r="170">
      <c r="A170" s="62" t="s">
        <v>2010</v>
      </c>
      <c r="B170" s="63" t="s">
        <v>1039</v>
      </c>
      <c r="C170" s="104" t="s">
        <v>2011</v>
      </c>
      <c r="D170" s="64" t="s">
        <v>85</v>
      </c>
      <c r="E170" s="288"/>
      <c r="F170" s="64">
        <v>400.0</v>
      </c>
      <c r="G170" s="64">
        <v>209.3</v>
      </c>
      <c r="H170" s="64" t="s">
        <v>3512</v>
      </c>
      <c r="I170" s="64">
        <v>2024.0</v>
      </c>
      <c r="J170" s="64">
        <v>2026.0</v>
      </c>
      <c r="K170" s="287">
        <v>0.97</v>
      </c>
      <c r="L170" s="288"/>
      <c r="M170" s="285" t="s">
        <v>3856</v>
      </c>
      <c r="N170" s="35">
        <v>0.0</v>
      </c>
      <c r="O170" s="35" t="s">
        <v>3856</v>
      </c>
      <c r="P170" s="35" t="s">
        <v>507</v>
      </c>
      <c r="Q170" s="37">
        <v>46174.0</v>
      </c>
      <c r="R170" s="56"/>
      <c r="S170" s="38"/>
      <c r="T170" s="39">
        <v>34607.44</v>
      </c>
      <c r="U170" s="39">
        <v>17303.71828</v>
      </c>
      <c r="V170" s="40">
        <v>17303.72172</v>
      </c>
      <c r="W170" s="57" t="s">
        <v>2013</v>
      </c>
      <c r="X170" s="85" t="s">
        <v>2014</v>
      </c>
      <c r="Y170" s="42" t="str">
        <f>IFERROR(__xludf.DUMMYFUNCTION("vLOOKUP(A170,IMPORTRANGE(""https://docs.google.com/spreadsheets/d/1Rawwwdh8wntXGy8isdYNHxsNQS4n_rC8JSdPfj6vEq4"",""'500 объектов перенос на 2026'!A3:AB502""),13,0)"),"#REF!")</f>
        <v>#REF!</v>
      </c>
      <c r="Z170" s="42" t="str">
        <f>IFERROR(__xludf.DUMMYFUNCTION("vLOOKUP(A170,IMPORTRANGE(""https://docs.google.com/spreadsheets/d/1Rawwwdh8wntXGy8isdYNHxsNQS4n_rC8JSdPfj6vEq4"",""'500 объектов перенос на 2026'!A3:AB502""),14,0)"),"#REF!")</f>
        <v>#REF!</v>
      </c>
      <c r="AA170" s="85" t="s">
        <v>3855</v>
      </c>
      <c r="AB170" s="43"/>
    </row>
    <row r="171">
      <c r="A171" s="62" t="s">
        <v>1273</v>
      </c>
      <c r="B171" s="63" t="s">
        <v>1274</v>
      </c>
      <c r="C171" s="64" t="s">
        <v>1275</v>
      </c>
      <c r="D171" s="64" t="s">
        <v>85</v>
      </c>
      <c r="E171" s="288"/>
      <c r="F171" s="64">
        <v>400.0</v>
      </c>
      <c r="G171" s="64">
        <v>420.0</v>
      </c>
      <c r="H171" s="64" t="s">
        <v>3512</v>
      </c>
      <c r="I171" s="64">
        <v>2024.0</v>
      </c>
      <c r="J171" s="64">
        <v>2026.0</v>
      </c>
      <c r="K171" s="287">
        <v>0.94</v>
      </c>
      <c r="L171" s="292" t="s">
        <v>3528</v>
      </c>
      <c r="M171" s="285" t="s">
        <v>3857</v>
      </c>
      <c r="N171" s="35" t="s">
        <v>3858</v>
      </c>
      <c r="O171" s="35" t="s">
        <v>3859</v>
      </c>
      <c r="P171" s="35" t="s">
        <v>113</v>
      </c>
      <c r="Q171" s="38"/>
      <c r="R171" s="38" t="s">
        <v>115</v>
      </c>
      <c r="S171" s="38"/>
      <c r="T171" s="39">
        <v>60686.6983</v>
      </c>
      <c r="U171" s="39">
        <v>47635.43801</v>
      </c>
      <c r="V171" s="39">
        <v>13051.26029</v>
      </c>
      <c r="W171" s="57" t="s">
        <v>1277</v>
      </c>
      <c r="X171" s="42" t="s">
        <v>1278</v>
      </c>
      <c r="Y171" s="42" t="str">
        <f>IFERROR(__xludf.DUMMYFUNCTION("vLOOKUP(A171,IMPORTRANGE(""https://docs.google.com/spreadsheets/d/1Rawwwdh8wntXGy8isdYNHxsNQS4n_rC8JSdPfj6vEq4"",""'500 объектов перенос на 2026'!A3:AB502""),13,0)"),"#REF!")</f>
        <v>#REF!</v>
      </c>
      <c r="Z171" s="42" t="str">
        <f>IFERROR(__xludf.DUMMYFUNCTION("vLOOKUP(A171,IMPORTRANGE(""https://docs.google.com/spreadsheets/d/1Rawwwdh8wntXGy8isdYNHxsNQS4n_rC8JSdPfj6vEq4"",""'500 объектов перенос на 2026'!A3:AB502""),14,0)"),"#REF!")</f>
        <v>#REF!</v>
      </c>
      <c r="AA171" s="42" t="s">
        <v>175</v>
      </c>
      <c r="AB171" s="43"/>
    </row>
    <row r="172">
      <c r="A172" s="304" t="s">
        <v>1279</v>
      </c>
      <c r="B172" s="63" t="s">
        <v>1274</v>
      </c>
      <c r="C172" s="64" t="s">
        <v>1280</v>
      </c>
      <c r="D172" s="64" t="s">
        <v>85</v>
      </c>
      <c r="E172" s="288"/>
      <c r="F172" s="64">
        <v>300.0</v>
      </c>
      <c r="G172" s="64">
        <v>165.0</v>
      </c>
      <c r="H172" s="64" t="s">
        <v>3527</v>
      </c>
      <c r="I172" s="64">
        <v>2024.0</v>
      </c>
      <c r="J172" s="64">
        <v>2025.0</v>
      </c>
      <c r="K172" s="287">
        <v>0.95</v>
      </c>
      <c r="L172" s="288"/>
      <c r="M172" s="285" t="s">
        <v>3860</v>
      </c>
      <c r="N172" s="35">
        <v>0.0</v>
      </c>
      <c r="O172" s="35" t="s">
        <v>3860</v>
      </c>
      <c r="P172" s="35" t="s">
        <v>113</v>
      </c>
      <c r="Q172" s="38"/>
      <c r="R172" s="38" t="s">
        <v>115</v>
      </c>
      <c r="S172" s="38"/>
      <c r="T172" s="39">
        <v>36571.21</v>
      </c>
      <c r="U172" s="39">
        <v>28825.56983</v>
      </c>
      <c r="V172" s="39">
        <v>7745.64017</v>
      </c>
      <c r="W172" s="57" t="s">
        <v>1284</v>
      </c>
      <c r="X172" s="42" t="s">
        <v>1285</v>
      </c>
      <c r="Y172" s="42" t="str">
        <f>IFERROR(__xludf.DUMMYFUNCTION("vLOOKUP(A172,IMPORTRANGE(""https://docs.google.com/spreadsheets/d/1Rawwwdh8wntXGy8isdYNHxsNQS4n_rC8JSdPfj6vEq4"",""'500 объектов перенос на 2026'!A3:AB502""),13,0)"),"#REF!")</f>
        <v>#REF!</v>
      </c>
      <c r="Z172" s="42" t="str">
        <f>IFERROR(__xludf.DUMMYFUNCTION("vLOOKUP(A172,IMPORTRANGE(""https://docs.google.com/spreadsheets/d/1Rawwwdh8wntXGy8isdYNHxsNQS4n_rC8JSdPfj6vEq4"",""'500 объектов перенос на 2026'!A3:AB502""),14,0)"),"#REF!")</f>
        <v>#REF!</v>
      </c>
      <c r="AA172" s="42" t="s">
        <v>175</v>
      </c>
      <c r="AB172" s="43"/>
    </row>
    <row r="173">
      <c r="A173" s="62" t="s">
        <v>1630</v>
      </c>
      <c r="B173" s="63" t="s">
        <v>1274</v>
      </c>
      <c r="C173" s="64" t="s">
        <v>1631</v>
      </c>
      <c r="D173" s="64" t="s">
        <v>85</v>
      </c>
      <c r="E173" s="288"/>
      <c r="F173" s="64">
        <v>400.0</v>
      </c>
      <c r="G173" s="64">
        <v>460.0</v>
      </c>
      <c r="H173" s="64" t="s">
        <v>3512</v>
      </c>
      <c r="I173" s="64">
        <v>2024.0</v>
      </c>
      <c r="J173" s="64">
        <v>2026.0</v>
      </c>
      <c r="K173" s="287">
        <v>0.86</v>
      </c>
      <c r="L173" s="288"/>
      <c r="M173" s="285" t="s">
        <v>3861</v>
      </c>
      <c r="N173" s="35" t="s">
        <v>1633</v>
      </c>
      <c r="O173" s="35" t="s">
        <v>3862</v>
      </c>
      <c r="P173" s="35" t="s">
        <v>3863</v>
      </c>
      <c r="Q173" s="290">
        <v>46310.0</v>
      </c>
      <c r="R173" s="56"/>
      <c r="S173" s="38" t="s">
        <v>1349</v>
      </c>
      <c r="T173" s="39">
        <v>129825.49</v>
      </c>
      <c r="U173" s="39">
        <v>85525.94804</v>
      </c>
      <c r="V173" s="40">
        <v>44299.54196</v>
      </c>
      <c r="W173" s="99" t="s">
        <v>1636</v>
      </c>
      <c r="X173" s="42"/>
      <c r="Y173" s="42" t="str">
        <f>IFERROR(__xludf.DUMMYFUNCTION("vLOOKUP(A173,IMPORTRANGE(""https://docs.google.com/spreadsheets/d/1Rawwwdh8wntXGy8isdYNHxsNQS4n_rC8JSdPfj6vEq4"",""'500 объектов перенос на 2026'!A3:AB502""),13,0)"),"#REF!")</f>
        <v>#REF!</v>
      </c>
      <c r="Z173" s="42" t="str">
        <f>IFERROR(__xludf.DUMMYFUNCTION("vLOOKUP(A173,IMPORTRANGE(""https://docs.google.com/spreadsheets/d/1Rawwwdh8wntXGy8isdYNHxsNQS4n_rC8JSdPfj6vEq4"",""'500 объектов перенос на 2026'!A3:AB502""),14,0)"),"#REF!")</f>
        <v>#REF!</v>
      </c>
      <c r="AA173" s="85" t="s">
        <v>3864</v>
      </c>
      <c r="AB173" s="43"/>
    </row>
    <row r="174">
      <c r="A174" s="62" t="s">
        <v>1535</v>
      </c>
      <c r="B174" s="63" t="s">
        <v>1274</v>
      </c>
      <c r="C174" s="64" t="s">
        <v>1536</v>
      </c>
      <c r="D174" s="64" t="s">
        <v>85</v>
      </c>
      <c r="E174" s="288"/>
      <c r="F174" s="64">
        <v>400.0</v>
      </c>
      <c r="G174" s="64">
        <v>390.0</v>
      </c>
      <c r="H174" s="64" t="s">
        <v>3512</v>
      </c>
      <c r="I174" s="64">
        <v>2024.0</v>
      </c>
      <c r="J174" s="64">
        <v>2026.0</v>
      </c>
      <c r="K174" s="287">
        <v>0.91</v>
      </c>
      <c r="L174" s="288"/>
      <c r="M174" s="285" t="s">
        <v>3865</v>
      </c>
      <c r="N174" s="35" t="s">
        <v>1538</v>
      </c>
      <c r="O174" s="35" t="s">
        <v>3866</v>
      </c>
      <c r="P174" s="35" t="s">
        <v>3867</v>
      </c>
      <c r="Q174" s="290">
        <v>46157.0</v>
      </c>
      <c r="R174" s="56"/>
      <c r="S174" s="38" t="s">
        <v>1349</v>
      </c>
      <c r="T174" s="39">
        <v>101364.18</v>
      </c>
      <c r="U174" s="39">
        <v>68706.94511</v>
      </c>
      <c r="V174" s="40">
        <v>32657.23489</v>
      </c>
      <c r="W174" s="99" t="s">
        <v>1542</v>
      </c>
      <c r="X174" s="42"/>
      <c r="Y174" s="42" t="str">
        <f>IFERROR(__xludf.DUMMYFUNCTION("vLOOKUP(A174,IMPORTRANGE(""https://docs.google.com/spreadsheets/d/1Rawwwdh8wntXGy8isdYNHxsNQS4n_rC8JSdPfj6vEq4"",""'500 объектов перенос на 2026'!A3:AB502""),13,0)"),"#REF!")</f>
        <v>#REF!</v>
      </c>
      <c r="Z174" s="42" t="str">
        <f>IFERROR(__xludf.DUMMYFUNCTION("vLOOKUP(A174,IMPORTRANGE(""https://docs.google.com/spreadsheets/d/1Rawwwdh8wntXGy8isdYNHxsNQS4n_rC8JSdPfj6vEq4"",""'500 объектов перенос на 2026'!A3:AB502""),14,0)"),"#REF!")</f>
        <v>#REF!</v>
      </c>
      <c r="AA174" s="85" t="s">
        <v>3868</v>
      </c>
      <c r="AB174" s="43"/>
    </row>
    <row r="175">
      <c r="A175" s="62" t="s">
        <v>2373</v>
      </c>
      <c r="B175" s="63" t="s">
        <v>1274</v>
      </c>
      <c r="C175" s="64" t="s">
        <v>2374</v>
      </c>
      <c r="D175" s="64" t="s">
        <v>324</v>
      </c>
      <c r="E175" s="64">
        <v>6.33</v>
      </c>
      <c r="F175" s="288"/>
      <c r="G175" s="288"/>
      <c r="H175" s="64" t="s">
        <v>3593</v>
      </c>
      <c r="I175" s="64">
        <v>2024.0</v>
      </c>
      <c r="J175" s="64">
        <v>2026.0</v>
      </c>
      <c r="K175" s="287">
        <v>0.73</v>
      </c>
      <c r="L175" s="288"/>
      <c r="M175" s="285" t="s">
        <v>3869</v>
      </c>
      <c r="N175" s="35" t="s">
        <v>2376</v>
      </c>
      <c r="O175" s="35" t="s">
        <v>3870</v>
      </c>
      <c r="P175" s="35" t="s">
        <v>3871</v>
      </c>
      <c r="Q175" s="290">
        <v>46157.0</v>
      </c>
      <c r="R175" s="56"/>
      <c r="S175" s="38" t="s">
        <v>1349</v>
      </c>
      <c r="T175" s="39">
        <v>80471.18</v>
      </c>
      <c r="U175" s="39">
        <v>63471.81644</v>
      </c>
      <c r="V175" s="40">
        <v>16999.36356</v>
      </c>
      <c r="W175" s="99" t="s">
        <v>2380</v>
      </c>
      <c r="X175" s="42"/>
      <c r="Y175" s="42" t="str">
        <f>IFERROR(__xludf.DUMMYFUNCTION("vLOOKUP(A175,IMPORTRANGE(""https://docs.google.com/spreadsheets/d/1Rawwwdh8wntXGy8isdYNHxsNQS4n_rC8JSdPfj6vEq4"",""'500 объектов перенос на 2026'!A3:AB502""),13,0)"),"#REF!")</f>
        <v>#REF!</v>
      </c>
      <c r="Z175" s="42" t="str">
        <f>IFERROR(__xludf.DUMMYFUNCTION("vLOOKUP(A175,IMPORTRANGE(""https://docs.google.com/spreadsheets/d/1Rawwwdh8wntXGy8isdYNHxsNQS4n_rC8JSdPfj6vEq4"",""'500 объектов перенос на 2026'!A3:AB502""),14,0)"),"#REF!")</f>
        <v>#REF!</v>
      </c>
      <c r="AA175" s="85" t="s">
        <v>3872</v>
      </c>
      <c r="AB175" s="43"/>
    </row>
    <row r="176">
      <c r="A176" s="62" t="s">
        <v>2556</v>
      </c>
      <c r="B176" s="63" t="s">
        <v>1274</v>
      </c>
      <c r="C176" s="64" t="s">
        <v>2557</v>
      </c>
      <c r="D176" s="64" t="s">
        <v>324</v>
      </c>
      <c r="E176" s="64">
        <v>7.16</v>
      </c>
      <c r="F176" s="288"/>
      <c r="G176" s="288"/>
      <c r="H176" s="64" t="s">
        <v>3593</v>
      </c>
      <c r="I176" s="64">
        <v>2024.0</v>
      </c>
      <c r="J176" s="64">
        <v>2026.0</v>
      </c>
      <c r="K176" s="287">
        <v>0.86</v>
      </c>
      <c r="L176" s="288"/>
      <c r="M176" s="285" t="s">
        <v>3873</v>
      </c>
      <c r="N176" s="35">
        <v>0.0</v>
      </c>
      <c r="O176" s="35" t="s">
        <v>3873</v>
      </c>
      <c r="P176" s="35" t="s">
        <v>3871</v>
      </c>
      <c r="Q176" s="290">
        <v>46310.0</v>
      </c>
      <c r="R176" s="56"/>
      <c r="S176" s="38" t="s">
        <v>1349</v>
      </c>
      <c r="T176" s="39">
        <v>71468.89</v>
      </c>
      <c r="U176" s="39">
        <v>59108.49122</v>
      </c>
      <c r="V176" s="40">
        <v>12360.39878</v>
      </c>
      <c r="W176" s="99" t="s">
        <v>2562</v>
      </c>
      <c r="X176" s="42"/>
      <c r="Y176" s="42" t="str">
        <f>IFERROR(__xludf.DUMMYFUNCTION("vLOOKUP(A176,IMPORTRANGE(""https://docs.google.com/spreadsheets/d/1Rawwwdh8wntXGy8isdYNHxsNQS4n_rC8JSdPfj6vEq4"",""'500 объектов перенос на 2026'!A3:AB502""),13,0)"),"#REF!")</f>
        <v>#REF!</v>
      </c>
      <c r="Z176" s="42" t="str">
        <f>IFERROR(__xludf.DUMMYFUNCTION("vLOOKUP(A176,IMPORTRANGE(""https://docs.google.com/spreadsheets/d/1Rawwwdh8wntXGy8isdYNHxsNQS4n_rC8JSdPfj6vEq4"",""'500 объектов перенос на 2026'!A3:AB502""),14,0)"),"#REF!")</f>
        <v>#REF!</v>
      </c>
      <c r="AA176" s="85" t="s">
        <v>3874</v>
      </c>
      <c r="AB176" s="43"/>
    </row>
    <row r="177">
      <c r="A177" s="62" t="s">
        <v>2400</v>
      </c>
      <c r="B177" s="63" t="s">
        <v>1274</v>
      </c>
      <c r="C177" s="64" t="s">
        <v>2401</v>
      </c>
      <c r="D177" s="64" t="s">
        <v>324</v>
      </c>
      <c r="E177" s="64">
        <v>6.55</v>
      </c>
      <c r="F177" s="288"/>
      <c r="G177" s="288"/>
      <c r="H177" s="64" t="s">
        <v>3593</v>
      </c>
      <c r="I177" s="64">
        <v>2024.0</v>
      </c>
      <c r="J177" s="64">
        <v>2026.0</v>
      </c>
      <c r="K177" s="287">
        <v>0.86</v>
      </c>
      <c r="L177" s="288"/>
      <c r="M177" s="285" t="s">
        <v>3875</v>
      </c>
      <c r="N177" s="35" t="s">
        <v>3876</v>
      </c>
      <c r="O177" s="35" t="s">
        <v>3877</v>
      </c>
      <c r="P177" s="35" t="s">
        <v>3871</v>
      </c>
      <c r="Q177" s="290">
        <v>46310.0</v>
      </c>
      <c r="R177" s="56"/>
      <c r="S177" s="38" t="s">
        <v>1349</v>
      </c>
      <c r="T177" s="39">
        <v>76539.2</v>
      </c>
      <c r="U177" s="39">
        <v>60632.03321</v>
      </c>
      <c r="V177" s="40">
        <v>15907.16679</v>
      </c>
      <c r="W177" s="99" t="s">
        <v>2406</v>
      </c>
      <c r="X177" s="42"/>
      <c r="Y177" s="42" t="str">
        <f>IFERROR(__xludf.DUMMYFUNCTION("vLOOKUP(A177,IMPORTRANGE(""https://docs.google.com/spreadsheets/d/1Rawwwdh8wntXGy8isdYNHxsNQS4n_rC8JSdPfj6vEq4"",""'500 объектов перенос на 2026'!A3:AB502""),13,0)"),"#REF!")</f>
        <v>#REF!</v>
      </c>
      <c r="Z177" s="42" t="str">
        <f>IFERROR(__xludf.DUMMYFUNCTION("vLOOKUP(A177,IMPORTRANGE(""https://docs.google.com/spreadsheets/d/1Rawwwdh8wntXGy8isdYNHxsNQS4n_rC8JSdPfj6vEq4"",""'500 объектов перенос на 2026'!A3:AB502""),14,0)"),"#REF!")</f>
        <v>#REF!</v>
      </c>
      <c r="AA177" s="85" t="s">
        <v>3874</v>
      </c>
      <c r="AB177" s="43"/>
    </row>
    <row r="178">
      <c r="A178" s="304" t="s">
        <v>1340</v>
      </c>
      <c r="B178" s="63" t="s">
        <v>1274</v>
      </c>
      <c r="C178" s="64" t="s">
        <v>1341</v>
      </c>
      <c r="D178" s="64" t="s">
        <v>85</v>
      </c>
      <c r="E178" s="288"/>
      <c r="F178" s="64" t="s">
        <v>3550</v>
      </c>
      <c r="G178" s="64">
        <v>605.0</v>
      </c>
      <c r="H178" s="64" t="s">
        <v>3512</v>
      </c>
      <c r="I178" s="64">
        <v>2025.0</v>
      </c>
      <c r="J178" s="64">
        <v>2025.0</v>
      </c>
      <c r="K178" s="287">
        <v>1.0</v>
      </c>
      <c r="L178" s="305"/>
      <c r="M178" s="285" t="s">
        <v>3878</v>
      </c>
      <c r="N178" s="35" t="s">
        <v>3878</v>
      </c>
      <c r="O178" s="35">
        <v>0.0</v>
      </c>
      <c r="P178" s="35" t="s">
        <v>113</v>
      </c>
      <c r="Q178" s="37">
        <v>46094.0</v>
      </c>
      <c r="R178" s="38" t="s">
        <v>115</v>
      </c>
      <c r="S178" s="38"/>
      <c r="T178" s="39">
        <v>36859.18</v>
      </c>
      <c r="U178" s="39">
        <v>29811.54448</v>
      </c>
      <c r="V178" s="39">
        <v>7047.63552</v>
      </c>
      <c r="W178" s="57" t="s">
        <v>3879</v>
      </c>
      <c r="X178" s="42"/>
      <c r="Y178" s="42" t="str">
        <f>IFERROR(__xludf.DUMMYFUNCTION("vLOOKUP(A178,IMPORTRANGE(""https://docs.google.com/spreadsheets/d/1Rawwwdh8wntXGy8isdYNHxsNQS4n_rC8JSdPfj6vEq4"",""'500 объектов перенос на 2026'!A3:AB502""),13,0)"),"#REF!")</f>
        <v>#REF!</v>
      </c>
      <c r="Z178" s="42" t="str">
        <f>IFERROR(__xludf.DUMMYFUNCTION("vLOOKUP(A178,IMPORTRANGE(""https://docs.google.com/spreadsheets/d/1Rawwwdh8wntXGy8isdYNHxsNQS4n_rC8JSdPfj6vEq4"",""'500 объектов перенос на 2026'!A3:AB502""),14,0)"),"#REF!")</f>
        <v>#REF!</v>
      </c>
      <c r="AA178" s="42" t="s">
        <v>175</v>
      </c>
      <c r="AB178" s="43"/>
    </row>
    <row r="179">
      <c r="A179" s="304" t="s">
        <v>1343</v>
      </c>
      <c r="B179" s="63" t="s">
        <v>1274</v>
      </c>
      <c r="C179" s="64" t="s">
        <v>1344</v>
      </c>
      <c r="D179" s="64" t="s">
        <v>85</v>
      </c>
      <c r="E179" s="288"/>
      <c r="F179" s="64" t="s">
        <v>3550</v>
      </c>
      <c r="G179" s="64">
        <v>540.0</v>
      </c>
      <c r="H179" s="64" t="s">
        <v>3512</v>
      </c>
      <c r="I179" s="64">
        <v>2025.0</v>
      </c>
      <c r="J179" s="64">
        <v>2025.0</v>
      </c>
      <c r="K179" s="287">
        <v>1.0</v>
      </c>
      <c r="L179" s="305"/>
      <c r="M179" s="289" t="s">
        <v>3880</v>
      </c>
      <c r="N179" s="35" t="s">
        <v>3881</v>
      </c>
      <c r="O179" s="35" t="s">
        <v>3520</v>
      </c>
      <c r="P179" s="35" t="s">
        <v>113</v>
      </c>
      <c r="Q179" s="37">
        <v>46094.0</v>
      </c>
      <c r="R179" s="38" t="s">
        <v>115</v>
      </c>
      <c r="S179" s="38"/>
      <c r="T179" s="39">
        <v>36763.2</v>
      </c>
      <c r="U179" s="39">
        <v>28587.61579</v>
      </c>
      <c r="V179" s="39">
        <v>8175.58421</v>
      </c>
      <c r="W179" s="154"/>
      <c r="X179" s="42"/>
      <c r="Y179" s="42" t="str">
        <f>IFERROR(__xludf.DUMMYFUNCTION("vLOOKUP(A179,IMPORTRANGE(""https://docs.google.com/spreadsheets/d/1Rawwwdh8wntXGy8isdYNHxsNQS4n_rC8JSdPfj6vEq4"",""'500 объектов перенос на 2026'!A3:AB502""),13,0)"),"#REF!")</f>
        <v>#REF!</v>
      </c>
      <c r="Z179" s="42" t="str">
        <f>IFERROR(__xludf.DUMMYFUNCTION("vLOOKUP(A179,IMPORTRANGE(""https://docs.google.com/spreadsheets/d/1Rawwwdh8wntXGy8isdYNHxsNQS4n_rC8JSdPfj6vEq4"",""'500 объектов перенос на 2026'!A3:AB502""),14,0)"),"#REF!")</f>
        <v>#REF!</v>
      </c>
      <c r="AA179" s="42" t="s">
        <v>175</v>
      </c>
      <c r="AB179" s="43"/>
    </row>
    <row r="180">
      <c r="A180" s="304" t="s">
        <v>1345</v>
      </c>
      <c r="B180" s="63" t="s">
        <v>1274</v>
      </c>
      <c r="C180" s="64" t="s">
        <v>1346</v>
      </c>
      <c r="D180" s="64" t="s">
        <v>85</v>
      </c>
      <c r="E180" s="288"/>
      <c r="F180" s="64" t="s">
        <v>3832</v>
      </c>
      <c r="G180" s="64">
        <v>270.0</v>
      </c>
      <c r="H180" s="64" t="s">
        <v>3512</v>
      </c>
      <c r="I180" s="64">
        <v>2025.0</v>
      </c>
      <c r="J180" s="64">
        <v>2025.0</v>
      </c>
      <c r="K180" s="287">
        <v>0.98</v>
      </c>
      <c r="L180" s="305"/>
      <c r="M180" s="285" t="s">
        <v>3882</v>
      </c>
      <c r="N180" s="35" t="s">
        <v>1347</v>
      </c>
      <c r="O180" s="35" t="s">
        <v>3883</v>
      </c>
      <c r="P180" s="35" t="s">
        <v>3871</v>
      </c>
      <c r="Q180" s="37">
        <v>46172.0</v>
      </c>
      <c r="R180" s="38" t="s">
        <v>115</v>
      </c>
      <c r="S180" s="38" t="s">
        <v>1349</v>
      </c>
      <c r="T180" s="39">
        <v>33797.06</v>
      </c>
      <c r="U180" s="39">
        <v>29900.97149</v>
      </c>
      <c r="V180" s="40">
        <v>3896.08851</v>
      </c>
      <c r="W180" s="154"/>
      <c r="X180" s="42"/>
      <c r="Y180" s="42" t="str">
        <f>IFERROR(__xludf.DUMMYFUNCTION("vLOOKUP(A180,IMPORTRANGE(""https://docs.google.com/spreadsheets/d/1Rawwwdh8wntXGy8isdYNHxsNQS4n_rC8JSdPfj6vEq4"",""'500 объектов перенос на 2026'!A3:AB502""),13,0)"),"#REF!")</f>
        <v>#REF!</v>
      </c>
      <c r="Z180" s="42" t="str">
        <f>IFERROR(__xludf.DUMMYFUNCTION("vLOOKUP(A180,IMPORTRANGE(""https://docs.google.com/spreadsheets/d/1Rawwwdh8wntXGy8isdYNHxsNQS4n_rC8JSdPfj6vEq4"",""'500 объектов перенос на 2026'!A3:AB502""),14,0)"),"#REF!")</f>
        <v>#REF!</v>
      </c>
      <c r="AA180" s="42" t="s">
        <v>175</v>
      </c>
      <c r="AB180" s="43"/>
    </row>
    <row r="181">
      <c r="A181" s="62" t="s">
        <v>2197</v>
      </c>
      <c r="B181" s="63" t="s">
        <v>1274</v>
      </c>
      <c r="C181" s="64" t="s">
        <v>2198</v>
      </c>
      <c r="D181" s="64" t="s">
        <v>85</v>
      </c>
      <c r="E181" s="288"/>
      <c r="F181" s="64" t="s">
        <v>3832</v>
      </c>
      <c r="G181" s="64">
        <v>331.0</v>
      </c>
      <c r="H181" s="64" t="s">
        <v>3512</v>
      </c>
      <c r="I181" s="64">
        <v>2025.0</v>
      </c>
      <c r="J181" s="64">
        <v>2026.0</v>
      </c>
      <c r="K181" s="287">
        <v>0.89</v>
      </c>
      <c r="L181" s="305"/>
      <c r="M181" s="285" t="s">
        <v>3884</v>
      </c>
      <c r="N181" s="35" t="s">
        <v>2200</v>
      </c>
      <c r="O181" s="35" t="s">
        <v>3885</v>
      </c>
      <c r="P181" s="35" t="s">
        <v>3863</v>
      </c>
      <c r="Q181" s="37">
        <v>46172.0</v>
      </c>
      <c r="R181" s="56"/>
      <c r="S181" s="38" t="s">
        <v>1349</v>
      </c>
      <c r="T181" s="39">
        <v>41523.31</v>
      </c>
      <c r="U181" s="39">
        <v>28440.84157</v>
      </c>
      <c r="V181" s="40">
        <v>13082.46843</v>
      </c>
      <c r="W181" s="99" t="s">
        <v>2203</v>
      </c>
      <c r="X181" s="42"/>
      <c r="Y181" s="42" t="str">
        <f>IFERROR(__xludf.DUMMYFUNCTION("vLOOKUP(A181,IMPORTRANGE(""https://docs.google.com/spreadsheets/d/1Rawwwdh8wntXGy8isdYNHxsNQS4n_rC8JSdPfj6vEq4"",""'500 объектов перенос на 2026'!A3:AB502""),13,0)"),"#REF!")</f>
        <v>#REF!</v>
      </c>
      <c r="Z181" s="42" t="str">
        <f>IFERROR(__xludf.DUMMYFUNCTION("vLOOKUP(A181,IMPORTRANGE(""https://docs.google.com/spreadsheets/d/1Rawwwdh8wntXGy8isdYNHxsNQS4n_rC8JSdPfj6vEq4"",""'500 объектов перенос на 2026'!A3:AB502""),14,0)"),"#REF!")</f>
        <v>#REF!</v>
      </c>
      <c r="AA181" s="85" t="s">
        <v>3886</v>
      </c>
      <c r="AB181" s="43"/>
    </row>
    <row r="182">
      <c r="A182" s="62" t="s">
        <v>2223</v>
      </c>
      <c r="B182" s="63" t="s">
        <v>1274</v>
      </c>
      <c r="C182" s="64" t="s">
        <v>2224</v>
      </c>
      <c r="D182" s="64" t="s">
        <v>85</v>
      </c>
      <c r="E182" s="288"/>
      <c r="F182" s="64" t="s">
        <v>3550</v>
      </c>
      <c r="G182" s="64">
        <v>380.0</v>
      </c>
      <c r="H182" s="64" t="s">
        <v>3512</v>
      </c>
      <c r="I182" s="64">
        <v>2025.0</v>
      </c>
      <c r="J182" s="64">
        <v>2026.0</v>
      </c>
      <c r="K182" s="287">
        <v>0.88</v>
      </c>
      <c r="L182" s="305"/>
      <c r="M182" s="285" t="s">
        <v>3568</v>
      </c>
      <c r="N182" s="35" t="s">
        <v>3568</v>
      </c>
      <c r="O182" s="35" t="s">
        <v>3568</v>
      </c>
      <c r="P182" s="35" t="s">
        <v>3887</v>
      </c>
      <c r="Q182" s="37">
        <v>46172.0</v>
      </c>
      <c r="R182" s="56"/>
      <c r="S182" s="38"/>
      <c r="T182" s="39">
        <v>25870.4</v>
      </c>
      <c r="U182" s="39">
        <v>12935.2</v>
      </c>
      <c r="V182" s="40">
        <v>12935.2</v>
      </c>
      <c r="W182" s="99" t="s">
        <v>3888</v>
      </c>
      <c r="X182" s="42"/>
      <c r="Y182" s="42" t="str">
        <f>IFERROR(__xludf.DUMMYFUNCTION("vLOOKUP(A182,IMPORTRANGE(""https://docs.google.com/spreadsheets/d/1Rawwwdh8wntXGy8isdYNHxsNQS4n_rC8JSdPfj6vEq4"",""'500 объектов перенос на 2026'!A3:AB502""),13,0)"),"#REF!")</f>
        <v>#REF!</v>
      </c>
      <c r="Z182" s="42" t="str">
        <f>IFERROR(__xludf.DUMMYFUNCTION("vLOOKUP(A182,IMPORTRANGE(""https://docs.google.com/spreadsheets/d/1Rawwwdh8wntXGy8isdYNHxsNQS4n_rC8JSdPfj6vEq4"",""'500 объектов перенос на 2026'!A3:AB502""),14,0)"),"#REF!")</f>
        <v>#REF!</v>
      </c>
      <c r="AA182" s="85" t="s">
        <v>3889</v>
      </c>
      <c r="AB182" s="43"/>
    </row>
    <row r="183">
      <c r="A183" s="62" t="s">
        <v>1820</v>
      </c>
      <c r="B183" s="63" t="s">
        <v>1274</v>
      </c>
      <c r="C183" s="64" t="s">
        <v>1821</v>
      </c>
      <c r="D183" s="64" t="s">
        <v>85</v>
      </c>
      <c r="E183" s="288"/>
      <c r="F183" s="64" t="s">
        <v>3832</v>
      </c>
      <c r="G183" s="64">
        <v>367.0</v>
      </c>
      <c r="H183" s="64" t="s">
        <v>3512</v>
      </c>
      <c r="I183" s="64">
        <v>2025.0</v>
      </c>
      <c r="J183" s="64">
        <v>2026.0</v>
      </c>
      <c r="K183" s="287">
        <v>0.79</v>
      </c>
      <c r="L183" s="305"/>
      <c r="M183" s="285" t="s">
        <v>3890</v>
      </c>
      <c r="N183" s="35">
        <v>0.0</v>
      </c>
      <c r="O183" s="35" t="s">
        <v>3890</v>
      </c>
      <c r="P183" s="35" t="s">
        <v>1453</v>
      </c>
      <c r="Q183" s="37">
        <v>46172.0</v>
      </c>
      <c r="R183" s="56"/>
      <c r="S183" s="38" t="s">
        <v>3891</v>
      </c>
      <c r="T183" s="39">
        <v>35554.96</v>
      </c>
      <c r="U183" s="39">
        <v>17777.48</v>
      </c>
      <c r="V183" s="40">
        <v>17777.48</v>
      </c>
      <c r="W183" s="99" t="s">
        <v>3892</v>
      </c>
      <c r="X183" s="42"/>
      <c r="Y183" s="42" t="str">
        <f>IFERROR(__xludf.DUMMYFUNCTION("vLOOKUP(A183,IMPORTRANGE(""https://docs.google.com/spreadsheets/d/1Rawwwdh8wntXGy8isdYNHxsNQS4n_rC8JSdPfj6vEq4"",""'500 объектов перенос на 2026'!A3:AB502""),13,0)"),"#REF!")</f>
        <v>#REF!</v>
      </c>
      <c r="Z183" s="42" t="str">
        <f>IFERROR(__xludf.DUMMYFUNCTION("vLOOKUP(A183,IMPORTRANGE(""https://docs.google.com/spreadsheets/d/1Rawwwdh8wntXGy8isdYNHxsNQS4n_rC8JSdPfj6vEq4"",""'500 объектов перенос на 2026'!A3:AB502""),14,0)"),"#REF!")</f>
        <v>#REF!</v>
      </c>
      <c r="AA183" s="85" t="s">
        <v>3893</v>
      </c>
      <c r="AB183" s="43"/>
    </row>
    <row r="184">
      <c r="A184" s="62" t="s">
        <v>1450</v>
      </c>
      <c r="B184" s="63" t="s">
        <v>1274</v>
      </c>
      <c r="C184" s="64" t="s">
        <v>1451</v>
      </c>
      <c r="D184" s="64" t="s">
        <v>85</v>
      </c>
      <c r="E184" s="288"/>
      <c r="F184" s="64" t="s">
        <v>3832</v>
      </c>
      <c r="G184" s="64">
        <v>460.0</v>
      </c>
      <c r="H184" s="64" t="s">
        <v>3512</v>
      </c>
      <c r="I184" s="64">
        <v>2025.0</v>
      </c>
      <c r="J184" s="64">
        <v>2026.0</v>
      </c>
      <c r="K184" s="287">
        <v>0.72</v>
      </c>
      <c r="L184" s="305"/>
      <c r="M184" s="289" t="s">
        <v>3894</v>
      </c>
      <c r="N184" s="35">
        <v>0.0</v>
      </c>
      <c r="O184" s="35" t="s">
        <v>3520</v>
      </c>
      <c r="P184" s="35" t="s">
        <v>1453</v>
      </c>
      <c r="Q184" s="37">
        <v>46172.0</v>
      </c>
      <c r="R184" s="56"/>
      <c r="S184" s="38" t="s">
        <v>3895</v>
      </c>
      <c r="T184" s="39">
        <v>57400.83</v>
      </c>
      <c r="U184" s="39">
        <v>25585.45571</v>
      </c>
      <c r="V184" s="40">
        <v>31815.37429</v>
      </c>
      <c r="W184" s="99" t="s">
        <v>1457</v>
      </c>
      <c r="X184" s="42"/>
      <c r="Y184" s="42" t="str">
        <f>IFERROR(__xludf.DUMMYFUNCTION("vLOOKUP(A184,IMPORTRANGE(""https://docs.google.com/spreadsheets/d/1Rawwwdh8wntXGy8isdYNHxsNQS4n_rC8JSdPfj6vEq4"",""'500 объектов перенос на 2026'!A3:AB502""),13,0)"),"#REF!")</f>
        <v>#REF!</v>
      </c>
      <c r="Z184" s="42" t="str">
        <f>IFERROR(__xludf.DUMMYFUNCTION("vLOOKUP(A184,IMPORTRANGE(""https://docs.google.com/spreadsheets/d/1Rawwwdh8wntXGy8isdYNHxsNQS4n_rC8JSdPfj6vEq4"",""'500 объектов перенос на 2026'!A3:AB502""),14,0)"),"#REF!")</f>
        <v>#REF!</v>
      </c>
      <c r="AA184" s="85" t="s">
        <v>3874</v>
      </c>
      <c r="AB184" s="43"/>
    </row>
    <row r="185">
      <c r="A185" s="62" t="s">
        <v>1560</v>
      </c>
      <c r="B185" s="63" t="s">
        <v>1274</v>
      </c>
      <c r="C185" s="64" t="s">
        <v>1561</v>
      </c>
      <c r="D185" s="64" t="s">
        <v>85</v>
      </c>
      <c r="E185" s="288"/>
      <c r="F185" s="64">
        <v>400.0</v>
      </c>
      <c r="G185" s="64">
        <v>347.0</v>
      </c>
      <c r="H185" s="64" t="s">
        <v>3512</v>
      </c>
      <c r="I185" s="64">
        <v>2024.0</v>
      </c>
      <c r="J185" s="90">
        <v>2026.0</v>
      </c>
      <c r="K185" s="287">
        <v>0.92</v>
      </c>
      <c r="L185" s="288"/>
      <c r="M185" s="285" t="s">
        <v>3896</v>
      </c>
      <c r="N185" s="35">
        <v>0.0</v>
      </c>
      <c r="O185" s="35" t="s">
        <v>3896</v>
      </c>
      <c r="P185" s="35" t="s">
        <v>3863</v>
      </c>
      <c r="Q185" s="37">
        <v>46157.0</v>
      </c>
      <c r="R185" s="56"/>
      <c r="S185" s="38" t="s">
        <v>1349</v>
      </c>
      <c r="T185" s="39">
        <v>95774.56</v>
      </c>
      <c r="U185" s="39">
        <v>55552.34064</v>
      </c>
      <c r="V185" s="40">
        <v>40222.21936</v>
      </c>
      <c r="W185" s="99" t="s">
        <v>1564</v>
      </c>
      <c r="X185" s="42"/>
      <c r="Y185" s="42" t="str">
        <f>IFERROR(__xludf.DUMMYFUNCTION("vLOOKUP(A185,IMPORTRANGE(""https://docs.google.com/spreadsheets/d/1Rawwwdh8wntXGy8isdYNHxsNQS4n_rC8JSdPfj6vEq4"",""'500 объектов перенос на 2026'!A3:AB502""),13,0)"),"#REF!")</f>
        <v>#REF!</v>
      </c>
      <c r="Z185" s="42" t="str">
        <f>IFERROR(__xludf.DUMMYFUNCTION("vLOOKUP(A185,IMPORTRANGE(""https://docs.google.com/spreadsheets/d/1Rawwwdh8wntXGy8isdYNHxsNQS4n_rC8JSdPfj6vEq4"",""'500 объектов перенос на 2026'!A3:AB502""),14,0)"),"#REF!")</f>
        <v>#REF!</v>
      </c>
      <c r="AA185" s="85" t="s">
        <v>3874</v>
      </c>
      <c r="AB185" s="43"/>
    </row>
    <row r="186">
      <c r="A186" s="62" t="s">
        <v>1382</v>
      </c>
      <c r="B186" s="63" t="s">
        <v>711</v>
      </c>
      <c r="C186" s="64" t="s">
        <v>1383</v>
      </c>
      <c r="D186" s="64" t="s">
        <v>85</v>
      </c>
      <c r="E186" s="288"/>
      <c r="F186" s="288"/>
      <c r="G186" s="291" t="s">
        <v>3897</v>
      </c>
      <c r="H186" s="64" t="s">
        <v>3512</v>
      </c>
      <c r="I186" s="64">
        <v>2024.0</v>
      </c>
      <c r="J186" s="64">
        <v>2025.0</v>
      </c>
      <c r="K186" s="287">
        <v>1.0</v>
      </c>
      <c r="L186" s="292" t="s">
        <v>3528</v>
      </c>
      <c r="M186" s="285" t="s">
        <v>3898</v>
      </c>
      <c r="N186" s="35" t="s">
        <v>3899</v>
      </c>
      <c r="O186" s="35" t="s">
        <v>3900</v>
      </c>
      <c r="P186" s="35" t="s">
        <v>113</v>
      </c>
      <c r="Q186" s="38"/>
      <c r="R186" s="38" t="s">
        <v>115</v>
      </c>
      <c r="S186" s="38"/>
      <c r="T186" s="39">
        <v>201822.56</v>
      </c>
      <c r="U186" s="39">
        <v>189802.3097</v>
      </c>
      <c r="V186" s="39">
        <v>12020.25031</v>
      </c>
      <c r="W186" s="57" t="s">
        <v>1384</v>
      </c>
      <c r="X186" s="42" t="s">
        <v>1385</v>
      </c>
      <c r="Y186" s="42" t="str">
        <f>IFERROR(__xludf.DUMMYFUNCTION("vLOOKUP(A186,IMPORTRANGE(""https://docs.google.com/spreadsheets/d/1Rawwwdh8wntXGy8isdYNHxsNQS4n_rC8JSdPfj6vEq4"",""'500 объектов перенос на 2026'!A3:AB502""),13,0)"),"#REF!")</f>
        <v>#REF!</v>
      </c>
      <c r="Z186" s="42" t="str">
        <f>IFERROR(__xludf.DUMMYFUNCTION("vLOOKUP(A186,IMPORTRANGE(""https://docs.google.com/spreadsheets/d/1Rawwwdh8wntXGy8isdYNHxsNQS4n_rC8JSdPfj6vEq4"",""'500 объектов перенос на 2026'!A3:AB502""),14,0)"),"#REF!")</f>
        <v>#REF!</v>
      </c>
      <c r="AA186" s="42" t="s">
        <v>175</v>
      </c>
      <c r="AB186" s="43"/>
    </row>
    <row r="187">
      <c r="A187" s="62" t="s">
        <v>710</v>
      </c>
      <c r="B187" s="63" t="s">
        <v>711</v>
      </c>
      <c r="C187" s="64" t="s">
        <v>712</v>
      </c>
      <c r="D187" s="64" t="s">
        <v>39</v>
      </c>
      <c r="E187" s="64">
        <v>6.0</v>
      </c>
      <c r="F187" s="288"/>
      <c r="G187" s="288"/>
      <c r="H187" s="64" t="s">
        <v>3527</v>
      </c>
      <c r="I187" s="64">
        <v>2024.0</v>
      </c>
      <c r="J187" s="64">
        <v>2026.0</v>
      </c>
      <c r="K187" s="287">
        <v>0.15</v>
      </c>
      <c r="L187" s="288"/>
      <c r="M187" s="285" t="s">
        <v>3901</v>
      </c>
      <c r="N187" s="35">
        <v>0.0</v>
      </c>
      <c r="O187" s="35" t="s">
        <v>3901</v>
      </c>
      <c r="P187" s="35" t="s">
        <v>3902</v>
      </c>
      <c r="Q187" s="37">
        <v>46266.0</v>
      </c>
      <c r="R187" s="56"/>
      <c r="S187" s="38"/>
      <c r="T187" s="39">
        <v>149217.89</v>
      </c>
      <c r="U187" s="39">
        <v>74608.94478</v>
      </c>
      <c r="V187" s="40">
        <v>74608.94522</v>
      </c>
      <c r="W187" s="57" t="s">
        <v>716</v>
      </c>
      <c r="X187" s="42" t="s">
        <v>717</v>
      </c>
      <c r="Y187" s="42" t="str">
        <f>IFERROR(__xludf.DUMMYFUNCTION("vLOOKUP(A187,IMPORTRANGE(""https://docs.google.com/spreadsheets/d/1Rawwwdh8wntXGy8isdYNHxsNQS4n_rC8JSdPfj6vEq4"",""'500 объектов перенос на 2026'!A3:AB502""),13,0)"),"#REF!")</f>
        <v>#REF!</v>
      </c>
      <c r="Z187" s="42" t="str">
        <f>IFERROR(__xludf.DUMMYFUNCTION("vLOOKUP(A187,IMPORTRANGE(""https://docs.google.com/spreadsheets/d/1Rawwwdh8wntXGy8isdYNHxsNQS4n_rC8JSdPfj6vEq4"",""'500 объектов перенос на 2026'!A3:AB502""),14,0)"),"#REF!")</f>
        <v>#REF!</v>
      </c>
      <c r="AA187" s="85" t="s">
        <v>3903</v>
      </c>
      <c r="AB187" s="43"/>
    </row>
    <row r="188">
      <c r="A188" s="62" t="s">
        <v>1396</v>
      </c>
      <c r="B188" s="63" t="s">
        <v>711</v>
      </c>
      <c r="C188" s="64" t="s">
        <v>1397</v>
      </c>
      <c r="D188" s="64" t="s">
        <v>85</v>
      </c>
      <c r="E188" s="288"/>
      <c r="F188" s="64">
        <v>400.0</v>
      </c>
      <c r="G188" s="64">
        <v>650.0</v>
      </c>
      <c r="H188" s="64" t="s">
        <v>3593</v>
      </c>
      <c r="I188" s="64">
        <v>2024.0</v>
      </c>
      <c r="J188" s="64">
        <v>2025.0</v>
      </c>
      <c r="K188" s="287">
        <v>1.0</v>
      </c>
      <c r="L188" s="292" t="s">
        <v>3528</v>
      </c>
      <c r="M188" s="285" t="s">
        <v>3904</v>
      </c>
      <c r="N188" s="35" t="s">
        <v>3905</v>
      </c>
      <c r="O188" s="35" t="s">
        <v>3906</v>
      </c>
      <c r="P188" s="35" t="s">
        <v>113</v>
      </c>
      <c r="Q188" s="38"/>
      <c r="R188" s="38" t="s">
        <v>115</v>
      </c>
      <c r="S188" s="38"/>
      <c r="T188" s="39">
        <v>114458.5</v>
      </c>
      <c r="U188" s="39">
        <v>184166.9353</v>
      </c>
      <c r="V188" s="39">
        <v>-69708.43527</v>
      </c>
      <c r="W188" s="57" t="s">
        <v>1398</v>
      </c>
      <c r="X188" s="42" t="s">
        <v>1385</v>
      </c>
      <c r="Y188" s="42" t="str">
        <f>IFERROR(__xludf.DUMMYFUNCTION("vLOOKUP(A188,IMPORTRANGE(""https://docs.google.com/spreadsheets/d/1Rawwwdh8wntXGy8isdYNHxsNQS4n_rC8JSdPfj6vEq4"",""'500 объектов перенос на 2026'!A3:AB502""),13,0)"),"#REF!")</f>
        <v>#REF!</v>
      </c>
      <c r="Z188" s="42" t="str">
        <f>IFERROR(__xludf.DUMMYFUNCTION("vLOOKUP(A188,IMPORTRANGE(""https://docs.google.com/spreadsheets/d/1Rawwwdh8wntXGy8isdYNHxsNQS4n_rC8JSdPfj6vEq4"",""'500 объектов перенос на 2026'!A3:AB502""),14,0)"),"#REF!")</f>
        <v>#REF!</v>
      </c>
      <c r="AA188" s="42" t="s">
        <v>175</v>
      </c>
      <c r="AB188" s="43"/>
    </row>
    <row r="189">
      <c r="A189" s="62" t="s">
        <v>1399</v>
      </c>
      <c r="B189" s="63" t="s">
        <v>711</v>
      </c>
      <c r="C189" s="64" t="s">
        <v>1400</v>
      </c>
      <c r="D189" s="64" t="s">
        <v>85</v>
      </c>
      <c r="E189" s="288"/>
      <c r="F189" s="64" t="s">
        <v>3550</v>
      </c>
      <c r="G189" s="291" t="s">
        <v>3907</v>
      </c>
      <c r="H189" s="64" t="s">
        <v>3512</v>
      </c>
      <c r="I189" s="64">
        <v>2024.0</v>
      </c>
      <c r="J189" s="64">
        <v>2025.0</v>
      </c>
      <c r="K189" s="287">
        <v>1.0</v>
      </c>
      <c r="L189" s="292" t="s">
        <v>3528</v>
      </c>
      <c r="M189" s="285" t="s">
        <v>3908</v>
      </c>
      <c r="N189" s="35" t="s">
        <v>3909</v>
      </c>
      <c r="O189" s="35" t="s">
        <v>3910</v>
      </c>
      <c r="P189" s="35" t="s">
        <v>113</v>
      </c>
      <c r="Q189" s="38"/>
      <c r="R189" s="38" t="s">
        <v>115</v>
      </c>
      <c r="S189" s="38"/>
      <c r="T189" s="39">
        <v>65837.74</v>
      </c>
      <c r="U189" s="39">
        <v>65837.73642</v>
      </c>
      <c r="V189" s="39">
        <v>0.00358</v>
      </c>
      <c r="W189" s="57" t="s">
        <v>1401</v>
      </c>
      <c r="X189" s="42" t="s">
        <v>1402</v>
      </c>
      <c r="Y189" s="42" t="str">
        <f>IFERROR(__xludf.DUMMYFUNCTION("vLOOKUP(A189,IMPORTRANGE(""https://docs.google.com/spreadsheets/d/1Rawwwdh8wntXGy8isdYNHxsNQS4n_rC8JSdPfj6vEq4"",""'500 объектов перенос на 2026'!A3:AB502""),13,0)"),"#REF!")</f>
        <v>#REF!</v>
      </c>
      <c r="Z189" s="42" t="str">
        <f>IFERROR(__xludf.DUMMYFUNCTION("vLOOKUP(A189,IMPORTRANGE(""https://docs.google.com/spreadsheets/d/1Rawwwdh8wntXGy8isdYNHxsNQS4n_rC8JSdPfj6vEq4"",""'500 объектов перенос на 2026'!A3:AB502""),14,0)"),"#REF!")</f>
        <v>#REF!</v>
      </c>
      <c r="AA189" s="42" t="s">
        <v>175</v>
      </c>
      <c r="AB189" s="43"/>
    </row>
    <row r="190">
      <c r="A190" s="62" t="s">
        <v>1403</v>
      </c>
      <c r="B190" s="63" t="s">
        <v>711</v>
      </c>
      <c r="C190" s="64" t="s">
        <v>1404</v>
      </c>
      <c r="D190" s="64" t="s">
        <v>85</v>
      </c>
      <c r="E190" s="288"/>
      <c r="F190" s="64" t="s">
        <v>3550</v>
      </c>
      <c r="G190" s="64">
        <v>860.0</v>
      </c>
      <c r="H190" s="64" t="s">
        <v>3512</v>
      </c>
      <c r="I190" s="64">
        <v>2024.0</v>
      </c>
      <c r="J190" s="64">
        <v>2025.0</v>
      </c>
      <c r="K190" s="287">
        <v>1.0</v>
      </c>
      <c r="L190" s="292" t="s">
        <v>3528</v>
      </c>
      <c r="M190" s="285" t="s">
        <v>3911</v>
      </c>
      <c r="N190" s="35" t="s">
        <v>3912</v>
      </c>
      <c r="O190" s="35" t="s">
        <v>3913</v>
      </c>
      <c r="P190" s="35" t="s">
        <v>113</v>
      </c>
      <c r="Q190" s="38"/>
      <c r="R190" s="38" t="s">
        <v>115</v>
      </c>
      <c r="S190" s="38"/>
      <c r="T190" s="39">
        <v>43510.1</v>
      </c>
      <c r="U190" s="39">
        <v>32354.49104</v>
      </c>
      <c r="V190" s="39">
        <v>11155.60896</v>
      </c>
      <c r="W190" s="57" t="s">
        <v>1405</v>
      </c>
      <c r="X190" s="42" t="s">
        <v>1385</v>
      </c>
      <c r="Y190" s="42" t="str">
        <f>IFERROR(__xludf.DUMMYFUNCTION("vLOOKUP(A190,IMPORTRANGE(""https://docs.google.com/spreadsheets/d/1Rawwwdh8wntXGy8isdYNHxsNQS4n_rC8JSdPfj6vEq4"",""'500 объектов перенос на 2026'!A3:AB502""),13,0)"),"#REF!")</f>
        <v>#REF!</v>
      </c>
      <c r="Z190" s="42" t="str">
        <f>IFERROR(__xludf.DUMMYFUNCTION("vLOOKUP(A190,IMPORTRANGE(""https://docs.google.com/spreadsheets/d/1Rawwwdh8wntXGy8isdYNHxsNQS4n_rC8JSdPfj6vEq4"",""'500 объектов перенос на 2026'!A3:AB502""),14,0)"),"#REF!")</f>
        <v>#REF!</v>
      </c>
      <c r="AA190" s="42" t="s">
        <v>175</v>
      </c>
      <c r="AB190" s="43"/>
    </row>
    <row r="191">
      <c r="A191" s="62" t="s">
        <v>1406</v>
      </c>
      <c r="B191" s="63" t="s">
        <v>711</v>
      </c>
      <c r="C191" s="64" t="s">
        <v>1407</v>
      </c>
      <c r="D191" s="64" t="s">
        <v>85</v>
      </c>
      <c r="E191" s="288"/>
      <c r="F191" s="64" t="s">
        <v>3550</v>
      </c>
      <c r="G191" s="64">
        <v>898.0</v>
      </c>
      <c r="H191" s="64" t="s">
        <v>3512</v>
      </c>
      <c r="I191" s="64">
        <v>2024.0</v>
      </c>
      <c r="J191" s="64">
        <v>2025.0</v>
      </c>
      <c r="K191" s="287">
        <v>1.0</v>
      </c>
      <c r="L191" s="292" t="s">
        <v>3528</v>
      </c>
      <c r="M191" s="289" t="s">
        <v>3914</v>
      </c>
      <c r="N191" s="35">
        <v>0.0</v>
      </c>
      <c r="O191" s="35" t="s">
        <v>3520</v>
      </c>
      <c r="P191" s="35" t="s">
        <v>113</v>
      </c>
      <c r="Q191" s="38"/>
      <c r="R191" s="38" t="s">
        <v>115</v>
      </c>
      <c r="S191" s="38"/>
      <c r="T191" s="39">
        <v>71208.92</v>
      </c>
      <c r="U191" s="39">
        <v>70166.45386</v>
      </c>
      <c r="V191" s="39">
        <v>1042.46614</v>
      </c>
      <c r="W191" s="57" t="s">
        <v>1409</v>
      </c>
      <c r="X191" s="42" t="s">
        <v>1385</v>
      </c>
      <c r="Y191" s="42" t="str">
        <f>IFERROR(__xludf.DUMMYFUNCTION("vLOOKUP(A191,IMPORTRANGE(""https://docs.google.com/spreadsheets/d/1Rawwwdh8wntXGy8isdYNHxsNQS4n_rC8JSdPfj6vEq4"",""'500 объектов перенос на 2026'!A3:AB502""),13,0)"),"#REF!")</f>
        <v>#REF!</v>
      </c>
      <c r="Z191" s="42" t="str">
        <f>IFERROR(__xludf.DUMMYFUNCTION("vLOOKUP(A191,IMPORTRANGE(""https://docs.google.com/spreadsheets/d/1Rawwwdh8wntXGy8isdYNHxsNQS4n_rC8JSdPfj6vEq4"",""'500 объектов перенос на 2026'!A3:AB502""),14,0)"),"#REF!")</f>
        <v>#REF!</v>
      </c>
      <c r="AA191" s="42" t="s">
        <v>175</v>
      </c>
      <c r="AB191" s="43"/>
    </row>
    <row r="192">
      <c r="A192" s="62" t="s">
        <v>1410</v>
      </c>
      <c r="B192" s="63" t="s">
        <v>711</v>
      </c>
      <c r="C192" s="64" t="s">
        <v>1411</v>
      </c>
      <c r="D192" s="64" t="s">
        <v>85</v>
      </c>
      <c r="E192" s="288"/>
      <c r="F192" s="64" t="s">
        <v>3550</v>
      </c>
      <c r="G192" s="64">
        <v>856.0</v>
      </c>
      <c r="H192" s="64" t="s">
        <v>3512</v>
      </c>
      <c r="I192" s="64">
        <v>2024.0</v>
      </c>
      <c r="J192" s="64">
        <v>2025.0</v>
      </c>
      <c r="K192" s="287">
        <v>1.0</v>
      </c>
      <c r="L192" s="292" t="s">
        <v>3528</v>
      </c>
      <c r="M192" s="289" t="s">
        <v>3915</v>
      </c>
      <c r="N192" s="35">
        <v>0.0</v>
      </c>
      <c r="O192" s="35" t="s">
        <v>3520</v>
      </c>
      <c r="P192" s="35" t="s">
        <v>113</v>
      </c>
      <c r="Q192" s="38"/>
      <c r="R192" s="38" t="s">
        <v>115</v>
      </c>
      <c r="S192" s="38"/>
      <c r="T192" s="39">
        <v>59940.63</v>
      </c>
      <c r="U192" s="39">
        <v>59940.63</v>
      </c>
      <c r="V192" s="39">
        <v>0.0</v>
      </c>
      <c r="W192" s="57" t="s">
        <v>1412</v>
      </c>
      <c r="X192" s="42" t="s">
        <v>8</v>
      </c>
      <c r="Y192" s="42" t="str">
        <f>IFERROR(__xludf.DUMMYFUNCTION("vLOOKUP(A192,IMPORTRANGE(""https://docs.google.com/spreadsheets/d/1Rawwwdh8wntXGy8isdYNHxsNQS4n_rC8JSdPfj6vEq4"",""'500 объектов перенос на 2026'!A3:AB502""),13,0)"),"#REF!")</f>
        <v>#REF!</v>
      </c>
      <c r="Z192" s="42" t="str">
        <f>IFERROR(__xludf.DUMMYFUNCTION("vLOOKUP(A192,IMPORTRANGE(""https://docs.google.com/spreadsheets/d/1Rawwwdh8wntXGy8isdYNHxsNQS4n_rC8JSdPfj6vEq4"",""'500 объектов перенос на 2026'!A3:AB502""),14,0)"),"#REF!")</f>
        <v>#REF!</v>
      </c>
      <c r="AA192" s="42" t="s">
        <v>175</v>
      </c>
      <c r="AB192" s="43"/>
    </row>
    <row r="193">
      <c r="A193" s="62" t="s">
        <v>1413</v>
      </c>
      <c r="B193" s="63" t="s">
        <v>711</v>
      </c>
      <c r="C193" s="64" t="s">
        <v>1414</v>
      </c>
      <c r="D193" s="64" t="s">
        <v>85</v>
      </c>
      <c r="E193" s="288"/>
      <c r="F193" s="64" t="s">
        <v>3795</v>
      </c>
      <c r="G193" s="64">
        <v>454.0</v>
      </c>
      <c r="H193" s="64" t="s">
        <v>3512</v>
      </c>
      <c r="I193" s="64">
        <v>2024.0</v>
      </c>
      <c r="J193" s="64">
        <v>2025.0</v>
      </c>
      <c r="K193" s="287">
        <v>1.0</v>
      </c>
      <c r="L193" s="292" t="s">
        <v>3528</v>
      </c>
      <c r="M193" s="285" t="s">
        <v>3916</v>
      </c>
      <c r="N193" s="35">
        <v>0.0</v>
      </c>
      <c r="O193" s="35" t="s">
        <v>3916</v>
      </c>
      <c r="P193" s="35" t="s">
        <v>113</v>
      </c>
      <c r="Q193" s="38"/>
      <c r="R193" s="38" t="s">
        <v>115</v>
      </c>
      <c r="S193" s="38"/>
      <c r="T193" s="39">
        <v>38560.38</v>
      </c>
      <c r="U193" s="39">
        <v>38236.27751</v>
      </c>
      <c r="V193" s="39">
        <v>324.10249</v>
      </c>
      <c r="W193" s="57" t="s">
        <v>1415</v>
      </c>
      <c r="X193" s="42" t="s">
        <v>1385</v>
      </c>
      <c r="Y193" s="42" t="str">
        <f>IFERROR(__xludf.DUMMYFUNCTION("vLOOKUP(A193,IMPORTRANGE(""https://docs.google.com/spreadsheets/d/1Rawwwdh8wntXGy8isdYNHxsNQS4n_rC8JSdPfj6vEq4"",""'500 объектов перенос на 2026'!A3:AB502""),13,0)"),"#REF!")</f>
        <v>#REF!</v>
      </c>
      <c r="Z193" s="42" t="str">
        <f>IFERROR(__xludf.DUMMYFUNCTION("vLOOKUP(A193,IMPORTRANGE(""https://docs.google.com/spreadsheets/d/1Rawwwdh8wntXGy8isdYNHxsNQS4n_rC8JSdPfj6vEq4"",""'500 объектов перенос на 2026'!A3:AB502""),14,0)"),"#REF!")</f>
        <v>#REF!</v>
      </c>
      <c r="AA193" s="42" t="s">
        <v>175</v>
      </c>
      <c r="AB193" s="43"/>
    </row>
    <row r="194">
      <c r="A194" s="62" t="s">
        <v>916</v>
      </c>
      <c r="B194" s="63" t="s">
        <v>826</v>
      </c>
      <c r="C194" s="104" t="s">
        <v>917</v>
      </c>
      <c r="D194" s="64" t="s">
        <v>59</v>
      </c>
      <c r="E194" s="64">
        <v>2.8</v>
      </c>
      <c r="F194" s="288"/>
      <c r="G194" s="288"/>
      <c r="H194" s="64" t="s">
        <v>3593</v>
      </c>
      <c r="I194" s="64">
        <v>2024.0</v>
      </c>
      <c r="J194" s="64">
        <v>2026.0</v>
      </c>
      <c r="K194" s="287">
        <v>0.72</v>
      </c>
      <c r="L194" s="288"/>
      <c r="M194" s="285" t="s">
        <v>3917</v>
      </c>
      <c r="N194" s="35">
        <v>0.0</v>
      </c>
      <c r="O194" s="35" t="s">
        <v>3917</v>
      </c>
      <c r="P194" s="35" t="s">
        <v>46</v>
      </c>
      <c r="Q194" s="37">
        <v>46266.0</v>
      </c>
      <c r="R194" s="56"/>
      <c r="S194" s="38" t="s">
        <v>3918</v>
      </c>
      <c r="T194" s="39">
        <v>79364.70168</v>
      </c>
      <c r="U194" s="39">
        <v>21900.95958</v>
      </c>
      <c r="V194" s="40">
        <v>57463.7421</v>
      </c>
      <c r="W194" s="57" t="s">
        <v>3919</v>
      </c>
      <c r="X194" s="42" t="s">
        <v>920</v>
      </c>
      <c r="Y194" s="42" t="str">
        <f>IFERROR(__xludf.DUMMYFUNCTION("vLOOKUP(A194,IMPORTRANGE(""https://docs.google.com/spreadsheets/d/1Rawwwdh8wntXGy8isdYNHxsNQS4n_rC8JSdPfj6vEq4"",""'500 объектов перенос на 2026'!A3:AB502""),13,0)"),"#REF!")</f>
        <v>#REF!</v>
      </c>
      <c r="Z194" s="42" t="str">
        <f>IFERROR(__xludf.DUMMYFUNCTION("vLOOKUP(A194,IMPORTRANGE(""https://docs.google.com/spreadsheets/d/1Rawwwdh8wntXGy8isdYNHxsNQS4n_rC8JSdPfj6vEq4"",""'500 объектов перенос на 2026'!A3:AB502""),14,0)"),"#REF!")</f>
        <v>#REF!</v>
      </c>
      <c r="AA194" s="85" t="s">
        <v>3920</v>
      </c>
      <c r="AB194" s="43"/>
    </row>
    <row r="195">
      <c r="A195" s="62" t="s">
        <v>843</v>
      </c>
      <c r="B195" s="63" t="s">
        <v>826</v>
      </c>
      <c r="C195" s="64" t="s">
        <v>844</v>
      </c>
      <c r="D195" s="64" t="s">
        <v>59</v>
      </c>
      <c r="E195" s="64">
        <v>4.0</v>
      </c>
      <c r="F195" s="288"/>
      <c r="G195" s="288"/>
      <c r="H195" s="64" t="s">
        <v>3593</v>
      </c>
      <c r="I195" s="64">
        <v>2024.0</v>
      </c>
      <c r="J195" s="64">
        <v>2026.0</v>
      </c>
      <c r="K195" s="287">
        <v>0.82</v>
      </c>
      <c r="L195" s="288"/>
      <c r="M195" s="285" t="s">
        <v>3921</v>
      </c>
      <c r="N195" s="35">
        <v>0.0</v>
      </c>
      <c r="O195" s="35" t="s">
        <v>3921</v>
      </c>
      <c r="P195" s="35" t="s">
        <v>46</v>
      </c>
      <c r="Q195" s="37">
        <v>46218.0</v>
      </c>
      <c r="R195" s="56"/>
      <c r="S195" s="38" t="s">
        <v>3918</v>
      </c>
      <c r="T195" s="39">
        <v>119047.04</v>
      </c>
      <c r="U195" s="39">
        <v>54752.38745</v>
      </c>
      <c r="V195" s="40">
        <v>64294.65255</v>
      </c>
      <c r="W195" s="57" t="s">
        <v>845</v>
      </c>
      <c r="X195" s="42" t="s">
        <v>832</v>
      </c>
      <c r="Y195" s="42" t="str">
        <f>IFERROR(__xludf.DUMMYFUNCTION("vLOOKUP(A195,IMPORTRANGE(""https://docs.google.com/spreadsheets/d/1Rawwwdh8wntXGy8isdYNHxsNQS4n_rC8JSdPfj6vEq4"",""'500 объектов перенос на 2026'!A3:AB502""),13,0)"),"#REF!")</f>
        <v>#REF!</v>
      </c>
      <c r="Z195" s="42" t="str">
        <f>IFERROR(__xludf.DUMMYFUNCTION("vLOOKUP(A195,IMPORTRANGE(""https://docs.google.com/spreadsheets/d/1Rawwwdh8wntXGy8isdYNHxsNQS4n_rC8JSdPfj6vEq4"",""'500 объектов перенос на 2026'!A3:AB502""),14,0)"),"#REF!")</f>
        <v>#REF!</v>
      </c>
      <c r="AA195" s="85" t="s">
        <v>3922</v>
      </c>
      <c r="AB195" s="43"/>
    </row>
    <row r="196">
      <c r="A196" s="62" t="s">
        <v>825</v>
      </c>
      <c r="B196" s="63" t="s">
        <v>826</v>
      </c>
      <c r="C196" s="104" t="s">
        <v>827</v>
      </c>
      <c r="D196" s="64" t="s">
        <v>59</v>
      </c>
      <c r="E196" s="64">
        <v>4.0</v>
      </c>
      <c r="F196" s="288"/>
      <c r="G196" s="288"/>
      <c r="H196" s="64" t="s">
        <v>3593</v>
      </c>
      <c r="I196" s="64">
        <v>2024.0</v>
      </c>
      <c r="J196" s="64">
        <v>2026.0</v>
      </c>
      <c r="K196" s="287">
        <v>0.76</v>
      </c>
      <c r="L196" s="288"/>
      <c r="M196" s="285" t="s">
        <v>3923</v>
      </c>
      <c r="N196" s="35">
        <v>0.0</v>
      </c>
      <c r="O196" s="35" t="s">
        <v>3923</v>
      </c>
      <c r="P196" s="35" t="s">
        <v>46</v>
      </c>
      <c r="Q196" s="37">
        <v>46218.0</v>
      </c>
      <c r="R196" s="56"/>
      <c r="S196" s="38" t="s">
        <v>3918</v>
      </c>
      <c r="T196" s="39">
        <v>119047.04</v>
      </c>
      <c r="U196" s="39">
        <v>54752.38705</v>
      </c>
      <c r="V196" s="40">
        <v>64294.65295</v>
      </c>
      <c r="W196" s="57" t="s">
        <v>831</v>
      </c>
      <c r="X196" s="42" t="s">
        <v>832</v>
      </c>
      <c r="Y196" s="42" t="str">
        <f>IFERROR(__xludf.DUMMYFUNCTION("vLOOKUP(A196,IMPORTRANGE(""https://docs.google.com/spreadsheets/d/1Rawwwdh8wntXGy8isdYNHxsNQS4n_rC8JSdPfj6vEq4"",""'500 объектов перенос на 2026'!A3:AB502""),13,0)"),"#REF!")</f>
        <v>#REF!</v>
      </c>
      <c r="Z196" s="42" t="str">
        <f>IFERROR(__xludf.DUMMYFUNCTION("vLOOKUP(A196,IMPORTRANGE(""https://docs.google.com/spreadsheets/d/1Rawwwdh8wntXGy8isdYNHxsNQS4n_rC8JSdPfj6vEq4"",""'500 объектов перенос на 2026'!A3:AB502""),14,0)"),"#REF!")</f>
        <v>#REF!</v>
      </c>
      <c r="AA196" s="85" t="s">
        <v>3922</v>
      </c>
      <c r="AB196" s="43"/>
    </row>
    <row r="197">
      <c r="A197" s="62" t="s">
        <v>1116</v>
      </c>
      <c r="B197" s="63" t="s">
        <v>826</v>
      </c>
      <c r="C197" s="104" t="s">
        <v>1117</v>
      </c>
      <c r="D197" s="64" t="s">
        <v>85</v>
      </c>
      <c r="E197" s="288"/>
      <c r="F197" s="64" t="s">
        <v>3924</v>
      </c>
      <c r="G197" s="291" t="s">
        <v>3925</v>
      </c>
      <c r="H197" s="64" t="s">
        <v>3512</v>
      </c>
      <c r="I197" s="64">
        <v>2024.0</v>
      </c>
      <c r="J197" s="64">
        <v>2026.0</v>
      </c>
      <c r="K197" s="287">
        <v>0.87</v>
      </c>
      <c r="L197" s="288"/>
      <c r="M197" s="285" t="s">
        <v>3926</v>
      </c>
      <c r="N197" s="35">
        <v>0.0</v>
      </c>
      <c r="O197" s="35" t="s">
        <v>3926</v>
      </c>
      <c r="P197" s="35" t="s">
        <v>49</v>
      </c>
      <c r="Q197" s="37">
        <v>46174.0</v>
      </c>
      <c r="R197" s="56"/>
      <c r="S197" s="38"/>
      <c r="T197" s="39">
        <v>63257.17</v>
      </c>
      <c r="U197" s="39">
        <v>18335.6238</v>
      </c>
      <c r="V197" s="40">
        <v>44921.5462</v>
      </c>
      <c r="W197" s="57" t="s">
        <v>1119</v>
      </c>
      <c r="X197" s="42" t="s">
        <v>1120</v>
      </c>
      <c r="Y197" s="42" t="str">
        <f>IFERROR(__xludf.DUMMYFUNCTION("vLOOKUP(A197,IMPORTRANGE(""https://docs.google.com/spreadsheets/d/1Rawwwdh8wntXGy8isdYNHxsNQS4n_rC8JSdPfj6vEq4"",""'500 объектов перенос на 2026'!A3:AB502""),13,0)"),"#REF!")</f>
        <v>#REF!</v>
      </c>
      <c r="Z197" s="42" t="str">
        <f>IFERROR(__xludf.DUMMYFUNCTION("vLOOKUP(A197,IMPORTRANGE(""https://docs.google.com/spreadsheets/d/1Rawwwdh8wntXGy8isdYNHxsNQS4n_rC8JSdPfj6vEq4"",""'500 объектов перенос на 2026'!A3:AB502""),14,0)"),"#REF!")</f>
        <v>#REF!</v>
      </c>
      <c r="AA197" s="85" t="s">
        <v>3927</v>
      </c>
      <c r="AB197" s="43"/>
    </row>
    <row r="198">
      <c r="A198" s="62" t="s">
        <v>2455</v>
      </c>
      <c r="B198" s="63" t="s">
        <v>826</v>
      </c>
      <c r="C198" s="104" t="s">
        <v>2456</v>
      </c>
      <c r="D198" s="64" t="s">
        <v>85</v>
      </c>
      <c r="E198" s="288"/>
      <c r="F198" s="64" t="s">
        <v>3924</v>
      </c>
      <c r="G198" s="64">
        <v>273.6</v>
      </c>
      <c r="H198" s="64" t="s">
        <v>3512</v>
      </c>
      <c r="I198" s="64">
        <v>2024.0</v>
      </c>
      <c r="J198" s="64">
        <v>2026.0</v>
      </c>
      <c r="K198" s="287">
        <v>0.96</v>
      </c>
      <c r="L198" s="288"/>
      <c r="M198" s="285" t="s">
        <v>3928</v>
      </c>
      <c r="N198" s="35">
        <v>0.0</v>
      </c>
      <c r="O198" s="35" t="s">
        <v>3928</v>
      </c>
      <c r="P198" s="35" t="s">
        <v>49</v>
      </c>
      <c r="Q198" s="37">
        <v>46174.0</v>
      </c>
      <c r="R198" s="56"/>
      <c r="S198" s="38"/>
      <c r="T198" s="39">
        <v>12640.0</v>
      </c>
      <c r="U198" s="39">
        <v>3601.76608</v>
      </c>
      <c r="V198" s="40">
        <v>9038.23392</v>
      </c>
      <c r="W198" s="57" t="s">
        <v>2458</v>
      </c>
      <c r="X198" s="42" t="s">
        <v>1120</v>
      </c>
      <c r="Y198" s="42" t="str">
        <f>IFERROR(__xludf.DUMMYFUNCTION("vLOOKUP(A198,IMPORTRANGE(""https://docs.google.com/spreadsheets/d/1Rawwwdh8wntXGy8isdYNHxsNQS4n_rC8JSdPfj6vEq4"",""'500 объектов перенос на 2026'!A3:AB502""),13,0)"),"#REF!")</f>
        <v>#REF!</v>
      </c>
      <c r="Z198" s="42" t="str">
        <f>IFERROR(__xludf.DUMMYFUNCTION("vLOOKUP(A198,IMPORTRANGE(""https://docs.google.com/spreadsheets/d/1Rawwwdh8wntXGy8isdYNHxsNQS4n_rC8JSdPfj6vEq4"",""'500 объектов перенос на 2026'!A3:AB502""),14,0)"),"#REF!")</f>
        <v>#REF!</v>
      </c>
      <c r="AA198" s="85" t="s">
        <v>3927</v>
      </c>
      <c r="AB198" s="43"/>
    </row>
    <row r="199">
      <c r="A199" s="62" t="s">
        <v>1157</v>
      </c>
      <c r="B199" s="63" t="s">
        <v>826</v>
      </c>
      <c r="C199" s="104" t="s">
        <v>1158</v>
      </c>
      <c r="D199" s="64" t="s">
        <v>85</v>
      </c>
      <c r="E199" s="288"/>
      <c r="F199" s="64" t="s">
        <v>3924</v>
      </c>
      <c r="G199" s="64">
        <v>908.8</v>
      </c>
      <c r="H199" s="64" t="s">
        <v>3512</v>
      </c>
      <c r="I199" s="64">
        <v>2024.0</v>
      </c>
      <c r="J199" s="64">
        <v>2026.0</v>
      </c>
      <c r="K199" s="287">
        <v>0.85</v>
      </c>
      <c r="L199" s="288"/>
      <c r="M199" s="285" t="s">
        <v>3929</v>
      </c>
      <c r="N199" s="35">
        <v>0.0</v>
      </c>
      <c r="O199" s="35" t="s">
        <v>3929</v>
      </c>
      <c r="P199" s="35" t="s">
        <v>49</v>
      </c>
      <c r="Q199" s="37">
        <v>46174.0</v>
      </c>
      <c r="R199" s="56"/>
      <c r="S199" s="38"/>
      <c r="T199" s="39">
        <v>61135.0</v>
      </c>
      <c r="U199" s="39">
        <v>17420.40895</v>
      </c>
      <c r="V199" s="40">
        <v>43714.59105</v>
      </c>
      <c r="W199" s="57" t="s">
        <v>1160</v>
      </c>
      <c r="X199" s="42" t="s">
        <v>1161</v>
      </c>
      <c r="Y199" s="42" t="str">
        <f>IFERROR(__xludf.DUMMYFUNCTION("vLOOKUP(A199,IMPORTRANGE(""https://docs.google.com/spreadsheets/d/1Rawwwdh8wntXGy8isdYNHxsNQS4n_rC8JSdPfj6vEq4"",""'500 объектов перенос на 2026'!A3:AB502""),13,0)"),"#REF!")</f>
        <v>#REF!</v>
      </c>
      <c r="Z199" s="42" t="str">
        <f>IFERROR(__xludf.DUMMYFUNCTION("vLOOKUP(A199,IMPORTRANGE(""https://docs.google.com/spreadsheets/d/1Rawwwdh8wntXGy8isdYNHxsNQS4n_rC8JSdPfj6vEq4"",""'500 объектов перенос на 2026'!A3:AB502""),14,0)"),"#REF!")</f>
        <v>#REF!</v>
      </c>
      <c r="AA199" s="85" t="s">
        <v>3930</v>
      </c>
      <c r="AB199" s="43"/>
    </row>
    <row r="200">
      <c r="A200" s="62" t="s">
        <v>2721</v>
      </c>
      <c r="B200" s="63" t="s">
        <v>826</v>
      </c>
      <c r="C200" s="64" t="s">
        <v>2722</v>
      </c>
      <c r="D200" s="64" t="s">
        <v>85</v>
      </c>
      <c r="E200" s="288"/>
      <c r="F200" s="64" t="s">
        <v>3550</v>
      </c>
      <c r="G200" s="64">
        <v>145.0</v>
      </c>
      <c r="H200" s="64" t="s">
        <v>3512</v>
      </c>
      <c r="I200" s="64">
        <v>2025.0</v>
      </c>
      <c r="J200" s="64">
        <v>2026.0</v>
      </c>
      <c r="K200" s="287">
        <v>0.98</v>
      </c>
      <c r="L200" s="288"/>
      <c r="M200" s="285" t="s">
        <v>3931</v>
      </c>
      <c r="N200" s="35">
        <v>0.0</v>
      </c>
      <c r="O200" s="35" t="s">
        <v>3931</v>
      </c>
      <c r="P200" s="35" t="s">
        <v>49</v>
      </c>
      <c r="Q200" s="37">
        <v>46157.0</v>
      </c>
      <c r="R200" s="56"/>
      <c r="S200" s="38"/>
      <c r="T200" s="39">
        <v>9812.37</v>
      </c>
      <c r="U200" s="39">
        <v>4661.1642</v>
      </c>
      <c r="V200" s="40">
        <v>5151.2058</v>
      </c>
      <c r="W200" s="57" t="s">
        <v>2723</v>
      </c>
      <c r="X200" s="42" t="s">
        <v>49</v>
      </c>
      <c r="Y200" s="42" t="str">
        <f>IFERROR(__xludf.DUMMYFUNCTION("vLOOKUP(A200,IMPORTRANGE(""https://docs.google.com/spreadsheets/d/1Rawwwdh8wntXGy8isdYNHxsNQS4n_rC8JSdPfj6vEq4"",""'500 объектов перенос на 2026'!A3:AB502""),13,0)"),"#REF!")</f>
        <v>#REF!</v>
      </c>
      <c r="Z200" s="42" t="str">
        <f>IFERROR(__xludf.DUMMYFUNCTION("vLOOKUP(A200,IMPORTRANGE(""https://docs.google.com/spreadsheets/d/1Rawwwdh8wntXGy8isdYNHxsNQS4n_rC8JSdPfj6vEq4"",""'500 объектов перенос на 2026'!A3:AB502""),14,0)"),"#REF!")</f>
        <v>#REF!</v>
      </c>
      <c r="AA200" s="85" t="s">
        <v>3932</v>
      </c>
      <c r="AB200" s="43"/>
    </row>
    <row r="201">
      <c r="A201" s="62" t="s">
        <v>2041</v>
      </c>
      <c r="B201" s="63" t="s">
        <v>826</v>
      </c>
      <c r="C201" s="64" t="s">
        <v>2042</v>
      </c>
      <c r="D201" s="64" t="s">
        <v>85</v>
      </c>
      <c r="E201" s="288"/>
      <c r="F201" s="64" t="s">
        <v>3550</v>
      </c>
      <c r="G201" s="64">
        <v>417.0</v>
      </c>
      <c r="H201" s="64" t="s">
        <v>3512</v>
      </c>
      <c r="I201" s="64">
        <v>2025.0</v>
      </c>
      <c r="J201" s="64">
        <v>2026.0</v>
      </c>
      <c r="K201" s="287">
        <v>0.9</v>
      </c>
      <c r="L201" s="288"/>
      <c r="M201" s="285" t="s">
        <v>3933</v>
      </c>
      <c r="N201" s="35" t="s">
        <v>3568</v>
      </c>
      <c r="O201" s="35" t="s">
        <v>3568</v>
      </c>
      <c r="P201" s="35" t="s">
        <v>49</v>
      </c>
      <c r="Q201" s="37">
        <v>46174.0</v>
      </c>
      <c r="R201" s="56"/>
      <c r="S201" s="38"/>
      <c r="T201" s="39">
        <v>28948.63</v>
      </c>
      <c r="U201" s="39">
        <v>13759.28384</v>
      </c>
      <c r="V201" s="40">
        <v>15189.34616</v>
      </c>
      <c r="W201" s="57" t="s">
        <v>2044</v>
      </c>
      <c r="X201" s="42" t="s">
        <v>49</v>
      </c>
      <c r="Y201" s="42" t="str">
        <f>IFERROR(__xludf.DUMMYFUNCTION("vLOOKUP(A201,IMPORTRANGE(""https://docs.google.com/spreadsheets/d/1Rawwwdh8wntXGy8isdYNHxsNQS4n_rC8JSdPfj6vEq4"",""'500 объектов перенос на 2026'!A3:AB502""),13,0)"),"#REF!")</f>
        <v>#REF!</v>
      </c>
      <c r="Z201" s="42" t="str">
        <f>IFERROR(__xludf.DUMMYFUNCTION("vLOOKUP(A201,IMPORTRANGE(""https://docs.google.com/spreadsheets/d/1Rawwwdh8wntXGy8isdYNHxsNQS4n_rC8JSdPfj6vEq4"",""'500 объектов перенос на 2026'!A3:AB502""),14,0)"),"#REF!")</f>
        <v>#REF!</v>
      </c>
      <c r="AA201" s="85" t="s">
        <v>3932</v>
      </c>
      <c r="AB201" s="43"/>
    </row>
    <row r="202">
      <c r="A202" s="62" t="s">
        <v>1599</v>
      </c>
      <c r="B202" s="63" t="s">
        <v>826</v>
      </c>
      <c r="C202" s="64" t="s">
        <v>1600</v>
      </c>
      <c r="D202" s="64" t="s">
        <v>85</v>
      </c>
      <c r="E202" s="288"/>
      <c r="F202" s="64" t="s">
        <v>3550</v>
      </c>
      <c r="G202" s="64">
        <v>697.6</v>
      </c>
      <c r="H202" s="64" t="s">
        <v>3512</v>
      </c>
      <c r="I202" s="64">
        <v>2025.0</v>
      </c>
      <c r="J202" s="64">
        <v>2026.0</v>
      </c>
      <c r="K202" s="287">
        <v>0.96</v>
      </c>
      <c r="L202" s="288"/>
      <c r="M202" s="285" t="s">
        <v>3934</v>
      </c>
      <c r="N202" s="35" t="s">
        <v>3568</v>
      </c>
      <c r="O202" s="35" t="s">
        <v>3568</v>
      </c>
      <c r="P202" s="35" t="s">
        <v>49</v>
      </c>
      <c r="Q202" s="37">
        <v>46157.0</v>
      </c>
      <c r="R202" s="56"/>
      <c r="S202" s="38"/>
      <c r="T202" s="39">
        <v>47492.61</v>
      </c>
      <c r="U202" s="39">
        <v>22560.385</v>
      </c>
      <c r="V202" s="40">
        <v>24932.225</v>
      </c>
      <c r="W202" s="57"/>
      <c r="X202" s="42" t="s">
        <v>49</v>
      </c>
      <c r="Y202" s="42" t="str">
        <f>IFERROR(__xludf.DUMMYFUNCTION("vLOOKUP(A202,IMPORTRANGE(""https://docs.google.com/spreadsheets/d/1Rawwwdh8wntXGy8isdYNHxsNQS4n_rC8JSdPfj6vEq4"",""'500 объектов перенос на 2026'!A3:AB502""),13,0)"),"#REF!")</f>
        <v>#REF!</v>
      </c>
      <c r="Z202" s="42" t="str">
        <f>IFERROR(__xludf.DUMMYFUNCTION("vLOOKUP(A202,IMPORTRANGE(""https://docs.google.com/spreadsheets/d/1Rawwwdh8wntXGy8isdYNHxsNQS4n_rC8JSdPfj6vEq4"",""'500 объектов перенос на 2026'!A3:AB502""),14,0)"),"#REF!")</f>
        <v>#REF!</v>
      </c>
      <c r="AA202" s="85" t="s">
        <v>3932</v>
      </c>
      <c r="AB202" s="43"/>
    </row>
    <row r="203">
      <c r="A203" s="62" t="s">
        <v>2299</v>
      </c>
      <c r="B203" s="63" t="s">
        <v>826</v>
      </c>
      <c r="C203" s="64" t="s">
        <v>2300</v>
      </c>
      <c r="D203" s="64" t="s">
        <v>85</v>
      </c>
      <c r="E203" s="288"/>
      <c r="F203" s="64" t="s">
        <v>3550</v>
      </c>
      <c r="G203" s="64">
        <v>310.0</v>
      </c>
      <c r="H203" s="64" t="s">
        <v>3512</v>
      </c>
      <c r="I203" s="64">
        <v>2025.0</v>
      </c>
      <c r="J203" s="64">
        <v>2026.0</v>
      </c>
      <c r="K203" s="287">
        <v>0.9</v>
      </c>
      <c r="L203" s="288"/>
      <c r="M203" s="285" t="s">
        <v>3935</v>
      </c>
      <c r="N203" s="35" t="s">
        <v>3568</v>
      </c>
      <c r="O203" s="35" t="s">
        <v>3568</v>
      </c>
      <c r="P203" s="35" t="s">
        <v>49</v>
      </c>
      <c r="Q203" s="37">
        <v>46174.0</v>
      </c>
      <c r="R203" s="56"/>
      <c r="S203" s="38"/>
      <c r="T203" s="39">
        <v>21520.561</v>
      </c>
      <c r="U203" s="39">
        <v>10228.72264</v>
      </c>
      <c r="V203" s="40">
        <v>11291.83836</v>
      </c>
      <c r="W203" s="57" t="s">
        <v>2301</v>
      </c>
      <c r="X203" s="42" t="s">
        <v>49</v>
      </c>
      <c r="Y203" s="42" t="str">
        <f>IFERROR(__xludf.DUMMYFUNCTION("vLOOKUP(A203,IMPORTRANGE(""https://docs.google.com/spreadsheets/d/1Rawwwdh8wntXGy8isdYNHxsNQS4n_rC8JSdPfj6vEq4"",""'500 объектов перенос на 2026'!A3:AB502""),13,0)"),"#REF!")</f>
        <v>#REF!</v>
      </c>
      <c r="Z203" s="42" t="str">
        <f>IFERROR(__xludf.DUMMYFUNCTION("vLOOKUP(A203,IMPORTRANGE(""https://docs.google.com/spreadsheets/d/1Rawwwdh8wntXGy8isdYNHxsNQS4n_rC8JSdPfj6vEq4"",""'500 объектов перенос на 2026'!A3:AB502""),14,0)"),"#REF!")</f>
        <v>#REF!</v>
      </c>
      <c r="AA203" s="85" t="s">
        <v>3932</v>
      </c>
      <c r="AB203" s="43"/>
    </row>
    <row r="204">
      <c r="A204" s="62" t="s">
        <v>2705</v>
      </c>
      <c r="B204" s="63" t="s">
        <v>826</v>
      </c>
      <c r="C204" s="64" t="s">
        <v>2706</v>
      </c>
      <c r="D204" s="64" t="s">
        <v>85</v>
      </c>
      <c r="E204" s="288"/>
      <c r="F204" s="64" t="s">
        <v>3550</v>
      </c>
      <c r="G204" s="64">
        <v>175.2</v>
      </c>
      <c r="H204" s="64" t="s">
        <v>3512</v>
      </c>
      <c r="I204" s="64">
        <v>2025.0</v>
      </c>
      <c r="J204" s="64">
        <v>2026.0</v>
      </c>
      <c r="K204" s="287">
        <v>0.87</v>
      </c>
      <c r="L204" s="288"/>
      <c r="M204" s="285" t="s">
        <v>3936</v>
      </c>
      <c r="N204" s="35" t="s">
        <v>3568</v>
      </c>
      <c r="O204" s="35" t="s">
        <v>3568</v>
      </c>
      <c r="P204" s="35" t="s">
        <v>49</v>
      </c>
      <c r="Q204" s="37">
        <v>46174.0</v>
      </c>
      <c r="R204" s="56"/>
      <c r="S204" s="38"/>
      <c r="T204" s="39">
        <v>11856.04</v>
      </c>
      <c r="U204" s="39">
        <v>5631.96921</v>
      </c>
      <c r="V204" s="40">
        <v>6224.07079</v>
      </c>
      <c r="W204" s="57" t="s">
        <v>2709</v>
      </c>
      <c r="X204" s="42" t="s">
        <v>49</v>
      </c>
      <c r="Y204" s="42" t="str">
        <f>IFERROR(__xludf.DUMMYFUNCTION("vLOOKUP(A204,IMPORTRANGE(""https://docs.google.com/spreadsheets/d/1Rawwwdh8wntXGy8isdYNHxsNQS4n_rC8JSdPfj6vEq4"",""'500 объектов перенос на 2026'!A3:AB502""),13,0)"),"#REF!")</f>
        <v>#REF!</v>
      </c>
      <c r="Z204" s="42" t="str">
        <f>IFERROR(__xludf.DUMMYFUNCTION("vLOOKUP(A204,IMPORTRANGE(""https://docs.google.com/spreadsheets/d/1Rawwwdh8wntXGy8isdYNHxsNQS4n_rC8JSdPfj6vEq4"",""'500 объектов перенос на 2026'!A3:AB502""),14,0)"),"#REF!")</f>
        <v>#REF!</v>
      </c>
      <c r="AA204" s="85" t="s">
        <v>3937</v>
      </c>
      <c r="AB204" s="43"/>
    </row>
    <row r="205">
      <c r="A205" s="62" t="s">
        <v>1605</v>
      </c>
      <c r="B205" s="63" t="s">
        <v>826</v>
      </c>
      <c r="C205" s="104" t="s">
        <v>1606</v>
      </c>
      <c r="D205" s="64" t="s">
        <v>85</v>
      </c>
      <c r="E205" s="288"/>
      <c r="F205" s="64" t="s">
        <v>3924</v>
      </c>
      <c r="G205" s="64">
        <v>515.7</v>
      </c>
      <c r="H205" s="64" t="s">
        <v>3512</v>
      </c>
      <c r="I205" s="64">
        <v>2024.0</v>
      </c>
      <c r="J205" s="64">
        <v>2026.0</v>
      </c>
      <c r="K205" s="287">
        <v>0.93</v>
      </c>
      <c r="L205" s="288"/>
      <c r="M205" s="285" t="s">
        <v>3938</v>
      </c>
      <c r="N205" s="35">
        <v>0.0</v>
      </c>
      <c r="O205" s="35" t="s">
        <v>3938</v>
      </c>
      <c r="P205" s="35" t="s">
        <v>49</v>
      </c>
      <c r="Q205" s="37">
        <v>46174.0</v>
      </c>
      <c r="R205" s="56"/>
      <c r="S205" s="38"/>
      <c r="T205" s="39">
        <v>34691.139</v>
      </c>
      <c r="U205" s="39">
        <v>9887.79654</v>
      </c>
      <c r="V205" s="40">
        <v>24803.34246</v>
      </c>
      <c r="W205" s="57" t="s">
        <v>1608</v>
      </c>
      <c r="X205" s="42" t="s">
        <v>49</v>
      </c>
      <c r="Y205" s="42" t="str">
        <f>IFERROR(__xludf.DUMMYFUNCTION("vLOOKUP(A205,IMPORTRANGE(""https://docs.google.com/spreadsheets/d/1Rawwwdh8wntXGy8isdYNHxsNQS4n_rC8JSdPfj6vEq4"",""'500 объектов перенос на 2026'!A3:AB502""),13,0)"),"#REF!")</f>
        <v>#REF!</v>
      </c>
      <c r="Z205" s="42" t="str">
        <f>IFERROR(__xludf.DUMMYFUNCTION("vLOOKUP(A205,IMPORTRANGE(""https://docs.google.com/spreadsheets/d/1Rawwwdh8wntXGy8isdYNHxsNQS4n_rC8JSdPfj6vEq4"",""'500 объектов перенос на 2026'!A3:AB502""),14,0)"),"#REF!")</f>
        <v>#REF!</v>
      </c>
      <c r="AA205" s="85" t="s">
        <v>3927</v>
      </c>
      <c r="AB205" s="43"/>
    </row>
    <row r="206">
      <c r="A206" s="62" t="s">
        <v>877</v>
      </c>
      <c r="B206" s="63" t="s">
        <v>826</v>
      </c>
      <c r="C206" s="64" t="s">
        <v>878</v>
      </c>
      <c r="D206" s="64" t="s">
        <v>59</v>
      </c>
      <c r="E206" s="64">
        <v>4.0</v>
      </c>
      <c r="F206" s="288"/>
      <c r="G206" s="288"/>
      <c r="H206" s="64" t="s">
        <v>3593</v>
      </c>
      <c r="I206" s="64">
        <v>2024.0</v>
      </c>
      <c r="J206" s="64">
        <v>2026.0</v>
      </c>
      <c r="K206" s="287">
        <v>0.78</v>
      </c>
      <c r="L206" s="288"/>
      <c r="M206" s="285" t="s">
        <v>3939</v>
      </c>
      <c r="N206" s="35">
        <v>0.0</v>
      </c>
      <c r="O206" s="35" t="s">
        <v>3939</v>
      </c>
      <c r="P206" s="35" t="s">
        <v>46</v>
      </c>
      <c r="Q206" s="37">
        <v>46204.0</v>
      </c>
      <c r="R206" s="56"/>
      <c r="S206" s="38" t="s">
        <v>880</v>
      </c>
      <c r="T206" s="39">
        <v>115078.82</v>
      </c>
      <c r="U206" s="39">
        <v>52927.31462</v>
      </c>
      <c r="V206" s="40">
        <v>62151.50538</v>
      </c>
      <c r="W206" s="57" t="s">
        <v>881</v>
      </c>
      <c r="X206" s="42" t="s">
        <v>49</v>
      </c>
      <c r="Y206" s="42" t="str">
        <f>IFERROR(__xludf.DUMMYFUNCTION("vLOOKUP(A206,IMPORTRANGE(""https://docs.google.com/spreadsheets/d/1Rawwwdh8wntXGy8isdYNHxsNQS4n_rC8JSdPfj6vEq4"",""'500 объектов перенос на 2026'!A3:AB502""),13,0)"),"#REF!")</f>
        <v>#REF!</v>
      </c>
      <c r="Z206" s="42" t="str">
        <f>IFERROR(__xludf.DUMMYFUNCTION("vLOOKUP(A206,IMPORTRANGE(""https://docs.google.com/spreadsheets/d/1Rawwwdh8wntXGy8isdYNHxsNQS4n_rC8JSdPfj6vEq4"",""'500 объектов перенос на 2026'!A3:AB502""),14,0)"),"#REF!")</f>
        <v>#REF!</v>
      </c>
      <c r="AA206" s="85" t="s">
        <v>3940</v>
      </c>
      <c r="AB206" s="43"/>
    </row>
    <row r="207">
      <c r="A207" s="62" t="s">
        <v>1517</v>
      </c>
      <c r="B207" s="63" t="s">
        <v>826</v>
      </c>
      <c r="C207" s="64" t="s">
        <v>1518</v>
      </c>
      <c r="D207" s="64" t="s">
        <v>85</v>
      </c>
      <c r="E207" s="288"/>
      <c r="F207" s="64" t="s">
        <v>3550</v>
      </c>
      <c r="G207" s="64">
        <v>152.2</v>
      </c>
      <c r="H207" s="64" t="s">
        <v>3512</v>
      </c>
      <c r="I207" s="64">
        <v>2024.0</v>
      </c>
      <c r="J207" s="64">
        <v>2025.0</v>
      </c>
      <c r="K207" s="287">
        <v>1.0</v>
      </c>
      <c r="L207" s="292" t="s">
        <v>3528</v>
      </c>
      <c r="M207" s="289" t="s">
        <v>3941</v>
      </c>
      <c r="N207" s="35">
        <v>0.0</v>
      </c>
      <c r="O207" s="35" t="s">
        <v>3520</v>
      </c>
      <c r="P207" s="35" t="s">
        <v>113</v>
      </c>
      <c r="Q207" s="38"/>
      <c r="R207" s="38" t="s">
        <v>115</v>
      </c>
      <c r="S207" s="38"/>
      <c r="T207" s="39">
        <v>10258.15</v>
      </c>
      <c r="U207" s="39">
        <v>5978.07445</v>
      </c>
      <c r="V207" s="39">
        <v>4280.07555</v>
      </c>
      <c r="W207" s="57" t="s">
        <v>1520</v>
      </c>
      <c r="X207" s="42" t="s">
        <v>362</v>
      </c>
      <c r="Y207" s="42" t="str">
        <f>IFERROR(__xludf.DUMMYFUNCTION("vLOOKUP(A207,IMPORTRANGE(""https://docs.google.com/spreadsheets/d/1Rawwwdh8wntXGy8isdYNHxsNQS4n_rC8JSdPfj6vEq4"",""'500 объектов перенос на 2026'!A3:AB502""),13,0)"),"#REF!")</f>
        <v>#REF!</v>
      </c>
      <c r="Z207" s="42" t="str">
        <f>IFERROR(__xludf.DUMMYFUNCTION("vLOOKUP(A207,IMPORTRANGE(""https://docs.google.com/spreadsheets/d/1Rawwwdh8wntXGy8isdYNHxsNQS4n_rC8JSdPfj6vEq4"",""'500 объектов перенос на 2026'!A3:AB502""),14,0)"),"#REF!")</f>
        <v>#REF!</v>
      </c>
      <c r="AA207" s="42" t="s">
        <v>175</v>
      </c>
      <c r="AB207" s="43"/>
    </row>
    <row r="208">
      <c r="A208" s="62" t="s">
        <v>1585</v>
      </c>
      <c r="B208" s="63" t="s">
        <v>1586</v>
      </c>
      <c r="C208" s="64" t="s">
        <v>1587</v>
      </c>
      <c r="D208" s="64" t="s">
        <v>59</v>
      </c>
      <c r="E208" s="64">
        <v>4.3</v>
      </c>
      <c r="F208" s="288"/>
      <c r="G208" s="288"/>
      <c r="H208" s="64" t="s">
        <v>3593</v>
      </c>
      <c r="I208" s="64">
        <v>2024.0</v>
      </c>
      <c r="J208" s="294">
        <v>2025.0</v>
      </c>
      <c r="K208" s="287">
        <v>0.77</v>
      </c>
      <c r="L208" s="288"/>
      <c r="M208" s="285" t="s">
        <v>3942</v>
      </c>
      <c r="N208" s="35" t="s">
        <v>1589</v>
      </c>
      <c r="O208" s="35" t="s">
        <v>3943</v>
      </c>
      <c r="P208" s="35" t="s">
        <v>1592</v>
      </c>
      <c r="Q208" s="37">
        <v>46254.0</v>
      </c>
      <c r="R208" s="56"/>
      <c r="S208" s="38" t="s">
        <v>1595</v>
      </c>
      <c r="T208" s="39">
        <v>162043.25</v>
      </c>
      <c r="U208" s="39">
        <v>137043.1177</v>
      </c>
      <c r="V208" s="40">
        <v>25000.13233</v>
      </c>
      <c r="W208" s="57" t="s">
        <v>1596</v>
      </c>
      <c r="X208" s="42" t="s">
        <v>1597</v>
      </c>
      <c r="Y208" s="42" t="str">
        <f>IFERROR(__xludf.DUMMYFUNCTION("vLOOKUP(A208,IMPORTRANGE(""https://docs.google.com/spreadsheets/d/1Rawwwdh8wntXGy8isdYNHxsNQS4n_rC8JSdPfj6vEq4"",""'500 объектов перенос на 2026'!A3:AB502""),13,0)"),"#REF!")</f>
        <v>#REF!</v>
      </c>
      <c r="Z208" s="42" t="str">
        <f>IFERROR(__xludf.DUMMYFUNCTION("vLOOKUP(A208,IMPORTRANGE(""https://docs.google.com/spreadsheets/d/1Rawwwdh8wntXGy8isdYNHxsNQS4n_rC8JSdPfj6vEq4"",""'500 объектов перенос на 2026'!A3:AB502""),14,0)"),"#REF!")</f>
        <v>#REF!</v>
      </c>
      <c r="AA208" s="85" t="s">
        <v>3944</v>
      </c>
      <c r="AB208" s="96">
        <v>137043.0</v>
      </c>
    </row>
    <row r="209">
      <c r="A209" s="62" t="s">
        <v>2614</v>
      </c>
      <c r="B209" s="63" t="s">
        <v>1586</v>
      </c>
      <c r="C209" s="64" t="s">
        <v>2615</v>
      </c>
      <c r="D209" s="64" t="s">
        <v>85</v>
      </c>
      <c r="E209" s="288"/>
      <c r="F209" s="64" t="s">
        <v>3550</v>
      </c>
      <c r="G209" s="64">
        <v>303.0</v>
      </c>
      <c r="H209" s="64" t="s">
        <v>3512</v>
      </c>
      <c r="I209" s="64">
        <v>2025.0</v>
      </c>
      <c r="J209" s="64">
        <v>2026.0</v>
      </c>
      <c r="K209" s="287">
        <v>0.9</v>
      </c>
      <c r="L209" s="288"/>
      <c r="M209" s="285" t="s">
        <v>3945</v>
      </c>
      <c r="N209" s="35" t="s">
        <v>2617</v>
      </c>
      <c r="O209" s="35" t="s">
        <v>3946</v>
      </c>
      <c r="P209" s="35" t="s">
        <v>1592</v>
      </c>
      <c r="Q209" s="37">
        <v>46216.0</v>
      </c>
      <c r="R209" s="56"/>
      <c r="S209" s="38" t="s">
        <v>1595</v>
      </c>
      <c r="T209" s="39">
        <v>20628.24</v>
      </c>
      <c r="U209" s="39">
        <v>17677.96582</v>
      </c>
      <c r="V209" s="40">
        <v>2950.27418</v>
      </c>
      <c r="W209" s="57" t="s">
        <v>2619</v>
      </c>
      <c r="X209" s="42" t="s">
        <v>2620</v>
      </c>
      <c r="Y209" s="42" t="str">
        <f>IFERROR(__xludf.DUMMYFUNCTION("vLOOKUP(A209,IMPORTRANGE(""https://docs.google.com/spreadsheets/d/1Rawwwdh8wntXGy8isdYNHxsNQS4n_rC8JSdPfj6vEq4"",""'500 объектов перенос на 2026'!A3:AB502""),13,0)"),"#REF!")</f>
        <v>#REF!</v>
      </c>
      <c r="Z209" s="42" t="str">
        <f>IFERROR(__xludf.DUMMYFUNCTION("vLOOKUP(A209,IMPORTRANGE(""https://docs.google.com/spreadsheets/d/1Rawwwdh8wntXGy8isdYNHxsNQS4n_rC8JSdPfj6vEq4"",""'500 объектов перенос на 2026'!A3:AB502""),14,0)"),"#REF!")</f>
        <v>#REF!</v>
      </c>
      <c r="AA209" s="85" t="s">
        <v>3947</v>
      </c>
      <c r="AB209" s="96">
        <v>67938.0</v>
      </c>
    </row>
    <row r="210">
      <c r="A210" s="62" t="s">
        <v>2123</v>
      </c>
      <c r="B210" s="63" t="s">
        <v>1586</v>
      </c>
      <c r="C210" s="64" t="s">
        <v>2124</v>
      </c>
      <c r="D210" s="64" t="s">
        <v>85</v>
      </c>
      <c r="E210" s="288"/>
      <c r="F210" s="64" t="s">
        <v>3550</v>
      </c>
      <c r="G210" s="291" t="s">
        <v>3948</v>
      </c>
      <c r="H210" s="64" t="s">
        <v>3512</v>
      </c>
      <c r="I210" s="64">
        <v>2025.0</v>
      </c>
      <c r="J210" s="64">
        <v>2026.0</v>
      </c>
      <c r="K210" s="287">
        <v>0.9</v>
      </c>
      <c r="L210" s="288"/>
      <c r="M210" s="285" t="s">
        <v>3949</v>
      </c>
      <c r="N210" s="35">
        <v>0.0</v>
      </c>
      <c r="O210" s="35" t="s">
        <v>3949</v>
      </c>
      <c r="P210" s="35" t="s">
        <v>1592</v>
      </c>
      <c r="Q210" s="37">
        <v>46228.0</v>
      </c>
      <c r="R210" s="56"/>
      <c r="S210" s="38" t="s">
        <v>1595</v>
      </c>
      <c r="T210" s="39">
        <v>68080.0</v>
      </c>
      <c r="U210" s="39">
        <v>48063.19966</v>
      </c>
      <c r="V210" s="40">
        <v>20016.80034</v>
      </c>
      <c r="W210" s="57" t="s">
        <v>2129</v>
      </c>
      <c r="X210" s="42" t="s">
        <v>2130</v>
      </c>
      <c r="Y210" s="42" t="str">
        <f>IFERROR(__xludf.DUMMYFUNCTION("vLOOKUP(A210,IMPORTRANGE(""https://docs.google.com/spreadsheets/d/1Rawwwdh8wntXGy8isdYNHxsNQS4n_rC8JSdPfj6vEq4"",""'500 объектов перенос на 2026'!A3:AB502""),13,0)"),"#REF!")</f>
        <v>#REF!</v>
      </c>
      <c r="Z210" s="42" t="str">
        <f>IFERROR(__xludf.DUMMYFUNCTION("vLOOKUP(A210,IMPORTRANGE(""https://docs.google.com/spreadsheets/d/1Rawwwdh8wntXGy8isdYNHxsNQS4n_rC8JSdPfj6vEq4"",""'500 объектов перенос на 2026'!A3:AB502""),14,0)"),"#REF!")</f>
        <v>#REF!</v>
      </c>
      <c r="AA210" s="85" t="s">
        <v>3947</v>
      </c>
      <c r="AB210" s="43">
        <f>AB208+AB209</f>
        <v>204981</v>
      </c>
    </row>
    <row r="211">
      <c r="A211" s="62" t="s">
        <v>2325</v>
      </c>
      <c r="B211" s="63" t="s">
        <v>1586</v>
      </c>
      <c r="C211" s="64" t="s">
        <v>2326</v>
      </c>
      <c r="D211" s="64" t="s">
        <v>85</v>
      </c>
      <c r="E211" s="288"/>
      <c r="F211" s="64" t="s">
        <v>3795</v>
      </c>
      <c r="G211" s="64">
        <v>550.0</v>
      </c>
      <c r="H211" s="64" t="s">
        <v>3512</v>
      </c>
      <c r="I211" s="64">
        <v>2025.0</v>
      </c>
      <c r="J211" s="64">
        <v>2026.0</v>
      </c>
      <c r="K211" s="287">
        <v>0.9</v>
      </c>
      <c r="L211" s="288"/>
      <c r="M211" s="285" t="s">
        <v>3950</v>
      </c>
      <c r="N211" s="35" t="s">
        <v>2328</v>
      </c>
      <c r="O211" s="35" t="s">
        <v>3951</v>
      </c>
      <c r="P211" s="35" t="s">
        <v>1592</v>
      </c>
      <c r="Q211" s="37">
        <v>46228.0</v>
      </c>
      <c r="R211" s="56"/>
      <c r="S211" s="38" t="s">
        <v>1595</v>
      </c>
      <c r="T211" s="39">
        <v>55060.63</v>
      </c>
      <c r="U211" s="39">
        <v>31791.14289</v>
      </c>
      <c r="V211" s="40">
        <v>23269.48711</v>
      </c>
      <c r="W211" s="57" t="s">
        <v>2330</v>
      </c>
      <c r="X211" s="42" t="s">
        <v>2331</v>
      </c>
      <c r="Y211" s="42" t="str">
        <f>IFERROR(__xludf.DUMMYFUNCTION("vLOOKUP(A211,IMPORTRANGE(""https://docs.google.com/spreadsheets/d/1Rawwwdh8wntXGy8isdYNHxsNQS4n_rC8JSdPfj6vEq4"",""'500 объектов перенос на 2026'!A3:AB502""),13,0)"),"#REF!")</f>
        <v>#REF!</v>
      </c>
      <c r="Z211" s="42" t="str">
        <f>IFERROR(__xludf.DUMMYFUNCTION("vLOOKUP(A211,IMPORTRANGE(""https://docs.google.com/spreadsheets/d/1Rawwwdh8wntXGy8isdYNHxsNQS4n_rC8JSdPfj6vEq4"",""'500 объектов перенос на 2026'!A3:AB502""),14,0)"),"#REF!")</f>
        <v>#REF!</v>
      </c>
      <c r="AA211" s="85" t="s">
        <v>3947</v>
      </c>
      <c r="AB211" s="43"/>
    </row>
    <row r="212">
      <c r="A212" s="62" t="s">
        <v>2693</v>
      </c>
      <c r="B212" s="63" t="s">
        <v>1586</v>
      </c>
      <c r="C212" s="64" t="s">
        <v>2694</v>
      </c>
      <c r="D212" s="64" t="s">
        <v>85</v>
      </c>
      <c r="E212" s="288"/>
      <c r="F212" s="64" t="s">
        <v>3550</v>
      </c>
      <c r="G212" s="64">
        <v>257.0</v>
      </c>
      <c r="H212" s="64" t="s">
        <v>3512</v>
      </c>
      <c r="I212" s="64">
        <v>2025.0</v>
      </c>
      <c r="J212" s="64">
        <v>2026.0</v>
      </c>
      <c r="K212" s="287">
        <v>0.9</v>
      </c>
      <c r="L212" s="288"/>
      <c r="M212" s="289" t="s">
        <v>3952</v>
      </c>
      <c r="N212" s="35">
        <v>0.0</v>
      </c>
      <c r="O212" s="35" t="s">
        <v>3520</v>
      </c>
      <c r="P212" s="35" t="s">
        <v>1592</v>
      </c>
      <c r="Q212" s="37">
        <v>46228.0</v>
      </c>
      <c r="R212" s="56"/>
      <c r="S212" s="38" t="s">
        <v>1595</v>
      </c>
      <c r="T212" s="39">
        <v>17496.56</v>
      </c>
      <c r="U212" s="39">
        <v>12490.749</v>
      </c>
      <c r="V212" s="40">
        <v>5005.811</v>
      </c>
      <c r="W212" s="57" t="s">
        <v>2696</v>
      </c>
      <c r="X212" s="42" t="s">
        <v>2697</v>
      </c>
      <c r="Y212" s="42" t="str">
        <f>IFERROR(__xludf.DUMMYFUNCTION("vLOOKUP(A212,IMPORTRANGE(""https://docs.google.com/spreadsheets/d/1Rawwwdh8wntXGy8isdYNHxsNQS4n_rC8JSdPfj6vEq4"",""'500 объектов перенос на 2026'!A3:AB502""),13,0)"),"#REF!")</f>
        <v>#REF!</v>
      </c>
      <c r="Z212" s="42" t="str">
        <f>IFERROR(__xludf.DUMMYFUNCTION("vLOOKUP(A212,IMPORTRANGE(""https://docs.google.com/spreadsheets/d/1Rawwwdh8wntXGy8isdYNHxsNQS4n_rC8JSdPfj6vEq4"",""'500 объектов перенос на 2026'!A3:AB502""),14,0)"),"#REF!")</f>
        <v>#REF!</v>
      </c>
      <c r="AA212" s="85" t="s">
        <v>3947</v>
      </c>
      <c r="AB212" s="43"/>
    </row>
    <row r="213">
      <c r="A213" s="62" t="s">
        <v>2393</v>
      </c>
      <c r="B213" s="63" t="s">
        <v>1586</v>
      </c>
      <c r="C213" s="64" t="s">
        <v>2394</v>
      </c>
      <c r="D213" s="64" t="s">
        <v>85</v>
      </c>
      <c r="E213" s="288"/>
      <c r="F213" s="64" t="s">
        <v>3550</v>
      </c>
      <c r="G213" s="64">
        <v>800.0</v>
      </c>
      <c r="H213" s="64" t="s">
        <v>3512</v>
      </c>
      <c r="I213" s="64">
        <v>2025.0</v>
      </c>
      <c r="J213" s="64">
        <v>2026.0</v>
      </c>
      <c r="K213" s="287">
        <v>0.9</v>
      </c>
      <c r="L213" s="288"/>
      <c r="M213" s="285" t="s">
        <v>3953</v>
      </c>
      <c r="N213" s="35" t="s">
        <v>2396</v>
      </c>
      <c r="O213" s="35" t="s">
        <v>3954</v>
      </c>
      <c r="P213" s="35" t="s">
        <v>1592</v>
      </c>
      <c r="Q213" s="37">
        <v>46228.0</v>
      </c>
      <c r="R213" s="56"/>
      <c r="S213" s="38" t="s">
        <v>1595</v>
      </c>
      <c r="T213" s="39">
        <v>65427.51</v>
      </c>
      <c r="U213" s="39">
        <v>38307.77661</v>
      </c>
      <c r="V213" s="40">
        <v>27119.73339</v>
      </c>
      <c r="W213" s="57" t="s">
        <v>2398</v>
      </c>
      <c r="X213" s="42" t="s">
        <v>2399</v>
      </c>
      <c r="Y213" s="42" t="str">
        <f>IFERROR(__xludf.DUMMYFUNCTION("vLOOKUP(A213,IMPORTRANGE(""https://docs.google.com/spreadsheets/d/1Rawwwdh8wntXGy8isdYNHxsNQS4n_rC8JSdPfj6vEq4"",""'500 объектов перенос на 2026'!A3:AB502""),13,0)"),"#REF!")</f>
        <v>#REF!</v>
      </c>
      <c r="Z213" s="42" t="str">
        <f>IFERROR(__xludf.DUMMYFUNCTION("vLOOKUP(A213,IMPORTRANGE(""https://docs.google.com/spreadsheets/d/1Rawwwdh8wntXGy8isdYNHxsNQS4n_rC8JSdPfj6vEq4"",""'500 объектов перенос на 2026'!A3:AB502""),14,0)"),"#REF!")</f>
        <v>#REF!</v>
      </c>
      <c r="AA213" s="85" t="s">
        <v>3947</v>
      </c>
      <c r="AB213" s="43"/>
    </row>
    <row r="214">
      <c r="A214" s="62" t="s">
        <v>2725</v>
      </c>
      <c r="B214" s="63" t="s">
        <v>1586</v>
      </c>
      <c r="C214" s="64" t="s">
        <v>2726</v>
      </c>
      <c r="D214" s="64" t="s">
        <v>39</v>
      </c>
      <c r="E214" s="64">
        <v>5.0</v>
      </c>
      <c r="F214" s="288"/>
      <c r="G214" s="288"/>
      <c r="H214" s="64" t="s">
        <v>3527</v>
      </c>
      <c r="I214" s="64">
        <v>2024.0</v>
      </c>
      <c r="J214" s="64">
        <v>2026.0</v>
      </c>
      <c r="K214" s="287">
        <v>0.85</v>
      </c>
      <c r="L214" s="288"/>
      <c r="M214" s="285" t="s">
        <v>3955</v>
      </c>
      <c r="N214" s="35" t="s">
        <v>3956</v>
      </c>
      <c r="O214" s="35" t="s">
        <v>3957</v>
      </c>
      <c r="P214" s="35" t="s">
        <v>1592</v>
      </c>
      <c r="Q214" s="37">
        <v>46249.0</v>
      </c>
      <c r="R214" s="56"/>
      <c r="S214" s="38" t="s">
        <v>1595</v>
      </c>
      <c r="T214" s="39">
        <v>100791.43</v>
      </c>
      <c r="U214" s="39">
        <v>95736.73184</v>
      </c>
      <c r="V214" s="40">
        <v>5054.69816</v>
      </c>
      <c r="W214" s="57" t="s">
        <v>2731</v>
      </c>
      <c r="X214" s="42" t="s">
        <v>2732</v>
      </c>
      <c r="Y214" s="42" t="str">
        <f>IFERROR(__xludf.DUMMYFUNCTION("vLOOKUP(A214,IMPORTRANGE(""https://docs.google.com/spreadsheets/d/1Rawwwdh8wntXGy8isdYNHxsNQS4n_rC8JSdPfj6vEq4"",""'500 объектов перенос на 2026'!A3:AB502""),13,0)"),"#REF!")</f>
        <v>#REF!</v>
      </c>
      <c r="Z214" s="42" t="str">
        <f>IFERROR(__xludf.DUMMYFUNCTION("vLOOKUP(A214,IMPORTRANGE(""https://docs.google.com/spreadsheets/d/1Rawwwdh8wntXGy8isdYNHxsNQS4n_rC8JSdPfj6vEq4"",""'500 объектов перенос на 2026'!A3:AB502""),14,0)"),"#REF!")</f>
        <v>#REF!</v>
      </c>
      <c r="AA214" s="85" t="s">
        <v>3958</v>
      </c>
      <c r="AB214" s="43"/>
    </row>
    <row r="215">
      <c r="A215" s="62" t="s">
        <v>3050</v>
      </c>
      <c r="B215" s="63" t="s">
        <v>1586</v>
      </c>
      <c r="C215" s="64" t="s">
        <v>3051</v>
      </c>
      <c r="D215" s="64" t="s">
        <v>39</v>
      </c>
      <c r="E215" s="64">
        <v>3.5</v>
      </c>
      <c r="F215" s="288"/>
      <c r="G215" s="288"/>
      <c r="H215" s="64" t="s">
        <v>3527</v>
      </c>
      <c r="I215" s="64">
        <v>2024.0</v>
      </c>
      <c r="J215" s="64">
        <v>2026.0</v>
      </c>
      <c r="K215" s="287">
        <v>0.85</v>
      </c>
      <c r="L215" s="288"/>
      <c r="M215" s="285" t="s">
        <v>3959</v>
      </c>
      <c r="N215" s="35" t="s">
        <v>3053</v>
      </c>
      <c r="O215" s="35" t="s">
        <v>3960</v>
      </c>
      <c r="P215" s="35" t="s">
        <v>1592</v>
      </c>
      <c r="Q215" s="37">
        <v>46249.0</v>
      </c>
      <c r="R215" s="56"/>
      <c r="S215" s="38" t="s">
        <v>1595</v>
      </c>
      <c r="T215" s="39">
        <v>95192.75</v>
      </c>
      <c r="U215" s="39">
        <v>90188.18946</v>
      </c>
      <c r="V215" s="40">
        <v>5004.56054</v>
      </c>
      <c r="W215" s="57" t="s">
        <v>3056</v>
      </c>
      <c r="X215" s="42" t="s">
        <v>2801</v>
      </c>
      <c r="Y215" s="42" t="str">
        <f>IFERROR(__xludf.DUMMYFUNCTION("vLOOKUP(A215,IMPORTRANGE(""https://docs.google.com/spreadsheets/d/1Rawwwdh8wntXGy8isdYNHxsNQS4n_rC8JSdPfj6vEq4"",""'500 объектов перенос на 2026'!A3:AB502""),13,0)"),"#REF!")</f>
        <v>#REF!</v>
      </c>
      <c r="Z215" s="42" t="str">
        <f>IFERROR(__xludf.DUMMYFUNCTION("vLOOKUP(A215,IMPORTRANGE(""https://docs.google.com/spreadsheets/d/1Rawwwdh8wntXGy8isdYNHxsNQS4n_rC8JSdPfj6vEq4"",""'500 объектов перенос на 2026'!A3:AB502""),14,0)"),"#REF!")</f>
        <v>#REF!</v>
      </c>
      <c r="AA215" s="85" t="s">
        <v>3961</v>
      </c>
      <c r="AB215" s="43"/>
    </row>
    <row r="216">
      <c r="A216" s="62" t="s">
        <v>2795</v>
      </c>
      <c r="B216" s="63" t="s">
        <v>1586</v>
      </c>
      <c r="C216" s="64" t="s">
        <v>2796</v>
      </c>
      <c r="D216" s="64" t="s">
        <v>39</v>
      </c>
      <c r="E216" s="64">
        <v>4.5</v>
      </c>
      <c r="F216" s="288"/>
      <c r="G216" s="288"/>
      <c r="H216" s="64" t="s">
        <v>3527</v>
      </c>
      <c r="I216" s="64">
        <v>2024.0</v>
      </c>
      <c r="J216" s="294">
        <v>2025.0</v>
      </c>
      <c r="K216" s="287">
        <v>0.94</v>
      </c>
      <c r="L216" s="288"/>
      <c r="M216" s="285" t="s">
        <v>3962</v>
      </c>
      <c r="N216" s="35">
        <v>0.0</v>
      </c>
      <c r="O216" s="35" t="s">
        <v>3962</v>
      </c>
      <c r="P216" s="35" t="s">
        <v>1592</v>
      </c>
      <c r="Q216" s="37">
        <v>46249.0</v>
      </c>
      <c r="R216" s="56"/>
      <c r="S216" s="38" t="s">
        <v>1595</v>
      </c>
      <c r="T216" s="39">
        <v>94204.58</v>
      </c>
      <c r="U216" s="39">
        <v>89218.51474</v>
      </c>
      <c r="V216" s="40">
        <v>4986.06526</v>
      </c>
      <c r="W216" s="57" t="s">
        <v>2800</v>
      </c>
      <c r="X216" s="42" t="s">
        <v>2801</v>
      </c>
      <c r="Y216" s="42" t="str">
        <f>IFERROR(__xludf.DUMMYFUNCTION("vLOOKUP(A216,IMPORTRANGE(""https://docs.google.com/spreadsheets/d/1Rawwwdh8wntXGy8isdYNHxsNQS4n_rC8JSdPfj6vEq4"",""'500 объектов перенос на 2026'!A3:AB502""),13,0)"),"#REF!")</f>
        <v>#REF!</v>
      </c>
      <c r="Z216" s="42" t="str">
        <f>IFERROR(__xludf.DUMMYFUNCTION("vLOOKUP(A216,IMPORTRANGE(""https://docs.google.com/spreadsheets/d/1Rawwwdh8wntXGy8isdYNHxsNQS4n_rC8JSdPfj6vEq4"",""'500 объектов перенос на 2026'!A3:AB502""),14,0)"),"#REF!")</f>
        <v>#REF!</v>
      </c>
      <c r="AA216" s="85" t="s">
        <v>3958</v>
      </c>
      <c r="AB216" s="43"/>
    </row>
    <row r="217">
      <c r="A217" s="62" t="s">
        <v>2382</v>
      </c>
      <c r="B217" s="63" t="s">
        <v>400</v>
      </c>
      <c r="C217" s="64" t="s">
        <v>2383</v>
      </c>
      <c r="D217" s="64" t="s">
        <v>85</v>
      </c>
      <c r="E217" s="288"/>
      <c r="F217" s="64">
        <v>500.0</v>
      </c>
      <c r="G217" s="64">
        <v>310.0</v>
      </c>
      <c r="H217" s="64" t="s">
        <v>3512</v>
      </c>
      <c r="I217" s="64">
        <v>2024.0</v>
      </c>
      <c r="J217" s="64">
        <v>2026.0</v>
      </c>
      <c r="K217" s="287">
        <v>0.98</v>
      </c>
      <c r="L217" s="288"/>
      <c r="M217" s="285" t="s">
        <v>3963</v>
      </c>
      <c r="N217" s="35">
        <v>0.0</v>
      </c>
      <c r="O217" s="35" t="s">
        <v>3963</v>
      </c>
      <c r="P217" s="35" t="s">
        <v>1155</v>
      </c>
      <c r="Q217" s="37">
        <v>46157.0</v>
      </c>
      <c r="R217" s="56"/>
      <c r="S217" s="38"/>
      <c r="T217" s="39">
        <v>60776.32</v>
      </c>
      <c r="U217" s="39">
        <v>51161.10141</v>
      </c>
      <c r="V217" s="40">
        <v>9615.21859</v>
      </c>
      <c r="W217" s="57" t="s">
        <v>2384</v>
      </c>
      <c r="X217" s="42" t="s">
        <v>745</v>
      </c>
      <c r="Y217" s="42" t="str">
        <f>IFERROR(__xludf.DUMMYFUNCTION("vLOOKUP(A217,IMPORTRANGE(""https://docs.google.com/spreadsheets/d/1Rawwwdh8wntXGy8isdYNHxsNQS4n_rC8JSdPfj6vEq4"",""'500 объектов перенос на 2026'!A3:AB502""),13,0)"),"#REF!")</f>
        <v>#REF!</v>
      </c>
      <c r="Z217" s="42" t="str">
        <f>IFERROR(__xludf.DUMMYFUNCTION("vLOOKUP(A217,IMPORTRANGE(""https://docs.google.com/spreadsheets/d/1Rawwwdh8wntXGy8isdYNHxsNQS4n_rC8JSdPfj6vEq4"",""'500 объектов перенос на 2026'!A3:AB502""),14,0)"),"#REF!")</f>
        <v>#REF!</v>
      </c>
      <c r="AA217" s="85" t="s">
        <v>3964</v>
      </c>
      <c r="AB217" s="43"/>
    </row>
    <row r="218">
      <c r="A218" s="62" t="s">
        <v>1742</v>
      </c>
      <c r="B218" s="63" t="s">
        <v>400</v>
      </c>
      <c r="C218" s="64" t="s">
        <v>1743</v>
      </c>
      <c r="D218" s="64" t="s">
        <v>85</v>
      </c>
      <c r="E218" s="288"/>
      <c r="F218" s="64">
        <v>500.0</v>
      </c>
      <c r="G218" s="64">
        <v>408.4</v>
      </c>
      <c r="H218" s="64" t="s">
        <v>3512</v>
      </c>
      <c r="I218" s="64">
        <v>2024.0</v>
      </c>
      <c r="J218" s="64">
        <v>2026.0</v>
      </c>
      <c r="K218" s="287">
        <v>0.95</v>
      </c>
      <c r="L218" s="288"/>
      <c r="M218" s="285" t="s">
        <v>3965</v>
      </c>
      <c r="N218" s="35">
        <v>0.0</v>
      </c>
      <c r="O218" s="35" t="s">
        <v>3965</v>
      </c>
      <c r="P218" s="35" t="s">
        <v>1155</v>
      </c>
      <c r="Q218" s="37">
        <v>46157.0</v>
      </c>
      <c r="R218" s="56"/>
      <c r="S218" s="38"/>
      <c r="T218" s="39">
        <v>80803.974</v>
      </c>
      <c r="U218" s="39">
        <v>60487.57639</v>
      </c>
      <c r="V218" s="40">
        <v>20316.39761</v>
      </c>
      <c r="W218" s="57" t="s">
        <v>1750</v>
      </c>
      <c r="X218" s="42" t="s">
        <v>1751</v>
      </c>
      <c r="Y218" s="42" t="str">
        <f>IFERROR(__xludf.DUMMYFUNCTION("vLOOKUP(A218,IMPORTRANGE(""https://docs.google.com/spreadsheets/d/1Rawwwdh8wntXGy8isdYNHxsNQS4n_rC8JSdPfj6vEq4"",""'500 объектов перенос на 2026'!A3:AB502""),13,0)"),"#REF!")</f>
        <v>#REF!</v>
      </c>
      <c r="Z218" s="42" t="str">
        <f>IFERROR(__xludf.DUMMYFUNCTION("vLOOKUP(A218,IMPORTRANGE(""https://docs.google.com/spreadsheets/d/1Rawwwdh8wntXGy8isdYNHxsNQS4n_rC8JSdPfj6vEq4"",""'500 объектов перенос на 2026'!A3:AB502""),14,0)"),"#REF!")</f>
        <v>#REF!</v>
      </c>
      <c r="AA218" s="85" t="s">
        <v>3964</v>
      </c>
      <c r="AB218" s="43"/>
    </row>
    <row r="219">
      <c r="A219" s="114" t="s">
        <v>1945</v>
      </c>
      <c r="B219" s="63" t="s">
        <v>400</v>
      </c>
      <c r="C219" s="64" t="s">
        <v>1946</v>
      </c>
      <c r="D219" s="64" t="s">
        <v>85</v>
      </c>
      <c r="E219" s="288"/>
      <c r="F219" s="64">
        <v>500.0</v>
      </c>
      <c r="G219" s="64">
        <v>145.0</v>
      </c>
      <c r="H219" s="64" t="s">
        <v>3512</v>
      </c>
      <c r="I219" s="64">
        <v>2024.0</v>
      </c>
      <c r="J219" s="64">
        <v>2026.0</v>
      </c>
      <c r="K219" s="287">
        <v>0.95</v>
      </c>
      <c r="L219" s="288"/>
      <c r="M219" s="285" t="s">
        <v>3966</v>
      </c>
      <c r="N219" s="35">
        <v>0.0</v>
      </c>
      <c r="O219" s="35" t="s">
        <v>3966</v>
      </c>
      <c r="P219" s="35" t="s">
        <v>49</v>
      </c>
      <c r="Q219" s="37">
        <v>46193.0</v>
      </c>
      <c r="R219" s="56"/>
      <c r="S219" s="38"/>
      <c r="T219" s="39">
        <v>24800.0</v>
      </c>
      <c r="U219" s="39">
        <v>7440.0</v>
      </c>
      <c r="V219" s="40">
        <v>17360.0</v>
      </c>
      <c r="W219" s="57" t="s">
        <v>1953</v>
      </c>
      <c r="X219" s="42" t="s">
        <v>51</v>
      </c>
      <c r="Y219" s="42" t="str">
        <f>IFERROR(__xludf.DUMMYFUNCTION("vLOOKUP(A219,IMPORTRANGE(""https://docs.google.com/spreadsheets/d/1Rawwwdh8wntXGy8isdYNHxsNQS4n_rC8JSdPfj6vEq4"",""'500 объектов перенос на 2026'!A3:AB502""),13,0)"),"#REF!")</f>
        <v>#REF!</v>
      </c>
      <c r="Z219" s="42" t="str">
        <f>IFERROR(__xludf.DUMMYFUNCTION("vLOOKUP(A219,IMPORTRANGE(""https://docs.google.com/spreadsheets/d/1Rawwwdh8wntXGy8isdYNHxsNQS4n_rC8JSdPfj6vEq4"",""'500 объектов перенос на 2026'!A3:AB502""),14,0)"),"#REF!")</f>
        <v>#REF!</v>
      </c>
      <c r="AA219" s="85" t="s">
        <v>3967</v>
      </c>
      <c r="AB219" s="43"/>
    </row>
    <row r="220">
      <c r="A220" s="62" t="s">
        <v>1046</v>
      </c>
      <c r="B220" s="63" t="s">
        <v>400</v>
      </c>
      <c r="C220" s="64" t="s">
        <v>1047</v>
      </c>
      <c r="D220" s="64" t="s">
        <v>324</v>
      </c>
      <c r="E220" s="64">
        <v>2.2</v>
      </c>
      <c r="F220" s="288"/>
      <c r="G220" s="288"/>
      <c r="H220" s="64" t="s">
        <v>3512</v>
      </c>
      <c r="I220" s="64">
        <v>2024.0</v>
      </c>
      <c r="J220" s="64">
        <v>2026.0</v>
      </c>
      <c r="K220" s="287">
        <v>0.61</v>
      </c>
      <c r="L220" s="288"/>
      <c r="M220" s="285" t="s">
        <v>3968</v>
      </c>
      <c r="N220" s="35" t="s">
        <v>3969</v>
      </c>
      <c r="O220" s="35" t="s">
        <v>3970</v>
      </c>
      <c r="P220" s="35" t="s">
        <v>803</v>
      </c>
      <c r="Q220" s="37">
        <v>46157.0</v>
      </c>
      <c r="R220" s="56"/>
      <c r="S220" s="38"/>
      <c r="T220" s="39">
        <v>65688.66</v>
      </c>
      <c r="U220" s="39">
        <v>20818.88094</v>
      </c>
      <c r="V220" s="40">
        <v>44869.77906</v>
      </c>
      <c r="W220" s="57" t="s">
        <v>1053</v>
      </c>
      <c r="X220" s="42" t="s">
        <v>1054</v>
      </c>
      <c r="Y220" s="42" t="str">
        <f>IFERROR(__xludf.DUMMYFUNCTION("vLOOKUP(A220,IMPORTRANGE(""https://docs.google.com/spreadsheets/d/1Rawwwdh8wntXGy8isdYNHxsNQS4n_rC8JSdPfj6vEq4"",""'500 объектов перенос на 2026'!A3:AB502""),13,0)"),"#REF!")</f>
        <v>#REF!</v>
      </c>
      <c r="Z220" s="42" t="str">
        <f>IFERROR(__xludf.DUMMYFUNCTION("vLOOKUP(A220,IMPORTRANGE(""https://docs.google.com/spreadsheets/d/1Rawwwdh8wntXGy8isdYNHxsNQS4n_rC8JSdPfj6vEq4"",""'500 объектов перенос на 2026'!A3:AB502""),14,0)"),"#REF!")</f>
        <v>#REF!</v>
      </c>
      <c r="AA220" s="85" t="s">
        <v>3971</v>
      </c>
      <c r="AB220" s="43"/>
    </row>
    <row r="221">
      <c r="A221" s="62" t="s">
        <v>2317</v>
      </c>
      <c r="B221" s="63" t="s">
        <v>400</v>
      </c>
      <c r="C221" s="64" t="s">
        <v>2318</v>
      </c>
      <c r="D221" s="64" t="s">
        <v>324</v>
      </c>
      <c r="E221" s="64">
        <v>2.0</v>
      </c>
      <c r="F221" s="288"/>
      <c r="G221" s="288"/>
      <c r="H221" s="64" t="s">
        <v>3512</v>
      </c>
      <c r="I221" s="64">
        <v>2024.0</v>
      </c>
      <c r="J221" s="64">
        <v>2026.0</v>
      </c>
      <c r="K221" s="287">
        <v>0.6</v>
      </c>
      <c r="L221" s="292" t="s">
        <v>3528</v>
      </c>
      <c r="M221" s="285" t="s">
        <v>3972</v>
      </c>
      <c r="N221" s="35">
        <v>0.0</v>
      </c>
      <c r="O221" s="35" t="s">
        <v>3972</v>
      </c>
      <c r="P221" s="35" t="s">
        <v>113</v>
      </c>
      <c r="Q221" s="38"/>
      <c r="R221" s="56"/>
      <c r="S221" s="38"/>
      <c r="T221" s="39">
        <v>32773.25</v>
      </c>
      <c r="U221" s="39">
        <v>22166.05482</v>
      </c>
      <c r="V221" s="39">
        <v>10607.19518</v>
      </c>
      <c r="W221" s="57" t="s">
        <v>2320</v>
      </c>
      <c r="X221" s="42" t="s">
        <v>1054</v>
      </c>
      <c r="Y221" s="42" t="str">
        <f>IFERROR(__xludf.DUMMYFUNCTION("vLOOKUP(A221,IMPORTRANGE(""https://docs.google.com/spreadsheets/d/1Rawwwdh8wntXGy8isdYNHxsNQS4n_rC8JSdPfj6vEq4"",""'500 объектов перенос на 2026'!A3:AB502""),13,0)"),"#REF!")</f>
        <v>#REF!</v>
      </c>
      <c r="Z221" s="42" t="str">
        <f>IFERROR(__xludf.DUMMYFUNCTION("vLOOKUP(A221,IMPORTRANGE(""https://docs.google.com/spreadsheets/d/1Rawwwdh8wntXGy8isdYNHxsNQS4n_rC8JSdPfj6vEq4"",""'500 объектов перенос на 2026'!A3:AB502""),14,0)"),"#REF!")</f>
        <v>#REF!</v>
      </c>
      <c r="AA221" s="85" t="s">
        <v>3964</v>
      </c>
      <c r="AB221" s="43"/>
    </row>
    <row r="222">
      <c r="A222" s="62" t="s">
        <v>2787</v>
      </c>
      <c r="B222" s="63" t="s">
        <v>400</v>
      </c>
      <c r="C222" s="64" t="s">
        <v>2788</v>
      </c>
      <c r="D222" s="64" t="s">
        <v>324</v>
      </c>
      <c r="E222" s="64">
        <v>1.8</v>
      </c>
      <c r="F222" s="288"/>
      <c r="G222" s="288"/>
      <c r="H222" s="64" t="s">
        <v>3512</v>
      </c>
      <c r="I222" s="64">
        <v>2024.0</v>
      </c>
      <c r="J222" s="64">
        <v>2026.0</v>
      </c>
      <c r="K222" s="287">
        <v>0.64</v>
      </c>
      <c r="L222" s="292" t="s">
        <v>3528</v>
      </c>
      <c r="M222" s="285" t="s">
        <v>3973</v>
      </c>
      <c r="N222" s="35">
        <v>0.0</v>
      </c>
      <c r="O222" s="35" t="s">
        <v>3973</v>
      </c>
      <c r="P222" s="35" t="s">
        <v>113</v>
      </c>
      <c r="Q222" s="38"/>
      <c r="R222" s="56"/>
      <c r="S222" s="38"/>
      <c r="T222" s="39">
        <v>30006.5</v>
      </c>
      <c r="U222" s="39">
        <v>25177.85411</v>
      </c>
      <c r="V222" s="39">
        <v>4828.64589</v>
      </c>
      <c r="W222" s="57" t="s">
        <v>2790</v>
      </c>
      <c r="X222" s="42" t="s">
        <v>1054</v>
      </c>
      <c r="Y222" s="42" t="str">
        <f>IFERROR(__xludf.DUMMYFUNCTION("vLOOKUP(A222,IMPORTRANGE(""https://docs.google.com/spreadsheets/d/1Rawwwdh8wntXGy8isdYNHxsNQS4n_rC8JSdPfj6vEq4"",""'500 объектов перенос на 2026'!A3:AB502""),13,0)"),"#REF!")</f>
        <v>#REF!</v>
      </c>
      <c r="Z222" s="42" t="str">
        <f>IFERROR(__xludf.DUMMYFUNCTION("vLOOKUP(A222,IMPORTRANGE(""https://docs.google.com/spreadsheets/d/1Rawwwdh8wntXGy8isdYNHxsNQS4n_rC8JSdPfj6vEq4"",""'500 объектов перенос на 2026'!A3:AB502""),14,0)"),"#REF!")</f>
        <v>#REF!</v>
      </c>
      <c r="AA222" s="85" t="s">
        <v>3964</v>
      </c>
      <c r="AB222" s="43"/>
    </row>
    <row r="223">
      <c r="A223" s="62" t="s">
        <v>3058</v>
      </c>
      <c r="B223" s="63" t="s">
        <v>400</v>
      </c>
      <c r="C223" s="64" t="s">
        <v>3059</v>
      </c>
      <c r="D223" s="64" t="s">
        <v>324</v>
      </c>
      <c r="E223" s="64">
        <v>1.7</v>
      </c>
      <c r="F223" s="288"/>
      <c r="G223" s="288"/>
      <c r="H223" s="64" t="s">
        <v>3512</v>
      </c>
      <c r="I223" s="64">
        <v>2024.0</v>
      </c>
      <c r="J223" s="64">
        <v>2026.0</v>
      </c>
      <c r="K223" s="287">
        <v>0.6</v>
      </c>
      <c r="L223" s="292" t="s">
        <v>3528</v>
      </c>
      <c r="M223" s="285" t="s">
        <v>3974</v>
      </c>
      <c r="N223" s="35">
        <v>0.0</v>
      </c>
      <c r="O223" s="35" t="s">
        <v>3974</v>
      </c>
      <c r="P223" s="35" t="s">
        <v>113</v>
      </c>
      <c r="Q223" s="38"/>
      <c r="R223" s="56"/>
      <c r="S223" s="38"/>
      <c r="T223" s="39">
        <v>28862.11</v>
      </c>
      <c r="U223" s="39">
        <v>27040.33528</v>
      </c>
      <c r="V223" s="39">
        <v>1821.77472</v>
      </c>
      <c r="W223" s="57" t="s">
        <v>3061</v>
      </c>
      <c r="X223" s="42" t="s">
        <v>1054</v>
      </c>
      <c r="Y223" s="42" t="str">
        <f>IFERROR(__xludf.DUMMYFUNCTION("vLOOKUP(A223,IMPORTRANGE(""https://docs.google.com/spreadsheets/d/1Rawwwdh8wntXGy8isdYNHxsNQS4n_rC8JSdPfj6vEq4"",""'500 объектов перенос на 2026'!A3:AB502""),13,0)"),"#REF!")</f>
        <v>#REF!</v>
      </c>
      <c r="Z223" s="42" t="str">
        <f>IFERROR(__xludf.DUMMYFUNCTION("vLOOKUP(A223,IMPORTRANGE(""https://docs.google.com/spreadsheets/d/1Rawwwdh8wntXGy8isdYNHxsNQS4n_rC8JSdPfj6vEq4"",""'500 объектов перенос на 2026'!A3:AB502""),14,0)"),"#REF!")</f>
        <v>#REF!</v>
      </c>
      <c r="AA223" s="85" t="s">
        <v>3964</v>
      </c>
      <c r="AB223" s="43"/>
    </row>
    <row r="224">
      <c r="A224" s="62" t="s">
        <v>2485</v>
      </c>
      <c r="B224" s="63" t="s">
        <v>400</v>
      </c>
      <c r="C224" s="64" t="s">
        <v>2486</v>
      </c>
      <c r="D224" s="64" t="s">
        <v>85</v>
      </c>
      <c r="E224" s="288"/>
      <c r="F224" s="64">
        <v>200.0</v>
      </c>
      <c r="G224" s="64">
        <v>375.0</v>
      </c>
      <c r="H224" s="64" t="s">
        <v>3512</v>
      </c>
      <c r="I224" s="64">
        <v>2024.0</v>
      </c>
      <c r="J224" s="64">
        <v>2026.0</v>
      </c>
      <c r="K224" s="287">
        <v>0.98</v>
      </c>
      <c r="L224" s="288"/>
      <c r="M224" s="285" t="s">
        <v>3975</v>
      </c>
      <c r="N224" s="35">
        <v>0.0</v>
      </c>
      <c r="O224" s="35" t="s">
        <v>3975</v>
      </c>
      <c r="P224" s="35" t="s">
        <v>49</v>
      </c>
      <c r="Q224" s="37">
        <v>46193.0</v>
      </c>
      <c r="R224" s="56"/>
      <c r="S224" s="38"/>
      <c r="T224" s="39">
        <v>25495.96</v>
      </c>
      <c r="U224" s="39">
        <v>12747.98</v>
      </c>
      <c r="V224" s="40">
        <v>12747.98</v>
      </c>
      <c r="W224" s="57" t="s">
        <v>2491</v>
      </c>
      <c r="X224" s="42" t="s">
        <v>51</v>
      </c>
      <c r="Y224" s="42" t="str">
        <f>IFERROR(__xludf.DUMMYFUNCTION("vLOOKUP(A224,IMPORTRANGE(""https://docs.google.com/spreadsheets/d/1Rawwwdh8wntXGy8isdYNHxsNQS4n_rC8JSdPfj6vEq4"",""'500 объектов перенос на 2026'!A3:AB502""),13,0)"),"#REF!")</f>
        <v>#REF!</v>
      </c>
      <c r="Z224" s="42" t="str">
        <f>IFERROR(__xludf.DUMMYFUNCTION("vLOOKUP(A224,IMPORTRANGE(""https://docs.google.com/spreadsheets/d/1Rawwwdh8wntXGy8isdYNHxsNQS4n_rC8JSdPfj6vEq4"",""'500 объектов перенос на 2026'!A3:AB502""),14,0)"),"#REF!")</f>
        <v>#REF!</v>
      </c>
      <c r="AA224" s="85" t="s">
        <v>3976</v>
      </c>
      <c r="AB224" s="43"/>
    </row>
    <row r="225">
      <c r="A225" s="62" t="s">
        <v>2840</v>
      </c>
      <c r="B225" s="63" t="s">
        <v>400</v>
      </c>
      <c r="C225" s="64" t="s">
        <v>2841</v>
      </c>
      <c r="D225" s="64" t="s">
        <v>85</v>
      </c>
      <c r="E225" s="288"/>
      <c r="F225" s="64">
        <v>150.0</v>
      </c>
      <c r="G225" s="64">
        <v>481.0</v>
      </c>
      <c r="H225" s="64" t="s">
        <v>3512</v>
      </c>
      <c r="I225" s="64">
        <v>2024.0</v>
      </c>
      <c r="J225" s="64">
        <v>2026.0</v>
      </c>
      <c r="K225" s="287">
        <v>0.98</v>
      </c>
      <c r="L225" s="288"/>
      <c r="M225" s="285" t="s">
        <v>3977</v>
      </c>
      <c r="N225" s="35">
        <v>0.0</v>
      </c>
      <c r="O225" s="35" t="s">
        <v>3977</v>
      </c>
      <c r="P225" s="35" t="s">
        <v>49</v>
      </c>
      <c r="Q225" s="37">
        <v>46193.0</v>
      </c>
      <c r="R225" s="56"/>
      <c r="S225" s="38"/>
      <c r="T225" s="39">
        <v>32746.48</v>
      </c>
      <c r="U225" s="39">
        <v>16373.24</v>
      </c>
      <c r="V225" s="40">
        <v>16373.24</v>
      </c>
      <c r="W225" s="57" t="s">
        <v>2844</v>
      </c>
      <c r="X225" s="42" t="s">
        <v>51</v>
      </c>
      <c r="Y225" s="42" t="str">
        <f>IFERROR(__xludf.DUMMYFUNCTION("vLOOKUP(A225,IMPORTRANGE(""https://docs.google.com/spreadsheets/d/1Rawwwdh8wntXGy8isdYNHxsNQS4n_rC8JSdPfj6vEq4"",""'500 объектов перенос на 2026'!A3:AB502""),13,0)"),"#REF!")</f>
        <v>#REF!</v>
      </c>
      <c r="Z225" s="42" t="str">
        <f>IFERROR(__xludf.DUMMYFUNCTION("vLOOKUP(A225,IMPORTRANGE(""https://docs.google.com/spreadsheets/d/1Rawwwdh8wntXGy8isdYNHxsNQS4n_rC8JSdPfj6vEq4"",""'500 объектов перенос на 2026'!A3:AB502""),14,0)"),"#REF!")</f>
        <v>#REF!</v>
      </c>
      <c r="AA225" s="85" t="s">
        <v>3978</v>
      </c>
      <c r="AB225" s="43"/>
    </row>
    <row r="226">
      <c r="A226" s="62" t="s">
        <v>2961</v>
      </c>
      <c r="B226" s="63" t="s">
        <v>400</v>
      </c>
      <c r="C226" s="64" t="s">
        <v>2962</v>
      </c>
      <c r="D226" s="64" t="s">
        <v>85</v>
      </c>
      <c r="E226" s="288"/>
      <c r="F226" s="64">
        <v>150.0</v>
      </c>
      <c r="G226" s="64">
        <v>443.0</v>
      </c>
      <c r="H226" s="64" t="s">
        <v>3512</v>
      </c>
      <c r="I226" s="64">
        <v>2024.0</v>
      </c>
      <c r="J226" s="64">
        <v>2026.0</v>
      </c>
      <c r="K226" s="287">
        <v>0.95</v>
      </c>
      <c r="L226" s="292" t="s">
        <v>3528</v>
      </c>
      <c r="M226" s="285" t="s">
        <v>3979</v>
      </c>
      <c r="N226" s="35">
        <v>0.0</v>
      </c>
      <c r="O226" s="35" t="s">
        <v>3979</v>
      </c>
      <c r="P226" s="35" t="s">
        <v>113</v>
      </c>
      <c r="Q226" s="38"/>
      <c r="R226" s="56"/>
      <c r="S226" s="38"/>
      <c r="T226" s="39">
        <v>18075.38</v>
      </c>
      <c r="U226" s="39">
        <v>15584.66867</v>
      </c>
      <c r="V226" s="39">
        <v>2490.71133</v>
      </c>
      <c r="W226" s="57" t="s">
        <v>2965</v>
      </c>
      <c r="X226" s="42" t="s">
        <v>2966</v>
      </c>
      <c r="Y226" s="42" t="str">
        <f>IFERROR(__xludf.DUMMYFUNCTION("vLOOKUP(A226,IMPORTRANGE(""https://docs.google.com/spreadsheets/d/1Rawwwdh8wntXGy8isdYNHxsNQS4n_rC8JSdPfj6vEq4"",""'500 объектов перенос на 2026'!A3:AB502""),13,0)"),"#REF!")</f>
        <v>#REF!</v>
      </c>
      <c r="Z226" s="42" t="str">
        <f>IFERROR(__xludf.DUMMYFUNCTION("vLOOKUP(A226,IMPORTRANGE(""https://docs.google.com/spreadsheets/d/1Rawwwdh8wntXGy8isdYNHxsNQS4n_rC8JSdPfj6vEq4"",""'500 объектов перенос на 2026'!A3:AB502""),14,0)"),"#REF!")</f>
        <v>#REF!</v>
      </c>
      <c r="AA226" s="85" t="s">
        <v>3980</v>
      </c>
      <c r="AB226" s="43"/>
    </row>
    <row r="227">
      <c r="A227" s="62" t="s">
        <v>1671</v>
      </c>
      <c r="B227" s="164" t="s">
        <v>400</v>
      </c>
      <c r="C227" s="64" t="s">
        <v>1672</v>
      </c>
      <c r="D227" s="64" t="s">
        <v>85</v>
      </c>
      <c r="E227" s="288"/>
      <c r="F227" s="64">
        <v>150.0</v>
      </c>
      <c r="G227" s="64">
        <v>295.0</v>
      </c>
      <c r="H227" s="64" t="s">
        <v>3512</v>
      </c>
      <c r="I227" s="64">
        <v>2024.0</v>
      </c>
      <c r="J227" s="64">
        <v>2026.0</v>
      </c>
      <c r="K227" s="287">
        <v>0.95</v>
      </c>
      <c r="L227" s="288"/>
      <c r="M227" s="285" t="s">
        <v>3981</v>
      </c>
      <c r="N227" s="35" t="s">
        <v>1673</v>
      </c>
      <c r="O227" s="35" t="s">
        <v>3982</v>
      </c>
      <c r="P227" s="35" t="s">
        <v>803</v>
      </c>
      <c r="Q227" s="37">
        <v>46157.0</v>
      </c>
      <c r="R227" s="56"/>
      <c r="S227" s="38"/>
      <c r="T227" s="39">
        <v>20083.6</v>
      </c>
      <c r="U227" s="39">
        <v>10041.8</v>
      </c>
      <c r="V227" s="40">
        <v>10041.8</v>
      </c>
      <c r="W227" s="99" t="s">
        <v>1675</v>
      </c>
      <c r="X227" s="42" t="s">
        <v>1338</v>
      </c>
      <c r="Y227" s="42" t="str">
        <f>IFERROR(__xludf.DUMMYFUNCTION("vLOOKUP(A227,IMPORTRANGE(""https://docs.google.com/spreadsheets/d/1Rawwwdh8wntXGy8isdYNHxsNQS4n_rC8JSdPfj6vEq4"",""'500 объектов перенос на 2026'!A3:AB502""),13,0)"),"#REF!")</f>
        <v>#REF!</v>
      </c>
      <c r="Z227" s="42" t="str">
        <f>IFERROR(__xludf.DUMMYFUNCTION("vLOOKUP(A227,IMPORTRANGE(""https://docs.google.com/spreadsheets/d/1Rawwwdh8wntXGy8isdYNHxsNQS4n_rC8JSdPfj6vEq4"",""'500 объектов перенос на 2026'!A3:AB502""),14,0)"),"#REF!")</f>
        <v>#REF!</v>
      </c>
      <c r="AA227" s="85" t="s">
        <v>3980</v>
      </c>
      <c r="AB227" s="43"/>
    </row>
    <row r="228">
      <c r="A228" s="62" t="s">
        <v>2803</v>
      </c>
      <c r="B228" s="63" t="s">
        <v>400</v>
      </c>
      <c r="C228" s="64" t="s">
        <v>2804</v>
      </c>
      <c r="D228" s="64" t="s">
        <v>85</v>
      </c>
      <c r="E228" s="288"/>
      <c r="F228" s="64">
        <v>150.0</v>
      </c>
      <c r="G228" s="64">
        <v>312.0</v>
      </c>
      <c r="H228" s="64" t="s">
        <v>3512</v>
      </c>
      <c r="I228" s="64">
        <v>2024.0</v>
      </c>
      <c r="J228" s="64">
        <v>2026.0</v>
      </c>
      <c r="K228" s="287">
        <v>0.9</v>
      </c>
      <c r="L228" s="288"/>
      <c r="M228" s="285" t="s">
        <v>3983</v>
      </c>
      <c r="N228" s="35">
        <v>0.0</v>
      </c>
      <c r="O228" s="35" t="s">
        <v>3983</v>
      </c>
      <c r="P228" s="35" t="s">
        <v>49</v>
      </c>
      <c r="Q228" s="37">
        <v>46193.0</v>
      </c>
      <c r="R228" s="56"/>
      <c r="S228" s="38"/>
      <c r="T228" s="39">
        <v>21240.96</v>
      </c>
      <c r="U228" s="39">
        <v>10620.48</v>
      </c>
      <c r="V228" s="40">
        <v>10620.48</v>
      </c>
      <c r="W228" s="57" t="s">
        <v>2808</v>
      </c>
      <c r="X228" s="42" t="s">
        <v>51</v>
      </c>
      <c r="Y228" s="42" t="str">
        <f>IFERROR(__xludf.DUMMYFUNCTION("vLOOKUP(A228,IMPORTRANGE(""https://docs.google.com/spreadsheets/d/1Rawwwdh8wntXGy8isdYNHxsNQS4n_rC8JSdPfj6vEq4"",""'500 объектов перенос на 2026'!A3:AB502""),13,0)"),"#REF!")</f>
        <v>#REF!</v>
      </c>
      <c r="Z228" s="42" t="str">
        <f>IFERROR(__xludf.DUMMYFUNCTION("vLOOKUP(A228,IMPORTRANGE(""https://docs.google.com/spreadsheets/d/1Rawwwdh8wntXGy8isdYNHxsNQS4n_rC8JSdPfj6vEq4"",""'500 объектов перенос на 2026'!A3:AB502""),14,0)"),"#REF!")</f>
        <v>#REF!</v>
      </c>
      <c r="AA228" s="85" t="s">
        <v>3984</v>
      </c>
      <c r="AB228" s="43"/>
    </row>
    <row r="229">
      <c r="A229" s="62" t="s">
        <v>2347</v>
      </c>
      <c r="B229" s="63" t="s">
        <v>400</v>
      </c>
      <c r="C229" s="64" t="s">
        <v>2348</v>
      </c>
      <c r="D229" s="90" t="s">
        <v>85</v>
      </c>
      <c r="E229" s="286"/>
      <c r="F229" s="90">
        <v>400.0</v>
      </c>
      <c r="G229" s="90">
        <v>234.7</v>
      </c>
      <c r="H229" s="90" t="s">
        <v>3512</v>
      </c>
      <c r="I229" s="90">
        <v>2025.0</v>
      </c>
      <c r="J229" s="64">
        <v>2026.0</v>
      </c>
      <c r="K229" s="287">
        <v>0.95</v>
      </c>
      <c r="L229" s="288"/>
      <c r="M229" s="289" t="s">
        <v>3985</v>
      </c>
      <c r="N229" s="35">
        <v>0.0</v>
      </c>
      <c r="O229" s="35" t="s">
        <v>3520</v>
      </c>
      <c r="P229" s="35" t="s">
        <v>803</v>
      </c>
      <c r="Q229" s="37">
        <v>46157.0</v>
      </c>
      <c r="R229" s="56"/>
      <c r="S229" s="38"/>
      <c r="T229" s="39">
        <v>39028.04</v>
      </c>
      <c r="U229" s="39">
        <v>28993.5499</v>
      </c>
      <c r="V229" s="40">
        <v>10034.4901</v>
      </c>
      <c r="W229" s="57" t="s">
        <v>2352</v>
      </c>
      <c r="X229" s="42" t="s">
        <v>1338</v>
      </c>
      <c r="Y229" s="42" t="str">
        <f>IFERROR(__xludf.DUMMYFUNCTION("vLOOKUP(A229,IMPORTRANGE(""https://docs.google.com/spreadsheets/d/1Rawwwdh8wntXGy8isdYNHxsNQS4n_rC8JSdPfj6vEq4"",""'500 объектов перенос на 2026'!A3:AB502""),13,0)"),"#REF!")</f>
        <v>#REF!</v>
      </c>
      <c r="Z229" s="42" t="str">
        <f>IFERROR(__xludf.DUMMYFUNCTION("vLOOKUP(A229,IMPORTRANGE(""https://docs.google.com/spreadsheets/d/1Rawwwdh8wntXGy8isdYNHxsNQS4n_rC8JSdPfj6vEq4"",""'500 объектов перенос на 2026'!A3:AB502""),14,0)"),"#REF!")</f>
        <v>#REF!</v>
      </c>
      <c r="AA229" s="85" t="s">
        <v>3971</v>
      </c>
      <c r="AB229" s="43"/>
    </row>
    <row r="230">
      <c r="A230" s="62" t="s">
        <v>2564</v>
      </c>
      <c r="B230" s="63" t="s">
        <v>400</v>
      </c>
      <c r="C230" s="64" t="s">
        <v>2565</v>
      </c>
      <c r="D230" s="64" t="s">
        <v>85</v>
      </c>
      <c r="E230" s="288"/>
      <c r="F230" s="64" t="s">
        <v>3986</v>
      </c>
      <c r="G230" s="64">
        <v>82.0</v>
      </c>
      <c r="H230" s="64" t="s">
        <v>3512</v>
      </c>
      <c r="I230" s="64">
        <v>2025.0</v>
      </c>
      <c r="J230" s="64">
        <v>2026.0</v>
      </c>
      <c r="K230" s="287">
        <v>0.98</v>
      </c>
      <c r="L230" s="288"/>
      <c r="M230" s="289" t="s">
        <v>3987</v>
      </c>
      <c r="N230" s="35">
        <v>0.0</v>
      </c>
      <c r="O230" s="35" t="s">
        <v>3520</v>
      </c>
      <c r="P230" s="35" t="s">
        <v>803</v>
      </c>
      <c r="Q230" s="37">
        <v>46157.0</v>
      </c>
      <c r="R230" s="56"/>
      <c r="S230" s="38"/>
      <c r="T230" s="39">
        <v>13881.78</v>
      </c>
      <c r="U230" s="39">
        <v>7438.18375</v>
      </c>
      <c r="V230" s="40">
        <v>6443.59625</v>
      </c>
      <c r="W230" s="57" t="s">
        <v>2566</v>
      </c>
      <c r="X230" s="42" t="s">
        <v>745</v>
      </c>
      <c r="Y230" s="42" t="str">
        <f>IFERROR(__xludf.DUMMYFUNCTION("vLOOKUP(A230,IMPORTRANGE(""https://docs.google.com/spreadsheets/d/1Rawwwdh8wntXGy8isdYNHxsNQS4n_rC8JSdPfj6vEq4"",""'500 объектов перенос на 2026'!A3:AB502""),13,0)"),"#REF!")</f>
        <v>#REF!</v>
      </c>
      <c r="Z230" s="42" t="str">
        <f>IFERROR(__xludf.DUMMYFUNCTION("vLOOKUP(A230,IMPORTRANGE(""https://docs.google.com/spreadsheets/d/1Rawwwdh8wntXGy8isdYNHxsNQS4n_rC8JSdPfj6vEq4"",""'500 объектов перенос на 2026'!A3:AB502""),14,0)"),"#REF!")</f>
        <v>#REF!</v>
      </c>
      <c r="AA230" s="85" t="s">
        <v>3971</v>
      </c>
      <c r="AB230" s="43"/>
    </row>
    <row r="231">
      <c r="A231" s="114" t="s">
        <v>399</v>
      </c>
      <c r="B231" s="63" t="s">
        <v>400</v>
      </c>
      <c r="C231" s="64" t="s">
        <v>401</v>
      </c>
      <c r="D231" s="64" t="s">
        <v>85</v>
      </c>
      <c r="E231" s="288"/>
      <c r="F231" s="64">
        <v>500.0</v>
      </c>
      <c r="G231" s="291" t="s">
        <v>3988</v>
      </c>
      <c r="H231" s="64" t="s">
        <v>3512</v>
      </c>
      <c r="I231" s="64">
        <v>2024.0</v>
      </c>
      <c r="J231" s="64">
        <v>2026.0</v>
      </c>
      <c r="K231" s="287">
        <v>0.57</v>
      </c>
      <c r="L231" s="288"/>
      <c r="M231" s="285" t="s">
        <v>3989</v>
      </c>
      <c r="N231" s="35">
        <v>0.0</v>
      </c>
      <c r="O231" s="35" t="s">
        <v>3989</v>
      </c>
      <c r="P231" s="35" t="s">
        <v>49</v>
      </c>
      <c r="Q231" s="37">
        <v>46162.0</v>
      </c>
      <c r="R231" s="56"/>
      <c r="S231" s="38"/>
      <c r="T231" s="39">
        <v>188768.48</v>
      </c>
      <c r="U231" s="39">
        <v>56630.544</v>
      </c>
      <c r="V231" s="40">
        <v>132137.936</v>
      </c>
      <c r="W231" s="57" t="s">
        <v>405</v>
      </c>
      <c r="X231" s="42" t="s">
        <v>51</v>
      </c>
      <c r="Y231" s="42" t="str">
        <f>IFERROR(__xludf.DUMMYFUNCTION("vLOOKUP(A231,IMPORTRANGE(""https://docs.google.com/spreadsheets/d/1Rawwwdh8wntXGy8isdYNHxsNQS4n_rC8JSdPfj6vEq4"",""'500 объектов перенос на 2026'!A3:AB502""),13,0)"),"#REF!")</f>
        <v>#REF!</v>
      </c>
      <c r="Z231" s="42" t="str">
        <f>IFERROR(__xludf.DUMMYFUNCTION("vLOOKUP(A231,IMPORTRANGE(""https://docs.google.com/spreadsheets/d/1Rawwwdh8wntXGy8isdYNHxsNQS4n_rC8JSdPfj6vEq4"",""'500 объектов перенос на 2026'!A3:AB502""),14,0)"),"#REF!")</f>
        <v>#REF!</v>
      </c>
      <c r="AA231" s="85" t="s">
        <v>3967</v>
      </c>
      <c r="AB231" s="43"/>
    </row>
    <row r="232">
      <c r="A232" s="62" t="s">
        <v>2734</v>
      </c>
      <c r="B232" s="63" t="s">
        <v>400</v>
      </c>
      <c r="C232" s="64" t="s">
        <v>2735</v>
      </c>
      <c r="D232" s="64" t="s">
        <v>85</v>
      </c>
      <c r="E232" s="288"/>
      <c r="F232" s="64">
        <v>200.0</v>
      </c>
      <c r="G232" s="64">
        <v>161.0</v>
      </c>
      <c r="H232" s="64" t="s">
        <v>3512</v>
      </c>
      <c r="I232" s="64">
        <v>2024.0</v>
      </c>
      <c r="J232" s="64">
        <v>2026.0</v>
      </c>
      <c r="K232" s="287">
        <v>0.95</v>
      </c>
      <c r="L232" s="288"/>
      <c r="M232" s="285" t="s">
        <v>3990</v>
      </c>
      <c r="N232" s="35">
        <v>0.0</v>
      </c>
      <c r="O232" s="35" t="s">
        <v>3990</v>
      </c>
      <c r="P232" s="35" t="s">
        <v>803</v>
      </c>
      <c r="Q232" s="37">
        <v>46157.0</v>
      </c>
      <c r="R232" s="56"/>
      <c r="S232" s="38"/>
      <c r="T232" s="39">
        <v>10960.88</v>
      </c>
      <c r="U232" s="39">
        <v>5096.8092</v>
      </c>
      <c r="V232" s="40">
        <v>5864.0708</v>
      </c>
      <c r="W232" s="57" t="s">
        <v>2737</v>
      </c>
      <c r="X232" s="42" t="s">
        <v>745</v>
      </c>
      <c r="Y232" s="42" t="str">
        <f>IFERROR(__xludf.DUMMYFUNCTION("vLOOKUP(A232,IMPORTRANGE(""https://docs.google.com/spreadsheets/d/1Rawwwdh8wntXGy8isdYNHxsNQS4n_rC8JSdPfj6vEq4"",""'500 объектов перенос на 2026'!A3:AB502""),13,0)"),"#REF!")</f>
        <v>#REF!</v>
      </c>
      <c r="Z232" s="42" t="str">
        <f>IFERROR(__xludf.DUMMYFUNCTION("vLOOKUP(A232,IMPORTRANGE(""https://docs.google.com/spreadsheets/d/1Rawwwdh8wntXGy8isdYNHxsNQS4n_rC8JSdPfj6vEq4"",""'500 объектов перенос на 2026'!A3:AB502""),14,0)"),"#REF!")</f>
        <v>#REF!</v>
      </c>
      <c r="AA232" s="85" t="s">
        <v>3971</v>
      </c>
      <c r="AB232" s="43"/>
    </row>
    <row r="233">
      <c r="A233" s="62" t="s">
        <v>2641</v>
      </c>
      <c r="B233" s="63" t="s">
        <v>400</v>
      </c>
      <c r="C233" s="64" t="s">
        <v>2642</v>
      </c>
      <c r="D233" s="64" t="s">
        <v>85</v>
      </c>
      <c r="E233" s="288"/>
      <c r="F233" s="64">
        <v>150.0</v>
      </c>
      <c r="G233" s="64">
        <v>152.0</v>
      </c>
      <c r="H233" s="64" t="s">
        <v>3512</v>
      </c>
      <c r="I233" s="64">
        <v>2024.0</v>
      </c>
      <c r="J233" s="64">
        <v>2026.0</v>
      </c>
      <c r="K233" s="287">
        <v>0.95</v>
      </c>
      <c r="L233" s="288"/>
      <c r="M233" s="285" t="s">
        <v>3991</v>
      </c>
      <c r="N233" s="35">
        <v>0.0</v>
      </c>
      <c r="O233" s="35" t="s">
        <v>3991</v>
      </c>
      <c r="P233" s="35" t="s">
        <v>2643</v>
      </c>
      <c r="Q233" s="37">
        <v>46157.0</v>
      </c>
      <c r="R233" s="56"/>
      <c r="S233" s="38"/>
      <c r="T233" s="39">
        <v>12178.31</v>
      </c>
      <c r="U233" s="39">
        <v>5562.00197</v>
      </c>
      <c r="V233" s="40">
        <v>6616.30803</v>
      </c>
      <c r="W233" s="57" t="s">
        <v>2646</v>
      </c>
      <c r="X233" s="42" t="s">
        <v>2647</v>
      </c>
      <c r="Y233" s="42" t="str">
        <f>IFERROR(__xludf.DUMMYFUNCTION("vLOOKUP(A233,IMPORTRANGE(""https://docs.google.com/spreadsheets/d/1Rawwwdh8wntXGy8isdYNHxsNQS4n_rC8JSdPfj6vEq4"",""'500 объектов перенос на 2026'!A3:AB502""),13,0)"),"#REF!")</f>
        <v>#REF!</v>
      </c>
      <c r="Z233" s="42" t="str">
        <f>IFERROR(__xludf.DUMMYFUNCTION("vLOOKUP(A233,IMPORTRANGE(""https://docs.google.com/spreadsheets/d/1Rawwwdh8wntXGy8isdYNHxsNQS4n_rC8JSdPfj6vEq4"",""'500 объектов перенос на 2026'!A3:AB502""),14,0)"),"#REF!")</f>
        <v>#REF!</v>
      </c>
      <c r="AA233" s="85" t="s">
        <v>3971</v>
      </c>
      <c r="AB233" s="43"/>
    </row>
    <row r="234">
      <c r="A234" s="62" t="s">
        <v>1728</v>
      </c>
      <c r="B234" s="63" t="s">
        <v>36</v>
      </c>
      <c r="C234" s="64" t="s">
        <v>1729</v>
      </c>
      <c r="D234" s="90" t="s">
        <v>85</v>
      </c>
      <c r="E234" s="286"/>
      <c r="F234" s="90">
        <v>530.0</v>
      </c>
      <c r="G234" s="90">
        <v>850.0</v>
      </c>
      <c r="H234" s="90" t="s">
        <v>3512</v>
      </c>
      <c r="I234" s="90">
        <v>2024.0</v>
      </c>
      <c r="J234" s="64">
        <v>2025.0</v>
      </c>
      <c r="K234" s="287">
        <v>1.0</v>
      </c>
      <c r="L234" s="292" t="s">
        <v>3528</v>
      </c>
      <c r="M234" s="285" t="s">
        <v>3992</v>
      </c>
      <c r="N234" s="35" t="s">
        <v>3993</v>
      </c>
      <c r="O234" s="35" t="s">
        <v>3994</v>
      </c>
      <c r="P234" s="35" t="s">
        <v>113</v>
      </c>
      <c r="Q234" s="38"/>
      <c r="R234" s="38" t="s">
        <v>115</v>
      </c>
      <c r="S234" s="38"/>
      <c r="T234" s="39">
        <v>149677.0</v>
      </c>
      <c r="U234" s="39">
        <v>105842.6047</v>
      </c>
      <c r="V234" s="39">
        <v>43834.39529</v>
      </c>
      <c r="W234" s="57" t="s">
        <v>1730</v>
      </c>
      <c r="X234" s="42" t="s">
        <v>1385</v>
      </c>
      <c r="Y234" s="42" t="str">
        <f>IFERROR(__xludf.DUMMYFUNCTION("vLOOKUP(A234,IMPORTRANGE(""https://docs.google.com/spreadsheets/d/1Rawwwdh8wntXGy8isdYNHxsNQS4n_rC8JSdPfj6vEq4"",""'500 объектов перенос на 2026'!A3:AB502""),13,0)"),"#REF!")</f>
        <v>#REF!</v>
      </c>
      <c r="Z234" s="42" t="str">
        <f>IFERROR(__xludf.DUMMYFUNCTION("vLOOKUP(A234,IMPORTRANGE(""https://docs.google.com/spreadsheets/d/1Rawwwdh8wntXGy8isdYNHxsNQS4n_rC8JSdPfj6vEq4"",""'500 объектов перенос на 2026'!A3:AB502""),14,0)"),"#REF!")</f>
        <v>#REF!</v>
      </c>
      <c r="AA234" s="42" t="s">
        <v>175</v>
      </c>
      <c r="AB234" s="43"/>
    </row>
    <row r="235">
      <c r="A235" s="114" t="s">
        <v>35</v>
      </c>
      <c r="B235" s="63" t="s">
        <v>36</v>
      </c>
      <c r="C235" s="64" t="s">
        <v>37</v>
      </c>
      <c r="D235" s="90" t="s">
        <v>39</v>
      </c>
      <c r="E235" s="64">
        <v>31.7</v>
      </c>
      <c r="F235" s="288"/>
      <c r="G235" s="286"/>
      <c r="H235" s="90" t="s">
        <v>3527</v>
      </c>
      <c r="I235" s="90">
        <v>2025.0</v>
      </c>
      <c r="J235" s="64">
        <v>2026.0</v>
      </c>
      <c r="K235" s="287">
        <v>0.86</v>
      </c>
      <c r="L235" s="288"/>
      <c r="M235" s="285" t="s">
        <v>3568</v>
      </c>
      <c r="N235" s="35" t="s">
        <v>3568</v>
      </c>
      <c r="O235" s="35" t="s">
        <v>3568</v>
      </c>
      <c r="P235" s="35" t="s">
        <v>3902</v>
      </c>
      <c r="Q235" s="37">
        <v>46218.0</v>
      </c>
      <c r="R235" s="56"/>
      <c r="S235" s="38" t="s">
        <v>49</v>
      </c>
      <c r="T235" s="39">
        <v>521117.1801</v>
      </c>
      <c r="U235" s="39">
        <v>155188.6962</v>
      </c>
      <c r="V235" s="40">
        <v>365928.4839</v>
      </c>
      <c r="W235" s="57" t="s">
        <v>50</v>
      </c>
      <c r="X235" s="42" t="s">
        <v>51</v>
      </c>
      <c r="Y235" s="42" t="str">
        <f>IFERROR(__xludf.DUMMYFUNCTION("vLOOKUP(A235,IMPORTRANGE(""https://docs.google.com/spreadsheets/d/1Rawwwdh8wntXGy8isdYNHxsNQS4n_rC8JSdPfj6vEq4"",""'500 объектов перенос на 2026'!A3:AB502""),13,0)"),"#REF!")</f>
        <v>#REF!</v>
      </c>
      <c r="Z235" s="42" t="str">
        <f>IFERROR(__xludf.DUMMYFUNCTION("vLOOKUP(A235,IMPORTRANGE(""https://docs.google.com/spreadsheets/d/1Rawwwdh8wntXGy8isdYNHxsNQS4n_rC8JSdPfj6vEq4"",""'500 объектов перенос на 2026'!A3:AB502""),14,0)"),"#REF!")</f>
        <v>#REF!</v>
      </c>
      <c r="AA235" s="85" t="s">
        <v>3995</v>
      </c>
      <c r="AB235" s="43"/>
    </row>
    <row r="236">
      <c r="A236" s="62" t="s">
        <v>379</v>
      </c>
      <c r="B236" s="63" t="s">
        <v>36</v>
      </c>
      <c r="C236" s="64" t="s">
        <v>380</v>
      </c>
      <c r="D236" s="90" t="s">
        <v>39</v>
      </c>
      <c r="E236" s="64">
        <v>7.5</v>
      </c>
      <c r="F236" s="288"/>
      <c r="G236" s="286"/>
      <c r="H236" s="90" t="s">
        <v>3527</v>
      </c>
      <c r="I236" s="90">
        <v>2025.0</v>
      </c>
      <c r="J236" s="64">
        <v>2026.0</v>
      </c>
      <c r="K236" s="287">
        <v>0.81</v>
      </c>
      <c r="L236" s="288"/>
      <c r="M236" s="285" t="s">
        <v>3568</v>
      </c>
      <c r="N236" s="35" t="s">
        <v>3568</v>
      </c>
      <c r="O236" s="35" t="s">
        <v>3568</v>
      </c>
      <c r="P236" s="35" t="s">
        <v>3902</v>
      </c>
      <c r="Q236" s="83">
        <v>46381.0</v>
      </c>
      <c r="R236" s="56"/>
      <c r="S236" s="38" t="s">
        <v>49</v>
      </c>
      <c r="T236" s="39">
        <v>192122.07</v>
      </c>
      <c r="U236" s="39">
        <v>55945.94678</v>
      </c>
      <c r="V236" s="40">
        <v>136176.1232</v>
      </c>
      <c r="W236" s="57" t="s">
        <v>382</v>
      </c>
      <c r="X236" s="42" t="s">
        <v>51</v>
      </c>
      <c r="Y236" s="42" t="str">
        <f>IFERROR(__xludf.DUMMYFUNCTION("vLOOKUP(A236,IMPORTRANGE(""https://docs.google.com/spreadsheets/d/1Rawwwdh8wntXGy8isdYNHxsNQS4n_rC8JSdPfj6vEq4"",""'500 объектов перенос на 2026'!A3:AB502""),13,0)"),"#REF!")</f>
        <v>#REF!</v>
      </c>
      <c r="Z236" s="42" t="str">
        <f>IFERROR(__xludf.DUMMYFUNCTION("vLOOKUP(A236,IMPORTRANGE(""https://docs.google.com/spreadsheets/d/1Rawwwdh8wntXGy8isdYNHxsNQS4n_rC8JSdPfj6vEq4"",""'500 объектов перенос на 2026'!A3:AB502""),14,0)"),"#REF!")</f>
        <v>#REF!</v>
      </c>
      <c r="AA236" s="85" t="s">
        <v>3996</v>
      </c>
      <c r="AB236" s="43"/>
    </row>
    <row r="237">
      <c r="A237" s="62" t="s">
        <v>597</v>
      </c>
      <c r="B237" s="63" t="s">
        <v>36</v>
      </c>
      <c r="C237" s="64" t="s">
        <v>598</v>
      </c>
      <c r="D237" s="123" t="s">
        <v>85</v>
      </c>
      <c r="E237" s="306"/>
      <c r="F237" s="64">
        <v>400.0</v>
      </c>
      <c r="G237" s="64">
        <v>762.0</v>
      </c>
      <c r="H237" s="64" t="s">
        <v>3512</v>
      </c>
      <c r="I237" s="64">
        <v>2024.0</v>
      </c>
      <c r="J237" s="64">
        <v>2025.0</v>
      </c>
      <c r="K237" s="287">
        <v>0.95</v>
      </c>
      <c r="L237" s="288"/>
      <c r="M237" s="285" t="s">
        <v>3568</v>
      </c>
      <c r="N237" s="35" t="s">
        <v>3568</v>
      </c>
      <c r="O237" s="35" t="s">
        <v>3568</v>
      </c>
      <c r="P237" s="35" t="s">
        <v>49</v>
      </c>
      <c r="Q237" s="37">
        <v>46188.0</v>
      </c>
      <c r="R237" s="56"/>
      <c r="S237" s="38"/>
      <c r="T237" s="39">
        <v>135788.4</v>
      </c>
      <c r="U237" s="39">
        <v>44013.98308</v>
      </c>
      <c r="V237" s="40">
        <v>91774.41692</v>
      </c>
      <c r="W237" s="57" t="s">
        <v>603</v>
      </c>
      <c r="X237" s="42" t="s">
        <v>3347</v>
      </c>
      <c r="Y237" s="42" t="str">
        <f>IFERROR(__xludf.DUMMYFUNCTION("vLOOKUP(A237,IMPORTRANGE(""https://docs.google.com/spreadsheets/d/1Rawwwdh8wntXGy8isdYNHxsNQS4n_rC8JSdPfj6vEq4"",""'500 объектов перенос на 2026'!A3:AB502""),13,0)"),"#REF!")</f>
        <v>#REF!</v>
      </c>
      <c r="Z237" s="42" t="str">
        <f>IFERROR(__xludf.DUMMYFUNCTION("vLOOKUP(A237,IMPORTRANGE(""https://docs.google.com/spreadsheets/d/1Rawwwdh8wntXGy8isdYNHxsNQS4n_rC8JSdPfj6vEq4"",""'500 объектов перенос на 2026'!A3:AB502""),14,0)"),"#REF!")</f>
        <v>#REF!</v>
      </c>
      <c r="AA237" s="85" t="s">
        <v>3997</v>
      </c>
      <c r="AB237" s="43"/>
    </row>
    <row r="238">
      <c r="A238" s="114" t="s">
        <v>3106</v>
      </c>
      <c r="B238" s="63" t="s">
        <v>36</v>
      </c>
      <c r="C238" s="64" t="s">
        <v>3107</v>
      </c>
      <c r="D238" s="64" t="s">
        <v>59</v>
      </c>
      <c r="E238" s="64">
        <v>8.3</v>
      </c>
      <c r="F238" s="288"/>
      <c r="G238" s="288"/>
      <c r="H238" s="64" t="s">
        <v>3512</v>
      </c>
      <c r="I238" s="64">
        <v>2024.0</v>
      </c>
      <c r="J238" s="64">
        <v>2026.0</v>
      </c>
      <c r="K238" s="287">
        <v>0.9</v>
      </c>
      <c r="L238" s="292" t="s">
        <v>3528</v>
      </c>
      <c r="M238" s="285" t="s">
        <v>3998</v>
      </c>
      <c r="N238" s="35">
        <v>0.0</v>
      </c>
      <c r="O238" s="35" t="s">
        <v>3998</v>
      </c>
      <c r="P238" s="35" t="s">
        <v>113</v>
      </c>
      <c r="Q238" s="37"/>
      <c r="R238" s="56"/>
      <c r="S238" s="38" t="s">
        <v>3999</v>
      </c>
      <c r="T238" s="39">
        <v>95391.0</v>
      </c>
      <c r="U238" s="39">
        <v>94872.41332</v>
      </c>
      <c r="V238" s="39">
        <v>518.58668</v>
      </c>
      <c r="W238" s="57" t="s">
        <v>3110</v>
      </c>
      <c r="X238" s="42" t="s">
        <v>3111</v>
      </c>
      <c r="Y238" s="42" t="str">
        <f>IFERROR(__xludf.DUMMYFUNCTION("vLOOKUP(A238,IMPORTRANGE(""https://docs.google.com/spreadsheets/d/1Rawwwdh8wntXGy8isdYNHxsNQS4n_rC8JSdPfj6vEq4"",""'500 объектов перенос на 2026'!A3:AB502""),13,0)"),"#REF!")</f>
        <v>#REF!</v>
      </c>
      <c r="Z238" s="42" t="str">
        <f>IFERROR(__xludf.DUMMYFUNCTION("vLOOKUP(A238,IMPORTRANGE(""https://docs.google.com/spreadsheets/d/1Rawwwdh8wntXGy8isdYNHxsNQS4n_rC8JSdPfj6vEq4"",""'500 объектов перенос на 2026'!A3:AB502""),14,0)"),"#REF!")</f>
        <v>#REF!</v>
      </c>
      <c r="AA238" s="85" t="s">
        <v>4000</v>
      </c>
      <c r="AB238" s="43"/>
    </row>
    <row r="239">
      <c r="A239" s="62" t="s">
        <v>2667</v>
      </c>
      <c r="B239" s="63" t="s">
        <v>725</v>
      </c>
      <c r="C239" s="104" t="s">
        <v>2668</v>
      </c>
      <c r="D239" s="64" t="s">
        <v>85</v>
      </c>
      <c r="E239" s="288"/>
      <c r="F239" s="64" t="s">
        <v>3550</v>
      </c>
      <c r="G239" s="64">
        <v>357.0</v>
      </c>
      <c r="H239" s="64" t="s">
        <v>3512</v>
      </c>
      <c r="I239" s="64">
        <v>2024.0</v>
      </c>
      <c r="J239" s="64">
        <v>2025.0</v>
      </c>
      <c r="K239" s="287">
        <v>0.95</v>
      </c>
      <c r="L239" s="288"/>
      <c r="M239" s="285" t="s">
        <v>3568</v>
      </c>
      <c r="N239" s="35" t="s">
        <v>3568</v>
      </c>
      <c r="O239" s="35" t="s">
        <v>3568</v>
      </c>
      <c r="P239" s="35" t="s">
        <v>4001</v>
      </c>
      <c r="Q239" s="37">
        <v>46235.0</v>
      </c>
      <c r="R239" s="56"/>
      <c r="S239" s="38"/>
      <c r="T239" s="39">
        <v>9203.49</v>
      </c>
      <c r="U239" s="39">
        <v>0.0</v>
      </c>
      <c r="V239" s="40">
        <v>9203.49</v>
      </c>
      <c r="W239" s="191"/>
      <c r="X239" s="42" t="s">
        <v>4002</v>
      </c>
      <c r="Y239" s="42" t="str">
        <f>IFERROR(__xludf.DUMMYFUNCTION("vLOOKUP(A239,IMPORTRANGE(""https://docs.google.com/spreadsheets/d/1Rawwwdh8wntXGy8isdYNHxsNQS4n_rC8JSdPfj6vEq4"",""'500 объектов перенос на 2026'!A3:AB502""),13,0)"),"#REF!")</f>
        <v>#REF!</v>
      </c>
      <c r="Z239" s="42" t="str">
        <f>IFERROR(__xludf.DUMMYFUNCTION("vLOOKUP(A239,IMPORTRANGE(""https://docs.google.com/spreadsheets/d/1Rawwwdh8wntXGy8isdYNHxsNQS4n_rC8JSdPfj6vEq4"",""'500 объектов перенос на 2026'!A3:AB502""),14,0)"),"#REF!")</f>
        <v>#REF!</v>
      </c>
      <c r="AA239" s="85" t="s">
        <v>4003</v>
      </c>
      <c r="AB239" s="43"/>
    </row>
    <row r="240">
      <c r="A240" s="62" t="s">
        <v>2460</v>
      </c>
      <c r="B240" s="63" t="s">
        <v>725</v>
      </c>
      <c r="C240" s="104" t="s">
        <v>2461</v>
      </c>
      <c r="D240" s="64" t="s">
        <v>85</v>
      </c>
      <c r="E240" s="288"/>
      <c r="F240" s="64" t="s">
        <v>3550</v>
      </c>
      <c r="G240" s="291" t="s">
        <v>4004</v>
      </c>
      <c r="H240" s="64" t="s">
        <v>3512</v>
      </c>
      <c r="I240" s="64">
        <v>2024.0</v>
      </c>
      <c r="J240" s="64">
        <v>2025.0</v>
      </c>
      <c r="K240" s="287">
        <v>1.0</v>
      </c>
      <c r="L240" s="288"/>
      <c r="M240" s="285" t="s">
        <v>3568</v>
      </c>
      <c r="N240" s="35" t="s">
        <v>3568</v>
      </c>
      <c r="O240" s="35" t="s">
        <v>3568</v>
      </c>
      <c r="P240" s="35" t="s">
        <v>2434</v>
      </c>
      <c r="Q240" s="37">
        <v>46235.0</v>
      </c>
      <c r="R240" s="56"/>
      <c r="S240" s="38"/>
      <c r="T240" s="39">
        <v>12480.53</v>
      </c>
      <c r="U240" s="39">
        <v>0.0</v>
      </c>
      <c r="V240" s="40">
        <v>12480.53</v>
      </c>
      <c r="W240" s="57" t="s">
        <v>2464</v>
      </c>
      <c r="X240" s="85" t="s">
        <v>4005</v>
      </c>
      <c r="Y240" s="42" t="str">
        <f>IFERROR(__xludf.DUMMYFUNCTION("vLOOKUP(A240,IMPORTRANGE(""https://docs.google.com/spreadsheets/d/1Rawwwdh8wntXGy8isdYNHxsNQS4n_rC8JSdPfj6vEq4"",""'500 объектов перенос на 2026'!A3:AB502""),13,0)"),"#REF!")</f>
        <v>#REF!</v>
      </c>
      <c r="Z240" s="42" t="str">
        <f>IFERROR(__xludf.DUMMYFUNCTION("vLOOKUP(A240,IMPORTRANGE(""https://docs.google.com/spreadsheets/d/1Rawwwdh8wntXGy8isdYNHxsNQS4n_rC8JSdPfj6vEq4"",""'500 объектов перенос на 2026'!A3:AB502""),14,0)"),"#REF!")</f>
        <v>#REF!</v>
      </c>
      <c r="AA240" s="85" t="s">
        <v>4006</v>
      </c>
      <c r="AB240" s="43"/>
    </row>
    <row r="241">
      <c r="A241" s="62" t="s">
        <v>724</v>
      </c>
      <c r="B241" s="63" t="s">
        <v>725</v>
      </c>
      <c r="C241" s="104" t="s">
        <v>726</v>
      </c>
      <c r="D241" s="64" t="s">
        <v>85</v>
      </c>
      <c r="E241" s="288"/>
      <c r="F241" s="64" t="s">
        <v>3550</v>
      </c>
      <c r="G241" s="291" t="s">
        <v>4007</v>
      </c>
      <c r="H241" s="64" t="s">
        <v>3512</v>
      </c>
      <c r="I241" s="64">
        <v>2024.0</v>
      </c>
      <c r="J241" s="64">
        <v>2025.0</v>
      </c>
      <c r="K241" s="287">
        <v>0.19</v>
      </c>
      <c r="L241" s="288"/>
      <c r="M241" s="285" t="s">
        <v>3568</v>
      </c>
      <c r="N241" s="35" t="s">
        <v>3568</v>
      </c>
      <c r="O241" s="35" t="s">
        <v>3568</v>
      </c>
      <c r="P241" s="35" t="s">
        <v>46</v>
      </c>
      <c r="Q241" s="37">
        <v>46235.0</v>
      </c>
      <c r="R241" s="56"/>
      <c r="S241" s="38"/>
      <c r="T241" s="39">
        <v>150000.01</v>
      </c>
      <c r="U241" s="39">
        <v>0.0</v>
      </c>
      <c r="V241" s="40">
        <v>150000.01</v>
      </c>
      <c r="W241" s="57" t="s">
        <v>732</v>
      </c>
      <c r="X241" s="42" t="s">
        <v>46</v>
      </c>
      <c r="Y241" s="42" t="str">
        <f>IFERROR(__xludf.DUMMYFUNCTION("vLOOKUP(A241,IMPORTRANGE(""https://docs.google.com/spreadsheets/d/1Rawwwdh8wntXGy8isdYNHxsNQS4n_rC8JSdPfj6vEq4"",""'500 объектов перенос на 2026'!A3:AB502""),13,0)"),"#REF!")</f>
        <v>#REF!</v>
      </c>
      <c r="Z241" s="42" t="str">
        <f>IFERROR(__xludf.DUMMYFUNCTION("vLOOKUP(A241,IMPORTRANGE(""https://docs.google.com/spreadsheets/d/1Rawwwdh8wntXGy8isdYNHxsNQS4n_rC8JSdPfj6vEq4"",""'500 объектов перенос на 2026'!A3:AB502""),14,0)"),"#REF!")</f>
        <v>#REF!</v>
      </c>
      <c r="AA241" s="174" t="s">
        <v>4008</v>
      </c>
      <c r="AB241" s="43"/>
    </row>
    <row r="242">
      <c r="A242" s="62" t="s">
        <v>1781</v>
      </c>
      <c r="B242" s="63" t="s">
        <v>142</v>
      </c>
      <c r="C242" s="64" t="s">
        <v>1782</v>
      </c>
      <c r="D242" s="64" t="s">
        <v>324</v>
      </c>
      <c r="E242" s="64">
        <v>8.5</v>
      </c>
      <c r="F242" s="288"/>
      <c r="G242" s="288"/>
      <c r="H242" s="64" t="s">
        <v>3512</v>
      </c>
      <c r="I242" s="64">
        <v>2024.0</v>
      </c>
      <c r="J242" s="64">
        <v>2025.0</v>
      </c>
      <c r="K242" s="287">
        <v>1.0</v>
      </c>
      <c r="L242" s="292" t="s">
        <v>3528</v>
      </c>
      <c r="M242" s="285" t="s">
        <v>4009</v>
      </c>
      <c r="N242" s="35" t="s">
        <v>4010</v>
      </c>
      <c r="O242" s="35" t="s">
        <v>4011</v>
      </c>
      <c r="P242" s="35" t="s">
        <v>113</v>
      </c>
      <c r="Q242" s="38"/>
      <c r="R242" s="38" t="s">
        <v>115</v>
      </c>
      <c r="S242" s="38"/>
      <c r="T242" s="39">
        <v>72731.94</v>
      </c>
      <c r="U242" s="39">
        <v>70789.70163</v>
      </c>
      <c r="V242" s="39">
        <v>1942.23837</v>
      </c>
      <c r="W242" s="57" t="s">
        <v>1785</v>
      </c>
      <c r="X242" s="42" t="s">
        <v>362</v>
      </c>
      <c r="Y242" s="42" t="str">
        <f>IFERROR(__xludf.DUMMYFUNCTION("vLOOKUP(A242,IMPORTRANGE(""https://docs.google.com/spreadsheets/d/1Rawwwdh8wntXGy8isdYNHxsNQS4n_rC8JSdPfj6vEq4"",""'500 объектов перенос на 2026'!A3:AB502""),13,0)"),"#REF!")</f>
        <v>#REF!</v>
      </c>
      <c r="Z242" s="42" t="str">
        <f>IFERROR(__xludf.DUMMYFUNCTION("vLOOKUP(A242,IMPORTRANGE(""https://docs.google.com/spreadsheets/d/1Rawwwdh8wntXGy8isdYNHxsNQS4n_rC8JSdPfj6vEq4"",""'500 объектов перенос на 2026'!A3:AB502""),14,0)"),"#REF!")</f>
        <v>#REF!</v>
      </c>
      <c r="AA242" s="85" t="s">
        <v>175</v>
      </c>
      <c r="AB242" s="43"/>
    </row>
    <row r="243">
      <c r="A243" s="62" t="s">
        <v>1786</v>
      </c>
      <c r="B243" s="63" t="s">
        <v>142</v>
      </c>
      <c r="C243" s="64" t="s">
        <v>1787</v>
      </c>
      <c r="D243" s="64" t="s">
        <v>39</v>
      </c>
      <c r="E243" s="64">
        <v>1.0</v>
      </c>
      <c r="F243" s="288"/>
      <c r="G243" s="288"/>
      <c r="H243" s="64" t="s">
        <v>3527</v>
      </c>
      <c r="I243" s="64">
        <v>2024.0</v>
      </c>
      <c r="J243" s="64">
        <v>2025.0</v>
      </c>
      <c r="K243" s="287">
        <v>1.0</v>
      </c>
      <c r="L243" s="292" t="s">
        <v>3528</v>
      </c>
      <c r="M243" s="285" t="s">
        <v>4012</v>
      </c>
      <c r="N243" s="35" t="s">
        <v>4013</v>
      </c>
      <c r="O243" s="35" t="s">
        <v>4014</v>
      </c>
      <c r="P243" s="35" t="s">
        <v>113</v>
      </c>
      <c r="Q243" s="38"/>
      <c r="R243" s="38" t="s">
        <v>115</v>
      </c>
      <c r="S243" s="38"/>
      <c r="T243" s="39">
        <v>30204.26</v>
      </c>
      <c r="U243" s="39">
        <v>80079.98587</v>
      </c>
      <c r="V243" s="39">
        <v>-49875.72587</v>
      </c>
      <c r="W243" s="57"/>
      <c r="X243" s="42" t="s">
        <v>362</v>
      </c>
      <c r="Y243" s="42" t="str">
        <f>IFERROR(__xludf.DUMMYFUNCTION("vLOOKUP(A243,IMPORTRANGE(""https://docs.google.com/spreadsheets/d/1Rawwwdh8wntXGy8isdYNHxsNQS4n_rC8JSdPfj6vEq4"",""'500 объектов перенос на 2026'!A3:AB502""),13,0)"),"#REF!")</f>
        <v>#REF!</v>
      </c>
      <c r="Z243" s="42" t="str">
        <f>IFERROR(__xludf.DUMMYFUNCTION("vLOOKUP(A243,IMPORTRANGE(""https://docs.google.com/spreadsheets/d/1Rawwwdh8wntXGy8isdYNHxsNQS4n_rC8JSdPfj6vEq4"",""'500 объектов перенос на 2026'!A3:AB502""),14,0)"),"#REF!")</f>
        <v>#REF!</v>
      </c>
      <c r="AA243" s="85" t="s">
        <v>175</v>
      </c>
      <c r="AB243" s="43"/>
    </row>
    <row r="244">
      <c r="A244" s="62" t="s">
        <v>425</v>
      </c>
      <c r="B244" s="63" t="s">
        <v>142</v>
      </c>
      <c r="C244" s="104" t="s">
        <v>426</v>
      </c>
      <c r="D244" s="64" t="s">
        <v>59</v>
      </c>
      <c r="E244" s="64">
        <v>12.0</v>
      </c>
      <c r="F244" s="288"/>
      <c r="G244" s="288"/>
      <c r="H244" s="64" t="s">
        <v>3593</v>
      </c>
      <c r="I244" s="64">
        <v>2024.0</v>
      </c>
      <c r="J244" s="64">
        <v>2026.0</v>
      </c>
      <c r="K244" s="287">
        <v>0.8</v>
      </c>
      <c r="L244" s="288"/>
      <c r="M244" s="285" t="s">
        <v>4015</v>
      </c>
      <c r="N244" s="35">
        <v>0.0</v>
      </c>
      <c r="O244" s="35" t="s">
        <v>4015</v>
      </c>
      <c r="P244" s="35" t="s">
        <v>46</v>
      </c>
      <c r="Q244" s="37">
        <v>46235.0</v>
      </c>
      <c r="R244" s="56"/>
      <c r="S244" s="38"/>
      <c r="T244" s="39">
        <v>297436.15</v>
      </c>
      <c r="U244" s="39">
        <v>184209.3385</v>
      </c>
      <c r="V244" s="40">
        <v>113226.8115</v>
      </c>
      <c r="W244" s="99" t="s">
        <v>432</v>
      </c>
      <c r="X244" s="42" t="s">
        <v>46</v>
      </c>
      <c r="Y244" s="42" t="str">
        <f>IFERROR(__xludf.DUMMYFUNCTION("vLOOKUP(A244,IMPORTRANGE(""https://docs.google.com/spreadsheets/d/1Rawwwdh8wntXGy8isdYNHxsNQS4n_rC8JSdPfj6vEq4"",""'500 объектов перенос на 2026'!A3:AB502""),13,0)"),"#REF!")</f>
        <v>#REF!</v>
      </c>
      <c r="Z244" s="42" t="str">
        <f>IFERROR(__xludf.DUMMYFUNCTION("vLOOKUP(A244,IMPORTRANGE(""https://docs.google.com/spreadsheets/d/1Rawwwdh8wntXGy8isdYNHxsNQS4n_rC8JSdPfj6vEq4"",""'500 объектов перенос на 2026'!A3:AB502""),14,0)"),"#REF!")</f>
        <v>#REF!</v>
      </c>
      <c r="AA244" s="85" t="s">
        <v>4016</v>
      </c>
      <c r="AB244" s="43"/>
    </row>
    <row r="245">
      <c r="A245" s="62" t="s">
        <v>1795</v>
      </c>
      <c r="B245" s="63" t="s">
        <v>142</v>
      </c>
      <c r="C245" s="104" t="s">
        <v>1796</v>
      </c>
      <c r="D245" s="64" t="s">
        <v>39</v>
      </c>
      <c r="E245" s="64">
        <v>7.0</v>
      </c>
      <c r="F245" s="288"/>
      <c r="G245" s="288"/>
      <c r="H245" s="64" t="s">
        <v>3527</v>
      </c>
      <c r="I245" s="64">
        <v>2024.0</v>
      </c>
      <c r="J245" s="64">
        <v>2025.0</v>
      </c>
      <c r="K245" s="287">
        <v>1.0</v>
      </c>
      <c r="L245" s="292" t="s">
        <v>3528</v>
      </c>
      <c r="M245" s="285" t="s">
        <v>4017</v>
      </c>
      <c r="N245" s="35">
        <v>0.0</v>
      </c>
      <c r="O245" s="35" t="s">
        <v>4017</v>
      </c>
      <c r="P245" s="35" t="s">
        <v>113</v>
      </c>
      <c r="Q245" s="38"/>
      <c r="R245" s="38" t="s">
        <v>115</v>
      </c>
      <c r="S245" s="38"/>
      <c r="T245" s="39">
        <v>105586.0</v>
      </c>
      <c r="U245" s="39">
        <v>104380.8412</v>
      </c>
      <c r="V245" s="39">
        <v>1205.15882</v>
      </c>
      <c r="W245" s="57" t="s">
        <v>1799</v>
      </c>
      <c r="X245" s="42" t="s">
        <v>362</v>
      </c>
      <c r="Y245" s="42" t="str">
        <f>IFERROR(__xludf.DUMMYFUNCTION("vLOOKUP(A245,IMPORTRANGE(""https://docs.google.com/spreadsheets/d/1Rawwwdh8wntXGy8isdYNHxsNQS4n_rC8JSdPfj6vEq4"",""'500 объектов перенос на 2026'!A3:AB502""),13,0)"),"#REF!")</f>
        <v>#REF!</v>
      </c>
      <c r="Z245" s="42" t="str">
        <f>IFERROR(__xludf.DUMMYFUNCTION("vLOOKUP(A245,IMPORTRANGE(""https://docs.google.com/spreadsheets/d/1Rawwwdh8wntXGy8isdYNHxsNQS4n_rC8JSdPfj6vEq4"",""'500 объектов перенос на 2026'!A3:AB502""),14,0)"),"#REF!")</f>
        <v>#REF!</v>
      </c>
      <c r="AA245" s="85" t="s">
        <v>175</v>
      </c>
      <c r="AB245" s="43"/>
    </row>
    <row r="246">
      <c r="A246" s="62" t="s">
        <v>1800</v>
      </c>
      <c r="B246" s="63" t="s">
        <v>142</v>
      </c>
      <c r="C246" s="104" t="s">
        <v>1801</v>
      </c>
      <c r="D246" s="64" t="s">
        <v>39</v>
      </c>
      <c r="E246" s="64">
        <v>0.4</v>
      </c>
      <c r="F246" s="288"/>
      <c r="G246" s="288"/>
      <c r="H246" s="64" t="s">
        <v>3527</v>
      </c>
      <c r="I246" s="64">
        <v>2025.0</v>
      </c>
      <c r="J246" s="64">
        <v>2026.0</v>
      </c>
      <c r="K246" s="287">
        <v>0.98</v>
      </c>
      <c r="L246" s="288"/>
      <c r="M246" s="285" t="s">
        <v>4018</v>
      </c>
      <c r="N246" s="35" t="s">
        <v>3568</v>
      </c>
      <c r="O246" s="35" t="s">
        <v>3568</v>
      </c>
      <c r="P246" s="35" t="s">
        <v>1198</v>
      </c>
      <c r="Q246" s="37">
        <v>46122.0</v>
      </c>
      <c r="R246" s="56"/>
      <c r="S246" s="38"/>
      <c r="T246" s="39">
        <v>33078.06</v>
      </c>
      <c r="U246" s="39">
        <v>32475.3284</v>
      </c>
      <c r="V246" s="40">
        <v>602.7316</v>
      </c>
      <c r="W246" s="57" t="s">
        <v>1805</v>
      </c>
      <c r="X246" s="85" t="s">
        <v>1806</v>
      </c>
      <c r="Y246" s="42" t="str">
        <f>IFERROR(__xludf.DUMMYFUNCTION("vLOOKUP(A246,IMPORTRANGE(""https://docs.google.com/spreadsheets/d/1Rawwwdh8wntXGy8isdYNHxsNQS4n_rC8JSdPfj6vEq4"",""'500 объектов перенос на 2026'!A3:AB502""),13,0)"),"#REF!")</f>
        <v>#REF!</v>
      </c>
      <c r="Z246" s="42" t="str">
        <f>IFERROR(__xludf.DUMMYFUNCTION("vLOOKUP(A246,IMPORTRANGE(""https://docs.google.com/spreadsheets/d/1Rawwwdh8wntXGy8isdYNHxsNQS4n_rC8JSdPfj6vEq4"",""'500 объектов перенос на 2026'!A3:AB502""),14,0)"),"#REF!")</f>
        <v>#REF!</v>
      </c>
      <c r="AA246" s="85" t="s">
        <v>4006</v>
      </c>
      <c r="AB246" s="43"/>
    </row>
    <row r="247">
      <c r="A247" s="62" t="s">
        <v>474</v>
      </c>
      <c r="B247" s="63" t="s">
        <v>142</v>
      </c>
      <c r="C247" s="64" t="s">
        <v>475</v>
      </c>
      <c r="D247" s="64" t="s">
        <v>59</v>
      </c>
      <c r="E247" s="64">
        <v>107.6</v>
      </c>
      <c r="F247" s="288"/>
      <c r="G247" s="288"/>
      <c r="H247" s="64" t="s">
        <v>3512</v>
      </c>
      <c r="I247" s="64">
        <v>2025.0</v>
      </c>
      <c r="J247" s="64">
        <v>2026.0</v>
      </c>
      <c r="K247" s="287">
        <v>0.65</v>
      </c>
      <c r="L247" s="288"/>
      <c r="M247" s="285" t="s">
        <v>4019</v>
      </c>
      <c r="N247" s="35" t="s">
        <v>3568</v>
      </c>
      <c r="O247" s="35" t="s">
        <v>3568</v>
      </c>
      <c r="P247" s="35" t="s">
        <v>46</v>
      </c>
      <c r="Q247" s="37">
        <v>46266.0</v>
      </c>
      <c r="R247" s="56"/>
      <c r="S247" s="38" t="s">
        <v>49</v>
      </c>
      <c r="T247" s="39">
        <v>172860.09</v>
      </c>
      <c r="U247" s="39">
        <v>47841.59818</v>
      </c>
      <c r="V247" s="40">
        <v>125018.4918</v>
      </c>
      <c r="W247" s="57" t="s">
        <v>480</v>
      </c>
      <c r="X247" s="42" t="s">
        <v>46</v>
      </c>
      <c r="Y247" s="42" t="str">
        <f>IFERROR(__xludf.DUMMYFUNCTION("vLOOKUP(A247,IMPORTRANGE(""https://docs.google.com/spreadsheets/d/1Rawwwdh8wntXGy8isdYNHxsNQS4n_rC8JSdPfj6vEq4"",""'500 объектов перенос на 2026'!A3:AB502""),13,0)"),"#REF!")</f>
        <v>#REF!</v>
      </c>
      <c r="Z247" s="42" t="str">
        <f>IFERROR(__xludf.DUMMYFUNCTION("vLOOKUP(A247,IMPORTRANGE(""https://docs.google.com/spreadsheets/d/1Rawwwdh8wntXGy8isdYNHxsNQS4n_rC8JSdPfj6vEq4"",""'500 объектов перенос на 2026'!A3:AB502""),14,0)"),"#REF!")</f>
        <v>#REF!</v>
      </c>
      <c r="AA247" s="85" t="s">
        <v>4020</v>
      </c>
      <c r="AB247" s="43"/>
    </row>
    <row r="248">
      <c r="A248" s="62" t="s">
        <v>923</v>
      </c>
      <c r="B248" s="63" t="s">
        <v>142</v>
      </c>
      <c r="C248" s="64" t="s">
        <v>924</v>
      </c>
      <c r="D248" s="64" t="s">
        <v>59</v>
      </c>
      <c r="E248" s="64">
        <v>22.7</v>
      </c>
      <c r="F248" s="288"/>
      <c r="G248" s="288"/>
      <c r="H248" s="64" t="s">
        <v>3512</v>
      </c>
      <c r="I248" s="64">
        <v>2025.0</v>
      </c>
      <c r="J248" s="64">
        <v>2026.0</v>
      </c>
      <c r="K248" s="287">
        <v>0.77</v>
      </c>
      <c r="L248" s="288"/>
      <c r="M248" s="285" t="s">
        <v>4021</v>
      </c>
      <c r="N248" s="35" t="s">
        <v>3568</v>
      </c>
      <c r="O248" s="35" t="s">
        <v>3568</v>
      </c>
      <c r="P248" s="35" t="s">
        <v>46</v>
      </c>
      <c r="Q248" s="37">
        <v>46266.0</v>
      </c>
      <c r="R248" s="56"/>
      <c r="S248" s="38" t="s">
        <v>49</v>
      </c>
      <c r="T248" s="39">
        <v>115240.06</v>
      </c>
      <c r="U248" s="39">
        <v>57217.26599</v>
      </c>
      <c r="V248" s="40">
        <v>58022.79401</v>
      </c>
      <c r="W248" s="57" t="s">
        <v>926</v>
      </c>
      <c r="X248" s="42"/>
      <c r="Y248" s="42" t="str">
        <f>IFERROR(__xludf.DUMMYFUNCTION("vLOOKUP(A248,IMPORTRANGE(""https://docs.google.com/spreadsheets/d/1Rawwwdh8wntXGy8isdYNHxsNQS4n_rC8JSdPfj6vEq4"",""'500 объектов перенос на 2026'!A3:AB502""),13,0)"),"#REF!")</f>
        <v>#REF!</v>
      </c>
      <c r="Z248" s="42" t="str">
        <f>IFERROR(__xludf.DUMMYFUNCTION("vLOOKUP(A248,IMPORTRANGE(""https://docs.google.com/spreadsheets/d/1Rawwwdh8wntXGy8isdYNHxsNQS4n_rC8JSdPfj6vEq4"",""'500 объектов перенос на 2026'!A3:AB502""),14,0)"),"#REF!")</f>
        <v>#REF!</v>
      </c>
      <c r="AA248" s="85" t="s">
        <v>4022</v>
      </c>
      <c r="AB248" s="43"/>
    </row>
    <row r="249">
      <c r="A249" s="62" t="s">
        <v>686</v>
      </c>
      <c r="B249" s="63" t="s">
        <v>142</v>
      </c>
      <c r="C249" s="64" t="s">
        <v>687</v>
      </c>
      <c r="D249" s="64" t="s">
        <v>59</v>
      </c>
      <c r="E249" s="64">
        <v>47.7</v>
      </c>
      <c r="F249" s="288"/>
      <c r="G249" s="288"/>
      <c r="H249" s="64" t="s">
        <v>3512</v>
      </c>
      <c r="I249" s="64">
        <v>2025.0</v>
      </c>
      <c r="J249" s="64">
        <v>2026.0</v>
      </c>
      <c r="K249" s="287">
        <v>0.9</v>
      </c>
      <c r="L249" s="288"/>
      <c r="M249" s="285" t="s">
        <v>4021</v>
      </c>
      <c r="N249" s="35" t="s">
        <v>3568</v>
      </c>
      <c r="O249" s="35" t="s">
        <v>3568</v>
      </c>
      <c r="P249" s="35" t="s">
        <v>46</v>
      </c>
      <c r="Q249" s="37">
        <v>46266.0</v>
      </c>
      <c r="R249" s="56"/>
      <c r="S249" s="38"/>
      <c r="T249" s="39">
        <v>115240.06</v>
      </c>
      <c r="U249" s="39">
        <v>34399.15791</v>
      </c>
      <c r="V249" s="40">
        <v>80840.90209</v>
      </c>
      <c r="W249" s="57" t="s">
        <v>692</v>
      </c>
      <c r="X249" s="42" t="s">
        <v>49</v>
      </c>
      <c r="Y249" s="42" t="str">
        <f>IFERROR(__xludf.DUMMYFUNCTION("vLOOKUP(A249,IMPORTRANGE(""https://docs.google.com/spreadsheets/d/1Rawwwdh8wntXGy8isdYNHxsNQS4n_rC8JSdPfj6vEq4"",""'500 объектов перенос на 2026'!A3:AB502""),13,0)"),"#REF!")</f>
        <v>#REF!</v>
      </c>
      <c r="Z249" s="42" t="str">
        <f>IFERROR(__xludf.DUMMYFUNCTION("vLOOKUP(A249,IMPORTRANGE(""https://docs.google.com/spreadsheets/d/1Rawwwdh8wntXGy8isdYNHxsNQS4n_rC8JSdPfj6vEq4"",""'500 объектов перенос на 2026'!A3:AB502""),14,0)"),"#REF!")</f>
        <v>#REF!</v>
      </c>
      <c r="AA249" s="85" t="s">
        <v>4023</v>
      </c>
      <c r="AB249" s="43"/>
    </row>
    <row r="250">
      <c r="A250" s="62" t="s">
        <v>141</v>
      </c>
      <c r="B250" s="63" t="s">
        <v>142</v>
      </c>
      <c r="C250" s="64" t="s">
        <v>143</v>
      </c>
      <c r="D250" s="64" t="s">
        <v>59</v>
      </c>
      <c r="E250" s="64">
        <v>10.5</v>
      </c>
      <c r="F250" s="288"/>
      <c r="G250" s="288"/>
      <c r="H250" s="64" t="s">
        <v>3512</v>
      </c>
      <c r="I250" s="64">
        <v>2025.0</v>
      </c>
      <c r="J250" s="64">
        <v>2026.0</v>
      </c>
      <c r="K250" s="287">
        <v>0.92</v>
      </c>
      <c r="L250" s="288"/>
      <c r="M250" s="285" t="s">
        <v>4024</v>
      </c>
      <c r="N250" s="35" t="s">
        <v>3568</v>
      </c>
      <c r="O250" s="35" t="s">
        <v>3568</v>
      </c>
      <c r="P250" s="35" t="s">
        <v>46</v>
      </c>
      <c r="Q250" s="37">
        <v>46266.0</v>
      </c>
      <c r="R250" s="56"/>
      <c r="S250" s="38"/>
      <c r="T250" s="39">
        <v>93078.51</v>
      </c>
      <c r="U250" s="39">
        <v>27783.93523</v>
      </c>
      <c r="V250" s="40">
        <v>65294.57477</v>
      </c>
      <c r="W250" s="57" t="s">
        <v>151</v>
      </c>
      <c r="X250" s="85" t="s">
        <v>46</v>
      </c>
      <c r="Y250" s="42" t="str">
        <f>IFERROR(__xludf.DUMMYFUNCTION("vLOOKUP(A250,IMPORTRANGE(""https://docs.google.com/spreadsheets/d/1Rawwwdh8wntXGy8isdYNHxsNQS4n_rC8JSdPfj6vEq4"",""'500 объектов перенос на 2026'!A3:AB502""),13,0)"),"#REF!")</f>
        <v>#REF!</v>
      </c>
      <c r="Z250" s="42" t="str">
        <f>IFERROR(__xludf.DUMMYFUNCTION("vLOOKUP(A250,IMPORTRANGE(""https://docs.google.com/spreadsheets/d/1Rawwwdh8wntXGy8isdYNHxsNQS4n_rC8JSdPfj6vEq4"",""'500 объектов перенос на 2026'!A3:AB502""),14,0)"),"#REF!")</f>
        <v>#REF!</v>
      </c>
      <c r="AA250" s="85" t="s">
        <v>4025</v>
      </c>
      <c r="AB250" s="43"/>
    </row>
    <row r="251">
      <c r="A251" s="62" t="s">
        <v>466</v>
      </c>
      <c r="B251" s="63" t="s">
        <v>142</v>
      </c>
      <c r="C251" s="64" t="s">
        <v>467</v>
      </c>
      <c r="D251" s="64" t="s">
        <v>59</v>
      </c>
      <c r="E251" s="64">
        <v>15.0</v>
      </c>
      <c r="F251" s="288"/>
      <c r="G251" s="288"/>
      <c r="H251" s="64" t="s">
        <v>3512</v>
      </c>
      <c r="I251" s="64">
        <v>2025.0</v>
      </c>
      <c r="J251" s="64">
        <v>2026.0</v>
      </c>
      <c r="K251" s="287">
        <v>0.53</v>
      </c>
      <c r="L251" s="288"/>
      <c r="M251" s="285" t="s">
        <v>4026</v>
      </c>
      <c r="N251" s="35">
        <v>0.0</v>
      </c>
      <c r="O251" s="35" t="s">
        <v>4026</v>
      </c>
      <c r="P251" s="35" t="s">
        <v>472</v>
      </c>
      <c r="Q251" s="37">
        <v>46266.0</v>
      </c>
      <c r="R251" s="56"/>
      <c r="S251" s="38"/>
      <c r="T251" s="39">
        <v>240258.68</v>
      </c>
      <c r="U251" s="39">
        <v>85316.9</v>
      </c>
      <c r="V251" s="40">
        <v>154941.78</v>
      </c>
      <c r="W251" s="57" t="s">
        <v>473</v>
      </c>
      <c r="X251" s="42" t="s">
        <v>46</v>
      </c>
      <c r="Y251" s="42" t="str">
        <f>IFERROR(__xludf.DUMMYFUNCTION("vLOOKUP(A251,IMPORTRANGE(""https://docs.google.com/spreadsheets/d/1Rawwwdh8wntXGy8isdYNHxsNQS4n_rC8JSdPfj6vEq4"",""'500 объектов перенос на 2026'!A3:AB502""),13,0)"),"#REF!")</f>
        <v>#REF!</v>
      </c>
      <c r="Z251" s="42" t="str">
        <f>IFERROR(__xludf.DUMMYFUNCTION("vLOOKUP(A251,IMPORTRANGE(""https://docs.google.com/spreadsheets/d/1Rawwwdh8wntXGy8isdYNHxsNQS4n_rC8JSdPfj6vEq4"",""'500 объектов перенос на 2026'!A3:AB502""),14,0)"),"#REF!")</f>
        <v>#REF!</v>
      </c>
      <c r="AA251" s="85" t="s">
        <v>4025</v>
      </c>
      <c r="AB251" s="43"/>
    </row>
    <row r="252">
      <c r="A252" s="62" t="s">
        <v>1837</v>
      </c>
      <c r="B252" s="63" t="s">
        <v>142</v>
      </c>
      <c r="C252" s="64" t="s">
        <v>1838</v>
      </c>
      <c r="D252" s="64" t="s">
        <v>85</v>
      </c>
      <c r="E252" s="288"/>
      <c r="F252" s="64" t="s">
        <v>3550</v>
      </c>
      <c r="G252" s="64">
        <v>39.1</v>
      </c>
      <c r="H252" s="64" t="s">
        <v>3512</v>
      </c>
      <c r="I252" s="64">
        <v>2024.0</v>
      </c>
      <c r="J252" s="64">
        <v>2025.0</v>
      </c>
      <c r="K252" s="287">
        <v>1.0</v>
      </c>
      <c r="L252" s="292" t="s">
        <v>3528</v>
      </c>
      <c r="M252" s="285" t="s">
        <v>4027</v>
      </c>
      <c r="N252" s="35" t="s">
        <v>4028</v>
      </c>
      <c r="O252" s="35" t="s">
        <v>4029</v>
      </c>
      <c r="P252" s="35" t="s">
        <v>113</v>
      </c>
      <c r="Q252" s="38"/>
      <c r="R252" s="38" t="s">
        <v>115</v>
      </c>
      <c r="S252" s="38"/>
      <c r="T252" s="39">
        <v>2255.28</v>
      </c>
      <c r="U252" s="39">
        <v>1950.43528</v>
      </c>
      <c r="V252" s="39">
        <v>304.84472</v>
      </c>
      <c r="W252" s="57" t="s">
        <v>1841</v>
      </c>
      <c r="X252" s="42" t="s">
        <v>362</v>
      </c>
      <c r="Y252" s="42" t="str">
        <f>IFERROR(__xludf.DUMMYFUNCTION("vLOOKUP(A252,IMPORTRANGE(""https://docs.google.com/spreadsheets/d/1Rawwwdh8wntXGy8isdYNHxsNQS4n_rC8JSdPfj6vEq4"",""'500 объектов перенос на 2026'!A3:AB502""),13,0)"),"#REF!")</f>
        <v>#REF!</v>
      </c>
      <c r="Z252" s="42" t="str">
        <f>IFERROR(__xludf.DUMMYFUNCTION("vLOOKUP(A252,IMPORTRANGE(""https://docs.google.com/spreadsheets/d/1Rawwwdh8wntXGy8isdYNHxsNQS4n_rC8JSdPfj6vEq4"",""'500 объектов перенос на 2026'!A3:AB502""),14,0)"),"#REF!")</f>
        <v>#REF!</v>
      </c>
      <c r="AA252" s="85" t="s">
        <v>175</v>
      </c>
      <c r="AB252" s="43"/>
    </row>
    <row r="253">
      <c r="A253" s="62" t="s">
        <v>2625</v>
      </c>
      <c r="B253" s="63" t="s">
        <v>142</v>
      </c>
      <c r="C253" s="64" t="s">
        <v>2626</v>
      </c>
      <c r="D253" s="64" t="s">
        <v>59</v>
      </c>
      <c r="E253" s="64">
        <v>2.1</v>
      </c>
      <c r="F253" s="288"/>
      <c r="G253" s="288"/>
      <c r="H253" s="64" t="s">
        <v>3512</v>
      </c>
      <c r="I253" s="64">
        <v>2024.0</v>
      </c>
      <c r="J253" s="64">
        <v>2026.0</v>
      </c>
      <c r="K253" s="287">
        <v>0.92</v>
      </c>
      <c r="L253" s="288"/>
      <c r="M253" s="285" t="s">
        <v>4030</v>
      </c>
      <c r="N253" s="35">
        <v>0.0</v>
      </c>
      <c r="O253" s="35" t="s">
        <v>4030</v>
      </c>
      <c r="P253" s="35" t="s">
        <v>4031</v>
      </c>
      <c r="Q253" s="37">
        <v>46174.0</v>
      </c>
      <c r="R253" s="56"/>
      <c r="S253" s="38"/>
      <c r="T253" s="39">
        <v>29512.61</v>
      </c>
      <c r="U253" s="39">
        <v>42814.99493</v>
      </c>
      <c r="V253" s="40">
        <v>-13302.38493</v>
      </c>
      <c r="W253" s="57" t="s">
        <v>2631</v>
      </c>
      <c r="X253" s="85" t="s">
        <v>46</v>
      </c>
      <c r="Y253" s="42" t="str">
        <f>IFERROR(__xludf.DUMMYFUNCTION("vLOOKUP(A253,IMPORTRANGE(""https://docs.google.com/spreadsheets/d/1Rawwwdh8wntXGy8isdYNHxsNQS4n_rC8JSdPfj6vEq4"",""'500 объектов перенос на 2026'!A3:AB502""),13,0)"),"#REF!")</f>
        <v>#REF!</v>
      </c>
      <c r="Z253" s="42" t="str">
        <f>IFERROR(__xludf.DUMMYFUNCTION("vLOOKUP(A253,IMPORTRANGE(""https://docs.google.com/spreadsheets/d/1Rawwwdh8wntXGy8isdYNHxsNQS4n_rC8JSdPfj6vEq4"",""'500 объектов перенос на 2026'!A3:AB502""),14,0)"),"#REF!")</f>
        <v>#REF!</v>
      </c>
      <c r="AA253" s="85" t="s">
        <v>4025</v>
      </c>
      <c r="AB253" s="43"/>
    </row>
    <row r="254">
      <c r="A254" s="62" t="s">
        <v>1847</v>
      </c>
      <c r="B254" s="63" t="s">
        <v>142</v>
      </c>
      <c r="C254" s="64" t="s">
        <v>1848</v>
      </c>
      <c r="D254" s="64" t="s">
        <v>85</v>
      </c>
      <c r="E254" s="288"/>
      <c r="F254" s="288"/>
      <c r="G254" s="64">
        <v>829.0</v>
      </c>
      <c r="H254" s="64" t="s">
        <v>3527</v>
      </c>
      <c r="I254" s="64">
        <v>2024.0</v>
      </c>
      <c r="J254" s="64">
        <v>2025.0</v>
      </c>
      <c r="K254" s="288"/>
      <c r="L254" s="292" t="s">
        <v>3528</v>
      </c>
      <c r="M254" s="285" t="s">
        <v>4032</v>
      </c>
      <c r="N254" s="35" t="s">
        <v>4033</v>
      </c>
      <c r="O254" s="35" t="s">
        <v>4034</v>
      </c>
      <c r="P254" s="35" t="s">
        <v>113</v>
      </c>
      <c r="Q254" s="38"/>
      <c r="R254" s="38" t="s">
        <v>115</v>
      </c>
      <c r="S254" s="38"/>
      <c r="T254" s="39">
        <v>17302.49</v>
      </c>
      <c r="U254" s="39">
        <v>15745.85595</v>
      </c>
      <c r="V254" s="39">
        <v>1556.63405</v>
      </c>
      <c r="W254" s="57" t="s">
        <v>1852</v>
      </c>
      <c r="X254" s="42" t="s">
        <v>362</v>
      </c>
      <c r="Y254" s="42" t="str">
        <f>IFERROR(__xludf.DUMMYFUNCTION("vLOOKUP(A254,IMPORTRANGE(""https://docs.google.com/spreadsheets/d/1Rawwwdh8wntXGy8isdYNHxsNQS4n_rC8JSdPfj6vEq4"",""'500 объектов перенос на 2026'!A3:AB502""),13,0)"),"#REF!")</f>
        <v>#REF!</v>
      </c>
      <c r="Z254" s="42" t="str">
        <f>IFERROR(__xludf.DUMMYFUNCTION("vLOOKUP(A254,IMPORTRANGE(""https://docs.google.com/spreadsheets/d/1Rawwwdh8wntXGy8isdYNHxsNQS4n_rC8JSdPfj6vEq4"",""'500 объектов перенос на 2026'!A3:AB502""),14,0)"),"#REF!")</f>
        <v>#REF!</v>
      </c>
      <c r="AA254" s="85" t="s">
        <v>175</v>
      </c>
      <c r="AB254" s="43"/>
    </row>
    <row r="255">
      <c r="A255" s="62" t="s">
        <v>1853</v>
      </c>
      <c r="B255" s="63" t="s">
        <v>142</v>
      </c>
      <c r="C255" s="64" t="s">
        <v>1854</v>
      </c>
      <c r="D255" s="64" t="s">
        <v>85</v>
      </c>
      <c r="E255" s="288"/>
      <c r="F255" s="64" t="s">
        <v>3832</v>
      </c>
      <c r="G255" s="64">
        <v>841.0</v>
      </c>
      <c r="H255" s="64" t="s">
        <v>3512</v>
      </c>
      <c r="I255" s="64">
        <v>2024.0</v>
      </c>
      <c r="J255" s="64">
        <v>2025.0</v>
      </c>
      <c r="K255" s="287">
        <v>1.0</v>
      </c>
      <c r="L255" s="292" t="s">
        <v>3528</v>
      </c>
      <c r="M255" s="289" t="s">
        <v>4035</v>
      </c>
      <c r="N255" s="35">
        <v>0.0</v>
      </c>
      <c r="O255" s="35" t="s">
        <v>3520</v>
      </c>
      <c r="P255" s="35" t="s">
        <v>113</v>
      </c>
      <c r="Q255" s="38"/>
      <c r="R255" s="38" t="s">
        <v>115</v>
      </c>
      <c r="S255" s="38"/>
      <c r="T255" s="39">
        <v>96320.55</v>
      </c>
      <c r="U255" s="39">
        <v>80740.77893</v>
      </c>
      <c r="V255" s="39">
        <v>15579.77107</v>
      </c>
      <c r="W255" s="57" t="s">
        <v>1857</v>
      </c>
      <c r="X255" s="42" t="s">
        <v>362</v>
      </c>
      <c r="Y255" s="42" t="str">
        <f>IFERROR(__xludf.DUMMYFUNCTION("vLOOKUP(A255,IMPORTRANGE(""https://docs.google.com/spreadsheets/d/1Rawwwdh8wntXGy8isdYNHxsNQS4n_rC8JSdPfj6vEq4"",""'500 объектов перенос на 2026'!A3:AB502""),13,0)"),"#REF!")</f>
        <v>#REF!</v>
      </c>
      <c r="Z255" s="42" t="str">
        <f>IFERROR(__xludf.DUMMYFUNCTION("vLOOKUP(A255,IMPORTRANGE(""https://docs.google.com/spreadsheets/d/1Rawwwdh8wntXGy8isdYNHxsNQS4n_rC8JSdPfj6vEq4"",""'500 объектов перенос на 2026'!A3:AB502""),14,0)"),"#REF!")</f>
        <v>#REF!</v>
      </c>
      <c r="AA255" s="85" t="s">
        <v>175</v>
      </c>
      <c r="AB255" s="43"/>
    </row>
    <row r="256">
      <c r="A256" s="62" t="s">
        <v>1858</v>
      </c>
      <c r="B256" s="63" t="s">
        <v>142</v>
      </c>
      <c r="C256" s="64" t="s">
        <v>1859</v>
      </c>
      <c r="D256" s="64" t="s">
        <v>85</v>
      </c>
      <c r="E256" s="288"/>
      <c r="F256" s="64" t="s">
        <v>3795</v>
      </c>
      <c r="G256" s="64">
        <v>656.8</v>
      </c>
      <c r="H256" s="64" t="s">
        <v>3512</v>
      </c>
      <c r="I256" s="64">
        <v>2024.0</v>
      </c>
      <c r="J256" s="64">
        <v>2026.0</v>
      </c>
      <c r="K256" s="287">
        <v>1.0</v>
      </c>
      <c r="L256" s="288"/>
      <c r="M256" s="285" t="s">
        <v>4036</v>
      </c>
      <c r="N256" s="35" t="s">
        <v>4037</v>
      </c>
      <c r="O256" s="35"/>
      <c r="P256" s="35" t="s">
        <v>2104</v>
      </c>
      <c r="Q256" s="37">
        <v>46143.0</v>
      </c>
      <c r="R256" s="56"/>
      <c r="S256" s="38"/>
      <c r="T256" s="39">
        <v>50248.62</v>
      </c>
      <c r="U256" s="39">
        <v>15074.58546</v>
      </c>
      <c r="V256" s="40">
        <v>35174.03454</v>
      </c>
      <c r="W256" s="57" t="s">
        <v>1862</v>
      </c>
      <c r="X256" s="42" t="s">
        <v>595</v>
      </c>
      <c r="Y256" s="85"/>
      <c r="Z256" s="42"/>
      <c r="AA256" s="85" t="s">
        <v>4006</v>
      </c>
      <c r="AB256" s="43"/>
    </row>
    <row r="257">
      <c r="A257" s="62" t="s">
        <v>1863</v>
      </c>
      <c r="B257" s="63" t="s">
        <v>142</v>
      </c>
      <c r="C257" s="64" t="s">
        <v>1864</v>
      </c>
      <c r="D257" s="64" t="s">
        <v>85</v>
      </c>
      <c r="E257" s="288"/>
      <c r="F257" s="64" t="s">
        <v>3550</v>
      </c>
      <c r="G257" s="64">
        <v>166.2</v>
      </c>
      <c r="H257" s="64" t="s">
        <v>3512</v>
      </c>
      <c r="I257" s="64">
        <v>2024.0</v>
      </c>
      <c r="J257" s="64">
        <v>2025.0</v>
      </c>
      <c r="K257" s="287">
        <v>1.0</v>
      </c>
      <c r="L257" s="292" t="s">
        <v>3528</v>
      </c>
      <c r="M257" s="285" t="s">
        <v>4038</v>
      </c>
      <c r="N257" s="35" t="s">
        <v>4039</v>
      </c>
      <c r="O257" s="35" t="s">
        <v>4040</v>
      </c>
      <c r="P257" s="35" t="s">
        <v>113</v>
      </c>
      <c r="Q257" s="38"/>
      <c r="R257" s="38" t="s">
        <v>115</v>
      </c>
      <c r="S257" s="38"/>
      <c r="T257" s="39">
        <v>11145.17</v>
      </c>
      <c r="U257" s="39">
        <v>8814.0144</v>
      </c>
      <c r="V257" s="39">
        <v>2331.1556</v>
      </c>
      <c r="W257" s="57" t="s">
        <v>1867</v>
      </c>
      <c r="X257" s="42" t="s">
        <v>362</v>
      </c>
      <c r="Y257" s="42" t="str">
        <f>IFERROR(__xludf.DUMMYFUNCTION("vLOOKUP(A257,IMPORTRANGE(""https://docs.google.com/spreadsheets/d/1Rawwwdh8wntXGy8isdYNHxsNQS4n_rC8JSdPfj6vEq4"",""'500 объектов перенос на 2026'!A3:AB502""),13,0)"),"#REF!")</f>
        <v>#REF!</v>
      </c>
      <c r="Z257" s="42" t="str">
        <f>IFERROR(__xludf.DUMMYFUNCTION("vLOOKUP(A257,IMPORTRANGE(""https://docs.google.com/spreadsheets/d/1Rawwwdh8wntXGy8isdYNHxsNQS4n_rC8JSdPfj6vEq4"",""'500 объектов перенос на 2026'!A3:AB502""),14,0)"),"#REF!")</f>
        <v>#REF!</v>
      </c>
      <c r="AA257" s="85" t="s">
        <v>175</v>
      </c>
      <c r="AB257" s="43"/>
    </row>
    <row r="258">
      <c r="A258" s="62" t="s">
        <v>1868</v>
      </c>
      <c r="B258" s="63" t="s">
        <v>142</v>
      </c>
      <c r="C258" s="64" t="s">
        <v>1869</v>
      </c>
      <c r="D258" s="64" t="s">
        <v>85</v>
      </c>
      <c r="E258" s="288"/>
      <c r="F258" s="64" t="s">
        <v>3550</v>
      </c>
      <c r="G258" s="64">
        <v>282.0</v>
      </c>
      <c r="H258" s="64" t="s">
        <v>3512</v>
      </c>
      <c r="I258" s="64">
        <v>2024.0</v>
      </c>
      <c r="J258" s="64">
        <v>2025.0</v>
      </c>
      <c r="K258" s="287">
        <v>1.0</v>
      </c>
      <c r="L258" s="292" t="s">
        <v>3528</v>
      </c>
      <c r="M258" s="285" t="s">
        <v>4041</v>
      </c>
      <c r="N258" s="35" t="s">
        <v>4042</v>
      </c>
      <c r="O258" s="35" t="s">
        <v>4043</v>
      </c>
      <c r="P258" s="35" t="s">
        <v>113</v>
      </c>
      <c r="Q258" s="38"/>
      <c r="R258" s="38" t="s">
        <v>115</v>
      </c>
      <c r="S258" s="38"/>
      <c r="T258" s="39">
        <v>24056.89</v>
      </c>
      <c r="U258" s="39">
        <v>20799.53762</v>
      </c>
      <c r="V258" s="39">
        <v>3257.35238</v>
      </c>
      <c r="W258" s="57"/>
      <c r="X258" s="42" t="s">
        <v>362</v>
      </c>
      <c r="Y258" s="42" t="str">
        <f>IFERROR(__xludf.DUMMYFUNCTION("vLOOKUP(A258,IMPORTRANGE(""https://docs.google.com/spreadsheets/d/1Rawwwdh8wntXGy8isdYNHxsNQS4n_rC8JSdPfj6vEq4"",""'500 объектов перенос на 2026'!A3:AB502""),13,0)"),"#REF!")</f>
        <v>#REF!</v>
      </c>
      <c r="Z258" s="42" t="str">
        <f>IFERROR(__xludf.DUMMYFUNCTION("vLOOKUP(A258,IMPORTRANGE(""https://docs.google.com/spreadsheets/d/1Rawwwdh8wntXGy8isdYNHxsNQS4n_rC8JSdPfj6vEq4"",""'500 объектов перенос на 2026'!A3:AB502""),14,0)"),"#REF!")</f>
        <v>#REF!</v>
      </c>
      <c r="AA258" s="85" t="s">
        <v>175</v>
      </c>
      <c r="AB258" s="43"/>
    </row>
    <row r="259">
      <c r="A259" s="62" t="s">
        <v>1872</v>
      </c>
      <c r="B259" s="63" t="s">
        <v>142</v>
      </c>
      <c r="C259" s="64" t="s">
        <v>1873</v>
      </c>
      <c r="D259" s="64" t="s">
        <v>85</v>
      </c>
      <c r="E259" s="288"/>
      <c r="F259" s="64" t="s">
        <v>3550</v>
      </c>
      <c r="G259" s="64">
        <v>309.0</v>
      </c>
      <c r="H259" s="64" t="s">
        <v>3512</v>
      </c>
      <c r="I259" s="64">
        <v>2024.0</v>
      </c>
      <c r="J259" s="64">
        <v>2026.0</v>
      </c>
      <c r="K259" s="287">
        <v>0.98</v>
      </c>
      <c r="L259" s="288"/>
      <c r="M259" s="285" t="s">
        <v>3568</v>
      </c>
      <c r="N259" s="35" t="s">
        <v>3568</v>
      </c>
      <c r="O259" s="35" t="s">
        <v>3568</v>
      </c>
      <c r="P259" s="35" t="s">
        <v>4002</v>
      </c>
      <c r="Q259" s="37">
        <v>46143.0</v>
      </c>
      <c r="R259" s="56"/>
      <c r="S259" s="38"/>
      <c r="T259" s="39">
        <v>20615.98</v>
      </c>
      <c r="U259" s="39">
        <v>6184.79568</v>
      </c>
      <c r="V259" s="40">
        <v>14431.18432</v>
      </c>
      <c r="W259" s="57" t="s">
        <v>1877</v>
      </c>
      <c r="X259" s="42" t="s">
        <v>595</v>
      </c>
      <c r="Y259" s="85"/>
      <c r="Z259" s="42"/>
      <c r="AA259" s="85" t="s">
        <v>4006</v>
      </c>
      <c r="AB259" s="43"/>
    </row>
    <row r="260">
      <c r="A260" s="62" t="s">
        <v>1878</v>
      </c>
      <c r="B260" s="63" t="s">
        <v>142</v>
      </c>
      <c r="C260" s="64" t="s">
        <v>1879</v>
      </c>
      <c r="D260" s="64" t="s">
        <v>85</v>
      </c>
      <c r="E260" s="288"/>
      <c r="F260" s="64" t="s">
        <v>3550</v>
      </c>
      <c r="G260" s="64">
        <v>130.6</v>
      </c>
      <c r="H260" s="64" t="s">
        <v>3512</v>
      </c>
      <c r="I260" s="64">
        <v>2024.0</v>
      </c>
      <c r="J260" s="64">
        <v>2025.0</v>
      </c>
      <c r="K260" s="287">
        <v>1.0</v>
      </c>
      <c r="L260" s="292" t="s">
        <v>3528</v>
      </c>
      <c r="M260" s="285" t="s">
        <v>4044</v>
      </c>
      <c r="N260" s="35" t="s">
        <v>4045</v>
      </c>
      <c r="O260" s="35" t="s">
        <v>4046</v>
      </c>
      <c r="P260" s="35" t="s">
        <v>113</v>
      </c>
      <c r="Q260" s="38"/>
      <c r="R260" s="38" t="s">
        <v>115</v>
      </c>
      <c r="S260" s="38"/>
      <c r="T260" s="39">
        <v>6603.55</v>
      </c>
      <c r="U260" s="39">
        <v>6603.92959</v>
      </c>
      <c r="V260" s="39">
        <v>-0.37959</v>
      </c>
      <c r="W260" s="57" t="s">
        <v>1881</v>
      </c>
      <c r="X260" s="42" t="s">
        <v>362</v>
      </c>
      <c r="Y260" s="42" t="str">
        <f>IFERROR(__xludf.DUMMYFUNCTION("vLOOKUP(A260,IMPORTRANGE(""https://docs.google.com/spreadsheets/d/1Rawwwdh8wntXGy8isdYNHxsNQS4n_rC8JSdPfj6vEq4"",""'500 объектов перенос на 2026'!A3:AB502""),13,0)"),"#REF!")</f>
        <v>#REF!</v>
      </c>
      <c r="Z260" s="42" t="str">
        <f>IFERROR(__xludf.DUMMYFUNCTION("vLOOKUP(A260,IMPORTRANGE(""https://docs.google.com/spreadsheets/d/1Rawwwdh8wntXGy8isdYNHxsNQS4n_rC8JSdPfj6vEq4"",""'500 объектов перенос на 2026'!A3:AB502""),14,0)"),"#REF!")</f>
        <v>#REF!</v>
      </c>
      <c r="AA260" s="85" t="s">
        <v>175</v>
      </c>
      <c r="AB260" s="43"/>
    </row>
    <row r="261">
      <c r="A261" s="62" t="s">
        <v>1610</v>
      </c>
      <c r="B261" s="63" t="s">
        <v>142</v>
      </c>
      <c r="C261" s="64" t="s">
        <v>1611</v>
      </c>
      <c r="D261" s="64" t="s">
        <v>85</v>
      </c>
      <c r="E261" s="288"/>
      <c r="F261" s="64" t="s">
        <v>3795</v>
      </c>
      <c r="G261" s="64">
        <v>725.0</v>
      </c>
      <c r="H261" s="64" t="s">
        <v>3512</v>
      </c>
      <c r="I261" s="64">
        <v>2024.0</v>
      </c>
      <c r="J261" s="64">
        <v>2026.0</v>
      </c>
      <c r="K261" s="287">
        <v>0.87</v>
      </c>
      <c r="L261" s="288"/>
      <c r="M261" s="285" t="s">
        <v>3568</v>
      </c>
      <c r="N261" s="35" t="s">
        <v>3568</v>
      </c>
      <c r="O261" s="35" t="s">
        <v>3568</v>
      </c>
      <c r="P261" s="35" t="s">
        <v>46</v>
      </c>
      <c r="Q261" s="37">
        <v>46174.0</v>
      </c>
      <c r="R261" s="56"/>
      <c r="S261" s="38"/>
      <c r="T261" s="39">
        <v>49043.15</v>
      </c>
      <c r="U261" s="39">
        <v>24472.53185</v>
      </c>
      <c r="V261" s="40">
        <v>24570.61815</v>
      </c>
      <c r="W261" s="57" t="s">
        <v>1618</v>
      </c>
      <c r="X261" s="42" t="s">
        <v>46</v>
      </c>
      <c r="Y261" s="85"/>
      <c r="Z261" s="42" t="str">
        <f>IFERROR(__xludf.DUMMYFUNCTION("vLOOKUP(A261,IMPORTRANGE(""https://docs.google.com/spreadsheets/d/1Rawwwdh8wntXGy8isdYNHxsNQS4n_rC8JSdPfj6vEq4"",""'500 объектов перенос на 2026'!A3:AB502""),14,0)"),"#REF!")</f>
        <v>#REF!</v>
      </c>
      <c r="AA261" s="85" t="s">
        <v>4006</v>
      </c>
      <c r="AB261" s="43"/>
    </row>
    <row r="262">
      <c r="A262" s="62" t="s">
        <v>1889</v>
      </c>
      <c r="B262" s="63" t="s">
        <v>142</v>
      </c>
      <c r="C262" s="64" t="s">
        <v>1890</v>
      </c>
      <c r="D262" s="64" t="s">
        <v>85</v>
      </c>
      <c r="E262" s="288"/>
      <c r="F262" s="64" t="s">
        <v>3832</v>
      </c>
      <c r="G262" s="64">
        <v>210.0</v>
      </c>
      <c r="H262" s="64" t="s">
        <v>3512</v>
      </c>
      <c r="I262" s="64">
        <v>2024.0</v>
      </c>
      <c r="J262" s="64">
        <v>2026.0</v>
      </c>
      <c r="K262" s="287">
        <v>0.98</v>
      </c>
      <c r="L262" s="288"/>
      <c r="M262" s="285" t="s">
        <v>3568</v>
      </c>
      <c r="N262" s="35" t="s">
        <v>3568</v>
      </c>
      <c r="O262" s="35" t="s">
        <v>3568</v>
      </c>
      <c r="P262" s="35" t="s">
        <v>49</v>
      </c>
      <c r="Q262" s="37">
        <v>46143.0</v>
      </c>
      <c r="R262" s="56"/>
      <c r="S262" s="38"/>
      <c r="T262" s="39">
        <v>20409.71</v>
      </c>
      <c r="U262" s="39">
        <v>6092.29844</v>
      </c>
      <c r="V262" s="40">
        <v>14317.41156</v>
      </c>
      <c r="W262" s="57" t="s">
        <v>1894</v>
      </c>
      <c r="X262" s="42" t="s">
        <v>49</v>
      </c>
      <c r="Y262" s="85"/>
      <c r="Z262" s="42"/>
      <c r="AA262" s="85" t="s">
        <v>4006</v>
      </c>
      <c r="AB262" s="43"/>
    </row>
    <row r="263">
      <c r="A263" s="62" t="s">
        <v>1895</v>
      </c>
      <c r="B263" s="63" t="s">
        <v>142</v>
      </c>
      <c r="C263" s="64" t="s">
        <v>1896</v>
      </c>
      <c r="D263" s="144" t="s">
        <v>59</v>
      </c>
      <c r="E263" s="64">
        <v>21.0</v>
      </c>
      <c r="F263" s="288"/>
      <c r="G263" s="288"/>
      <c r="H263" s="64" t="s">
        <v>3512</v>
      </c>
      <c r="I263" s="64">
        <v>2025.0</v>
      </c>
      <c r="J263" s="64">
        <v>2025.0</v>
      </c>
      <c r="K263" s="287">
        <v>1.0</v>
      </c>
      <c r="L263" s="292" t="s">
        <v>3528</v>
      </c>
      <c r="M263" s="285" t="s">
        <v>3568</v>
      </c>
      <c r="N263" s="35" t="s">
        <v>3568</v>
      </c>
      <c r="O263" s="35" t="s">
        <v>3568</v>
      </c>
      <c r="P263" s="35" t="s">
        <v>113</v>
      </c>
      <c r="Q263" s="38"/>
      <c r="R263" s="38" t="s">
        <v>115</v>
      </c>
      <c r="S263" s="38"/>
      <c r="T263" s="39">
        <v>20219.13</v>
      </c>
      <c r="U263" s="39">
        <v>19463.58084</v>
      </c>
      <c r="V263" s="39">
        <v>755.54916</v>
      </c>
      <c r="W263" s="57" t="s">
        <v>1899</v>
      </c>
      <c r="X263" s="42" t="s">
        <v>362</v>
      </c>
      <c r="Y263" s="85" t="s">
        <v>4047</v>
      </c>
      <c r="Z263" s="42" t="str">
        <f>IFERROR(__xludf.DUMMYFUNCTION("vLOOKUP(A263,IMPORTRANGE(""https://docs.google.com/spreadsheets/d/1Rawwwdh8wntXGy8isdYNHxsNQS4n_rC8JSdPfj6vEq4"",""'500 объектов перенос на 2026'!A3:AB502""),14,0)"),"#REF!")</f>
        <v>#REF!</v>
      </c>
      <c r="AA263" s="85" t="s">
        <v>175</v>
      </c>
      <c r="AB263" s="43"/>
    </row>
    <row r="264">
      <c r="A264" s="62" t="s">
        <v>1901</v>
      </c>
      <c r="B264" s="63" t="s">
        <v>56</v>
      </c>
      <c r="C264" s="64" t="s">
        <v>1902</v>
      </c>
      <c r="D264" s="64" t="s">
        <v>85</v>
      </c>
      <c r="E264" s="288"/>
      <c r="F264" s="288"/>
      <c r="G264" s="64">
        <v>800.0</v>
      </c>
      <c r="H264" s="64" t="s">
        <v>3512</v>
      </c>
      <c r="I264" s="64">
        <v>2025.0</v>
      </c>
      <c r="J264" s="64">
        <v>2025.0</v>
      </c>
      <c r="K264" s="287">
        <v>1.0</v>
      </c>
      <c r="L264" s="292" t="s">
        <v>3528</v>
      </c>
      <c r="M264" s="285" t="s">
        <v>4048</v>
      </c>
      <c r="N264" s="35" t="s">
        <v>4049</v>
      </c>
      <c r="O264" s="35" t="s">
        <v>4050</v>
      </c>
      <c r="P264" s="35" t="s">
        <v>113</v>
      </c>
      <c r="Q264" s="38">
        <v>2025.0</v>
      </c>
      <c r="R264" s="38" t="s">
        <v>115</v>
      </c>
      <c r="S264" s="38"/>
      <c r="T264" s="39">
        <v>43050.33</v>
      </c>
      <c r="U264" s="39">
        <v>23549.35533</v>
      </c>
      <c r="V264" s="39">
        <v>19500.97467</v>
      </c>
      <c r="W264" s="57" t="s">
        <v>1905</v>
      </c>
      <c r="X264" s="69" t="s">
        <v>1906</v>
      </c>
      <c r="Y264" s="42" t="str">
        <f>IFERROR(__xludf.DUMMYFUNCTION("vLOOKUP(A264,IMPORTRANGE(""https://docs.google.com/spreadsheets/d/1Rawwwdh8wntXGy8isdYNHxsNQS4n_rC8JSdPfj6vEq4"",""'500 объектов перенос на 2026'!A3:AB502""),13,0)"),"#REF!")</f>
        <v>#REF!</v>
      </c>
      <c r="Z264" s="42" t="str">
        <f>IFERROR(__xludf.DUMMYFUNCTION("vLOOKUP(A264,IMPORTRANGE(""https://docs.google.com/spreadsheets/d/1Rawwwdh8wntXGy8isdYNHxsNQS4n_rC8JSdPfj6vEq4"",""'500 объектов перенос на 2026'!A3:AB502""),14,0)"),"#REF!")</f>
        <v>#REF!</v>
      </c>
      <c r="AA264" s="85" t="s">
        <v>175</v>
      </c>
      <c r="AB264" s="43"/>
    </row>
    <row r="265">
      <c r="A265" s="62" t="s">
        <v>1907</v>
      </c>
      <c r="B265" s="63" t="s">
        <v>56</v>
      </c>
      <c r="C265" s="64" t="s">
        <v>1908</v>
      </c>
      <c r="D265" s="64" t="s">
        <v>85</v>
      </c>
      <c r="E265" s="288"/>
      <c r="F265" s="288"/>
      <c r="G265" s="64">
        <v>600.0</v>
      </c>
      <c r="H265" s="64" t="s">
        <v>3512</v>
      </c>
      <c r="I265" s="64">
        <v>2024.0</v>
      </c>
      <c r="J265" s="64">
        <v>2025.0</v>
      </c>
      <c r="K265" s="287">
        <v>1.0</v>
      </c>
      <c r="L265" s="292" t="s">
        <v>3528</v>
      </c>
      <c r="M265" s="285" t="s">
        <v>4051</v>
      </c>
      <c r="N265" s="35" t="s">
        <v>1909</v>
      </c>
      <c r="O265" s="35" t="s">
        <v>4052</v>
      </c>
      <c r="P265" s="35" t="s">
        <v>1910</v>
      </c>
      <c r="Q265" s="38">
        <v>2024.0</v>
      </c>
      <c r="R265" s="38" t="s">
        <v>115</v>
      </c>
      <c r="S265" s="38"/>
      <c r="T265" s="39" t="s">
        <v>1911</v>
      </c>
      <c r="U265" s="39">
        <v>39071.04322</v>
      </c>
      <c r="V265" s="39">
        <v>-16441.57322</v>
      </c>
      <c r="W265" s="57" t="s">
        <v>1912</v>
      </c>
      <c r="X265" s="69" t="s">
        <v>66</v>
      </c>
      <c r="Y265" s="42" t="str">
        <f>IFERROR(__xludf.DUMMYFUNCTION("vLOOKUP(A265,IMPORTRANGE(""https://docs.google.com/spreadsheets/d/1Rawwwdh8wntXGy8isdYNHxsNQS4n_rC8JSdPfj6vEq4"",""'500 объектов перенос на 2026'!A3:AB502""),13,0)"),"#REF!")</f>
        <v>#REF!</v>
      </c>
      <c r="Z265" s="42" t="str">
        <f>IFERROR(__xludf.DUMMYFUNCTION("vLOOKUP(A265,IMPORTRANGE(""https://docs.google.com/spreadsheets/d/1Rawwwdh8wntXGy8isdYNHxsNQS4n_rC8JSdPfj6vEq4"",""'500 объектов перенос на 2026'!A3:AB502""),14,0)"),"#REF!")</f>
        <v>#REF!</v>
      </c>
      <c r="AA265" s="85" t="s">
        <v>175</v>
      </c>
      <c r="AB265" s="43"/>
    </row>
    <row r="266">
      <c r="A266" s="62" t="s">
        <v>1913</v>
      </c>
      <c r="B266" s="63" t="s">
        <v>56</v>
      </c>
      <c r="C266" s="64" t="s">
        <v>1914</v>
      </c>
      <c r="D266" s="64" t="s">
        <v>85</v>
      </c>
      <c r="E266" s="288"/>
      <c r="F266" s="288"/>
      <c r="G266" s="64">
        <v>760.0</v>
      </c>
      <c r="H266" s="64" t="s">
        <v>3512</v>
      </c>
      <c r="I266" s="64">
        <v>2024.0</v>
      </c>
      <c r="J266" s="64">
        <v>2025.0</v>
      </c>
      <c r="K266" s="287">
        <v>1.0</v>
      </c>
      <c r="L266" s="292" t="s">
        <v>3528</v>
      </c>
      <c r="M266" s="285" t="s">
        <v>4053</v>
      </c>
      <c r="N266" s="35" t="s">
        <v>1915</v>
      </c>
      <c r="O266" s="35" t="s">
        <v>4054</v>
      </c>
      <c r="P266" s="35" t="s">
        <v>113</v>
      </c>
      <c r="Q266" s="38"/>
      <c r="R266" s="38" t="s">
        <v>115</v>
      </c>
      <c r="S266" s="38" t="s">
        <v>255</v>
      </c>
      <c r="T266" s="39" t="s">
        <v>1916</v>
      </c>
      <c r="U266" s="39">
        <v>15475.22258</v>
      </c>
      <c r="V266" s="39">
        <v>3404.33742</v>
      </c>
      <c r="W266" s="57" t="s">
        <v>1917</v>
      </c>
      <c r="X266" s="42" t="s">
        <v>255</v>
      </c>
      <c r="Y266" s="42" t="str">
        <f>IFERROR(__xludf.DUMMYFUNCTION("vLOOKUP(A266,IMPORTRANGE(""https://docs.google.com/spreadsheets/d/1Rawwwdh8wntXGy8isdYNHxsNQS4n_rC8JSdPfj6vEq4"",""'500 объектов перенос на 2026'!A3:AB502""),13,0)"),"#REF!")</f>
        <v>#REF!</v>
      </c>
      <c r="Z266" s="42" t="str">
        <f>IFERROR(__xludf.DUMMYFUNCTION("vLOOKUP(A266,IMPORTRANGE(""https://docs.google.com/spreadsheets/d/1Rawwwdh8wntXGy8isdYNHxsNQS4n_rC8JSdPfj6vEq4"",""'500 объектов перенос на 2026'!A3:AB502""),14,0)"),"#REF!")</f>
        <v>#REF!</v>
      </c>
      <c r="AA266" s="85" t="s">
        <v>175</v>
      </c>
      <c r="AB266" s="43"/>
    </row>
    <row r="267">
      <c r="A267" s="62" t="s">
        <v>1918</v>
      </c>
      <c r="B267" s="63" t="s">
        <v>56</v>
      </c>
      <c r="C267" s="64" t="s">
        <v>1919</v>
      </c>
      <c r="D267" s="64" t="s">
        <v>85</v>
      </c>
      <c r="E267" s="288"/>
      <c r="F267" s="288"/>
      <c r="G267" s="64">
        <v>940.0</v>
      </c>
      <c r="H267" s="64" t="s">
        <v>3512</v>
      </c>
      <c r="I267" s="64">
        <v>2024.0</v>
      </c>
      <c r="J267" s="64">
        <v>2025.0</v>
      </c>
      <c r="K267" s="287">
        <v>1.0</v>
      </c>
      <c r="L267" s="292" t="s">
        <v>3528</v>
      </c>
      <c r="M267" s="285" t="s">
        <v>4055</v>
      </c>
      <c r="N267" s="35" t="s">
        <v>4056</v>
      </c>
      <c r="O267" s="35" t="s">
        <v>4057</v>
      </c>
      <c r="P267" s="35" t="s">
        <v>113</v>
      </c>
      <c r="Q267" s="38">
        <v>2025.0</v>
      </c>
      <c r="R267" s="38" t="s">
        <v>115</v>
      </c>
      <c r="S267" s="38"/>
      <c r="T267" s="39">
        <v>24518.28</v>
      </c>
      <c r="U267" s="39">
        <v>24953.00863</v>
      </c>
      <c r="V267" s="39">
        <v>-434.72863</v>
      </c>
      <c r="W267" s="57" t="s">
        <v>1921</v>
      </c>
      <c r="X267" s="69" t="s">
        <v>66</v>
      </c>
      <c r="Y267" s="42" t="str">
        <f>IFERROR(__xludf.DUMMYFUNCTION("vLOOKUP(A267,IMPORTRANGE(""https://docs.google.com/spreadsheets/d/1Rawwwdh8wntXGy8isdYNHxsNQS4n_rC8JSdPfj6vEq4"",""'500 объектов перенос на 2026'!A3:AB502""),13,0)"),"#REF!")</f>
        <v>#REF!</v>
      </c>
      <c r="Z267" s="42" t="str">
        <f>IFERROR(__xludf.DUMMYFUNCTION("vLOOKUP(A267,IMPORTRANGE(""https://docs.google.com/spreadsheets/d/1Rawwwdh8wntXGy8isdYNHxsNQS4n_rC8JSdPfj6vEq4"",""'500 объектов перенос на 2026'!A3:AB502""),14,0)"),"#REF!")</f>
        <v>#REF!</v>
      </c>
      <c r="AA267" s="85" t="s">
        <v>175</v>
      </c>
      <c r="AB267" s="43"/>
    </row>
    <row r="268">
      <c r="A268" s="62" t="s">
        <v>1922</v>
      </c>
      <c r="B268" s="63" t="s">
        <v>56</v>
      </c>
      <c r="C268" s="64" t="s">
        <v>1923</v>
      </c>
      <c r="D268" s="64" t="s">
        <v>85</v>
      </c>
      <c r="E268" s="288"/>
      <c r="F268" s="288"/>
      <c r="G268" s="291" t="s">
        <v>4058</v>
      </c>
      <c r="H268" s="64" t="s">
        <v>3512</v>
      </c>
      <c r="I268" s="64">
        <v>2024.0</v>
      </c>
      <c r="J268" s="64">
        <v>2025.0</v>
      </c>
      <c r="K268" s="287">
        <v>1.0</v>
      </c>
      <c r="L268" s="292" t="s">
        <v>3528</v>
      </c>
      <c r="M268" s="285" t="s">
        <v>4059</v>
      </c>
      <c r="N268" s="35" t="s">
        <v>1925</v>
      </c>
      <c r="O268" s="35" t="s">
        <v>4060</v>
      </c>
      <c r="P268" s="35" t="s">
        <v>113</v>
      </c>
      <c r="Q268" s="38"/>
      <c r="R268" s="38" t="s">
        <v>115</v>
      </c>
      <c r="S268" s="38" t="s">
        <v>284</v>
      </c>
      <c r="T268" s="39" t="s">
        <v>1926</v>
      </c>
      <c r="U268" s="39">
        <v>39986.84324</v>
      </c>
      <c r="V268" s="39">
        <v>42022.80676</v>
      </c>
      <c r="W268" s="57" t="s">
        <v>1927</v>
      </c>
      <c r="X268" s="42" t="s">
        <v>284</v>
      </c>
      <c r="Y268" s="42" t="str">
        <f>IFERROR(__xludf.DUMMYFUNCTION("vLOOKUP(A268,IMPORTRANGE(""https://docs.google.com/spreadsheets/d/1Rawwwdh8wntXGy8isdYNHxsNQS4n_rC8JSdPfj6vEq4"",""'500 объектов перенос на 2026'!A3:AB502""),13,0)"),"#REF!")</f>
        <v>#REF!</v>
      </c>
      <c r="Z268" s="42" t="str">
        <f>IFERROR(__xludf.DUMMYFUNCTION("vLOOKUP(A268,IMPORTRANGE(""https://docs.google.com/spreadsheets/d/1Rawwwdh8wntXGy8isdYNHxsNQS4n_rC8JSdPfj6vEq4"",""'500 объектов перенос на 2026'!A3:AB502""),14,0)"),"#REF!")</f>
        <v>#REF!</v>
      </c>
      <c r="AA268" s="85" t="s">
        <v>175</v>
      </c>
      <c r="AB268" s="43"/>
    </row>
    <row r="269">
      <c r="A269" s="62" t="s">
        <v>1928</v>
      </c>
      <c r="B269" s="63" t="s">
        <v>56</v>
      </c>
      <c r="C269" s="64" t="s">
        <v>1929</v>
      </c>
      <c r="D269" s="64" t="s">
        <v>59</v>
      </c>
      <c r="E269" s="64">
        <v>3.0</v>
      </c>
      <c r="F269" s="288"/>
      <c r="G269" s="288"/>
      <c r="H269" s="64" t="s">
        <v>3512</v>
      </c>
      <c r="I269" s="64">
        <v>2024.0</v>
      </c>
      <c r="J269" s="64">
        <v>2025.0</v>
      </c>
      <c r="K269" s="287">
        <v>1.0</v>
      </c>
      <c r="L269" s="292" t="s">
        <v>3528</v>
      </c>
      <c r="M269" s="285" t="s">
        <v>3568</v>
      </c>
      <c r="N269" s="35" t="s">
        <v>3568</v>
      </c>
      <c r="O269" s="35" t="s">
        <v>3568</v>
      </c>
      <c r="P269" s="35" t="s">
        <v>113</v>
      </c>
      <c r="Q269" s="38"/>
      <c r="R269" s="38" t="s">
        <v>115</v>
      </c>
      <c r="S269" s="38" t="s">
        <v>284</v>
      </c>
      <c r="T269" s="39">
        <v>17896.56</v>
      </c>
      <c r="U269" s="39">
        <v>12347.32849</v>
      </c>
      <c r="V269" s="39">
        <v>5549.23151</v>
      </c>
      <c r="W269" s="57" t="s">
        <v>1932</v>
      </c>
      <c r="X269" s="42" t="s">
        <v>284</v>
      </c>
      <c r="Y269" s="42" t="str">
        <f>IFERROR(__xludf.DUMMYFUNCTION("vLOOKUP(A269,IMPORTRANGE(""https://docs.google.com/spreadsheets/d/1Rawwwdh8wntXGy8isdYNHxsNQS4n_rC8JSdPfj6vEq4"",""'500 объектов перенос на 2026'!A3:AB502""),13,0)"),"#REF!")</f>
        <v>#REF!</v>
      </c>
      <c r="Z269" s="42" t="str">
        <f>IFERROR(__xludf.DUMMYFUNCTION("vLOOKUP(A269,IMPORTRANGE(""https://docs.google.com/spreadsheets/d/1Rawwwdh8wntXGy8isdYNHxsNQS4n_rC8JSdPfj6vEq4"",""'500 объектов перенос на 2026'!A3:AB502""),14,0)"),"#REF!")</f>
        <v>#REF!</v>
      </c>
      <c r="AA269" s="85" t="s">
        <v>175</v>
      </c>
      <c r="AB269" s="43"/>
    </row>
    <row r="270">
      <c r="A270" s="62" t="s">
        <v>1933</v>
      </c>
      <c r="B270" s="63" t="s">
        <v>56</v>
      </c>
      <c r="C270" s="64" t="s">
        <v>1934</v>
      </c>
      <c r="D270" s="64" t="s">
        <v>324</v>
      </c>
      <c r="E270" s="64">
        <v>5.0</v>
      </c>
      <c r="F270" s="288"/>
      <c r="G270" s="288"/>
      <c r="H270" s="64" t="s">
        <v>3593</v>
      </c>
      <c r="I270" s="64">
        <v>2023.0</v>
      </c>
      <c r="J270" s="64">
        <v>2025.0</v>
      </c>
      <c r="K270" s="287">
        <v>1.0</v>
      </c>
      <c r="L270" s="288"/>
      <c r="M270" s="285" t="s">
        <v>4061</v>
      </c>
      <c r="N270" s="35" t="s">
        <v>4062</v>
      </c>
      <c r="O270" s="35" t="s">
        <v>4063</v>
      </c>
      <c r="P270" s="35" t="s">
        <v>49</v>
      </c>
      <c r="Q270" s="37">
        <v>46296.0</v>
      </c>
      <c r="R270" s="38" t="s">
        <v>115</v>
      </c>
      <c r="S270" s="38"/>
      <c r="T270" s="39">
        <v>57627.46</v>
      </c>
      <c r="U270" s="39">
        <v>52998.95111</v>
      </c>
      <c r="V270" s="40">
        <v>4628.50889</v>
      </c>
      <c r="W270" s="57" t="s">
        <v>1936</v>
      </c>
      <c r="X270" s="69" t="s">
        <v>66</v>
      </c>
      <c r="Y270" s="42" t="str">
        <f>IFERROR(__xludf.DUMMYFUNCTION("vLOOKUP(A270,IMPORTRANGE(""https://docs.google.com/spreadsheets/d/1Rawwwdh8wntXGy8isdYNHxsNQS4n_rC8JSdPfj6vEq4"",""'500 объектов перенос на 2026'!A3:AB502""),13,0)"),"#REF!")</f>
        <v>#REF!</v>
      </c>
      <c r="Z270" s="42" t="str">
        <f>IFERROR(__xludf.DUMMYFUNCTION("vLOOKUP(A270,IMPORTRANGE(""https://docs.google.com/spreadsheets/d/1Rawwwdh8wntXGy8isdYNHxsNQS4n_rC8JSdPfj6vEq4"",""'500 объектов перенос на 2026'!A3:AB502""),14,0)"),"#REF!")</f>
        <v>#REF!</v>
      </c>
      <c r="AA270" s="85" t="s">
        <v>4064</v>
      </c>
      <c r="AB270" s="43"/>
    </row>
    <row r="271">
      <c r="A271" s="62" t="s">
        <v>1937</v>
      </c>
      <c r="B271" s="63" t="s">
        <v>56</v>
      </c>
      <c r="C271" s="64" t="s">
        <v>1938</v>
      </c>
      <c r="D271" s="64" t="s">
        <v>85</v>
      </c>
      <c r="E271" s="288"/>
      <c r="F271" s="64">
        <v>250.0</v>
      </c>
      <c r="G271" s="64">
        <v>311.0</v>
      </c>
      <c r="H271" s="64" t="s">
        <v>3512</v>
      </c>
      <c r="I271" s="64">
        <v>2023.0</v>
      </c>
      <c r="J271" s="64">
        <v>2025.0</v>
      </c>
      <c r="K271" s="287">
        <v>1.0</v>
      </c>
      <c r="L271" s="288"/>
      <c r="M271" s="285" t="s">
        <v>4065</v>
      </c>
      <c r="N271" s="35" t="s">
        <v>4066</v>
      </c>
      <c r="O271" s="35" t="s">
        <v>4067</v>
      </c>
      <c r="P271" s="35" t="s">
        <v>1940</v>
      </c>
      <c r="Q271" s="38" t="s">
        <v>115</v>
      </c>
      <c r="R271" s="38" t="s">
        <v>115</v>
      </c>
      <c r="S271" s="38"/>
      <c r="T271" s="39">
        <v>77872.16539</v>
      </c>
      <c r="U271" s="39">
        <v>14025.84024</v>
      </c>
      <c r="V271" s="40">
        <v>63846.32515</v>
      </c>
      <c r="W271" s="57" t="s">
        <v>1941</v>
      </c>
      <c r="X271" s="69" t="s">
        <v>1906</v>
      </c>
      <c r="Y271" s="42" t="str">
        <f>IFERROR(__xludf.DUMMYFUNCTION("vLOOKUP(A271,IMPORTRANGE(""https://docs.google.com/spreadsheets/d/1Rawwwdh8wntXGy8isdYNHxsNQS4n_rC8JSdPfj6vEq4"",""'500 объектов перенос на 2026'!A3:AB502""),13,0)"),"#REF!")</f>
        <v>#REF!</v>
      </c>
      <c r="Z271" s="42" t="str">
        <f>IFERROR(__xludf.DUMMYFUNCTION("vLOOKUP(A271,IMPORTRANGE(""https://docs.google.com/spreadsheets/d/1Rawwwdh8wntXGy8isdYNHxsNQS4n_rC8JSdPfj6vEq4"",""'500 объектов перенос на 2026'!A3:AB502""),14,0)"),"#REF!")</f>
        <v>#REF!</v>
      </c>
      <c r="AA271" s="85" t="s">
        <v>4064</v>
      </c>
      <c r="AB271" s="43"/>
    </row>
    <row r="272">
      <c r="A272" s="62" t="s">
        <v>2503</v>
      </c>
      <c r="B272" s="63" t="s">
        <v>56</v>
      </c>
      <c r="C272" s="64" t="s">
        <v>2504</v>
      </c>
      <c r="D272" s="64" t="s">
        <v>39</v>
      </c>
      <c r="E272" s="64">
        <v>1.75</v>
      </c>
      <c r="F272" s="288"/>
      <c r="G272" s="288"/>
      <c r="H272" s="64" t="s">
        <v>3527</v>
      </c>
      <c r="I272" s="64">
        <v>2023.0</v>
      </c>
      <c r="J272" s="64">
        <v>2026.0</v>
      </c>
      <c r="K272" s="287">
        <v>1.0</v>
      </c>
      <c r="L272" s="288"/>
      <c r="M272" s="285" t="s">
        <v>4068</v>
      </c>
      <c r="N272" s="35" t="s">
        <v>4069</v>
      </c>
      <c r="O272" s="35" t="s">
        <v>4070</v>
      </c>
      <c r="P272" s="96" t="s">
        <v>2507</v>
      </c>
      <c r="Q272" s="290">
        <v>46325.0</v>
      </c>
      <c r="R272" s="56"/>
      <c r="S272" s="35" t="s">
        <v>4071</v>
      </c>
      <c r="T272" s="39">
        <v>81052.16</v>
      </c>
      <c r="U272" s="39">
        <v>72448.93431</v>
      </c>
      <c r="V272" s="40">
        <v>8603.22569</v>
      </c>
      <c r="W272" s="57" t="s">
        <v>2510</v>
      </c>
      <c r="X272" s="69" t="s">
        <v>1906</v>
      </c>
      <c r="Y272" s="42" t="str">
        <f>IFERROR(__xludf.DUMMYFUNCTION("vLOOKUP(A272,IMPORTRANGE(""https://docs.google.com/spreadsheets/d/1Rawwwdh8wntXGy8isdYNHxsNQS4n_rC8JSdPfj6vEq4"",""'500 объектов перенос на 2026'!A3:AB502""),13,0)"),"#REF!")</f>
        <v>#REF!</v>
      </c>
      <c r="Z272" s="42" t="str">
        <f>IFERROR(__xludf.DUMMYFUNCTION("vLOOKUP(A272,IMPORTRANGE(""https://docs.google.com/spreadsheets/d/1Rawwwdh8wntXGy8isdYNHxsNQS4n_rC8JSdPfj6vEq4"",""'500 объектов перенос на 2026'!A3:AB502""),14,0)"),"#REF!")</f>
        <v>#REF!</v>
      </c>
      <c r="AA272" s="85" t="s">
        <v>4064</v>
      </c>
      <c r="AB272" s="43"/>
    </row>
    <row r="273">
      <c r="A273" s="62" t="s">
        <v>955</v>
      </c>
      <c r="B273" s="63" t="s">
        <v>56</v>
      </c>
      <c r="C273" s="64" t="s">
        <v>956</v>
      </c>
      <c r="D273" s="64" t="s">
        <v>59</v>
      </c>
      <c r="E273" s="64">
        <v>15.0</v>
      </c>
      <c r="F273" s="288"/>
      <c r="G273" s="288"/>
      <c r="H273" s="64" t="s">
        <v>3593</v>
      </c>
      <c r="I273" s="64">
        <v>2023.0</v>
      </c>
      <c r="J273" s="64">
        <v>2026.0</v>
      </c>
      <c r="K273" s="287">
        <v>0.83</v>
      </c>
      <c r="L273" s="288"/>
      <c r="M273" s="285" t="s">
        <v>4072</v>
      </c>
      <c r="N273" s="35" t="s">
        <v>4073</v>
      </c>
      <c r="O273" s="35" t="s">
        <v>4074</v>
      </c>
      <c r="P273" s="35" t="s">
        <v>961</v>
      </c>
      <c r="Q273" s="290">
        <v>46172.0</v>
      </c>
      <c r="R273" s="56"/>
      <c r="S273" s="38" t="s">
        <v>963</v>
      </c>
      <c r="T273" s="39">
        <v>227145.18</v>
      </c>
      <c r="U273" s="39">
        <v>117569.2097</v>
      </c>
      <c r="V273" s="40">
        <v>109575.9703</v>
      </c>
      <c r="W273" s="57" t="s">
        <v>964</v>
      </c>
      <c r="X273" s="69" t="s">
        <v>66</v>
      </c>
      <c r="Y273" s="42" t="str">
        <f>IFERROR(__xludf.DUMMYFUNCTION("vLOOKUP(A273,IMPORTRANGE(""https://docs.google.com/spreadsheets/d/1Rawwwdh8wntXGy8isdYNHxsNQS4n_rC8JSdPfj6vEq4"",""'500 объектов перенос на 2026'!A3:AB502""),13,0)"),"#REF!")</f>
        <v>#REF!</v>
      </c>
      <c r="Z273" s="42" t="str">
        <f>IFERROR(__xludf.DUMMYFUNCTION("vLOOKUP(A273,IMPORTRANGE(""https://docs.google.com/spreadsheets/d/1Rawwwdh8wntXGy8isdYNHxsNQS4n_rC8JSdPfj6vEq4"",""'500 объектов перенос на 2026'!A3:AB502""),14,0)"),"#REF!")</f>
        <v>#REF!</v>
      </c>
      <c r="AA273" s="85" t="s">
        <v>4075</v>
      </c>
      <c r="AB273" s="43"/>
    </row>
    <row r="274">
      <c r="A274" s="62" t="s">
        <v>1955</v>
      </c>
      <c r="B274" s="63" t="s">
        <v>56</v>
      </c>
      <c r="C274" s="64" t="s">
        <v>1956</v>
      </c>
      <c r="D274" s="64" t="s">
        <v>85</v>
      </c>
      <c r="E274" s="288"/>
      <c r="F274" s="64">
        <v>300.0</v>
      </c>
      <c r="G274" s="64">
        <v>210.0</v>
      </c>
      <c r="H274" s="64" t="s">
        <v>3527</v>
      </c>
      <c r="I274" s="64">
        <v>2024.0</v>
      </c>
      <c r="J274" s="64">
        <v>2025.0</v>
      </c>
      <c r="K274" s="287">
        <v>1.0</v>
      </c>
      <c r="L274" s="292" t="s">
        <v>3528</v>
      </c>
      <c r="M274" s="285" t="s">
        <v>4076</v>
      </c>
      <c r="N274" s="35" t="s">
        <v>4077</v>
      </c>
      <c r="O274" s="35" t="s">
        <v>4078</v>
      </c>
      <c r="P274" s="35" t="s">
        <v>113</v>
      </c>
      <c r="Q274" s="38"/>
      <c r="R274" s="38" t="s">
        <v>115</v>
      </c>
      <c r="S274" s="38" t="s">
        <v>284</v>
      </c>
      <c r="T274" s="39">
        <v>27883.94</v>
      </c>
      <c r="U274" s="39">
        <v>24117.42576</v>
      </c>
      <c r="V274" s="39">
        <v>3766.51424</v>
      </c>
      <c r="W274" s="57" t="s">
        <v>1958</v>
      </c>
      <c r="X274" s="42" t="s">
        <v>284</v>
      </c>
      <c r="Y274" s="42" t="str">
        <f>IFERROR(__xludf.DUMMYFUNCTION("vLOOKUP(A274,IMPORTRANGE(""https://docs.google.com/spreadsheets/d/1Rawwwdh8wntXGy8isdYNHxsNQS4n_rC8JSdPfj6vEq4"",""'500 объектов перенос на 2026'!A3:AB502""),13,0)"),"#REF!")</f>
        <v>#REF!</v>
      </c>
      <c r="Z274" s="42" t="str">
        <f>IFERROR(__xludf.DUMMYFUNCTION("vLOOKUP(A274,IMPORTRANGE(""https://docs.google.com/spreadsheets/d/1Rawwwdh8wntXGy8isdYNHxsNQS4n_rC8JSdPfj6vEq4"",""'500 объектов перенос на 2026'!A3:AB502""),14,0)"),"#REF!")</f>
        <v>#REF!</v>
      </c>
      <c r="AA274" s="85" t="s">
        <v>175</v>
      </c>
      <c r="AB274" s="43"/>
    </row>
    <row r="275">
      <c r="A275" s="62" t="s">
        <v>1959</v>
      </c>
      <c r="B275" s="63" t="s">
        <v>56</v>
      </c>
      <c r="C275" s="149" t="s">
        <v>1960</v>
      </c>
      <c r="D275" s="64" t="s">
        <v>85</v>
      </c>
      <c r="E275" s="288"/>
      <c r="F275" s="288"/>
      <c r="G275" s="291" t="s">
        <v>4079</v>
      </c>
      <c r="H275" s="64" t="s">
        <v>3512</v>
      </c>
      <c r="I275" s="64">
        <v>2024.0</v>
      </c>
      <c r="J275" s="64">
        <v>2025.0</v>
      </c>
      <c r="K275" s="287">
        <v>1.0</v>
      </c>
      <c r="L275" s="292" t="s">
        <v>3528</v>
      </c>
      <c r="M275" s="285" t="s">
        <v>4080</v>
      </c>
      <c r="N275" s="35" t="s">
        <v>1961</v>
      </c>
      <c r="O275" s="35" t="s">
        <v>4081</v>
      </c>
      <c r="P275" s="35" t="s">
        <v>113</v>
      </c>
      <c r="Q275" s="38"/>
      <c r="R275" s="38" t="s">
        <v>115</v>
      </c>
      <c r="S275" s="38" t="s">
        <v>284</v>
      </c>
      <c r="T275" s="39">
        <v>75775.84</v>
      </c>
      <c r="U275" s="39">
        <v>75115.85533</v>
      </c>
      <c r="V275" s="39">
        <v>659.98467</v>
      </c>
      <c r="W275" s="57" t="s">
        <v>1962</v>
      </c>
      <c r="X275" s="42" t="s">
        <v>284</v>
      </c>
      <c r="Y275" s="42" t="str">
        <f>IFERROR(__xludf.DUMMYFUNCTION("vLOOKUP(A275,IMPORTRANGE(""https://docs.google.com/spreadsheets/d/1Rawwwdh8wntXGy8isdYNHxsNQS4n_rC8JSdPfj6vEq4"",""'500 объектов перенос на 2026'!A3:AB502""),13,0)"),"#REF!")</f>
        <v>#REF!</v>
      </c>
      <c r="Z275" s="42" t="str">
        <f>IFERROR(__xludf.DUMMYFUNCTION("vLOOKUP(A275,IMPORTRANGE(""https://docs.google.com/spreadsheets/d/1Rawwwdh8wntXGy8isdYNHxsNQS4n_rC8JSdPfj6vEq4"",""'500 объектов перенос на 2026'!A3:AB502""),14,0)"),"#REF!")</f>
        <v>#REF!</v>
      </c>
      <c r="AA275" s="85" t="s">
        <v>175</v>
      </c>
      <c r="AB275" s="43"/>
    </row>
    <row r="276">
      <c r="A276" s="62" t="s">
        <v>1963</v>
      </c>
      <c r="B276" s="63" t="s">
        <v>56</v>
      </c>
      <c r="C276" s="64" t="s">
        <v>1964</v>
      </c>
      <c r="D276" s="64" t="s">
        <v>85</v>
      </c>
      <c r="E276" s="288"/>
      <c r="F276" s="288"/>
      <c r="G276" s="64">
        <v>900.0</v>
      </c>
      <c r="H276" s="64" t="s">
        <v>3512</v>
      </c>
      <c r="I276" s="64">
        <v>2024.0</v>
      </c>
      <c r="J276" s="64">
        <v>2025.0</v>
      </c>
      <c r="K276" s="287">
        <v>1.0</v>
      </c>
      <c r="L276" s="292" t="s">
        <v>3528</v>
      </c>
      <c r="M276" s="285" t="s">
        <v>4082</v>
      </c>
      <c r="N276" s="35" t="s">
        <v>4083</v>
      </c>
      <c r="O276" s="35" t="s">
        <v>4084</v>
      </c>
      <c r="P276" s="35" t="s">
        <v>113</v>
      </c>
      <c r="Q276" s="38"/>
      <c r="R276" s="38" t="s">
        <v>115</v>
      </c>
      <c r="S276" s="38" t="s">
        <v>284</v>
      </c>
      <c r="T276" s="39">
        <v>29942.09</v>
      </c>
      <c r="U276" s="39">
        <v>49250.45294</v>
      </c>
      <c r="V276" s="39">
        <v>-19308.36294</v>
      </c>
      <c r="W276" s="57" t="s">
        <v>1966</v>
      </c>
      <c r="X276" s="42" t="s">
        <v>284</v>
      </c>
      <c r="Y276" s="42" t="str">
        <f>IFERROR(__xludf.DUMMYFUNCTION("vLOOKUP(A276,IMPORTRANGE(""https://docs.google.com/spreadsheets/d/1Rawwwdh8wntXGy8isdYNHxsNQS4n_rC8JSdPfj6vEq4"",""'500 объектов перенос на 2026'!A3:AB502""),13,0)"),"#REF!")</f>
        <v>#REF!</v>
      </c>
      <c r="Z276" s="42" t="str">
        <f>IFERROR(__xludf.DUMMYFUNCTION("vLOOKUP(A276,IMPORTRANGE(""https://docs.google.com/spreadsheets/d/1Rawwwdh8wntXGy8isdYNHxsNQS4n_rC8JSdPfj6vEq4"",""'500 объектов перенос на 2026'!A3:AB502""),14,0)"),"#REF!")</f>
        <v>#REF!</v>
      </c>
      <c r="AA276" s="85" t="s">
        <v>175</v>
      </c>
      <c r="AB276" s="43"/>
    </row>
    <row r="277">
      <c r="A277" s="62" t="s">
        <v>1967</v>
      </c>
      <c r="B277" s="63" t="s">
        <v>56</v>
      </c>
      <c r="C277" s="64" t="s">
        <v>1968</v>
      </c>
      <c r="D277" s="64" t="s">
        <v>85</v>
      </c>
      <c r="E277" s="288"/>
      <c r="F277" s="288"/>
      <c r="G277" s="291" t="s">
        <v>4085</v>
      </c>
      <c r="H277" s="64" t="s">
        <v>3593</v>
      </c>
      <c r="I277" s="64">
        <v>2025.0</v>
      </c>
      <c r="J277" s="64">
        <v>2025.0</v>
      </c>
      <c r="K277" s="287">
        <v>1.0</v>
      </c>
      <c r="L277" s="292" t="s">
        <v>3528</v>
      </c>
      <c r="M277" s="285" t="s">
        <v>4086</v>
      </c>
      <c r="N277" s="35" t="s">
        <v>4087</v>
      </c>
      <c r="O277" s="35" t="s">
        <v>4088</v>
      </c>
      <c r="P277" s="35" t="s">
        <v>113</v>
      </c>
      <c r="Q277" s="38"/>
      <c r="R277" s="38" t="s">
        <v>115</v>
      </c>
      <c r="S277" s="38" t="s">
        <v>284</v>
      </c>
      <c r="T277" s="39">
        <v>226576.44</v>
      </c>
      <c r="U277" s="39">
        <v>220853.6793</v>
      </c>
      <c r="V277" s="39">
        <v>5722.7607</v>
      </c>
      <c r="W277" s="57" t="s">
        <v>1970</v>
      </c>
      <c r="X277" s="42" t="s">
        <v>284</v>
      </c>
      <c r="Y277" s="42" t="str">
        <f>IFERROR(__xludf.DUMMYFUNCTION("vLOOKUP(A277,IMPORTRANGE(""https://docs.google.com/spreadsheets/d/1Rawwwdh8wntXGy8isdYNHxsNQS4n_rC8JSdPfj6vEq4"",""'500 объектов перенос на 2026'!A3:AB502""),13,0)"),"#REF!")</f>
        <v>#REF!</v>
      </c>
      <c r="Z277" s="42" t="str">
        <f>IFERROR(__xludf.DUMMYFUNCTION("vLOOKUP(A277,IMPORTRANGE(""https://docs.google.com/spreadsheets/d/1Rawwwdh8wntXGy8isdYNHxsNQS4n_rC8JSdPfj6vEq4"",""'500 объектов перенос на 2026'!A3:AB502""),14,0)"),"#REF!")</f>
        <v>#REF!</v>
      </c>
      <c r="AA277" s="85" t="s">
        <v>175</v>
      </c>
      <c r="AB277" s="43"/>
    </row>
    <row r="278">
      <c r="A278" s="62" t="s">
        <v>1971</v>
      </c>
      <c r="B278" s="63" t="s">
        <v>56</v>
      </c>
      <c r="C278" s="64" t="s">
        <v>1972</v>
      </c>
      <c r="D278" s="64" t="s">
        <v>39</v>
      </c>
      <c r="E278" s="64">
        <v>1.5</v>
      </c>
      <c r="F278" s="288"/>
      <c r="G278" s="288"/>
      <c r="H278" s="64" t="s">
        <v>3527</v>
      </c>
      <c r="I278" s="64">
        <v>2024.0</v>
      </c>
      <c r="J278" s="64">
        <v>2025.0</v>
      </c>
      <c r="K278" s="287">
        <v>1.0</v>
      </c>
      <c r="L278" s="292" t="s">
        <v>3528</v>
      </c>
      <c r="M278" s="285" t="s">
        <v>4089</v>
      </c>
      <c r="N278" s="35" t="s">
        <v>4090</v>
      </c>
      <c r="O278" s="35" t="s">
        <v>4091</v>
      </c>
      <c r="P278" s="35" t="s">
        <v>113</v>
      </c>
      <c r="Q278" s="38">
        <v>2025.0</v>
      </c>
      <c r="R278" s="38" t="s">
        <v>115</v>
      </c>
      <c r="S278" s="38"/>
      <c r="T278" s="39">
        <v>56051.65</v>
      </c>
      <c r="U278" s="39">
        <v>54405.25609</v>
      </c>
      <c r="V278" s="39">
        <v>1646.39391</v>
      </c>
      <c r="W278" s="57" t="s">
        <v>1974</v>
      </c>
      <c r="X278" s="69" t="s">
        <v>66</v>
      </c>
      <c r="Y278" s="42" t="str">
        <f>IFERROR(__xludf.DUMMYFUNCTION("vLOOKUP(A278,IMPORTRANGE(""https://docs.google.com/spreadsheets/d/1Rawwwdh8wntXGy8isdYNHxsNQS4n_rC8JSdPfj6vEq4"",""'500 объектов перенос на 2026'!A3:AB502""),13,0)"),"#REF!")</f>
        <v>#REF!</v>
      </c>
      <c r="Z278" s="42" t="str">
        <f>IFERROR(__xludf.DUMMYFUNCTION("vLOOKUP(A278,IMPORTRANGE(""https://docs.google.com/spreadsheets/d/1Rawwwdh8wntXGy8isdYNHxsNQS4n_rC8JSdPfj6vEq4"",""'500 объектов перенос на 2026'!A3:AB502""),14,0)"),"#REF!")</f>
        <v>#REF!</v>
      </c>
      <c r="AA278" s="85" t="s">
        <v>4064</v>
      </c>
      <c r="AB278" s="43"/>
    </row>
    <row r="279">
      <c r="A279" s="62" t="s">
        <v>1975</v>
      </c>
      <c r="B279" s="63" t="s">
        <v>56</v>
      </c>
      <c r="C279" s="64" t="s">
        <v>1976</v>
      </c>
      <c r="D279" s="64" t="s">
        <v>85</v>
      </c>
      <c r="E279" s="288"/>
      <c r="F279" s="288"/>
      <c r="G279" s="64">
        <v>220.0</v>
      </c>
      <c r="H279" s="64" t="s">
        <v>3512</v>
      </c>
      <c r="I279" s="64">
        <v>2024.0</v>
      </c>
      <c r="J279" s="64">
        <v>2025.0</v>
      </c>
      <c r="K279" s="287">
        <v>1.0</v>
      </c>
      <c r="L279" s="292" t="s">
        <v>3528</v>
      </c>
      <c r="M279" s="285" t="s">
        <v>4092</v>
      </c>
      <c r="N279" s="35" t="s">
        <v>4093</v>
      </c>
      <c r="O279" s="35" t="s">
        <v>4094</v>
      </c>
      <c r="P279" s="35" t="s">
        <v>113</v>
      </c>
      <c r="Q279" s="38"/>
      <c r="R279" s="38" t="s">
        <v>115</v>
      </c>
      <c r="S279" s="38" t="s">
        <v>284</v>
      </c>
      <c r="T279" s="39">
        <v>10056.4</v>
      </c>
      <c r="U279" s="39">
        <v>8974.67727</v>
      </c>
      <c r="V279" s="39">
        <v>1081.72273</v>
      </c>
      <c r="W279" s="57" t="s">
        <v>1979</v>
      </c>
      <c r="X279" s="42" t="s">
        <v>284</v>
      </c>
      <c r="Y279" s="42" t="str">
        <f>IFERROR(__xludf.DUMMYFUNCTION("vLOOKUP(A279,IMPORTRANGE(""https://docs.google.com/spreadsheets/d/1Rawwwdh8wntXGy8isdYNHxsNQS4n_rC8JSdPfj6vEq4"",""'500 объектов перенос на 2026'!A3:AB502""),13,0)"),"#REF!")</f>
        <v>#REF!</v>
      </c>
      <c r="Z279" s="42" t="str">
        <f>IFERROR(__xludf.DUMMYFUNCTION("vLOOKUP(A279,IMPORTRANGE(""https://docs.google.com/spreadsheets/d/1Rawwwdh8wntXGy8isdYNHxsNQS4n_rC8JSdPfj6vEq4"",""'500 объектов перенос на 2026'!A3:AB502""),14,0)"),"#REF!")</f>
        <v>#REF!</v>
      </c>
      <c r="AA279" s="85" t="s">
        <v>175</v>
      </c>
      <c r="AB279" s="43"/>
    </row>
    <row r="280">
      <c r="A280" s="62" t="s">
        <v>1980</v>
      </c>
      <c r="B280" s="63" t="s">
        <v>56</v>
      </c>
      <c r="C280" s="64" t="s">
        <v>1981</v>
      </c>
      <c r="D280" s="64" t="s">
        <v>85</v>
      </c>
      <c r="E280" s="288"/>
      <c r="F280" s="288"/>
      <c r="G280" s="64">
        <v>410.0</v>
      </c>
      <c r="H280" s="64" t="s">
        <v>3512</v>
      </c>
      <c r="I280" s="64">
        <v>2024.0</v>
      </c>
      <c r="J280" s="64">
        <v>2025.0</v>
      </c>
      <c r="K280" s="287">
        <v>1.0</v>
      </c>
      <c r="L280" s="292" t="s">
        <v>3528</v>
      </c>
      <c r="M280" s="285" t="s">
        <v>4095</v>
      </c>
      <c r="N280" s="35" t="s">
        <v>4096</v>
      </c>
      <c r="O280" s="35" t="s">
        <v>4097</v>
      </c>
      <c r="P280" s="35" t="s">
        <v>113</v>
      </c>
      <c r="Q280" s="38"/>
      <c r="R280" s="38" t="s">
        <v>115</v>
      </c>
      <c r="S280" s="38" t="s">
        <v>284</v>
      </c>
      <c r="T280" s="39">
        <v>22318.94</v>
      </c>
      <c r="U280" s="39">
        <v>17182.01936</v>
      </c>
      <c r="V280" s="39">
        <v>5136.92064</v>
      </c>
      <c r="W280" s="57" t="s">
        <v>1983</v>
      </c>
      <c r="X280" s="42" t="s">
        <v>284</v>
      </c>
      <c r="Y280" s="42" t="str">
        <f>IFERROR(__xludf.DUMMYFUNCTION("vLOOKUP(A280,IMPORTRANGE(""https://docs.google.com/spreadsheets/d/1Rawwwdh8wntXGy8isdYNHxsNQS4n_rC8JSdPfj6vEq4"",""'500 объектов перенос на 2026'!A3:AB502""),13,0)"),"#REF!")</f>
        <v>#REF!</v>
      </c>
      <c r="Z280" s="42" t="str">
        <f>IFERROR(__xludf.DUMMYFUNCTION("vLOOKUP(A280,IMPORTRANGE(""https://docs.google.com/spreadsheets/d/1Rawwwdh8wntXGy8isdYNHxsNQS4n_rC8JSdPfj6vEq4"",""'500 объектов перенос на 2026'!A3:AB502""),14,0)"),"#REF!")</f>
        <v>#REF!</v>
      </c>
      <c r="AA280" s="85" t="s">
        <v>175</v>
      </c>
      <c r="AB280" s="43"/>
    </row>
    <row r="281">
      <c r="A281" s="62" t="s">
        <v>1984</v>
      </c>
      <c r="B281" s="63" t="s">
        <v>56</v>
      </c>
      <c r="C281" s="64" t="s">
        <v>1985</v>
      </c>
      <c r="D281" s="64" t="s">
        <v>85</v>
      </c>
      <c r="E281" s="288"/>
      <c r="F281" s="288"/>
      <c r="G281" s="64">
        <v>160.0</v>
      </c>
      <c r="H281" s="64" t="s">
        <v>3512</v>
      </c>
      <c r="I281" s="64">
        <v>2024.0</v>
      </c>
      <c r="J281" s="64">
        <v>2025.0</v>
      </c>
      <c r="K281" s="287">
        <v>1.0</v>
      </c>
      <c r="L281" s="292" t="s">
        <v>3528</v>
      </c>
      <c r="M281" s="285" t="s">
        <v>4098</v>
      </c>
      <c r="N281" s="35" t="s">
        <v>1986</v>
      </c>
      <c r="O281" s="35" t="s">
        <v>4099</v>
      </c>
      <c r="P281" s="35" t="s">
        <v>113</v>
      </c>
      <c r="Q281" s="38"/>
      <c r="R281" s="38" t="s">
        <v>115</v>
      </c>
      <c r="S281" s="38" t="s">
        <v>284</v>
      </c>
      <c r="T281" s="39">
        <v>5281.3</v>
      </c>
      <c r="U281" s="39">
        <v>6081.44008</v>
      </c>
      <c r="V281" s="39">
        <v>-800.14008</v>
      </c>
      <c r="W281" s="57" t="s">
        <v>1987</v>
      </c>
      <c r="X281" s="42" t="s">
        <v>284</v>
      </c>
      <c r="Y281" s="42" t="str">
        <f>IFERROR(__xludf.DUMMYFUNCTION("vLOOKUP(A281,IMPORTRANGE(""https://docs.google.com/spreadsheets/d/1Rawwwdh8wntXGy8isdYNHxsNQS4n_rC8JSdPfj6vEq4"",""'500 объектов перенос на 2026'!A3:AB502""),13,0)"),"#REF!")</f>
        <v>#REF!</v>
      </c>
      <c r="Z281" s="42" t="str">
        <f>IFERROR(__xludf.DUMMYFUNCTION("vLOOKUP(A281,IMPORTRANGE(""https://docs.google.com/spreadsheets/d/1Rawwwdh8wntXGy8isdYNHxsNQS4n_rC8JSdPfj6vEq4"",""'500 объектов перенос на 2026'!A3:AB502""),14,0)"),"#REF!")</f>
        <v>#REF!</v>
      </c>
      <c r="AA281" s="85" t="s">
        <v>175</v>
      </c>
      <c r="AB281" s="43"/>
    </row>
    <row r="282">
      <c r="A282" s="62" t="s">
        <v>1073</v>
      </c>
      <c r="B282" s="63" t="s">
        <v>56</v>
      </c>
      <c r="C282" s="64" t="s">
        <v>1074</v>
      </c>
      <c r="D282" s="64" t="s">
        <v>39</v>
      </c>
      <c r="E282" s="64">
        <v>5.0</v>
      </c>
      <c r="F282" s="288"/>
      <c r="G282" s="288"/>
      <c r="H282" s="64" t="s">
        <v>3527</v>
      </c>
      <c r="I282" s="64">
        <v>2024.0</v>
      </c>
      <c r="J282" s="64">
        <v>2026.0</v>
      </c>
      <c r="K282" s="287">
        <v>0.68</v>
      </c>
      <c r="L282" s="288"/>
      <c r="M282" s="285" t="s">
        <v>4100</v>
      </c>
      <c r="N282" s="35">
        <v>0.0</v>
      </c>
      <c r="O282" s="35" t="s">
        <v>4100</v>
      </c>
      <c r="P282" s="35" t="s">
        <v>3902</v>
      </c>
      <c r="Q282" s="290">
        <v>46356.0</v>
      </c>
      <c r="R282" s="56"/>
      <c r="S282" s="38"/>
      <c r="T282" s="39">
        <v>71525.6</v>
      </c>
      <c r="U282" s="39">
        <v>21457.68141</v>
      </c>
      <c r="V282" s="40">
        <v>50067.91859</v>
      </c>
      <c r="W282" s="57" t="s">
        <v>1078</v>
      </c>
      <c r="X282" s="42" t="s">
        <v>49</v>
      </c>
      <c r="Y282" s="42" t="str">
        <f>IFERROR(__xludf.DUMMYFUNCTION("vLOOKUP(A282,IMPORTRANGE(""https://docs.google.com/spreadsheets/d/1Rawwwdh8wntXGy8isdYNHxsNQS4n_rC8JSdPfj6vEq4"",""'500 объектов перенос на 2026'!A3:AB502""),13,0)"),"#REF!")</f>
        <v>#REF!</v>
      </c>
      <c r="Z282" s="42" t="str">
        <f>IFERROR(__xludf.DUMMYFUNCTION("vLOOKUP(A282,IMPORTRANGE(""https://docs.google.com/spreadsheets/d/1Rawwwdh8wntXGy8isdYNHxsNQS4n_rC8JSdPfj6vEq4"",""'500 объектов перенос на 2026'!A3:AB502""),14,0)"),"#REF!")</f>
        <v>#REF!</v>
      </c>
      <c r="AA282" s="85" t="s">
        <v>4101</v>
      </c>
      <c r="AB282" s="43"/>
    </row>
    <row r="283">
      <c r="A283" s="62" t="s">
        <v>2415</v>
      </c>
      <c r="B283" s="63" t="s">
        <v>56</v>
      </c>
      <c r="C283" s="64" t="s">
        <v>2416</v>
      </c>
      <c r="D283" s="64" t="s">
        <v>85</v>
      </c>
      <c r="E283" s="288"/>
      <c r="F283" s="64" t="s">
        <v>3550</v>
      </c>
      <c r="G283" s="64">
        <v>611.0</v>
      </c>
      <c r="H283" s="64" t="s">
        <v>3593</v>
      </c>
      <c r="I283" s="64">
        <v>2025.0</v>
      </c>
      <c r="J283" s="64">
        <v>2026.0</v>
      </c>
      <c r="K283" s="287">
        <v>0.78</v>
      </c>
      <c r="L283" s="288"/>
      <c r="M283" s="285" t="s">
        <v>2417</v>
      </c>
      <c r="N283" s="35">
        <v>0.0</v>
      </c>
      <c r="O283" s="35" t="s">
        <v>2417</v>
      </c>
      <c r="P283" s="35" t="s">
        <v>2420</v>
      </c>
      <c r="Q283" s="290">
        <v>46233.0</v>
      </c>
      <c r="R283" s="56"/>
      <c r="S283" s="38"/>
      <c r="T283" s="39">
        <v>40972.93</v>
      </c>
      <c r="U283" s="39">
        <v>25749.39144</v>
      </c>
      <c r="V283" s="40">
        <v>15223.53856</v>
      </c>
      <c r="W283" s="57" t="s">
        <v>2422</v>
      </c>
      <c r="X283" s="69" t="s">
        <v>66</v>
      </c>
      <c r="Y283" s="42" t="str">
        <f>IFERROR(__xludf.DUMMYFUNCTION("vLOOKUP(A283,IMPORTRANGE(""https://docs.google.com/spreadsheets/d/1Rawwwdh8wntXGy8isdYNHxsNQS4n_rC8JSdPfj6vEq4"",""'500 объектов перенос на 2026'!A3:AB502""),13,0)"),"#REF!")</f>
        <v>#REF!</v>
      </c>
      <c r="Z283" s="42" t="str">
        <f>IFERROR(__xludf.DUMMYFUNCTION("vLOOKUP(A283,IMPORTRANGE(""https://docs.google.com/spreadsheets/d/1Rawwwdh8wntXGy8isdYNHxsNQS4n_rC8JSdPfj6vEq4"",""'500 объектов перенос на 2026'!A3:AB502""),14,0)"),"#REF!")</f>
        <v>#REF!</v>
      </c>
      <c r="AA283" s="85" t="s">
        <v>4064</v>
      </c>
      <c r="AB283" s="43"/>
    </row>
    <row r="284">
      <c r="A284" s="62" t="s">
        <v>905</v>
      </c>
      <c r="B284" s="63" t="s">
        <v>56</v>
      </c>
      <c r="C284" s="64" t="s">
        <v>906</v>
      </c>
      <c r="D284" s="64" t="s">
        <v>85</v>
      </c>
      <c r="E284" s="288"/>
      <c r="F284" s="64" t="s">
        <v>3795</v>
      </c>
      <c r="G284" s="291" t="s">
        <v>4102</v>
      </c>
      <c r="H284" s="64" t="s">
        <v>3593</v>
      </c>
      <c r="I284" s="64">
        <v>2025.0</v>
      </c>
      <c r="J284" s="106">
        <v>2026.0</v>
      </c>
      <c r="K284" s="287">
        <v>0.76</v>
      </c>
      <c r="L284" s="288"/>
      <c r="M284" s="285" t="s">
        <v>908</v>
      </c>
      <c r="N284" s="35">
        <v>0.0</v>
      </c>
      <c r="O284" s="35" t="s">
        <v>908</v>
      </c>
      <c r="P284" s="35" t="s">
        <v>49</v>
      </c>
      <c r="Q284" s="290">
        <v>46295.0</v>
      </c>
      <c r="R284" s="56"/>
      <c r="S284" s="38"/>
      <c r="T284" s="39">
        <v>87446.03</v>
      </c>
      <c r="U284" s="39">
        <v>26233.80816</v>
      </c>
      <c r="V284" s="40">
        <v>61212.22184</v>
      </c>
      <c r="W284" s="57" t="s">
        <v>912</v>
      </c>
      <c r="X284" s="69" t="s">
        <v>66</v>
      </c>
      <c r="Y284" s="42" t="str">
        <f>IFERROR(__xludf.DUMMYFUNCTION("vLOOKUP(A284,IMPORTRANGE(""https://docs.google.com/spreadsheets/d/1Rawwwdh8wntXGy8isdYNHxsNQS4n_rC8JSdPfj6vEq4"",""'500 объектов перенос на 2026'!A3:AB502""),13,0)"),"#REF!")</f>
        <v>#REF!</v>
      </c>
      <c r="Z284" s="42" t="str">
        <f>IFERROR(__xludf.DUMMYFUNCTION("vLOOKUP(A284,IMPORTRANGE(""https://docs.google.com/spreadsheets/d/1Rawwwdh8wntXGy8isdYNHxsNQS4n_rC8JSdPfj6vEq4"",""'500 объектов перенос на 2026'!A3:AB502""),14,0)"),"#REF!")</f>
        <v>#REF!</v>
      </c>
      <c r="AA284" s="85" t="s">
        <v>4103</v>
      </c>
      <c r="AB284" s="43"/>
    </row>
    <row r="285">
      <c r="A285" s="62" t="s">
        <v>1705</v>
      </c>
      <c r="B285" s="63" t="s">
        <v>56</v>
      </c>
      <c r="C285" s="64" t="s">
        <v>1706</v>
      </c>
      <c r="D285" s="64" t="s">
        <v>85</v>
      </c>
      <c r="E285" s="288"/>
      <c r="F285" s="64" t="s">
        <v>4104</v>
      </c>
      <c r="G285" s="291" t="s">
        <v>4105</v>
      </c>
      <c r="H285" s="64" t="s">
        <v>3593</v>
      </c>
      <c r="I285" s="64">
        <v>2025.0</v>
      </c>
      <c r="J285" s="64">
        <v>2026.0</v>
      </c>
      <c r="K285" s="287">
        <v>0.86</v>
      </c>
      <c r="L285" s="288"/>
      <c r="M285" s="285" t="s">
        <v>4106</v>
      </c>
      <c r="N285" s="35" t="s">
        <v>4107</v>
      </c>
      <c r="O285" s="35" t="s">
        <v>4108</v>
      </c>
      <c r="P285" s="35" t="s">
        <v>4109</v>
      </c>
      <c r="Q285" s="37">
        <v>46127.0</v>
      </c>
      <c r="R285" s="56"/>
      <c r="S285" s="38"/>
      <c r="T285" s="39">
        <v>296813.77</v>
      </c>
      <c r="U285" s="39">
        <v>274627.7518</v>
      </c>
      <c r="V285" s="40">
        <v>22186.01819</v>
      </c>
      <c r="W285" s="99" t="s">
        <v>1712</v>
      </c>
      <c r="X285" s="69" t="s">
        <v>66</v>
      </c>
      <c r="Y285" s="42" t="str">
        <f>IFERROR(__xludf.DUMMYFUNCTION("vLOOKUP(A285,IMPORTRANGE(""https://docs.google.com/spreadsheets/d/1Rawwwdh8wntXGy8isdYNHxsNQS4n_rC8JSdPfj6vEq4"",""'500 объектов перенос на 2026'!A3:AB502""),13,0)"),"#REF!")</f>
        <v>#REF!</v>
      </c>
      <c r="Z285" s="42" t="str">
        <f>IFERROR(__xludf.DUMMYFUNCTION("vLOOKUP(A285,IMPORTRANGE(""https://docs.google.com/spreadsheets/d/1Rawwwdh8wntXGy8isdYNHxsNQS4n_rC8JSdPfj6vEq4"",""'500 объектов перенос на 2026'!A3:AB502""),14,0)"),"#REF!")</f>
        <v>#REF!</v>
      </c>
      <c r="AA285" s="85" t="s">
        <v>3830</v>
      </c>
      <c r="AB285" s="43"/>
    </row>
    <row r="286">
      <c r="A286" s="62" t="s">
        <v>309</v>
      </c>
      <c r="B286" s="63" t="s">
        <v>56</v>
      </c>
      <c r="C286" s="64" t="s">
        <v>310</v>
      </c>
      <c r="D286" s="64" t="s">
        <v>85</v>
      </c>
      <c r="E286" s="288"/>
      <c r="F286" s="64" t="s">
        <v>3550</v>
      </c>
      <c r="G286" s="291" t="s">
        <v>4110</v>
      </c>
      <c r="H286" s="64" t="s">
        <v>3593</v>
      </c>
      <c r="I286" s="64">
        <v>2025.0</v>
      </c>
      <c r="J286" s="106">
        <v>2026.0</v>
      </c>
      <c r="K286" s="287">
        <v>0.54</v>
      </c>
      <c r="L286" s="288"/>
      <c r="M286" s="285" t="s">
        <v>313</v>
      </c>
      <c r="N286" s="35">
        <v>0.0</v>
      </c>
      <c r="O286" s="35" t="s">
        <v>313</v>
      </c>
      <c r="P286" s="35" t="s">
        <v>49</v>
      </c>
      <c r="Q286" s="83">
        <v>46356.0</v>
      </c>
      <c r="R286" s="56"/>
      <c r="S286" s="38"/>
      <c r="T286" s="39">
        <v>226238.88</v>
      </c>
      <c r="U286" s="39">
        <v>67871.66661</v>
      </c>
      <c r="V286" s="40">
        <v>158367.2134</v>
      </c>
      <c r="W286" s="57" t="s">
        <v>317</v>
      </c>
      <c r="X286" s="69" t="s">
        <v>66</v>
      </c>
      <c r="Y286" s="42" t="str">
        <f>IFERROR(__xludf.DUMMYFUNCTION("vLOOKUP(A286,IMPORTRANGE(""https://docs.google.com/spreadsheets/d/1Rawwwdh8wntXGy8isdYNHxsNQS4n_rC8JSdPfj6vEq4"",""'500 объектов перенос на 2026'!A3:AB502""),13,0)"),"#REF!")</f>
        <v>#REF!</v>
      </c>
      <c r="Z286" s="42" t="str">
        <f>IFERROR(__xludf.DUMMYFUNCTION("vLOOKUP(A286,IMPORTRANGE(""https://docs.google.com/spreadsheets/d/1Rawwwdh8wntXGy8isdYNHxsNQS4n_rC8JSdPfj6vEq4"",""'500 объектов перенос на 2026'!A3:AB502""),14,0)"),"#REF!")</f>
        <v>#REF!</v>
      </c>
      <c r="AA286" s="85" t="s">
        <v>4111</v>
      </c>
      <c r="AB286" s="43"/>
    </row>
    <row r="287">
      <c r="A287" s="62" t="s">
        <v>1164</v>
      </c>
      <c r="B287" s="63" t="s">
        <v>56</v>
      </c>
      <c r="C287" s="149" t="s">
        <v>1165</v>
      </c>
      <c r="D287" s="64" t="s">
        <v>85</v>
      </c>
      <c r="E287" s="288"/>
      <c r="F287" s="64" t="s">
        <v>3550</v>
      </c>
      <c r="G287" s="291" t="s">
        <v>4112</v>
      </c>
      <c r="H287" s="64" t="s">
        <v>3593</v>
      </c>
      <c r="I287" s="64">
        <v>2024.0</v>
      </c>
      <c r="J287" s="106">
        <v>2026.0</v>
      </c>
      <c r="K287" s="287">
        <v>0.63</v>
      </c>
      <c r="L287" s="288"/>
      <c r="M287" s="285" t="s">
        <v>4113</v>
      </c>
      <c r="N287" s="35">
        <v>0.0</v>
      </c>
      <c r="O287" s="35" t="s">
        <v>4113</v>
      </c>
      <c r="P287" s="35" t="s">
        <v>1169</v>
      </c>
      <c r="Q287" s="37">
        <v>46142.0</v>
      </c>
      <c r="R287" s="56"/>
      <c r="S287" s="38"/>
      <c r="T287" s="39">
        <v>99210.26</v>
      </c>
      <c r="U287" s="39">
        <v>29763.07824</v>
      </c>
      <c r="V287" s="40">
        <v>69447.18176</v>
      </c>
      <c r="W287" s="99" t="s">
        <v>1171</v>
      </c>
      <c r="X287" s="69" t="s">
        <v>66</v>
      </c>
      <c r="Y287" s="42" t="str">
        <f>IFERROR(__xludf.DUMMYFUNCTION("vLOOKUP(A287,IMPORTRANGE(""https://docs.google.com/spreadsheets/d/1Rawwwdh8wntXGy8isdYNHxsNQS4n_rC8JSdPfj6vEq4"",""'500 объектов перенос на 2026'!A3:AB502""),13,0)"),"#REF!")</f>
        <v>#REF!</v>
      </c>
      <c r="Z287" s="42" t="str">
        <f>IFERROR(__xludf.DUMMYFUNCTION("vLOOKUP(A287,IMPORTRANGE(""https://docs.google.com/spreadsheets/d/1Rawwwdh8wntXGy8isdYNHxsNQS4n_rC8JSdPfj6vEq4"",""'500 объектов перенос на 2026'!A3:AB502""),14,0)"),"#REF!")</f>
        <v>#REF!</v>
      </c>
      <c r="AA287" s="85" t="s">
        <v>4114</v>
      </c>
      <c r="AB287" s="43"/>
    </row>
    <row r="288">
      <c r="A288" s="62" t="s">
        <v>55</v>
      </c>
      <c r="B288" s="63" t="s">
        <v>56</v>
      </c>
      <c r="C288" s="64" t="s">
        <v>57</v>
      </c>
      <c r="D288" s="64" t="s">
        <v>59</v>
      </c>
      <c r="E288" s="64">
        <v>39.89</v>
      </c>
      <c r="F288" s="288"/>
      <c r="G288" s="288"/>
      <c r="H288" s="64" t="s">
        <v>3593</v>
      </c>
      <c r="I288" s="64">
        <v>2024.0</v>
      </c>
      <c r="J288" s="64">
        <v>2026.0</v>
      </c>
      <c r="K288" s="287">
        <v>0.82</v>
      </c>
      <c r="L288" s="288"/>
      <c r="M288" s="289" t="s">
        <v>3299</v>
      </c>
      <c r="N288" s="35">
        <v>0.0</v>
      </c>
      <c r="O288" s="35" t="s">
        <v>3520</v>
      </c>
      <c r="P288" s="35" t="s">
        <v>4115</v>
      </c>
      <c r="Q288" s="290">
        <v>46249.0</v>
      </c>
      <c r="R288" s="56"/>
      <c r="S288" s="38"/>
      <c r="T288" s="39">
        <v>142169.5</v>
      </c>
      <c r="U288" s="39">
        <v>71084.755</v>
      </c>
      <c r="V288" s="40">
        <v>71084.745</v>
      </c>
      <c r="W288" s="57" t="s">
        <v>65</v>
      </c>
      <c r="X288" s="69" t="s">
        <v>66</v>
      </c>
      <c r="Y288" s="42" t="str">
        <f>IFERROR(__xludf.DUMMYFUNCTION("vLOOKUP(A288,IMPORTRANGE(""https://docs.google.com/spreadsheets/d/1Rawwwdh8wntXGy8isdYNHxsNQS4n_rC8JSdPfj6vEq4"",""'500 объектов перенос на 2026'!A3:AB502""),13,0)"),"#REF!")</f>
        <v>#REF!</v>
      </c>
      <c r="Z288" s="42" t="str">
        <f>IFERROR(__xludf.DUMMYFUNCTION("vLOOKUP(A288,IMPORTRANGE(""https://docs.google.com/spreadsheets/d/1Rawwwdh8wntXGy8isdYNHxsNQS4n_rC8JSdPfj6vEq4"",""'500 объектов перенос на 2026'!A3:AB502""),14,0)"),"#REF!")</f>
        <v>#REF!</v>
      </c>
      <c r="AA288" s="85" t="s">
        <v>3839</v>
      </c>
      <c r="AB288" s="43"/>
    </row>
    <row r="289">
      <c r="A289" s="62" t="s">
        <v>2290</v>
      </c>
      <c r="B289" s="63" t="s">
        <v>56</v>
      </c>
      <c r="C289" s="64" t="s">
        <v>2291</v>
      </c>
      <c r="D289" s="64" t="s">
        <v>85</v>
      </c>
      <c r="E289" s="288"/>
      <c r="F289" s="64" t="s">
        <v>3550</v>
      </c>
      <c r="G289" s="291" t="s">
        <v>4116</v>
      </c>
      <c r="H289" s="64" t="s">
        <v>3593</v>
      </c>
      <c r="I289" s="64">
        <v>2024.0</v>
      </c>
      <c r="J289" s="106">
        <v>2026.0</v>
      </c>
      <c r="K289" s="287">
        <v>0.74</v>
      </c>
      <c r="L289" s="288"/>
      <c r="M289" s="285" t="s">
        <v>4117</v>
      </c>
      <c r="N289" s="35">
        <v>0.0</v>
      </c>
      <c r="O289" s="35" t="s">
        <v>4117</v>
      </c>
      <c r="P289" s="35" t="s">
        <v>2295</v>
      </c>
      <c r="Q289" s="37">
        <v>46142.0</v>
      </c>
      <c r="R289" s="56"/>
      <c r="S289" s="38"/>
      <c r="T289" s="39">
        <v>112996.87</v>
      </c>
      <c r="U289" s="39">
        <v>101430.3224</v>
      </c>
      <c r="V289" s="40">
        <v>11566.54756</v>
      </c>
      <c r="W289" s="99" t="s">
        <v>2297</v>
      </c>
      <c r="X289" s="69" t="s">
        <v>66</v>
      </c>
      <c r="Y289" s="42" t="str">
        <f>IFERROR(__xludf.DUMMYFUNCTION("vLOOKUP(A289,IMPORTRANGE(""https://docs.google.com/spreadsheets/d/1Rawwwdh8wntXGy8isdYNHxsNQS4n_rC8JSdPfj6vEq4"",""'500 объектов перенос на 2026'!A3:AB502""),13,0)"),"#REF!")</f>
        <v>#REF!</v>
      </c>
      <c r="Z289" s="42" t="str">
        <f>IFERROR(__xludf.DUMMYFUNCTION("vLOOKUP(A289,IMPORTRANGE(""https://docs.google.com/spreadsheets/d/1Rawwwdh8wntXGy8isdYNHxsNQS4n_rC8JSdPfj6vEq4"",""'500 объектов перенос на 2026'!A3:AB502""),14,0)"),"#REF!")</f>
        <v>#REF!</v>
      </c>
      <c r="AA289" s="85" t="s">
        <v>3830</v>
      </c>
      <c r="AB289" s="43"/>
    </row>
    <row r="290">
      <c r="A290" s="62" t="s">
        <v>1022</v>
      </c>
      <c r="B290" s="63" t="s">
        <v>56</v>
      </c>
      <c r="C290" s="64" t="s">
        <v>1023</v>
      </c>
      <c r="D290" s="64" t="s">
        <v>85</v>
      </c>
      <c r="E290" s="288"/>
      <c r="F290" s="64" t="s">
        <v>3795</v>
      </c>
      <c r="G290" s="64">
        <v>343.5</v>
      </c>
      <c r="H290" s="64" t="s">
        <v>3593</v>
      </c>
      <c r="I290" s="64">
        <v>2025.0</v>
      </c>
      <c r="J290" s="64">
        <v>2026.0</v>
      </c>
      <c r="K290" s="287">
        <v>0.97</v>
      </c>
      <c r="L290" s="288"/>
      <c r="M290" s="285" t="s">
        <v>4118</v>
      </c>
      <c r="N290" s="35">
        <v>0.0</v>
      </c>
      <c r="O290" s="35" t="s">
        <v>4118</v>
      </c>
      <c r="P290" s="35" t="s">
        <v>4119</v>
      </c>
      <c r="Q290" s="290">
        <v>46233.0</v>
      </c>
      <c r="R290" s="56"/>
      <c r="S290" s="38"/>
      <c r="T290" s="39">
        <v>24825.48</v>
      </c>
      <c r="U290" s="39">
        <v>7447.641</v>
      </c>
      <c r="V290" s="40">
        <v>17377.839</v>
      </c>
      <c r="W290" s="57" t="s">
        <v>1028</v>
      </c>
      <c r="X290" s="69" t="s">
        <v>66</v>
      </c>
      <c r="Y290" s="42" t="str">
        <f>IFERROR(__xludf.DUMMYFUNCTION("vLOOKUP(A290,IMPORTRANGE(""https://docs.google.com/spreadsheets/d/1Rawwwdh8wntXGy8isdYNHxsNQS4n_rC8JSdPfj6vEq4"",""'500 объектов перенос на 2026'!A3:AB502""),13,0)"),"#REF!")</f>
        <v>#REF!</v>
      </c>
      <c r="Z290" s="42" t="str">
        <f>IFERROR(__xludf.DUMMYFUNCTION("vLOOKUP(A290,IMPORTRANGE(""https://docs.google.com/spreadsheets/d/1Rawwwdh8wntXGy8isdYNHxsNQS4n_rC8JSdPfj6vEq4"",""'500 объектов перенос на 2026'!A3:AB502""),14,0)"),"#REF!")</f>
        <v>#REF!</v>
      </c>
      <c r="AA290" s="85" t="s">
        <v>3839</v>
      </c>
      <c r="AB290" s="43"/>
    </row>
    <row r="291">
      <c r="A291" s="62" t="s">
        <v>1318</v>
      </c>
      <c r="B291" s="63" t="s">
        <v>56</v>
      </c>
      <c r="C291" s="64" t="s">
        <v>1319</v>
      </c>
      <c r="D291" s="64" t="s">
        <v>324</v>
      </c>
      <c r="E291" s="64">
        <v>5.0</v>
      </c>
      <c r="F291" s="288"/>
      <c r="G291" s="288"/>
      <c r="H291" s="64" t="s">
        <v>3593</v>
      </c>
      <c r="I291" s="64">
        <v>2025.0</v>
      </c>
      <c r="J291" s="64">
        <v>2026.0</v>
      </c>
      <c r="K291" s="287">
        <v>0.75</v>
      </c>
      <c r="L291" s="288"/>
      <c r="M291" s="285" t="s">
        <v>3568</v>
      </c>
      <c r="N291" s="35" t="s">
        <v>3568</v>
      </c>
      <c r="O291" s="35" t="s">
        <v>3568</v>
      </c>
      <c r="P291" s="35" t="s">
        <v>1324</v>
      </c>
      <c r="Q291" s="38" t="s">
        <v>437</v>
      </c>
      <c r="R291" s="56"/>
      <c r="S291" s="38"/>
      <c r="T291" s="39">
        <v>54550.15</v>
      </c>
      <c r="U291" s="39">
        <v>16365.045</v>
      </c>
      <c r="V291" s="40">
        <v>38185.105</v>
      </c>
      <c r="W291" s="57" t="s">
        <v>1326</v>
      </c>
      <c r="X291" s="69" t="s">
        <v>49</v>
      </c>
      <c r="Y291" s="42" t="str">
        <f>IFERROR(__xludf.DUMMYFUNCTION("vLOOKUP(A291,IMPORTRANGE(""https://docs.google.com/spreadsheets/d/1Rawwwdh8wntXGy8isdYNHxsNQS4n_rC8JSdPfj6vEq4"",""'500 объектов перенос на 2026'!A3:AB502""),13,0)"),"#REF!")</f>
        <v>#REF!</v>
      </c>
      <c r="Z291" s="42" t="str">
        <f>IFERROR(__xludf.DUMMYFUNCTION("vLOOKUP(A291,IMPORTRANGE(""https://docs.google.com/spreadsheets/d/1Rawwwdh8wntXGy8isdYNHxsNQS4n_rC8JSdPfj6vEq4"",""'500 объектов перенос на 2026'!A3:AB502""),14,0)"),"#REF!")</f>
        <v>#REF!</v>
      </c>
      <c r="AA291" s="85" t="s">
        <v>4120</v>
      </c>
      <c r="AB291" s="43"/>
    </row>
    <row r="292">
      <c r="A292" s="62" t="s">
        <v>662</v>
      </c>
      <c r="B292" s="63" t="s">
        <v>56</v>
      </c>
      <c r="C292" s="64" t="s">
        <v>663</v>
      </c>
      <c r="D292" s="64" t="s">
        <v>85</v>
      </c>
      <c r="E292" s="288"/>
      <c r="F292" s="64" t="s">
        <v>3795</v>
      </c>
      <c r="G292" s="291" t="s">
        <v>4121</v>
      </c>
      <c r="H292" s="64" t="s">
        <v>3593</v>
      </c>
      <c r="I292" s="64">
        <v>2025.0</v>
      </c>
      <c r="J292" s="64">
        <v>2026.0</v>
      </c>
      <c r="K292" s="287">
        <v>0.68</v>
      </c>
      <c r="L292" s="288"/>
      <c r="M292" s="285" t="s">
        <v>665</v>
      </c>
      <c r="N292" s="35">
        <v>0.0</v>
      </c>
      <c r="O292" s="35" t="s">
        <v>665</v>
      </c>
      <c r="P292" s="35" t="s">
        <v>49</v>
      </c>
      <c r="Q292" s="290">
        <v>46249.0</v>
      </c>
      <c r="R292" s="56"/>
      <c r="S292" s="38"/>
      <c r="T292" s="39">
        <v>175874.24</v>
      </c>
      <c r="U292" s="39">
        <v>87937.0</v>
      </c>
      <c r="V292" s="40">
        <v>87937.24</v>
      </c>
      <c r="W292" s="57" t="s">
        <v>669</v>
      </c>
      <c r="X292" s="69" t="s">
        <v>66</v>
      </c>
      <c r="Y292" s="42" t="str">
        <f>IFERROR(__xludf.DUMMYFUNCTION("vLOOKUP(A292,IMPORTRANGE(""https://docs.google.com/spreadsheets/d/1Rawwwdh8wntXGy8isdYNHxsNQS4n_rC8JSdPfj6vEq4"",""'500 объектов перенос на 2026'!A3:AB502""),13,0)"),"#REF!")</f>
        <v>#REF!</v>
      </c>
      <c r="Z292" s="42" t="str">
        <f>IFERROR(__xludf.DUMMYFUNCTION("vLOOKUP(A292,IMPORTRANGE(""https://docs.google.com/spreadsheets/d/1Rawwwdh8wntXGy8isdYNHxsNQS4n_rC8JSdPfj6vEq4"",""'500 объектов перенос на 2026'!A3:AB502""),14,0)"),"#REF!")</f>
        <v>#REF!</v>
      </c>
      <c r="AA292" s="85" t="s">
        <v>4122</v>
      </c>
      <c r="AB292" s="43"/>
    </row>
    <row r="293">
      <c r="A293" s="62" t="s">
        <v>490</v>
      </c>
      <c r="B293" s="63" t="s">
        <v>56</v>
      </c>
      <c r="C293" s="64" t="s">
        <v>491</v>
      </c>
      <c r="D293" s="64" t="s">
        <v>85</v>
      </c>
      <c r="E293" s="288"/>
      <c r="F293" s="64" t="s">
        <v>4123</v>
      </c>
      <c r="G293" s="291" t="s">
        <v>4124</v>
      </c>
      <c r="H293" s="64" t="s">
        <v>3593</v>
      </c>
      <c r="I293" s="64">
        <v>2025.0</v>
      </c>
      <c r="J293" s="64">
        <v>2026.0</v>
      </c>
      <c r="K293" s="287">
        <v>0.25</v>
      </c>
      <c r="L293" s="288"/>
      <c r="M293" s="285" t="s">
        <v>493</v>
      </c>
      <c r="N293" s="35">
        <v>0.0</v>
      </c>
      <c r="O293" s="35" t="s">
        <v>493</v>
      </c>
      <c r="P293" s="35" t="s">
        <v>49</v>
      </c>
      <c r="Q293" s="290">
        <v>46325.0</v>
      </c>
      <c r="R293" s="56"/>
      <c r="S293" s="38" t="s">
        <v>498</v>
      </c>
      <c r="T293" s="39">
        <v>121513.3</v>
      </c>
      <c r="U293" s="39">
        <v>12151.329</v>
      </c>
      <c r="V293" s="40">
        <v>109361.971</v>
      </c>
      <c r="W293" s="57" t="s">
        <v>499</v>
      </c>
      <c r="X293" s="42" t="s">
        <v>500</v>
      </c>
      <c r="Y293" s="42" t="str">
        <f>IFERROR(__xludf.DUMMYFUNCTION("vLOOKUP(A293,IMPORTRANGE(""https://docs.google.com/spreadsheets/d/1Rawwwdh8wntXGy8isdYNHxsNQS4n_rC8JSdPfj6vEq4"",""'500 объектов перенос на 2026'!A3:AB502""),13,0)"),"#REF!")</f>
        <v>#REF!</v>
      </c>
      <c r="Z293" s="42" t="str">
        <f>IFERROR(__xludf.DUMMYFUNCTION("vLOOKUP(A293,IMPORTRANGE(""https://docs.google.com/spreadsheets/d/1Rawwwdh8wntXGy8isdYNHxsNQS4n_rC8JSdPfj6vEq4"",""'500 объектов перенос на 2026'!A3:AB502""),14,0)"),"#REF!")</f>
        <v>#REF!</v>
      </c>
      <c r="AA293" s="85" t="s">
        <v>4125</v>
      </c>
      <c r="AB293" s="43"/>
    </row>
    <row r="294">
      <c r="A294" s="62" t="s">
        <v>860</v>
      </c>
      <c r="B294" s="63" t="s">
        <v>56</v>
      </c>
      <c r="C294" s="64" t="s">
        <v>861</v>
      </c>
      <c r="D294" s="64" t="s">
        <v>39</v>
      </c>
      <c r="E294" s="64">
        <v>3.0</v>
      </c>
      <c r="F294" s="288"/>
      <c r="G294" s="288"/>
      <c r="H294" s="64" t="s">
        <v>3527</v>
      </c>
      <c r="I294" s="64">
        <v>2024.0</v>
      </c>
      <c r="J294" s="64">
        <v>2026.0</v>
      </c>
      <c r="K294" s="287">
        <v>0.8</v>
      </c>
      <c r="L294" s="288"/>
      <c r="M294" s="285" t="s">
        <v>3568</v>
      </c>
      <c r="N294" s="35" t="s">
        <v>3568</v>
      </c>
      <c r="O294" s="35" t="s">
        <v>3568</v>
      </c>
      <c r="P294" s="35" t="s">
        <v>49</v>
      </c>
      <c r="Q294" s="290">
        <v>46356.0</v>
      </c>
      <c r="R294" s="56"/>
      <c r="S294" s="38"/>
      <c r="T294" s="39">
        <v>90000.0</v>
      </c>
      <c r="U294" s="39">
        <v>27000.0</v>
      </c>
      <c r="V294" s="40">
        <v>63000.0</v>
      </c>
      <c r="W294" s="57" t="s">
        <v>867</v>
      </c>
      <c r="X294" s="42" t="s">
        <v>49</v>
      </c>
      <c r="Y294" s="42" t="str">
        <f>IFERROR(__xludf.DUMMYFUNCTION("vLOOKUP(A294,IMPORTRANGE(""https://docs.google.com/spreadsheets/d/1Rawwwdh8wntXGy8isdYNHxsNQS4n_rC8JSdPfj6vEq4"",""'500 объектов перенос на 2026'!A3:AB502""),13,0)"),"#REF!")</f>
        <v>#REF!</v>
      </c>
      <c r="Z294" s="42" t="str">
        <f>IFERROR(__xludf.DUMMYFUNCTION("vLOOKUP(A294,IMPORTRANGE(""https://docs.google.com/spreadsheets/d/1Rawwwdh8wntXGy8isdYNHxsNQS4n_rC8JSdPfj6vEq4"",""'500 объектов перенос на 2026'!A3:AB502""),14,0)"),"#REF!")</f>
        <v>#REF!</v>
      </c>
      <c r="AA294" s="85" t="s">
        <v>4126</v>
      </c>
      <c r="AB294" s="43"/>
    </row>
    <row r="295">
      <c r="A295" s="62" t="s">
        <v>2000</v>
      </c>
      <c r="B295" s="63" t="s">
        <v>56</v>
      </c>
      <c r="C295" s="64" t="s">
        <v>2001</v>
      </c>
      <c r="D295" s="64" t="s">
        <v>85</v>
      </c>
      <c r="E295" s="288"/>
      <c r="F295" s="64" t="s">
        <v>3550</v>
      </c>
      <c r="G295" s="64">
        <v>360.0</v>
      </c>
      <c r="H295" s="64" t="s">
        <v>3593</v>
      </c>
      <c r="I295" s="64">
        <v>2025.0</v>
      </c>
      <c r="J295" s="64">
        <v>2026.0</v>
      </c>
      <c r="K295" s="287">
        <v>0.8</v>
      </c>
      <c r="L295" s="288"/>
      <c r="M295" s="285" t="s">
        <v>2003</v>
      </c>
      <c r="N295" s="35">
        <v>0.0</v>
      </c>
      <c r="O295" s="35" t="s">
        <v>2003</v>
      </c>
      <c r="P295" s="35" t="s">
        <v>4127</v>
      </c>
      <c r="Q295" s="37">
        <v>46142.0</v>
      </c>
      <c r="R295" s="56"/>
      <c r="S295" s="38"/>
      <c r="T295" s="39">
        <v>24508.8</v>
      </c>
      <c r="U295" s="39">
        <v>7279.1136</v>
      </c>
      <c r="V295" s="40">
        <v>17229.6864</v>
      </c>
      <c r="W295" s="57" t="s">
        <v>2008</v>
      </c>
      <c r="X295" s="69" t="s">
        <v>66</v>
      </c>
      <c r="Y295" s="42" t="str">
        <f>IFERROR(__xludf.DUMMYFUNCTION("vLOOKUP(A295,IMPORTRANGE(""https://docs.google.com/spreadsheets/d/1Rawwwdh8wntXGy8isdYNHxsNQS4n_rC8JSdPfj6vEq4"",""'500 объектов перенос на 2026'!A3:AB502""),13,0)"),"#REF!")</f>
        <v>#REF!</v>
      </c>
      <c r="Z295" s="42" t="str">
        <f>IFERROR(__xludf.DUMMYFUNCTION("vLOOKUP(A295,IMPORTRANGE(""https://docs.google.com/spreadsheets/d/1Rawwwdh8wntXGy8isdYNHxsNQS4n_rC8JSdPfj6vEq4"",""'500 объектов перенос на 2026'!A3:AB502""),14,0)"),"#REF!")</f>
        <v>#REF!</v>
      </c>
      <c r="AA295" s="85" t="s">
        <v>4128</v>
      </c>
      <c r="AB295" s="43"/>
    </row>
    <row r="296">
      <c r="A296" s="62" t="s">
        <v>2076</v>
      </c>
      <c r="B296" s="63" t="s">
        <v>296</v>
      </c>
      <c r="C296" s="64" t="s">
        <v>2077</v>
      </c>
      <c r="D296" s="64" t="s">
        <v>85</v>
      </c>
      <c r="E296" s="288"/>
      <c r="F296" s="64" t="s">
        <v>3550</v>
      </c>
      <c r="G296" s="64">
        <v>591.0</v>
      </c>
      <c r="H296" s="64" t="s">
        <v>3512</v>
      </c>
      <c r="I296" s="64">
        <v>2024.0</v>
      </c>
      <c r="J296" s="64">
        <v>2025.0</v>
      </c>
      <c r="K296" s="288"/>
      <c r="L296" s="292" t="s">
        <v>3528</v>
      </c>
      <c r="M296" s="285" t="s">
        <v>3568</v>
      </c>
      <c r="N296" s="35" t="s">
        <v>3568</v>
      </c>
      <c r="O296" s="35" t="s">
        <v>3568</v>
      </c>
      <c r="P296" s="35" t="s">
        <v>113</v>
      </c>
      <c r="Q296" s="38" t="s">
        <v>1219</v>
      </c>
      <c r="R296" s="56"/>
      <c r="S296" s="38"/>
      <c r="T296" s="102" t="s">
        <v>2078</v>
      </c>
      <c r="U296" s="102">
        <v>589.135</v>
      </c>
      <c r="V296" s="39">
        <v>39646.145</v>
      </c>
      <c r="W296" s="57" t="s">
        <v>2079</v>
      </c>
      <c r="X296" s="57" t="s">
        <v>2080</v>
      </c>
      <c r="Y296" s="42" t="str">
        <f>IFERROR(__xludf.DUMMYFUNCTION("vLOOKUP(A296,IMPORTRANGE(""https://docs.google.com/spreadsheets/d/1Rawwwdh8wntXGy8isdYNHxsNQS4n_rC8JSdPfj6vEq4"",""'500 объектов перенос на 2026'!A3:AB502""),13,0)"),"#REF!")</f>
        <v>#REF!</v>
      </c>
      <c r="Z296" s="42" t="str">
        <f>IFERROR(__xludf.DUMMYFUNCTION("vLOOKUP(A296,IMPORTRANGE(""https://docs.google.com/spreadsheets/d/1Rawwwdh8wntXGy8isdYNHxsNQS4n_rC8JSdPfj6vEq4"",""'500 объектов перенос на 2026'!A3:AB502""),14,0)"),"#REF!")</f>
        <v>#REF!</v>
      </c>
      <c r="AA296" s="85" t="s">
        <v>175</v>
      </c>
      <c r="AB296" s="43"/>
    </row>
    <row r="297">
      <c r="A297" s="62" t="s">
        <v>295</v>
      </c>
      <c r="B297" s="63" t="s">
        <v>296</v>
      </c>
      <c r="C297" s="64" t="s">
        <v>297</v>
      </c>
      <c r="D297" s="64" t="s">
        <v>85</v>
      </c>
      <c r="E297" s="288"/>
      <c r="F297" s="64" t="s">
        <v>4129</v>
      </c>
      <c r="G297" s="291" t="s">
        <v>4130</v>
      </c>
      <c r="H297" s="64" t="s">
        <v>3593</v>
      </c>
      <c r="I297" s="64">
        <v>2024.0</v>
      </c>
      <c r="J297" s="64">
        <v>2025.0</v>
      </c>
      <c r="K297" s="287">
        <v>0.7</v>
      </c>
      <c r="L297" s="288"/>
      <c r="M297" s="285" t="s">
        <v>3568</v>
      </c>
      <c r="N297" s="35" t="s">
        <v>3568</v>
      </c>
      <c r="O297" s="35" t="s">
        <v>3568</v>
      </c>
      <c r="P297" s="35" t="s">
        <v>302</v>
      </c>
      <c r="Q297" s="290">
        <v>46244.0</v>
      </c>
      <c r="R297" s="56"/>
      <c r="S297" s="38" t="s">
        <v>4131</v>
      </c>
      <c r="T297" s="39">
        <v>230870.6815</v>
      </c>
      <c r="U297" s="102">
        <v>0.0</v>
      </c>
      <c r="V297" s="40">
        <v>230870.6815</v>
      </c>
      <c r="W297" s="57" t="s">
        <v>306</v>
      </c>
      <c r="X297" s="57" t="s">
        <v>307</v>
      </c>
      <c r="Y297" s="42" t="str">
        <f>IFERROR(__xludf.DUMMYFUNCTION("vLOOKUP(A297,IMPORTRANGE(""https://docs.google.com/spreadsheets/d/1Rawwwdh8wntXGy8isdYNHxsNQS4n_rC8JSdPfj6vEq4"",""'500 объектов перенос на 2026'!A3:AB502""),13,0)"),"#REF!")</f>
        <v>#REF!</v>
      </c>
      <c r="Z297" s="42" t="str">
        <f>IFERROR(__xludf.DUMMYFUNCTION("vLOOKUP(A297,IMPORTRANGE(""https://docs.google.com/spreadsheets/d/1Rawwwdh8wntXGy8isdYNHxsNQS4n_rC8JSdPfj6vEq4"",""'500 объектов перенос на 2026'!A3:AB502""),14,0)"),"#REF!")</f>
        <v>#REF!</v>
      </c>
      <c r="AA297" s="85" t="s">
        <v>4132</v>
      </c>
      <c r="AB297" s="43"/>
    </row>
    <row r="298">
      <c r="A298" s="62" t="s">
        <v>1130</v>
      </c>
      <c r="B298" s="63" t="s">
        <v>296</v>
      </c>
      <c r="C298" s="64" t="s">
        <v>1131</v>
      </c>
      <c r="D298" s="64" t="s">
        <v>39</v>
      </c>
      <c r="E298" s="64">
        <v>3.4</v>
      </c>
      <c r="F298" s="288"/>
      <c r="G298" s="288"/>
      <c r="H298" s="64" t="s">
        <v>3527</v>
      </c>
      <c r="I298" s="64">
        <v>2024.0</v>
      </c>
      <c r="J298" s="64">
        <v>2025.0</v>
      </c>
      <c r="K298" s="287">
        <v>0.1</v>
      </c>
      <c r="L298" s="288"/>
      <c r="M298" s="285" t="s">
        <v>3568</v>
      </c>
      <c r="N298" s="35" t="s">
        <v>3568</v>
      </c>
      <c r="O298" s="35" t="s">
        <v>3568</v>
      </c>
      <c r="P298" s="35" t="s">
        <v>302</v>
      </c>
      <c r="Q298" s="290">
        <v>46259.0</v>
      </c>
      <c r="R298" s="56"/>
      <c r="S298" s="38" t="s">
        <v>4131</v>
      </c>
      <c r="T298" s="39">
        <v>64066.75273</v>
      </c>
      <c r="U298" s="39">
        <v>0.0</v>
      </c>
      <c r="V298" s="40">
        <v>64066.75273</v>
      </c>
      <c r="W298" s="57" t="s">
        <v>1136</v>
      </c>
      <c r="X298" s="57" t="s">
        <v>880</v>
      </c>
      <c r="Y298" s="42" t="str">
        <f>IFERROR(__xludf.DUMMYFUNCTION("vLOOKUP(A298,IMPORTRANGE(""https://docs.google.com/spreadsheets/d/1Rawwwdh8wntXGy8isdYNHxsNQS4n_rC8JSdPfj6vEq4"",""'500 объектов перенос на 2026'!A3:AB502""),13,0)"),"#REF!")</f>
        <v>#REF!</v>
      </c>
      <c r="Z298" s="42" t="str">
        <f>IFERROR(__xludf.DUMMYFUNCTION("vLOOKUP(A298,IMPORTRANGE(""https://docs.google.com/spreadsheets/d/1Rawwwdh8wntXGy8isdYNHxsNQS4n_rC8JSdPfj6vEq4"",""'500 объектов перенос на 2026'!A3:AB502""),14,0)"),"#REF!")</f>
        <v>#REF!</v>
      </c>
      <c r="AA298" s="85" t="s">
        <v>4133</v>
      </c>
      <c r="AB298" s="43"/>
    </row>
    <row r="299">
      <c r="A299" s="62" t="s">
        <v>1350</v>
      </c>
      <c r="B299" s="63" t="s">
        <v>296</v>
      </c>
      <c r="C299" s="64" t="s">
        <v>1351</v>
      </c>
      <c r="D299" s="64" t="s">
        <v>39</v>
      </c>
      <c r="E299" s="64">
        <v>3.0</v>
      </c>
      <c r="F299" s="288"/>
      <c r="G299" s="288"/>
      <c r="H299" s="64" t="s">
        <v>3527</v>
      </c>
      <c r="I299" s="64">
        <v>2024.0</v>
      </c>
      <c r="J299" s="64">
        <v>2025.0</v>
      </c>
      <c r="K299" s="287">
        <v>0.7</v>
      </c>
      <c r="L299" s="288"/>
      <c r="M299" s="285" t="s">
        <v>3568</v>
      </c>
      <c r="N299" s="35" t="s">
        <v>3568</v>
      </c>
      <c r="O299" s="35" t="s">
        <v>3568</v>
      </c>
      <c r="P299" s="35" t="s">
        <v>302</v>
      </c>
      <c r="Q299" s="290">
        <v>46252.0</v>
      </c>
      <c r="R299" s="56"/>
      <c r="S299" s="38" t="s">
        <v>4131</v>
      </c>
      <c r="T299" s="39">
        <v>53190.99</v>
      </c>
      <c r="U299" s="39">
        <v>0.0</v>
      </c>
      <c r="V299" s="40">
        <v>53190.99</v>
      </c>
      <c r="W299" s="57" t="s">
        <v>1354</v>
      </c>
      <c r="X299" s="57" t="s">
        <v>880</v>
      </c>
      <c r="Y299" s="42" t="str">
        <f>IFERROR(__xludf.DUMMYFUNCTION("vLOOKUP(A299,IMPORTRANGE(""https://docs.google.com/spreadsheets/d/1Rawwwdh8wntXGy8isdYNHxsNQS4n_rC8JSdPfj6vEq4"",""'500 объектов перенос на 2026'!A3:AB502""),13,0)"),"#REF!")</f>
        <v>#REF!</v>
      </c>
      <c r="Z299" s="42" t="str">
        <f>IFERROR(__xludf.DUMMYFUNCTION("vLOOKUP(A299,IMPORTRANGE(""https://docs.google.com/spreadsheets/d/1Rawwwdh8wntXGy8isdYNHxsNQS4n_rC8JSdPfj6vEq4"",""'500 объектов перенос на 2026'!A3:AB502""),14,0)"),"#REF!")</f>
        <v>#REF!</v>
      </c>
      <c r="AA299" s="85" t="s">
        <v>4134</v>
      </c>
      <c r="AB299" s="43"/>
    </row>
    <row r="300">
      <c r="A300" s="62" t="s">
        <v>1370</v>
      </c>
      <c r="B300" s="63" t="s">
        <v>296</v>
      </c>
      <c r="C300" s="64" t="s">
        <v>1371</v>
      </c>
      <c r="D300" s="64" t="s">
        <v>39</v>
      </c>
      <c r="E300" s="64">
        <v>4.4</v>
      </c>
      <c r="F300" s="288"/>
      <c r="G300" s="288"/>
      <c r="H300" s="64" t="s">
        <v>3527</v>
      </c>
      <c r="I300" s="64">
        <v>2024.0</v>
      </c>
      <c r="J300" s="64">
        <v>2025.0</v>
      </c>
      <c r="K300" s="287">
        <v>0.19</v>
      </c>
      <c r="L300" s="288"/>
      <c r="M300" s="285" t="s">
        <v>3568</v>
      </c>
      <c r="N300" s="35" t="s">
        <v>3568</v>
      </c>
      <c r="O300" s="35" t="s">
        <v>3568</v>
      </c>
      <c r="P300" s="35" t="s">
        <v>302</v>
      </c>
      <c r="Q300" s="290">
        <v>46259.0</v>
      </c>
      <c r="R300" s="56"/>
      <c r="S300" s="38" t="s">
        <v>4131</v>
      </c>
      <c r="T300" s="39">
        <v>51800.76784</v>
      </c>
      <c r="U300" s="39">
        <v>0.0</v>
      </c>
      <c r="V300" s="40">
        <v>51800.76784</v>
      </c>
      <c r="W300" s="57" t="s">
        <v>1372</v>
      </c>
      <c r="X300" s="57" t="s">
        <v>880</v>
      </c>
      <c r="Y300" s="42" t="str">
        <f>IFERROR(__xludf.DUMMYFUNCTION("vLOOKUP(A300,IMPORTRANGE(""https://docs.google.com/spreadsheets/d/1Rawwwdh8wntXGy8isdYNHxsNQS4n_rC8JSdPfj6vEq4"",""'500 объектов перенос на 2026'!A3:AB502""),13,0)"),"#REF!")</f>
        <v>#REF!</v>
      </c>
      <c r="Z300" s="42" t="str">
        <f>IFERROR(__xludf.DUMMYFUNCTION("vLOOKUP(A300,IMPORTRANGE(""https://docs.google.com/spreadsheets/d/1Rawwwdh8wntXGy8isdYNHxsNQS4n_rC8JSdPfj6vEq4"",""'500 объектов перенос на 2026'!A3:AB502""),14,0)"),"#REF!")</f>
        <v>#REF!</v>
      </c>
      <c r="AA300" s="85" t="s">
        <v>4135</v>
      </c>
      <c r="AB300" s="43"/>
    </row>
    <row r="301">
      <c r="A301" s="62" t="s">
        <v>1509</v>
      </c>
      <c r="B301" s="63" t="s">
        <v>296</v>
      </c>
      <c r="C301" s="64" t="s">
        <v>1510</v>
      </c>
      <c r="D301" s="64" t="s">
        <v>59</v>
      </c>
      <c r="E301" s="64">
        <v>24.8</v>
      </c>
      <c r="F301" s="288"/>
      <c r="G301" s="288"/>
      <c r="H301" s="64" t="s">
        <v>3512</v>
      </c>
      <c r="I301" s="64">
        <v>2024.0</v>
      </c>
      <c r="J301" s="64">
        <v>2025.0</v>
      </c>
      <c r="K301" s="287">
        <v>0.82</v>
      </c>
      <c r="L301" s="288"/>
      <c r="M301" s="285" t="s">
        <v>3568</v>
      </c>
      <c r="N301" s="35" t="s">
        <v>3568</v>
      </c>
      <c r="O301" s="35" t="s">
        <v>3568</v>
      </c>
      <c r="P301" s="35" t="s">
        <v>73</v>
      </c>
      <c r="Q301" s="290">
        <v>46225.0</v>
      </c>
      <c r="R301" s="56"/>
      <c r="S301" s="38"/>
      <c r="T301" s="39">
        <v>46202.96</v>
      </c>
      <c r="U301" s="39">
        <v>0.0</v>
      </c>
      <c r="V301" s="40">
        <v>46202.96</v>
      </c>
      <c r="W301" s="57" t="s">
        <v>1514</v>
      </c>
      <c r="X301" s="57" t="s">
        <v>1515</v>
      </c>
      <c r="Y301" s="42" t="str">
        <f>IFERROR(__xludf.DUMMYFUNCTION("vLOOKUP(A301,IMPORTRANGE(""https://docs.google.com/spreadsheets/d/1Rawwwdh8wntXGy8isdYNHxsNQS4n_rC8JSdPfj6vEq4"",""'500 объектов перенос на 2026'!A3:AB502""),13,0)"),"#REF!")</f>
        <v>#REF!</v>
      </c>
      <c r="Z301" s="42" t="str">
        <f>IFERROR(__xludf.DUMMYFUNCTION("vLOOKUP(A301,IMPORTRANGE(""https://docs.google.com/spreadsheets/d/1Rawwwdh8wntXGy8isdYNHxsNQS4n_rC8JSdPfj6vEq4"",""'500 объектов перенос на 2026'!A3:AB502""),14,0)"),"#REF!")</f>
        <v>#REF!</v>
      </c>
      <c r="AA301" s="85" t="s">
        <v>3830</v>
      </c>
      <c r="AB301" s="43"/>
    </row>
    <row r="302">
      <c r="A302" s="62" t="s">
        <v>1736</v>
      </c>
      <c r="B302" s="63" t="s">
        <v>296</v>
      </c>
      <c r="C302" s="64" t="s">
        <v>1737</v>
      </c>
      <c r="D302" s="64" t="s">
        <v>59</v>
      </c>
      <c r="E302" s="64">
        <v>5.0</v>
      </c>
      <c r="F302" s="288"/>
      <c r="G302" s="288"/>
      <c r="H302" s="64" t="s">
        <v>3512</v>
      </c>
      <c r="I302" s="64">
        <v>2024.0</v>
      </c>
      <c r="J302" s="64">
        <v>2025.0</v>
      </c>
      <c r="K302" s="287">
        <v>0.94</v>
      </c>
      <c r="L302" s="288"/>
      <c r="M302" s="285" t="s">
        <v>3568</v>
      </c>
      <c r="N302" s="35" t="s">
        <v>3568</v>
      </c>
      <c r="O302" s="35" t="s">
        <v>3568</v>
      </c>
      <c r="P302" s="35" t="s">
        <v>73</v>
      </c>
      <c r="Q302" s="290">
        <v>46225.0</v>
      </c>
      <c r="R302" s="56"/>
      <c r="S302" s="38"/>
      <c r="T302" s="39">
        <v>47476.176</v>
      </c>
      <c r="U302" s="39">
        <v>0.0</v>
      </c>
      <c r="V302" s="40">
        <v>47476.176</v>
      </c>
      <c r="W302" s="57" t="s">
        <v>1740</v>
      </c>
      <c r="X302" s="57" t="s">
        <v>1515</v>
      </c>
      <c r="Y302" s="42" t="str">
        <f>IFERROR(__xludf.DUMMYFUNCTION("vLOOKUP(A302,IMPORTRANGE(""https://docs.google.com/spreadsheets/d/1Rawwwdh8wntXGy8isdYNHxsNQS4n_rC8JSdPfj6vEq4"",""'500 объектов перенос на 2026'!A3:AB502""),13,0)"),"#REF!")</f>
        <v>#REF!</v>
      </c>
      <c r="Z302" s="42" t="str">
        <f>IFERROR(__xludf.DUMMYFUNCTION("vLOOKUP(A302,IMPORTRANGE(""https://docs.google.com/spreadsheets/d/1Rawwwdh8wntXGy8isdYNHxsNQS4n_rC8JSdPfj6vEq4"",""'500 объектов перенос на 2026'!A3:AB502""),14,0)"),"#REF!")</f>
        <v>#REF!</v>
      </c>
      <c r="AA302" s="85" t="s">
        <v>3830</v>
      </c>
      <c r="AB302" s="43"/>
    </row>
    <row r="303">
      <c r="A303" s="62" t="s">
        <v>2132</v>
      </c>
      <c r="B303" s="63" t="s">
        <v>296</v>
      </c>
      <c r="C303" s="64" t="s">
        <v>2133</v>
      </c>
      <c r="D303" s="64" t="s">
        <v>85</v>
      </c>
      <c r="E303" s="288"/>
      <c r="F303" s="64" t="s">
        <v>3550</v>
      </c>
      <c r="G303" s="64">
        <v>125.5</v>
      </c>
      <c r="H303" s="64" t="s">
        <v>3512</v>
      </c>
      <c r="I303" s="64">
        <v>2024.0</v>
      </c>
      <c r="J303" s="64">
        <v>2025.0</v>
      </c>
      <c r="K303" s="287">
        <v>1.0</v>
      </c>
      <c r="L303" s="292" t="s">
        <v>3528</v>
      </c>
      <c r="M303" s="285" t="s">
        <v>3568</v>
      </c>
      <c r="N303" s="35" t="s">
        <v>3568</v>
      </c>
      <c r="O303" s="35" t="s">
        <v>3568</v>
      </c>
      <c r="P303" s="35" t="s">
        <v>113</v>
      </c>
      <c r="Q303" s="38" t="s">
        <v>1219</v>
      </c>
      <c r="R303" s="56"/>
      <c r="S303" s="38"/>
      <c r="T303" s="39" t="s">
        <v>2134</v>
      </c>
      <c r="U303" s="39">
        <v>179.43201</v>
      </c>
      <c r="V303" s="39">
        <v>12074.96799</v>
      </c>
      <c r="W303" s="57" t="s">
        <v>2135</v>
      </c>
      <c r="X303" s="57" t="s">
        <v>2136</v>
      </c>
      <c r="Y303" s="42" t="str">
        <f>IFERROR(__xludf.DUMMYFUNCTION("vLOOKUP(A303,IMPORTRANGE(""https://docs.google.com/spreadsheets/d/1Rawwwdh8wntXGy8isdYNHxsNQS4n_rC8JSdPfj6vEq4"",""'500 объектов перенос на 2026'!A3:AB502""),13,0)"),"#REF!")</f>
        <v>#REF!</v>
      </c>
      <c r="Z303" s="42" t="str">
        <f>IFERROR(__xludf.DUMMYFUNCTION("vLOOKUP(A303,IMPORTRANGE(""https://docs.google.com/spreadsheets/d/1Rawwwdh8wntXGy8isdYNHxsNQS4n_rC8JSdPfj6vEq4"",""'500 объектов перенос на 2026'!A3:AB502""),14,0)"),"#REF!")</f>
        <v>#REF!</v>
      </c>
      <c r="AA303" s="85" t="s">
        <v>175</v>
      </c>
      <c r="AB303" s="43"/>
    </row>
    <row r="304">
      <c r="A304" s="170" t="s">
        <v>2137</v>
      </c>
      <c r="B304" s="171" t="s">
        <v>296</v>
      </c>
      <c r="C304" s="64" t="s">
        <v>2138</v>
      </c>
      <c r="D304" s="64" t="s">
        <v>85</v>
      </c>
      <c r="E304" s="288"/>
      <c r="F304" s="64" t="s">
        <v>3550</v>
      </c>
      <c r="G304" s="64">
        <v>422.0</v>
      </c>
      <c r="H304" s="64" t="s">
        <v>3512</v>
      </c>
      <c r="I304" s="64">
        <v>2025.0</v>
      </c>
      <c r="J304" s="64">
        <v>2025.0</v>
      </c>
      <c r="K304" s="288"/>
      <c r="L304" s="288"/>
      <c r="M304" s="285" t="s">
        <v>3568</v>
      </c>
      <c r="N304" s="35" t="s">
        <v>3568</v>
      </c>
      <c r="O304" s="35" t="s">
        <v>3568</v>
      </c>
      <c r="P304" s="35" t="s">
        <v>2139</v>
      </c>
      <c r="Q304" s="38" t="s">
        <v>2140</v>
      </c>
      <c r="R304" s="56"/>
      <c r="S304" s="38"/>
      <c r="T304" s="39">
        <v>28729.76</v>
      </c>
      <c r="U304" s="39">
        <v>0.0</v>
      </c>
      <c r="V304" s="40">
        <v>28729.76</v>
      </c>
      <c r="W304" s="57" t="s">
        <v>2141</v>
      </c>
      <c r="X304" s="57" t="s">
        <v>2141</v>
      </c>
      <c r="Y304" s="42" t="str">
        <f>IFERROR(__xludf.DUMMYFUNCTION("vLOOKUP(A304,IMPORTRANGE(""https://docs.google.com/spreadsheets/d/1Rawwwdh8wntXGy8isdYNHxsNQS4n_rC8JSdPfj6vEq4"",""'500 объектов перенос на 2026'!A3:AB502""),13,0)"),"#REF!")</f>
        <v>#REF!</v>
      </c>
      <c r="Z304" s="42" t="str">
        <f>IFERROR(__xludf.DUMMYFUNCTION("vLOOKUP(A304,IMPORTRANGE(""https://docs.google.com/spreadsheets/d/1Rawwwdh8wntXGy8isdYNHxsNQS4n_rC8JSdPfj6vEq4"",""'500 объектов перенос на 2026'!A3:AB502""),14,0)"),"#REF!")</f>
        <v>#REF!</v>
      </c>
      <c r="AA304" s="57" t="s">
        <v>2141</v>
      </c>
      <c r="AB304" s="43"/>
    </row>
    <row r="305">
      <c r="A305" s="62" t="s">
        <v>2342</v>
      </c>
      <c r="B305" s="63" t="s">
        <v>296</v>
      </c>
      <c r="C305" s="64" t="s">
        <v>2343</v>
      </c>
      <c r="D305" s="64" t="s">
        <v>59</v>
      </c>
      <c r="E305" s="64">
        <v>10.1</v>
      </c>
      <c r="F305" s="288"/>
      <c r="G305" s="288"/>
      <c r="H305" s="64" t="s">
        <v>3512</v>
      </c>
      <c r="I305" s="64">
        <v>2024.0</v>
      </c>
      <c r="J305" s="64">
        <v>2025.0</v>
      </c>
      <c r="K305" s="287">
        <v>0.7</v>
      </c>
      <c r="L305" s="288"/>
      <c r="M305" s="285" t="s">
        <v>3568</v>
      </c>
      <c r="N305" s="35" t="s">
        <v>3568</v>
      </c>
      <c r="O305" s="35" t="s">
        <v>3568</v>
      </c>
      <c r="P305" s="35" t="s">
        <v>46</v>
      </c>
      <c r="Q305" s="290">
        <v>46223.0</v>
      </c>
      <c r="R305" s="56"/>
      <c r="S305" s="38"/>
      <c r="T305" s="39">
        <v>39044.94</v>
      </c>
      <c r="U305" s="102">
        <v>0.0</v>
      </c>
      <c r="V305" s="40">
        <v>39044.94</v>
      </c>
      <c r="W305" s="57" t="s">
        <v>2346</v>
      </c>
      <c r="X305" s="57" t="s">
        <v>1515</v>
      </c>
      <c r="Y305" s="42" t="str">
        <f>IFERROR(__xludf.DUMMYFUNCTION("vLOOKUP(A305,IMPORTRANGE(""https://docs.google.com/spreadsheets/d/1Rawwwdh8wntXGy8isdYNHxsNQS4n_rC8JSdPfj6vEq4"",""'500 объектов перенос на 2026'!A3:AB502""),13,0)"),"#REF!")</f>
        <v>#REF!</v>
      </c>
      <c r="Z305" s="42" t="str">
        <f>IFERROR(__xludf.DUMMYFUNCTION("vLOOKUP(A305,IMPORTRANGE(""https://docs.google.com/spreadsheets/d/1Rawwwdh8wntXGy8isdYNHxsNQS4n_rC8JSdPfj6vEq4"",""'500 объектов перенос на 2026'!A3:AB502""),14,0)"),"#REF!")</f>
        <v>#REF!</v>
      </c>
      <c r="AA305" s="85" t="s">
        <v>3830</v>
      </c>
      <c r="AB305" s="43"/>
    </row>
    <row r="306" ht="65.25" customHeight="1">
      <c r="A306" s="62" t="s">
        <v>2149</v>
      </c>
      <c r="B306" s="63" t="s">
        <v>703</v>
      </c>
      <c r="C306" s="64" t="s">
        <v>2150</v>
      </c>
      <c r="D306" s="64" t="s">
        <v>59</v>
      </c>
      <c r="E306" s="64">
        <v>52.9</v>
      </c>
      <c r="F306" s="288"/>
      <c r="G306" s="288"/>
      <c r="H306" s="64" t="s">
        <v>3512</v>
      </c>
      <c r="I306" s="64">
        <v>2024.0</v>
      </c>
      <c r="J306" s="64">
        <v>2025.0</v>
      </c>
      <c r="K306" s="287">
        <v>1.0</v>
      </c>
      <c r="L306" s="292" t="s">
        <v>3528</v>
      </c>
      <c r="M306" s="285" t="s">
        <v>4136</v>
      </c>
      <c r="N306" s="35" t="s">
        <v>4137</v>
      </c>
      <c r="O306" s="35" t="s">
        <v>4138</v>
      </c>
      <c r="P306" s="35" t="s">
        <v>113</v>
      </c>
      <c r="Q306" s="38"/>
      <c r="R306" s="38" t="s">
        <v>115</v>
      </c>
      <c r="S306" s="38"/>
      <c r="T306" s="39">
        <v>446059.17</v>
      </c>
      <c r="U306" s="39">
        <v>381442.4461</v>
      </c>
      <c r="V306" s="39">
        <v>64616.72394</v>
      </c>
      <c r="W306" s="57" t="s">
        <v>2151</v>
      </c>
      <c r="X306" s="42"/>
      <c r="Y306" s="42" t="str">
        <f>IFERROR(__xludf.DUMMYFUNCTION("vLOOKUP(A306,IMPORTRANGE(""https://docs.google.com/spreadsheets/d/1Rawwwdh8wntXGy8isdYNHxsNQS4n_rC8JSdPfj6vEq4"",""'500 объектов перенос на 2026'!A3:AB502""),13,0)"),"#REF!")</f>
        <v>#REF!</v>
      </c>
      <c r="Z306" s="42" t="str">
        <f>IFERROR(__xludf.DUMMYFUNCTION("vLOOKUP(A306,IMPORTRANGE(""https://docs.google.com/spreadsheets/d/1Rawwwdh8wntXGy8isdYNHxsNQS4n_rC8JSdPfj6vEq4"",""'500 объектов перенос на 2026'!A3:AB502""),14,0)"),"#REF!")</f>
        <v>#REF!</v>
      </c>
      <c r="AA306" s="85" t="s">
        <v>175</v>
      </c>
      <c r="AB306" s="43"/>
    </row>
    <row r="307">
      <c r="A307" s="62" t="s">
        <v>2152</v>
      </c>
      <c r="B307" s="63" t="s">
        <v>296</v>
      </c>
      <c r="C307" s="64" t="s">
        <v>2153</v>
      </c>
      <c r="D307" s="64" t="s">
        <v>85</v>
      </c>
      <c r="E307" s="288"/>
      <c r="F307" s="64" t="s">
        <v>3550</v>
      </c>
      <c r="G307" s="291" t="s">
        <v>4139</v>
      </c>
      <c r="H307" s="64" t="s">
        <v>3512</v>
      </c>
      <c r="I307" s="64">
        <v>2024.0</v>
      </c>
      <c r="J307" s="64">
        <v>2025.0</v>
      </c>
      <c r="K307" s="287">
        <v>0.97</v>
      </c>
      <c r="L307" s="292" t="s">
        <v>4140</v>
      </c>
      <c r="M307" s="285" t="s">
        <v>3568</v>
      </c>
      <c r="N307" s="35" t="s">
        <v>3568</v>
      </c>
      <c r="O307" s="35" t="s">
        <v>3568</v>
      </c>
      <c r="P307" s="35" t="s">
        <v>73</v>
      </c>
      <c r="Q307" s="38" t="s">
        <v>1219</v>
      </c>
      <c r="R307" s="56"/>
      <c r="S307" s="38"/>
      <c r="T307" s="39" t="s">
        <v>2154</v>
      </c>
      <c r="U307" s="39">
        <v>33258.44</v>
      </c>
      <c r="V307" s="40">
        <v>77603.03</v>
      </c>
      <c r="W307" s="57" t="s">
        <v>2155</v>
      </c>
      <c r="X307" s="57" t="s">
        <v>2156</v>
      </c>
      <c r="Y307" s="42" t="str">
        <f>IFERROR(__xludf.DUMMYFUNCTION("vLOOKUP(A307,IMPORTRANGE(""https://docs.google.com/spreadsheets/d/1Rawwwdh8wntXGy8isdYNHxsNQS4n_rC8JSdPfj6vEq4"",""'500 объектов перенос на 2026'!A3:AB502""),13,0)"),"#REF!")</f>
        <v>#REF!</v>
      </c>
      <c r="Z307" s="42" t="str">
        <f>IFERROR(__xludf.DUMMYFUNCTION("vLOOKUP(A307,IMPORTRANGE(""https://docs.google.com/spreadsheets/d/1Rawwwdh8wntXGy8isdYNHxsNQS4n_rC8JSdPfj6vEq4"",""'500 объектов перенос на 2026'!A3:AB502""),14,0)"),"#REF!")</f>
        <v>#REF!</v>
      </c>
      <c r="AA307" s="85" t="s">
        <v>175</v>
      </c>
      <c r="AB307" s="43"/>
    </row>
    <row r="308">
      <c r="A308" s="62" t="s">
        <v>2157</v>
      </c>
      <c r="B308" s="63" t="s">
        <v>296</v>
      </c>
      <c r="C308" s="64" t="s">
        <v>2158</v>
      </c>
      <c r="D308" s="64" t="s">
        <v>85</v>
      </c>
      <c r="E308" s="288"/>
      <c r="F308" s="64" t="s">
        <v>3795</v>
      </c>
      <c r="G308" s="291" t="s">
        <v>4141</v>
      </c>
      <c r="H308" s="64" t="s">
        <v>3512</v>
      </c>
      <c r="I308" s="64">
        <v>2024.0</v>
      </c>
      <c r="J308" s="64">
        <v>2025.0</v>
      </c>
      <c r="K308" s="288"/>
      <c r="L308" s="292" t="s">
        <v>4140</v>
      </c>
      <c r="M308" s="285" t="s">
        <v>3568</v>
      </c>
      <c r="N308" s="35" t="s">
        <v>3568</v>
      </c>
      <c r="O308" s="35" t="s">
        <v>3568</v>
      </c>
      <c r="P308" s="35" t="s">
        <v>113</v>
      </c>
      <c r="Q308" s="38" t="s">
        <v>1219</v>
      </c>
      <c r="R308" s="56"/>
      <c r="S308" s="38"/>
      <c r="T308" s="39" t="s">
        <v>2159</v>
      </c>
      <c r="U308" s="39">
        <v>34728.285</v>
      </c>
      <c r="V308" s="39">
        <v>81032.665</v>
      </c>
      <c r="W308" s="57" t="s">
        <v>2160</v>
      </c>
      <c r="X308" s="57" t="s">
        <v>2156</v>
      </c>
      <c r="Y308" s="42" t="str">
        <f>IFERROR(__xludf.DUMMYFUNCTION("vLOOKUP(A308,IMPORTRANGE(""https://docs.google.com/spreadsheets/d/1Rawwwdh8wntXGy8isdYNHxsNQS4n_rC8JSdPfj6vEq4"",""'500 объектов перенос на 2026'!A3:AB502""),13,0)"),"#REF!")</f>
        <v>#REF!</v>
      </c>
      <c r="Z308" s="42" t="str">
        <f>IFERROR(__xludf.DUMMYFUNCTION("vLOOKUP(A308,IMPORTRANGE(""https://docs.google.com/spreadsheets/d/1Rawwwdh8wntXGy8isdYNHxsNQS4n_rC8JSdPfj6vEq4"",""'500 объектов перенос на 2026'!A3:AB502""),14,0)"),"#REF!")</f>
        <v>#REF!</v>
      </c>
      <c r="AA308" s="85" t="s">
        <v>175</v>
      </c>
      <c r="AB308" s="43"/>
    </row>
    <row r="309">
      <c r="A309" s="62" t="s">
        <v>2161</v>
      </c>
      <c r="B309" s="63" t="s">
        <v>703</v>
      </c>
      <c r="C309" s="64" t="s">
        <v>2162</v>
      </c>
      <c r="D309" s="64" t="s">
        <v>85</v>
      </c>
      <c r="E309" s="288"/>
      <c r="F309" s="64" t="s">
        <v>3832</v>
      </c>
      <c r="G309" s="64">
        <v>134.0</v>
      </c>
      <c r="H309" s="64" t="s">
        <v>3512</v>
      </c>
      <c r="I309" s="64">
        <v>2025.0</v>
      </c>
      <c r="J309" s="64">
        <v>2026.0</v>
      </c>
      <c r="K309" s="287">
        <v>1.0</v>
      </c>
      <c r="L309" s="292" t="s">
        <v>4140</v>
      </c>
      <c r="M309" s="285" t="s">
        <v>4142</v>
      </c>
      <c r="N309" s="295" t="s">
        <v>4143</v>
      </c>
      <c r="O309" s="35" t="s">
        <v>3520</v>
      </c>
      <c r="P309" s="35" t="s">
        <v>209</v>
      </c>
      <c r="Q309" s="38"/>
      <c r="R309" s="38" t="s">
        <v>3359</v>
      </c>
      <c r="S309" s="38"/>
      <c r="T309" s="39">
        <v>4406.31</v>
      </c>
      <c r="U309" s="39">
        <v>4317.61113</v>
      </c>
      <c r="V309" s="39">
        <v>88.69887</v>
      </c>
      <c r="W309" s="57" t="s">
        <v>2163</v>
      </c>
      <c r="X309" s="85"/>
      <c r="Y309" s="42" t="str">
        <f>IFERROR(__xludf.DUMMYFUNCTION("vLOOKUP(A309,IMPORTRANGE(""https://docs.google.com/spreadsheets/d/1Rawwwdh8wntXGy8isdYNHxsNQS4n_rC8JSdPfj6vEq4"",""'500 объектов перенос на 2026'!A3:AB502""),13,0)"),"#REF!")</f>
        <v>#REF!</v>
      </c>
      <c r="Z309" s="42" t="str">
        <f>IFERROR(__xludf.DUMMYFUNCTION("vLOOKUP(A309,IMPORTRANGE(""https://docs.google.com/spreadsheets/d/1Rawwwdh8wntXGy8isdYNHxsNQS4n_rC8JSdPfj6vEq4"",""'500 объектов перенос на 2026'!A3:AB502""),14,0)"),"#REF!")</f>
        <v>#REF!</v>
      </c>
      <c r="AA309" s="85" t="s">
        <v>4144</v>
      </c>
      <c r="AB309" s="43"/>
    </row>
    <row r="310">
      <c r="A310" s="62" t="s">
        <v>2164</v>
      </c>
      <c r="B310" s="63" t="s">
        <v>703</v>
      </c>
      <c r="C310" s="64" t="s">
        <v>2165</v>
      </c>
      <c r="D310" s="64" t="s">
        <v>59</v>
      </c>
      <c r="E310" s="64">
        <v>11.6</v>
      </c>
      <c r="F310" s="288"/>
      <c r="G310" s="288"/>
      <c r="H310" s="64" t="s">
        <v>3593</v>
      </c>
      <c r="I310" s="64">
        <v>2024.0</v>
      </c>
      <c r="J310" s="64">
        <v>2025.0</v>
      </c>
      <c r="K310" s="287">
        <v>1.0</v>
      </c>
      <c r="L310" s="292" t="s">
        <v>3528</v>
      </c>
      <c r="M310" s="285" t="s">
        <v>4145</v>
      </c>
      <c r="N310" s="35">
        <v>0.0</v>
      </c>
      <c r="O310" s="35" t="s">
        <v>4145</v>
      </c>
      <c r="P310" s="35" t="s">
        <v>113</v>
      </c>
      <c r="Q310" s="38"/>
      <c r="R310" s="38" t="s">
        <v>3448</v>
      </c>
      <c r="S310" s="38"/>
      <c r="T310" s="39">
        <v>425708.37</v>
      </c>
      <c r="U310" s="39">
        <v>403502.374</v>
      </c>
      <c r="V310" s="39">
        <v>22205.99602</v>
      </c>
      <c r="W310" s="57" t="s">
        <v>2166</v>
      </c>
      <c r="X310" s="85"/>
      <c r="Y310" s="42" t="str">
        <f>IFERROR(__xludf.DUMMYFUNCTION("vLOOKUP(A310,IMPORTRANGE(""https://docs.google.com/spreadsheets/d/1Rawwwdh8wntXGy8isdYNHxsNQS4n_rC8JSdPfj6vEq4"",""'500 объектов перенос на 2026'!A3:AB502""),13,0)"),"#REF!")</f>
        <v>#REF!</v>
      </c>
      <c r="Z310" s="42" t="str">
        <f>IFERROR(__xludf.DUMMYFUNCTION("vLOOKUP(A310,IMPORTRANGE(""https://docs.google.com/spreadsheets/d/1Rawwwdh8wntXGy8isdYNHxsNQS4n_rC8JSdPfj6vEq4"",""'500 объектов перенос на 2026'!A3:AB502""),14,0)"),"#REF!")</f>
        <v>#REF!</v>
      </c>
      <c r="AA310" s="85" t="s">
        <v>4146</v>
      </c>
      <c r="AB310" s="43"/>
    </row>
    <row r="311">
      <c r="A311" s="62" t="s">
        <v>2167</v>
      </c>
      <c r="B311" s="63" t="s">
        <v>703</v>
      </c>
      <c r="C311" s="64" t="s">
        <v>2168</v>
      </c>
      <c r="D311" s="64" t="s">
        <v>59</v>
      </c>
      <c r="E311" s="64">
        <v>52.33</v>
      </c>
      <c r="F311" s="288"/>
      <c r="G311" s="288"/>
      <c r="H311" s="64" t="s">
        <v>3593</v>
      </c>
      <c r="I311" s="64">
        <v>2024.0</v>
      </c>
      <c r="J311" s="64">
        <v>2025.0</v>
      </c>
      <c r="K311" s="287">
        <v>1.0</v>
      </c>
      <c r="L311" s="292" t="s">
        <v>3528</v>
      </c>
      <c r="M311" s="285" t="s">
        <v>4147</v>
      </c>
      <c r="N311" s="35">
        <v>0.0</v>
      </c>
      <c r="O311" s="35" t="s">
        <v>4147</v>
      </c>
      <c r="P311" s="35" t="s">
        <v>113</v>
      </c>
      <c r="Q311" s="38"/>
      <c r="R311" s="38" t="s">
        <v>3448</v>
      </c>
      <c r="S311" s="38"/>
      <c r="T311" s="39">
        <v>211834.26</v>
      </c>
      <c r="U311" s="39">
        <v>172723.9081</v>
      </c>
      <c r="V311" s="39">
        <v>39110.35189</v>
      </c>
      <c r="W311" s="57" t="s">
        <v>2169</v>
      </c>
      <c r="X311" s="85"/>
      <c r="Y311" s="42" t="str">
        <f>IFERROR(__xludf.DUMMYFUNCTION("vLOOKUP(A311,IMPORTRANGE(""https://docs.google.com/spreadsheets/d/1Rawwwdh8wntXGy8isdYNHxsNQS4n_rC8JSdPfj6vEq4"",""'500 объектов перенос на 2026'!A3:AB502""),13,0)"),"#REF!")</f>
        <v>#REF!</v>
      </c>
      <c r="Z311" s="42" t="str">
        <f>IFERROR(__xludf.DUMMYFUNCTION("vLOOKUP(A311,IMPORTRANGE(""https://docs.google.com/spreadsheets/d/1Rawwwdh8wntXGy8isdYNHxsNQS4n_rC8JSdPfj6vEq4"",""'500 объектов перенос на 2026'!A3:AB502""),14,0)"),"#REF!")</f>
        <v>#REF!</v>
      </c>
      <c r="AA311" s="85" t="s">
        <v>4146</v>
      </c>
      <c r="AB311" s="43"/>
    </row>
    <row r="312">
      <c r="A312" s="62" t="s">
        <v>2170</v>
      </c>
      <c r="B312" s="63" t="s">
        <v>703</v>
      </c>
      <c r="C312" s="64" t="s">
        <v>2171</v>
      </c>
      <c r="D312" s="64" t="s">
        <v>85</v>
      </c>
      <c r="E312" s="288"/>
      <c r="F312" s="288"/>
      <c r="G312" s="291" t="s">
        <v>4148</v>
      </c>
      <c r="H312" s="64" t="s">
        <v>3593</v>
      </c>
      <c r="I312" s="64">
        <v>2024.0</v>
      </c>
      <c r="J312" s="64">
        <v>2025.0</v>
      </c>
      <c r="K312" s="287">
        <v>1.0</v>
      </c>
      <c r="L312" s="292" t="s">
        <v>3528</v>
      </c>
      <c r="M312" s="285" t="s">
        <v>4149</v>
      </c>
      <c r="N312" s="35" t="s">
        <v>4150</v>
      </c>
      <c r="O312" s="35" t="s">
        <v>4151</v>
      </c>
      <c r="P312" s="35" t="s">
        <v>113</v>
      </c>
      <c r="Q312" s="38"/>
      <c r="R312" s="38" t="s">
        <v>115</v>
      </c>
      <c r="S312" s="38"/>
      <c r="T312" s="39">
        <v>241174.8</v>
      </c>
      <c r="U312" s="39">
        <v>241174.8041</v>
      </c>
      <c r="V312" s="39">
        <v>-0.00412</v>
      </c>
      <c r="W312" s="99" t="s">
        <v>2172</v>
      </c>
      <c r="X312" s="42"/>
      <c r="Y312" s="42" t="str">
        <f>IFERROR(__xludf.DUMMYFUNCTION("vLOOKUP(A312,IMPORTRANGE(""https://docs.google.com/spreadsheets/d/1Rawwwdh8wntXGy8isdYNHxsNQS4n_rC8JSdPfj6vEq4"",""'500 объектов перенос на 2026'!A3:AB502""),13,0)"),"#REF!")</f>
        <v>#REF!</v>
      </c>
      <c r="Z312" s="42" t="str">
        <f>IFERROR(__xludf.DUMMYFUNCTION("vLOOKUP(A312,IMPORTRANGE(""https://docs.google.com/spreadsheets/d/1Rawwwdh8wntXGy8isdYNHxsNQS4n_rC8JSdPfj6vEq4"",""'500 объектов перенос на 2026'!A3:AB502""),14,0)"),"#REF!")</f>
        <v>#REF!</v>
      </c>
      <c r="AA312" s="85" t="s">
        <v>175</v>
      </c>
      <c r="AB312" s="43"/>
    </row>
    <row r="313">
      <c r="A313" s="62" t="s">
        <v>702</v>
      </c>
      <c r="B313" s="63" t="s">
        <v>703</v>
      </c>
      <c r="C313" s="64" t="s">
        <v>704</v>
      </c>
      <c r="D313" s="64" t="s">
        <v>85</v>
      </c>
      <c r="E313" s="288"/>
      <c r="F313" s="64" t="s">
        <v>3795</v>
      </c>
      <c r="G313" s="291" t="s">
        <v>4152</v>
      </c>
      <c r="H313" s="64" t="s">
        <v>3512</v>
      </c>
      <c r="I313" s="64">
        <v>2024.0</v>
      </c>
      <c r="J313" s="64">
        <v>2026.0</v>
      </c>
      <c r="K313" s="287">
        <v>1.0</v>
      </c>
      <c r="L313" s="288"/>
      <c r="M313" s="289" t="s">
        <v>4153</v>
      </c>
      <c r="N313" s="35">
        <v>0.0</v>
      </c>
      <c r="O313" s="35" t="s">
        <v>3520</v>
      </c>
      <c r="P313" s="35" t="s">
        <v>507</v>
      </c>
      <c r="Q313" s="37">
        <v>46174.0</v>
      </c>
      <c r="R313" s="38" t="s">
        <v>3359</v>
      </c>
      <c r="S313" s="38"/>
      <c r="T313" s="39">
        <v>170109.67</v>
      </c>
      <c r="U313" s="39">
        <v>112827.3767</v>
      </c>
      <c r="V313" s="40">
        <v>57282.29334</v>
      </c>
      <c r="W313" s="99" t="s">
        <v>3360</v>
      </c>
      <c r="X313" s="85"/>
      <c r="Y313" s="42" t="str">
        <f>IFERROR(__xludf.DUMMYFUNCTION("vLOOKUP(A313,IMPORTRANGE(""https://docs.google.com/spreadsheets/d/1Rawwwdh8wntXGy8isdYNHxsNQS4n_rC8JSdPfj6vEq4"",""'500 объектов перенос на 2026'!A3:AB502""),13,0)"),"#REF!")</f>
        <v>#REF!</v>
      </c>
      <c r="Z313" s="42" t="str">
        <f>IFERROR(__xludf.DUMMYFUNCTION("vLOOKUP(A313,IMPORTRANGE(""https://docs.google.com/spreadsheets/d/1Rawwwdh8wntXGy8isdYNHxsNQS4n_rC8JSdPfj6vEq4"",""'500 объектов перенос на 2026'!A3:AB502""),14,0)"),"#REF!")</f>
        <v>#REF!</v>
      </c>
      <c r="AA313" s="85" t="s">
        <v>4154</v>
      </c>
      <c r="AB313" s="43"/>
    </row>
    <row r="314">
      <c r="A314" s="62" t="s">
        <v>2185</v>
      </c>
      <c r="B314" s="63" t="s">
        <v>703</v>
      </c>
      <c r="C314" s="64" t="s">
        <v>2186</v>
      </c>
      <c r="D314" s="64" t="s">
        <v>85</v>
      </c>
      <c r="E314" s="288"/>
      <c r="F314" s="64" t="s">
        <v>3550</v>
      </c>
      <c r="G314" s="64">
        <v>156.0</v>
      </c>
      <c r="H314" s="64" t="s">
        <v>3512</v>
      </c>
      <c r="I314" s="64">
        <v>2025.0</v>
      </c>
      <c r="J314" s="64">
        <v>2026.0</v>
      </c>
      <c r="K314" s="287">
        <v>1.0</v>
      </c>
      <c r="L314" s="288"/>
      <c r="M314" s="285" t="s">
        <v>4155</v>
      </c>
      <c r="N314" s="35" t="s">
        <v>4156</v>
      </c>
      <c r="O314" s="35" t="s">
        <v>4157</v>
      </c>
      <c r="P314" s="35" t="s">
        <v>209</v>
      </c>
      <c r="Q314" s="38"/>
      <c r="R314" s="38" t="s">
        <v>3359</v>
      </c>
      <c r="S314" s="38"/>
      <c r="T314" s="39">
        <v>5951.04</v>
      </c>
      <c r="U314" s="39">
        <v>5279.34427</v>
      </c>
      <c r="V314" s="39">
        <v>671.69573</v>
      </c>
      <c r="W314" s="99" t="s">
        <v>3450</v>
      </c>
      <c r="X314" s="42"/>
      <c r="Y314" s="42" t="str">
        <f>IFERROR(__xludf.DUMMYFUNCTION("vLOOKUP(A314,IMPORTRANGE(""https://docs.google.com/spreadsheets/d/1Rawwwdh8wntXGy8isdYNHxsNQS4n_rC8JSdPfj6vEq4"",""'500 объектов перенос на 2026'!A3:AB502""),13,0)"),"#REF!")</f>
        <v>#REF!</v>
      </c>
      <c r="Z314" s="42" t="str">
        <f>IFERROR(__xludf.DUMMYFUNCTION("vLOOKUP(A314,IMPORTRANGE(""https://docs.google.com/spreadsheets/d/1Rawwwdh8wntXGy8isdYNHxsNQS4n_rC8JSdPfj6vEq4"",""'500 объектов перенос на 2026'!A3:AB502""),14,0)"),"#REF!")</f>
        <v>#REF!</v>
      </c>
      <c r="AA314" s="85" t="s">
        <v>4158</v>
      </c>
      <c r="AB314" s="43"/>
    </row>
    <row r="315">
      <c r="A315" s="62" t="s">
        <v>3103</v>
      </c>
      <c r="B315" s="63" t="s">
        <v>703</v>
      </c>
      <c r="C315" s="64" t="s">
        <v>3104</v>
      </c>
      <c r="D315" s="64" t="s">
        <v>85</v>
      </c>
      <c r="E315" s="288"/>
      <c r="F315" s="64" t="s">
        <v>3795</v>
      </c>
      <c r="G315" s="64">
        <v>513.0</v>
      </c>
      <c r="H315" s="64" t="s">
        <v>3512</v>
      </c>
      <c r="I315" s="64">
        <v>2024.0</v>
      </c>
      <c r="J315" s="64">
        <v>2026.0</v>
      </c>
      <c r="K315" s="287">
        <v>1.0</v>
      </c>
      <c r="L315" s="288"/>
      <c r="M315" s="289" t="s">
        <v>4159</v>
      </c>
      <c r="N315" s="35">
        <v>0.0</v>
      </c>
      <c r="O315" s="35" t="s">
        <v>3520</v>
      </c>
      <c r="P315" s="35" t="s">
        <v>803</v>
      </c>
      <c r="Q315" s="37">
        <v>46174.0</v>
      </c>
      <c r="R315" s="38" t="s">
        <v>3359</v>
      </c>
      <c r="S315" s="38"/>
      <c r="T315" s="39">
        <v>44122.09</v>
      </c>
      <c r="U315" s="39">
        <v>37185.80904</v>
      </c>
      <c r="V315" s="40">
        <v>6936.28096</v>
      </c>
      <c r="W315" s="173" t="s">
        <v>3495</v>
      </c>
      <c r="X315" s="42"/>
      <c r="Y315" s="42" t="str">
        <f>IFERROR(__xludf.DUMMYFUNCTION("vLOOKUP(A315,IMPORTRANGE(""https://docs.google.com/spreadsheets/d/1Rawwwdh8wntXGy8isdYNHxsNQS4n_rC8JSdPfj6vEq4"",""'500 объектов перенос на 2026'!A3:AB502""),13,0)"),"#REF!")</f>
        <v>#REF!</v>
      </c>
      <c r="Z315" s="42" t="str">
        <f>IFERROR(__xludf.DUMMYFUNCTION("vLOOKUP(A315,IMPORTRANGE(""https://docs.google.com/spreadsheets/d/1Rawwwdh8wntXGy8isdYNHxsNQS4n_rC8JSdPfj6vEq4"",""'500 объектов перенос на 2026'!A3:AB502""),14,0)"),"#REF!")</f>
        <v>#REF!</v>
      </c>
      <c r="AA315" s="173" t="s">
        <v>4160</v>
      </c>
      <c r="AB315" s="43"/>
    </row>
    <row r="316">
      <c r="A316" s="62" t="s">
        <v>2194</v>
      </c>
      <c r="B316" s="63" t="s">
        <v>703</v>
      </c>
      <c r="C316" s="64" t="s">
        <v>2195</v>
      </c>
      <c r="D316" s="64" t="s">
        <v>85</v>
      </c>
      <c r="E316" s="288"/>
      <c r="F316" s="64" t="s">
        <v>3795</v>
      </c>
      <c r="G316" s="64">
        <v>448.0</v>
      </c>
      <c r="H316" s="64" t="s">
        <v>3512</v>
      </c>
      <c r="I316" s="64">
        <v>2024.0</v>
      </c>
      <c r="J316" s="64">
        <v>2025.0</v>
      </c>
      <c r="K316" s="287">
        <v>1.0</v>
      </c>
      <c r="L316" s="288"/>
      <c r="M316" s="289" t="s">
        <v>4161</v>
      </c>
      <c r="N316" s="35" t="s">
        <v>4162</v>
      </c>
      <c r="O316" s="35" t="s">
        <v>3520</v>
      </c>
      <c r="P316" s="35" t="s">
        <v>803</v>
      </c>
      <c r="Q316" s="37">
        <v>46174.0</v>
      </c>
      <c r="R316" s="38" t="s">
        <v>3359</v>
      </c>
      <c r="S316" s="38"/>
      <c r="T316" s="39">
        <v>32322.88</v>
      </c>
      <c r="U316" s="39">
        <v>19521.6346</v>
      </c>
      <c r="V316" s="40">
        <v>12801.2454</v>
      </c>
      <c r="W316" s="173" t="s">
        <v>2196</v>
      </c>
      <c r="X316" s="42"/>
      <c r="Y316" s="42" t="str">
        <f>IFERROR(__xludf.DUMMYFUNCTION("vLOOKUP(A316,IMPORTRANGE(""https://docs.google.com/spreadsheets/d/1Rawwwdh8wntXGy8isdYNHxsNQS4n_rC8JSdPfj6vEq4"",""'500 объектов перенос на 2026'!A3:AB502""),13,0)"),"#REF!")</f>
        <v>#REF!</v>
      </c>
      <c r="Z316" s="42" t="str">
        <f>IFERROR(__xludf.DUMMYFUNCTION("vLOOKUP(A316,IMPORTRANGE(""https://docs.google.com/spreadsheets/d/1Rawwwdh8wntXGy8isdYNHxsNQS4n_rC8JSdPfj6vEq4"",""'500 объектов перенос на 2026'!A3:AB502""),14,0)"),"#REF!")</f>
        <v>#REF!</v>
      </c>
      <c r="AA316" s="173" t="s">
        <v>4163</v>
      </c>
      <c r="AB316" s="43"/>
    </row>
    <row r="317">
      <c r="A317" s="62" t="s">
        <v>3117</v>
      </c>
      <c r="B317" s="63" t="s">
        <v>703</v>
      </c>
      <c r="C317" s="64" t="s">
        <v>3200</v>
      </c>
      <c r="D317" s="64" t="s">
        <v>85</v>
      </c>
      <c r="E317" s="288"/>
      <c r="F317" s="64" t="s">
        <v>3550</v>
      </c>
      <c r="G317" s="64">
        <v>142.0</v>
      </c>
      <c r="H317" s="64" t="s">
        <v>3512</v>
      </c>
      <c r="I317" s="64">
        <v>2024.0</v>
      </c>
      <c r="J317" s="64">
        <v>2026.0</v>
      </c>
      <c r="K317" s="287">
        <v>1.0</v>
      </c>
      <c r="L317" s="288"/>
      <c r="M317" s="289" t="s">
        <v>4164</v>
      </c>
      <c r="N317" s="35">
        <v>0.0</v>
      </c>
      <c r="O317" s="35" t="s">
        <v>3520</v>
      </c>
      <c r="P317" s="35" t="s">
        <v>803</v>
      </c>
      <c r="Q317" s="37">
        <v>46174.0</v>
      </c>
      <c r="R317" s="38" t="s">
        <v>3359</v>
      </c>
      <c r="S317" s="38"/>
      <c r="T317" s="39">
        <v>10013.48</v>
      </c>
      <c r="U317" s="39">
        <v>9709.62055</v>
      </c>
      <c r="V317" s="40">
        <v>303.85945</v>
      </c>
      <c r="W317" s="99" t="s">
        <v>3118</v>
      </c>
      <c r="X317" s="42"/>
      <c r="Y317" s="42" t="str">
        <f>IFERROR(__xludf.DUMMYFUNCTION("vLOOKUP(A317,IMPORTRANGE(""https://docs.google.com/spreadsheets/d/1Rawwwdh8wntXGy8isdYNHxsNQS4n_rC8JSdPfj6vEq4"",""'500 объектов перенос на 2026'!A3:AB502""),13,0)"),"#REF!")</f>
        <v>#REF!</v>
      </c>
      <c r="Z317" s="42" t="str">
        <f>IFERROR(__xludf.DUMMYFUNCTION("vLOOKUP(A317,IMPORTRANGE(""https://docs.google.com/spreadsheets/d/1Rawwwdh8wntXGy8isdYNHxsNQS4n_rC8JSdPfj6vEq4"",""'500 объектов перенос на 2026'!A3:AB502""),14,0)"),"#REF!")</f>
        <v>#REF!</v>
      </c>
      <c r="AA317" s="85" t="s">
        <v>4165</v>
      </c>
      <c r="AB317" s="43"/>
    </row>
    <row r="318">
      <c r="A318" s="62" t="s">
        <v>2206</v>
      </c>
      <c r="B318" s="63" t="s">
        <v>703</v>
      </c>
      <c r="C318" s="64" t="s">
        <v>2207</v>
      </c>
      <c r="D318" s="64" t="s">
        <v>85</v>
      </c>
      <c r="E318" s="288"/>
      <c r="F318" s="64" t="s">
        <v>3795</v>
      </c>
      <c r="G318" s="64">
        <v>990.4</v>
      </c>
      <c r="H318" s="64" t="s">
        <v>3512</v>
      </c>
      <c r="I318" s="64">
        <v>2024.0</v>
      </c>
      <c r="J318" s="64">
        <v>2025.0</v>
      </c>
      <c r="K318" s="287">
        <v>1.0</v>
      </c>
      <c r="L318" s="288"/>
      <c r="M318" s="289" t="s">
        <v>4166</v>
      </c>
      <c r="N318" s="35" t="s">
        <v>4167</v>
      </c>
      <c r="O318" s="35" t="s">
        <v>3520</v>
      </c>
      <c r="P318" s="35" t="s">
        <v>803</v>
      </c>
      <c r="Q318" s="37">
        <v>46174.0</v>
      </c>
      <c r="R318" s="38" t="s">
        <v>3359</v>
      </c>
      <c r="S318" s="38"/>
      <c r="T318" s="39">
        <v>81596.03</v>
      </c>
      <c r="U318" s="39">
        <v>21036.89436</v>
      </c>
      <c r="V318" s="40">
        <v>60559.13564</v>
      </c>
      <c r="W318" s="173" t="s">
        <v>2208</v>
      </c>
      <c r="X318" s="42"/>
      <c r="Y318" s="42" t="str">
        <f>IFERROR(__xludf.DUMMYFUNCTION("vLOOKUP(A318,IMPORTRANGE(""https://docs.google.com/spreadsheets/d/1Rawwwdh8wntXGy8isdYNHxsNQS4n_rC8JSdPfj6vEq4"",""'500 объектов перенос на 2026'!A3:AB502""),13,0)"),"#REF!")</f>
        <v>#REF!</v>
      </c>
      <c r="Z318" s="42" t="str">
        <f>IFERROR(__xludf.DUMMYFUNCTION("vLOOKUP(A318,IMPORTRANGE(""https://docs.google.com/spreadsheets/d/1Rawwwdh8wntXGy8isdYNHxsNQS4n_rC8JSdPfj6vEq4"",""'500 объектов перенос на 2026'!A3:AB502""),14,0)"),"#REF!")</f>
        <v>#REF!</v>
      </c>
      <c r="AA318" s="173" t="s">
        <v>4168</v>
      </c>
      <c r="AB318" s="43"/>
    </row>
    <row r="319">
      <c r="A319" s="62" t="s">
        <v>2209</v>
      </c>
      <c r="B319" s="63" t="s">
        <v>703</v>
      </c>
      <c r="C319" s="64" t="s">
        <v>2210</v>
      </c>
      <c r="D319" s="64" t="s">
        <v>85</v>
      </c>
      <c r="E319" s="288"/>
      <c r="F319" s="64" t="s">
        <v>3550</v>
      </c>
      <c r="G319" s="64">
        <v>310.0</v>
      </c>
      <c r="H319" s="64" t="s">
        <v>3512</v>
      </c>
      <c r="I319" s="64">
        <v>2024.0</v>
      </c>
      <c r="J319" s="64">
        <v>2026.0</v>
      </c>
      <c r="K319" s="287">
        <v>1.0</v>
      </c>
      <c r="L319" s="288"/>
      <c r="M319" s="285" t="s">
        <v>4169</v>
      </c>
      <c r="N319" s="35" t="s">
        <v>4170</v>
      </c>
      <c r="O319" s="35" t="s">
        <v>4171</v>
      </c>
      <c r="P319" s="35" t="s">
        <v>209</v>
      </c>
      <c r="Q319" s="38"/>
      <c r="R319" s="38" t="s">
        <v>3359</v>
      </c>
      <c r="S319" s="38"/>
      <c r="T319" s="39">
        <v>12354.66</v>
      </c>
      <c r="U319" s="39">
        <v>15000.90456</v>
      </c>
      <c r="V319" s="39">
        <v>-2646.24456</v>
      </c>
      <c r="W319" s="173" t="s">
        <v>3452</v>
      </c>
      <c r="X319" s="42"/>
      <c r="Y319" s="42" t="str">
        <f>IFERROR(__xludf.DUMMYFUNCTION("vLOOKUP(A319,IMPORTRANGE(""https://docs.google.com/spreadsheets/d/1Rawwwdh8wntXGy8isdYNHxsNQS4n_rC8JSdPfj6vEq4"",""'500 объектов перенос на 2026'!A3:AB502""),13,0)"),"#REF!")</f>
        <v>#REF!</v>
      </c>
      <c r="Z319" s="42" t="str">
        <f>IFERROR(__xludf.DUMMYFUNCTION("vLOOKUP(A319,IMPORTRANGE(""https://docs.google.com/spreadsheets/d/1Rawwwdh8wntXGy8isdYNHxsNQS4n_rC8JSdPfj6vEq4"",""'500 объектов перенос на 2026'!A3:AB502""),14,0)"),"#REF!")</f>
        <v>#REF!</v>
      </c>
      <c r="AA319" s="173" t="s">
        <v>4172</v>
      </c>
      <c r="AB319" s="43"/>
    </row>
    <row r="320">
      <c r="A320" s="62" t="s">
        <v>2212</v>
      </c>
      <c r="B320" s="63" t="s">
        <v>703</v>
      </c>
      <c r="C320" s="64" t="s">
        <v>2213</v>
      </c>
      <c r="D320" s="64" t="s">
        <v>85</v>
      </c>
      <c r="E320" s="288"/>
      <c r="F320" s="64" t="s">
        <v>3550</v>
      </c>
      <c r="G320" s="64">
        <v>24.0</v>
      </c>
      <c r="H320" s="64" t="s">
        <v>3512</v>
      </c>
      <c r="I320" s="64">
        <v>2024.0</v>
      </c>
      <c r="J320" s="64">
        <v>2026.0</v>
      </c>
      <c r="K320" s="287">
        <v>1.0</v>
      </c>
      <c r="L320" s="288"/>
      <c r="M320" s="285" t="s">
        <v>4173</v>
      </c>
      <c r="N320" s="295" t="s">
        <v>4174</v>
      </c>
      <c r="O320" s="35" t="s">
        <v>3520</v>
      </c>
      <c r="P320" s="35" t="s">
        <v>209</v>
      </c>
      <c r="Q320" s="38"/>
      <c r="R320" s="38" t="s">
        <v>3359</v>
      </c>
      <c r="S320" s="38"/>
      <c r="T320" s="39">
        <v>1845.77</v>
      </c>
      <c r="U320" s="39">
        <v>1470.06925</v>
      </c>
      <c r="V320" s="39">
        <v>375.70075</v>
      </c>
      <c r="W320" s="173" t="s">
        <v>3453</v>
      </c>
      <c r="X320" s="42"/>
      <c r="Y320" s="42" t="str">
        <f>IFERROR(__xludf.DUMMYFUNCTION("vLOOKUP(A320,IMPORTRANGE(""https://docs.google.com/spreadsheets/d/1Rawwwdh8wntXGy8isdYNHxsNQS4n_rC8JSdPfj6vEq4"",""'500 объектов перенос на 2026'!A3:AB502""),13,0)"),"#REF!")</f>
        <v>#REF!</v>
      </c>
      <c r="Z320" s="42" t="str">
        <f>IFERROR(__xludf.DUMMYFUNCTION("vLOOKUP(A320,IMPORTRANGE(""https://docs.google.com/spreadsheets/d/1Rawwwdh8wntXGy8isdYNHxsNQS4n_rC8JSdPfj6vEq4"",""'500 объектов перенос на 2026'!A3:AB502""),14,0)"),"#REF!")</f>
        <v>#REF!</v>
      </c>
      <c r="AA320" s="173" t="s">
        <v>4175</v>
      </c>
      <c r="AB320" s="43"/>
    </row>
    <row r="321">
      <c r="A321" s="62" t="s">
        <v>2215</v>
      </c>
      <c r="B321" s="63" t="s">
        <v>703</v>
      </c>
      <c r="C321" s="64" t="s">
        <v>2216</v>
      </c>
      <c r="D321" s="64" t="s">
        <v>85</v>
      </c>
      <c r="E321" s="288"/>
      <c r="F321" s="288"/>
      <c r="G321" s="291" t="s">
        <v>4176</v>
      </c>
      <c r="H321" s="64" t="s">
        <v>3593</v>
      </c>
      <c r="I321" s="64">
        <v>2024.0</v>
      </c>
      <c r="J321" s="294">
        <v>2025.0</v>
      </c>
      <c r="K321" s="287">
        <v>1.0</v>
      </c>
      <c r="L321" s="288"/>
      <c r="M321" s="285" t="s">
        <v>4177</v>
      </c>
      <c r="N321" s="35" t="s">
        <v>4178</v>
      </c>
      <c r="O321" s="35" t="s">
        <v>4179</v>
      </c>
      <c r="P321" s="35" t="s">
        <v>803</v>
      </c>
      <c r="Q321" s="37">
        <v>46174.0</v>
      </c>
      <c r="R321" s="38" t="s">
        <v>3359</v>
      </c>
      <c r="S321" s="38"/>
      <c r="T321" s="39">
        <v>560063.23</v>
      </c>
      <c r="U321" s="39">
        <v>431750.2978</v>
      </c>
      <c r="V321" s="40">
        <v>128312.9322</v>
      </c>
      <c r="W321" s="173" t="s">
        <v>2217</v>
      </c>
      <c r="X321" s="42"/>
      <c r="Y321" s="42" t="str">
        <f>IFERROR(__xludf.DUMMYFUNCTION("vLOOKUP(A321,IMPORTRANGE(""https://docs.google.com/spreadsheets/d/1Rawwwdh8wntXGy8isdYNHxsNQS4n_rC8JSdPfj6vEq4"",""'500 объектов перенос на 2026'!A3:AB502""),13,0)"),"#REF!")</f>
        <v>#REF!</v>
      </c>
      <c r="Z321" s="42" t="str">
        <f>IFERROR(__xludf.DUMMYFUNCTION("vLOOKUP(A321,IMPORTRANGE(""https://docs.google.com/spreadsheets/d/1Rawwwdh8wntXGy8isdYNHxsNQS4n_rC8JSdPfj6vEq4"",""'500 объектов перенос на 2026'!A3:AB502""),14,0)"),"#REF!")</f>
        <v>#REF!</v>
      </c>
      <c r="AA321" s="307" t="s">
        <v>4180</v>
      </c>
      <c r="AB321" s="43"/>
    </row>
    <row r="322">
      <c r="A322" s="62" t="s">
        <v>1521</v>
      </c>
      <c r="B322" s="63" t="s">
        <v>703</v>
      </c>
      <c r="C322" s="64" t="s">
        <v>1522</v>
      </c>
      <c r="D322" s="64" t="s">
        <v>85</v>
      </c>
      <c r="E322" s="288"/>
      <c r="F322" s="64" t="s">
        <v>3795</v>
      </c>
      <c r="G322" s="291" t="s">
        <v>4181</v>
      </c>
      <c r="H322" s="64" t="s">
        <v>3512</v>
      </c>
      <c r="I322" s="64">
        <v>2025.0</v>
      </c>
      <c r="J322" s="64">
        <v>2026.0</v>
      </c>
      <c r="K322" s="287">
        <v>0.98</v>
      </c>
      <c r="L322" s="288"/>
      <c r="M322" s="289" t="s">
        <v>4182</v>
      </c>
      <c r="N322" s="35" t="s">
        <v>4183</v>
      </c>
      <c r="O322" s="35" t="s">
        <v>3520</v>
      </c>
      <c r="P322" s="35" t="s">
        <v>507</v>
      </c>
      <c r="Q322" s="37">
        <v>46174.0</v>
      </c>
      <c r="R322" s="38" t="s">
        <v>3359</v>
      </c>
      <c r="S322" s="38"/>
      <c r="T322" s="39">
        <v>72189.18</v>
      </c>
      <c r="U322" s="39">
        <v>44357.90589</v>
      </c>
      <c r="V322" s="40">
        <v>27831.27411</v>
      </c>
      <c r="W322" s="99" t="s">
        <v>3410</v>
      </c>
      <c r="X322" s="42"/>
      <c r="Y322" s="42" t="str">
        <f>IFERROR(__xludf.DUMMYFUNCTION("vLOOKUP(A322,IMPORTRANGE(""https://docs.google.com/spreadsheets/d/1Rawwwdh8wntXGy8isdYNHxsNQS4n_rC8JSdPfj6vEq4"",""'500 объектов перенос на 2026'!A3:AB502""),13,0)"),"#REF!")</f>
        <v>#REF!</v>
      </c>
      <c r="Z322" s="42" t="str">
        <f>IFERROR(__xludf.DUMMYFUNCTION("vLOOKUP(A322,IMPORTRANGE(""https://docs.google.com/spreadsheets/d/1Rawwwdh8wntXGy8isdYNHxsNQS4n_rC8JSdPfj6vEq4"",""'500 объектов перенос на 2026'!A3:AB502""),14,0)"),"#REF!")</f>
        <v>#REF!</v>
      </c>
      <c r="AA322" s="85" t="s">
        <v>4184</v>
      </c>
      <c r="AB322" s="43"/>
    </row>
    <row r="323">
      <c r="A323" s="62" t="s">
        <v>3122</v>
      </c>
      <c r="B323" s="63" t="s">
        <v>703</v>
      </c>
      <c r="C323" s="64" t="s">
        <v>3123</v>
      </c>
      <c r="D323" s="64" t="s">
        <v>85</v>
      </c>
      <c r="E323" s="288"/>
      <c r="F323" s="64" t="s">
        <v>3795</v>
      </c>
      <c r="G323" s="64">
        <v>707.0</v>
      </c>
      <c r="H323" s="64" t="s">
        <v>3512</v>
      </c>
      <c r="I323" s="64">
        <v>2025.0</v>
      </c>
      <c r="J323" s="64">
        <v>2026.0</v>
      </c>
      <c r="K323" s="287">
        <v>1.0</v>
      </c>
      <c r="L323" s="288"/>
      <c r="M323" s="289" t="s">
        <v>4185</v>
      </c>
      <c r="N323" s="35" t="s">
        <v>4186</v>
      </c>
      <c r="O323" s="35" t="s">
        <v>3520</v>
      </c>
      <c r="P323" s="35" t="s">
        <v>803</v>
      </c>
      <c r="Q323" s="37">
        <v>46174.0</v>
      </c>
      <c r="R323" s="38" t="s">
        <v>3359</v>
      </c>
      <c r="S323" s="38"/>
      <c r="T323" s="39">
        <v>27957.39</v>
      </c>
      <c r="U323" s="39">
        <v>27948.54798</v>
      </c>
      <c r="V323" s="40">
        <v>8.84202</v>
      </c>
      <c r="W323" s="99" t="s">
        <v>3124</v>
      </c>
      <c r="X323" s="42"/>
      <c r="Y323" s="42" t="str">
        <f>IFERROR(__xludf.DUMMYFUNCTION("vLOOKUP(A323,IMPORTRANGE(""https://docs.google.com/spreadsheets/d/1Rawwwdh8wntXGy8isdYNHxsNQS4n_rC8JSdPfj6vEq4"",""'500 объектов перенос на 2026'!A3:AB502""),13,0)"),"#REF!")</f>
        <v>#REF!</v>
      </c>
      <c r="Z323" s="42" t="str">
        <f>IFERROR(__xludf.DUMMYFUNCTION("vLOOKUP(A323,IMPORTRANGE(""https://docs.google.com/spreadsheets/d/1Rawwwdh8wntXGy8isdYNHxsNQS4n_rC8JSdPfj6vEq4"",""'500 объектов перенос на 2026'!A3:AB502""),14,0)"),"#REF!")</f>
        <v>#REF!</v>
      </c>
      <c r="AA323" s="85" t="s">
        <v>4165</v>
      </c>
      <c r="AB323" s="43"/>
    </row>
    <row r="324">
      <c r="A324" s="62" t="s">
        <v>2231</v>
      </c>
      <c r="B324" s="63" t="s">
        <v>703</v>
      </c>
      <c r="C324" s="64" t="s">
        <v>2232</v>
      </c>
      <c r="D324" s="64" t="s">
        <v>85</v>
      </c>
      <c r="E324" s="288"/>
      <c r="F324" s="64" t="s">
        <v>3550</v>
      </c>
      <c r="G324" s="64">
        <v>131.44</v>
      </c>
      <c r="H324" s="64" t="s">
        <v>3512</v>
      </c>
      <c r="I324" s="64">
        <v>2025.0</v>
      </c>
      <c r="J324" s="64">
        <v>2026.0</v>
      </c>
      <c r="K324" s="287">
        <v>1.0</v>
      </c>
      <c r="L324" s="288"/>
      <c r="M324" s="289" t="s">
        <v>4187</v>
      </c>
      <c r="N324" s="35">
        <v>0.0</v>
      </c>
      <c r="O324" s="35" t="s">
        <v>3520</v>
      </c>
      <c r="P324" s="35" t="s">
        <v>209</v>
      </c>
      <c r="Q324" s="38"/>
      <c r="R324" s="38" t="s">
        <v>3359</v>
      </c>
      <c r="S324" s="38"/>
      <c r="T324" s="39">
        <v>6113.34</v>
      </c>
      <c r="U324" s="39">
        <v>5310.28159</v>
      </c>
      <c r="V324" s="39">
        <v>803.05841</v>
      </c>
      <c r="W324" s="99" t="s">
        <v>2233</v>
      </c>
      <c r="X324" s="42"/>
      <c r="Y324" s="42" t="str">
        <f>IFERROR(__xludf.DUMMYFUNCTION("vLOOKUP(A324,IMPORTRANGE(""https://docs.google.com/spreadsheets/d/1Rawwwdh8wntXGy8isdYNHxsNQS4n_rC8JSdPfj6vEq4"",""'500 объектов перенос на 2026'!A3:AB502""),13,0)"),"#REF!")</f>
        <v>#REF!</v>
      </c>
      <c r="Z324" s="42" t="str">
        <f>IFERROR(__xludf.DUMMYFUNCTION("vLOOKUP(A324,IMPORTRANGE(""https://docs.google.com/spreadsheets/d/1Rawwwdh8wntXGy8isdYNHxsNQS4n_rC8JSdPfj6vEq4"",""'500 объектов перенос на 2026'!A3:AB502""),14,0)"),"#REF!")</f>
        <v>#REF!</v>
      </c>
      <c r="AA324" s="85" t="s">
        <v>4144</v>
      </c>
      <c r="AB324" s="43"/>
    </row>
    <row r="325">
      <c r="A325" s="62" t="s">
        <v>2910</v>
      </c>
      <c r="B325" s="63" t="s">
        <v>703</v>
      </c>
      <c r="C325" s="90" t="s">
        <v>2911</v>
      </c>
      <c r="D325" s="64" t="s">
        <v>85</v>
      </c>
      <c r="E325" s="288"/>
      <c r="F325" s="64" t="s">
        <v>3795</v>
      </c>
      <c r="G325" s="64">
        <v>349.91</v>
      </c>
      <c r="H325" s="64" t="s">
        <v>3512</v>
      </c>
      <c r="I325" s="64">
        <v>2025.0</v>
      </c>
      <c r="J325" s="64">
        <v>2026.0</v>
      </c>
      <c r="K325" s="287">
        <v>1.0</v>
      </c>
      <c r="L325" s="288"/>
      <c r="M325" s="285" t="s">
        <v>4188</v>
      </c>
      <c r="N325" s="35" t="s">
        <v>4189</v>
      </c>
      <c r="O325" s="35" t="s">
        <v>4190</v>
      </c>
      <c r="P325" s="35" t="s">
        <v>507</v>
      </c>
      <c r="Q325" s="37">
        <v>46174.0</v>
      </c>
      <c r="R325" s="38" t="s">
        <v>3359</v>
      </c>
      <c r="S325" s="38"/>
      <c r="T325" s="39">
        <v>16677.53</v>
      </c>
      <c r="U325" s="39">
        <v>13637.41812</v>
      </c>
      <c r="V325" s="40">
        <v>3040.11188</v>
      </c>
      <c r="W325" s="99" t="s">
        <v>2912</v>
      </c>
      <c r="X325" s="42"/>
      <c r="Y325" s="42" t="str">
        <f>IFERROR(__xludf.DUMMYFUNCTION("vLOOKUP(A325,IMPORTRANGE(""https://docs.google.com/spreadsheets/d/1Rawwwdh8wntXGy8isdYNHxsNQS4n_rC8JSdPfj6vEq4"",""'500 объектов перенос на 2026'!A3:AB502""),13,0)"),"#REF!")</f>
        <v>#REF!</v>
      </c>
      <c r="Z325" s="42" t="str">
        <f>IFERROR(__xludf.DUMMYFUNCTION("vLOOKUP(A325,IMPORTRANGE(""https://docs.google.com/spreadsheets/d/1Rawwwdh8wntXGy8isdYNHxsNQS4n_rC8JSdPfj6vEq4"",""'500 объектов перенос на 2026'!A3:AB502""),14,0)"),"#REF!")</f>
        <v>#REF!</v>
      </c>
      <c r="AA325" s="85" t="s">
        <v>4191</v>
      </c>
      <c r="AB325" s="43"/>
    </row>
    <row r="326">
      <c r="A326" s="62" t="s">
        <v>2239</v>
      </c>
      <c r="B326" s="63" t="s">
        <v>703</v>
      </c>
      <c r="C326" s="64" t="s">
        <v>2240</v>
      </c>
      <c r="D326" s="64" t="s">
        <v>85</v>
      </c>
      <c r="E326" s="288"/>
      <c r="F326" s="64" t="s">
        <v>3550</v>
      </c>
      <c r="G326" s="64">
        <v>43.5</v>
      </c>
      <c r="H326" s="64" t="s">
        <v>3512</v>
      </c>
      <c r="I326" s="64">
        <v>2024.0</v>
      </c>
      <c r="J326" s="64">
        <v>2026.0</v>
      </c>
      <c r="K326" s="287">
        <v>1.0</v>
      </c>
      <c r="L326" s="288"/>
      <c r="M326" s="285" t="s">
        <v>4192</v>
      </c>
      <c r="N326" s="35" t="s">
        <v>4193</v>
      </c>
      <c r="O326" s="35" t="s">
        <v>4194</v>
      </c>
      <c r="P326" s="35" t="s">
        <v>209</v>
      </c>
      <c r="Q326" s="38"/>
      <c r="R326" s="38" t="s">
        <v>3359</v>
      </c>
      <c r="S326" s="38"/>
      <c r="T326" s="39">
        <v>1642.58</v>
      </c>
      <c r="U326" s="39">
        <v>1236.01494</v>
      </c>
      <c r="V326" s="39">
        <v>406.56506</v>
      </c>
      <c r="W326" s="99" t="s">
        <v>2241</v>
      </c>
      <c r="X326" s="42"/>
      <c r="Y326" s="42" t="str">
        <f>IFERROR(__xludf.DUMMYFUNCTION("vLOOKUP(A326,IMPORTRANGE(""https://docs.google.com/spreadsheets/d/1Rawwwdh8wntXGy8isdYNHxsNQS4n_rC8JSdPfj6vEq4"",""'500 объектов перенос на 2026'!A3:AB502""),13,0)"),"#REF!")</f>
        <v>#REF!</v>
      </c>
      <c r="Z326" s="42" t="str">
        <f>IFERROR(__xludf.DUMMYFUNCTION("vLOOKUP(A326,IMPORTRANGE(""https://docs.google.com/spreadsheets/d/1Rawwwdh8wntXGy8isdYNHxsNQS4n_rC8JSdPfj6vEq4"",""'500 объектов перенос на 2026'!A3:AB502""),14,0)"),"#REF!")</f>
        <v>#REF!</v>
      </c>
      <c r="AA326" s="85" t="s">
        <v>4165</v>
      </c>
      <c r="AB326" s="43"/>
    </row>
    <row r="327">
      <c r="A327" s="62" t="s">
        <v>2242</v>
      </c>
      <c r="B327" s="63" t="s">
        <v>703</v>
      </c>
      <c r="C327" s="64" t="s">
        <v>2243</v>
      </c>
      <c r="D327" s="64" t="s">
        <v>85</v>
      </c>
      <c r="E327" s="288"/>
      <c r="F327" s="64" t="s">
        <v>3550</v>
      </c>
      <c r="G327" s="64">
        <v>356.73</v>
      </c>
      <c r="H327" s="64" t="s">
        <v>3512</v>
      </c>
      <c r="I327" s="64">
        <v>2024.0</v>
      </c>
      <c r="J327" s="64">
        <v>2025.0</v>
      </c>
      <c r="K327" s="287">
        <v>1.0</v>
      </c>
      <c r="L327" s="288"/>
      <c r="M327" s="285" t="s">
        <v>4195</v>
      </c>
      <c r="N327" s="35" t="s">
        <v>4196</v>
      </c>
      <c r="O327" s="35" t="s">
        <v>4197</v>
      </c>
      <c r="P327" s="35" t="s">
        <v>3747</v>
      </c>
      <c r="Q327" s="37">
        <v>46174.0</v>
      </c>
      <c r="R327" s="38" t="s">
        <v>3359</v>
      </c>
      <c r="S327" s="38"/>
      <c r="T327" s="39">
        <v>24286.18</v>
      </c>
      <c r="U327" s="39">
        <v>4063.31082</v>
      </c>
      <c r="V327" s="40">
        <v>20222.86918</v>
      </c>
      <c r="W327" s="173" t="s">
        <v>2244</v>
      </c>
      <c r="X327" s="42"/>
      <c r="Y327" s="42" t="str">
        <f>IFERROR(__xludf.DUMMYFUNCTION("vLOOKUP(A327,IMPORTRANGE(""https://docs.google.com/spreadsheets/d/1Rawwwdh8wntXGy8isdYNHxsNQS4n_rC8JSdPfj6vEq4"",""'500 объектов перенос на 2026'!A3:AB502""),13,0)"),"#REF!")</f>
        <v>#REF!</v>
      </c>
      <c r="Z327" s="42" t="str">
        <f>IFERROR(__xludf.DUMMYFUNCTION("vLOOKUP(A327,IMPORTRANGE(""https://docs.google.com/spreadsheets/d/1Rawwwdh8wntXGy8isdYNHxsNQS4n_rC8JSdPfj6vEq4"",""'500 объектов перенос на 2026'!A3:AB502""),14,0)"),"#REF!")</f>
        <v>#REF!</v>
      </c>
      <c r="AA327" s="173" t="s">
        <v>4198</v>
      </c>
      <c r="AB327" s="43"/>
    </row>
    <row r="328">
      <c r="A328" s="62" t="s">
        <v>2245</v>
      </c>
      <c r="B328" s="63" t="s">
        <v>703</v>
      </c>
      <c r="C328" s="64" t="s">
        <v>2246</v>
      </c>
      <c r="D328" s="64" t="s">
        <v>85</v>
      </c>
      <c r="E328" s="288"/>
      <c r="F328" s="64" t="s">
        <v>3795</v>
      </c>
      <c r="G328" s="64">
        <v>561.59</v>
      </c>
      <c r="H328" s="64" t="s">
        <v>3512</v>
      </c>
      <c r="I328" s="64">
        <v>2024.0</v>
      </c>
      <c r="J328" s="64">
        <v>2025.0</v>
      </c>
      <c r="K328" s="287">
        <v>1.0</v>
      </c>
      <c r="L328" s="288"/>
      <c r="M328" s="285" t="s">
        <v>4199</v>
      </c>
      <c r="N328" s="35" t="s">
        <v>4200</v>
      </c>
      <c r="O328" s="35" t="s">
        <v>4201</v>
      </c>
      <c r="P328" s="35" t="s">
        <v>3747</v>
      </c>
      <c r="Q328" s="37">
        <v>46174.0</v>
      </c>
      <c r="R328" s="38" t="s">
        <v>3359</v>
      </c>
      <c r="S328" s="38"/>
      <c r="T328" s="39">
        <v>38920.22</v>
      </c>
      <c r="U328" s="39">
        <v>21173.37922</v>
      </c>
      <c r="V328" s="40">
        <v>17746.84078</v>
      </c>
      <c r="W328" s="173" t="s">
        <v>2247</v>
      </c>
      <c r="X328" s="174"/>
      <c r="Y328" s="42" t="str">
        <f>IFERROR(__xludf.DUMMYFUNCTION("vLOOKUP(A328,IMPORTRANGE(""https://docs.google.com/spreadsheets/d/1Rawwwdh8wntXGy8isdYNHxsNQS4n_rC8JSdPfj6vEq4"",""'500 объектов перенос на 2026'!A3:AB502""),13,0)"),"#REF!")</f>
        <v>#REF!</v>
      </c>
      <c r="Z328" s="42" t="str">
        <f>IFERROR(__xludf.DUMMYFUNCTION("vLOOKUP(A328,IMPORTRANGE(""https://docs.google.com/spreadsheets/d/1Rawwwdh8wntXGy8isdYNHxsNQS4n_rC8JSdPfj6vEq4"",""'500 объектов перенос на 2026'!A3:AB502""),14,0)"),"#REF!")</f>
        <v>#REF!</v>
      </c>
      <c r="AA328" s="173" t="s">
        <v>4202</v>
      </c>
      <c r="AB328" s="43"/>
    </row>
    <row r="329">
      <c r="A329" s="62" t="s">
        <v>2248</v>
      </c>
      <c r="B329" s="63" t="s">
        <v>703</v>
      </c>
      <c r="C329" s="64" t="s">
        <v>2249</v>
      </c>
      <c r="D329" s="64" t="s">
        <v>85</v>
      </c>
      <c r="E329" s="288"/>
      <c r="F329" s="64" t="s">
        <v>3550</v>
      </c>
      <c r="G329" s="64">
        <v>63.3</v>
      </c>
      <c r="H329" s="64" t="s">
        <v>3512</v>
      </c>
      <c r="I329" s="64">
        <v>2024.0</v>
      </c>
      <c r="J329" s="64">
        <v>2025.0</v>
      </c>
      <c r="K329" s="287">
        <v>1.0</v>
      </c>
      <c r="L329" s="288"/>
      <c r="M329" s="285" t="s">
        <v>4203</v>
      </c>
      <c r="N329" s="35" t="s">
        <v>4204</v>
      </c>
      <c r="O329" s="35" t="s">
        <v>4205</v>
      </c>
      <c r="P329" s="35" t="s">
        <v>3747</v>
      </c>
      <c r="Q329" s="37">
        <v>46174.0</v>
      </c>
      <c r="R329" s="38" t="s">
        <v>3359</v>
      </c>
      <c r="S329" s="38"/>
      <c r="T329" s="39">
        <v>6132.5</v>
      </c>
      <c r="U329" s="39">
        <v>2876.10964</v>
      </c>
      <c r="V329" s="40">
        <v>3256.39036</v>
      </c>
      <c r="W329" s="173" t="s">
        <v>2250</v>
      </c>
      <c r="X329" s="42"/>
      <c r="Y329" s="42" t="str">
        <f>IFERROR(__xludf.DUMMYFUNCTION("vLOOKUP(A329,IMPORTRANGE(""https://docs.google.com/spreadsheets/d/1Rawwwdh8wntXGy8isdYNHxsNQS4n_rC8JSdPfj6vEq4"",""'500 объектов перенос на 2026'!A3:AB502""),13,0)"),"#REF!")</f>
        <v>#REF!</v>
      </c>
      <c r="Z329" s="42" t="str">
        <f>IFERROR(__xludf.DUMMYFUNCTION("vLOOKUP(A329,IMPORTRANGE(""https://docs.google.com/spreadsheets/d/1Rawwwdh8wntXGy8isdYNHxsNQS4n_rC8JSdPfj6vEq4"",""'500 объектов перенос на 2026'!A3:AB502""),14,0)"),"#REF!")</f>
        <v>#REF!</v>
      </c>
      <c r="AA329" s="173" t="s">
        <v>4206</v>
      </c>
      <c r="AB329" s="43"/>
    </row>
    <row r="330">
      <c r="A330" s="62" t="s">
        <v>2053</v>
      </c>
      <c r="B330" s="63" t="s">
        <v>703</v>
      </c>
      <c r="C330" s="64" t="s">
        <v>2054</v>
      </c>
      <c r="D330" s="64" t="s">
        <v>85</v>
      </c>
      <c r="E330" s="288"/>
      <c r="F330" s="64" t="s">
        <v>3550</v>
      </c>
      <c r="G330" s="64">
        <v>914.0</v>
      </c>
      <c r="H330" s="64" t="s">
        <v>3512</v>
      </c>
      <c r="I330" s="64">
        <v>2024.0</v>
      </c>
      <c r="J330" s="64">
        <v>2026.0</v>
      </c>
      <c r="K330" s="287">
        <v>0.98</v>
      </c>
      <c r="L330" s="288"/>
      <c r="M330" s="289" t="s">
        <v>4207</v>
      </c>
      <c r="N330" s="35">
        <v>0.0</v>
      </c>
      <c r="O330" s="35" t="s">
        <v>3520</v>
      </c>
      <c r="P330" s="35" t="s">
        <v>507</v>
      </c>
      <c r="Q330" s="37">
        <v>46174.0</v>
      </c>
      <c r="R330" s="38" t="s">
        <v>3359</v>
      </c>
      <c r="S330" s="38"/>
      <c r="T330" s="39">
        <v>63800.71</v>
      </c>
      <c r="U330" s="39">
        <v>49003.79068</v>
      </c>
      <c r="V330" s="40">
        <v>14796.91932</v>
      </c>
      <c r="W330" s="173" t="s">
        <v>3442</v>
      </c>
      <c r="X330" s="42"/>
      <c r="Y330" s="42" t="str">
        <f>IFERROR(__xludf.DUMMYFUNCTION("vLOOKUP(A330,IMPORTRANGE(""https://docs.google.com/spreadsheets/d/1Rawwwdh8wntXGy8isdYNHxsNQS4n_rC8JSdPfj6vEq4"",""'500 объектов перенос на 2026'!A3:AB502""),13,0)"),"#REF!")</f>
        <v>#REF!</v>
      </c>
      <c r="Z330" s="42" t="str">
        <f>IFERROR(__xludf.DUMMYFUNCTION("vLOOKUP(A330,IMPORTRANGE(""https://docs.google.com/spreadsheets/d/1Rawwwdh8wntXGy8isdYNHxsNQS4n_rC8JSdPfj6vEq4"",""'500 объектов перенос на 2026'!A3:AB502""),14,0)"),"#REF!")</f>
        <v>#REF!</v>
      </c>
      <c r="AA330" s="173" t="s">
        <v>4208</v>
      </c>
      <c r="AB330" s="43"/>
    </row>
    <row r="331">
      <c r="A331" s="62" t="s">
        <v>3114</v>
      </c>
      <c r="B331" s="63" t="s">
        <v>703</v>
      </c>
      <c r="C331" s="64" t="s">
        <v>3115</v>
      </c>
      <c r="D331" s="64" t="s">
        <v>85</v>
      </c>
      <c r="E331" s="288"/>
      <c r="F331" s="64" t="s">
        <v>3550</v>
      </c>
      <c r="G331" s="64">
        <v>59.0</v>
      </c>
      <c r="H331" s="64" t="s">
        <v>3512</v>
      </c>
      <c r="I331" s="64">
        <v>2024.0</v>
      </c>
      <c r="J331" s="64">
        <v>2026.0</v>
      </c>
      <c r="K331" s="287">
        <v>0.98</v>
      </c>
      <c r="L331" s="288"/>
      <c r="M331" s="289" t="s">
        <v>4209</v>
      </c>
      <c r="N331" s="35" t="s">
        <v>4210</v>
      </c>
      <c r="O331" s="35" t="s">
        <v>3520</v>
      </c>
      <c r="P331" s="35" t="s">
        <v>209</v>
      </c>
      <c r="Q331" s="38"/>
      <c r="R331" s="38" t="s">
        <v>3359</v>
      </c>
      <c r="S331" s="38"/>
      <c r="T331" s="39">
        <v>2581.4</v>
      </c>
      <c r="U331" s="39">
        <v>2195.59973</v>
      </c>
      <c r="V331" s="39">
        <v>385.80027</v>
      </c>
      <c r="W331" s="173" t="s">
        <v>3496</v>
      </c>
      <c r="X331" s="42"/>
      <c r="Y331" s="42" t="str">
        <f>IFERROR(__xludf.DUMMYFUNCTION("vLOOKUP(A331,IMPORTRANGE(""https://docs.google.com/spreadsheets/d/1Rawwwdh8wntXGy8isdYNHxsNQS4n_rC8JSdPfj6vEq4"",""'500 объектов перенос на 2026'!A3:AB502""),13,0)"),"#REF!")</f>
        <v>#REF!</v>
      </c>
      <c r="Z331" s="42" t="str">
        <f>IFERROR(__xludf.DUMMYFUNCTION("vLOOKUP(A331,IMPORTRANGE(""https://docs.google.com/spreadsheets/d/1Rawwwdh8wntXGy8isdYNHxsNQS4n_rC8JSdPfj6vEq4"",""'500 объектов перенос на 2026'!A3:AB502""),14,0)"),"#REF!")</f>
        <v>#REF!</v>
      </c>
      <c r="AA331" s="173" t="s">
        <v>4211</v>
      </c>
      <c r="AB331" s="43"/>
    </row>
    <row r="332">
      <c r="A332" s="62" t="s">
        <v>1942</v>
      </c>
      <c r="B332" s="63" t="s">
        <v>703</v>
      </c>
      <c r="C332" s="64" t="s">
        <v>1943</v>
      </c>
      <c r="D332" s="64" t="s">
        <v>85</v>
      </c>
      <c r="E332" s="288"/>
      <c r="F332" s="64" t="s">
        <v>3832</v>
      </c>
      <c r="G332" s="64">
        <v>593.31</v>
      </c>
      <c r="H332" s="64" t="s">
        <v>3512</v>
      </c>
      <c r="I332" s="64">
        <v>2024.0</v>
      </c>
      <c r="J332" s="90">
        <v>2027.0</v>
      </c>
      <c r="K332" s="287">
        <v>1.0</v>
      </c>
      <c r="L332" s="288"/>
      <c r="M332" s="289" t="s">
        <v>4212</v>
      </c>
      <c r="N332" s="35" t="s">
        <v>4213</v>
      </c>
      <c r="O332" s="35" t="s">
        <v>3520</v>
      </c>
      <c r="P332" s="35" t="s">
        <v>803</v>
      </c>
      <c r="Q332" s="37">
        <v>46174.0</v>
      </c>
      <c r="R332" s="38" t="s">
        <v>3359</v>
      </c>
      <c r="S332" s="38"/>
      <c r="T332" s="39">
        <v>65955.88</v>
      </c>
      <c r="U332" s="39">
        <v>48512.38128</v>
      </c>
      <c r="V332" s="40">
        <v>17443.49872</v>
      </c>
      <c r="W332" s="173" t="s">
        <v>3437</v>
      </c>
      <c r="X332" s="42"/>
      <c r="Y332" s="42" t="str">
        <f>IFERROR(__xludf.DUMMYFUNCTION("vLOOKUP(A332,IMPORTRANGE(""https://docs.google.com/spreadsheets/d/1Rawwwdh8wntXGy8isdYNHxsNQS4n_rC8JSdPfj6vEq4"",""'500 объектов перенос на 2026'!A3:AB502""),13,0)"),"#REF!")</f>
        <v>#REF!</v>
      </c>
      <c r="Z332" s="42" t="str">
        <f>IFERROR(__xludf.DUMMYFUNCTION("vLOOKUP(A332,IMPORTRANGE(""https://docs.google.com/spreadsheets/d/1Rawwwdh8wntXGy8isdYNHxsNQS4n_rC8JSdPfj6vEq4"",""'500 объектов перенос на 2026'!A3:AB502""),14,0)"),"#REF!")</f>
        <v>#REF!</v>
      </c>
      <c r="AA332" s="173" t="s">
        <v>4214</v>
      </c>
      <c r="AB332" s="43"/>
    </row>
    <row r="333">
      <c r="A333" s="62" t="s">
        <v>2272</v>
      </c>
      <c r="B333" s="63" t="s">
        <v>703</v>
      </c>
      <c r="C333" s="64" t="s">
        <v>2273</v>
      </c>
      <c r="D333" s="64" t="s">
        <v>85</v>
      </c>
      <c r="E333" s="288"/>
      <c r="F333" s="64" t="s">
        <v>3550</v>
      </c>
      <c r="G333" s="64">
        <v>243.88</v>
      </c>
      <c r="H333" s="64" t="s">
        <v>3512</v>
      </c>
      <c r="I333" s="64">
        <v>2024.0</v>
      </c>
      <c r="J333" s="64">
        <v>2026.0</v>
      </c>
      <c r="K333" s="287">
        <v>1.0</v>
      </c>
      <c r="L333" s="288"/>
      <c r="M333" s="289" t="s">
        <v>4215</v>
      </c>
      <c r="N333" s="35">
        <v>0.0</v>
      </c>
      <c r="O333" s="35" t="s">
        <v>3520</v>
      </c>
      <c r="P333" s="35" t="s">
        <v>209</v>
      </c>
      <c r="Q333" s="38"/>
      <c r="R333" s="38" t="s">
        <v>3359</v>
      </c>
      <c r="S333" s="38"/>
      <c r="T333" s="39">
        <v>19555.0</v>
      </c>
      <c r="U333" s="39">
        <v>13886.23618</v>
      </c>
      <c r="V333" s="39">
        <v>5668.76382</v>
      </c>
      <c r="W333" s="99" t="s">
        <v>3456</v>
      </c>
      <c r="X333" s="42"/>
      <c r="Y333" s="42" t="str">
        <f>IFERROR(__xludf.DUMMYFUNCTION("vLOOKUP(A333,IMPORTRANGE(""https://docs.google.com/spreadsheets/d/1Rawwwdh8wntXGy8isdYNHxsNQS4n_rC8JSdPfj6vEq4"",""'500 объектов перенос на 2026'!A3:AB502""),13,0)"),"#REF!")</f>
        <v>#REF!</v>
      </c>
      <c r="Z333" s="42" t="str">
        <f>IFERROR(__xludf.DUMMYFUNCTION("vLOOKUP(A333,IMPORTRANGE(""https://docs.google.com/spreadsheets/d/1Rawwwdh8wntXGy8isdYNHxsNQS4n_rC8JSdPfj6vEq4"",""'500 объектов перенос на 2026'!A3:AB502""),14,0)"),"#REF!")</f>
        <v>#REF!</v>
      </c>
      <c r="AA333" s="85" t="s">
        <v>4216</v>
      </c>
      <c r="AB333" s="43"/>
    </row>
    <row r="334">
      <c r="A334" s="62" t="s">
        <v>2275</v>
      </c>
      <c r="B334" s="63" t="s">
        <v>703</v>
      </c>
      <c r="C334" s="64" t="s">
        <v>2276</v>
      </c>
      <c r="D334" s="64" t="s">
        <v>85</v>
      </c>
      <c r="E334" s="288"/>
      <c r="F334" s="64" t="s">
        <v>3550</v>
      </c>
      <c r="G334" s="64">
        <v>340.0</v>
      </c>
      <c r="H334" s="64" t="s">
        <v>3512</v>
      </c>
      <c r="I334" s="64">
        <v>2024.0</v>
      </c>
      <c r="J334" s="64">
        <v>2026.0</v>
      </c>
      <c r="K334" s="287">
        <v>1.0</v>
      </c>
      <c r="L334" s="288"/>
      <c r="M334" s="289" t="s">
        <v>4217</v>
      </c>
      <c r="N334" s="35" t="s">
        <v>4218</v>
      </c>
      <c r="O334" s="35" t="s">
        <v>3520</v>
      </c>
      <c r="P334" s="35" t="s">
        <v>209</v>
      </c>
      <c r="Q334" s="38"/>
      <c r="R334" s="38" t="s">
        <v>3359</v>
      </c>
      <c r="S334" s="38"/>
      <c r="T334" s="39">
        <v>9248.11</v>
      </c>
      <c r="U334" s="39">
        <v>7266.77284</v>
      </c>
      <c r="V334" s="39">
        <v>1981.33716</v>
      </c>
      <c r="W334" s="173" t="s">
        <v>3457</v>
      </c>
      <c r="X334" s="42"/>
      <c r="Y334" s="42" t="str">
        <f>IFERROR(__xludf.DUMMYFUNCTION("vLOOKUP(A334,IMPORTRANGE(""https://docs.google.com/spreadsheets/d/1Rawwwdh8wntXGy8isdYNHxsNQS4n_rC8JSdPfj6vEq4"",""'500 объектов перенос на 2026'!A3:AB502""),13,0)"),"#REF!")</f>
        <v>#REF!</v>
      </c>
      <c r="Z334" s="42" t="str">
        <f>IFERROR(__xludf.DUMMYFUNCTION("vLOOKUP(A334,IMPORTRANGE(""https://docs.google.com/spreadsheets/d/1Rawwwdh8wntXGy8isdYNHxsNQS4n_rC8JSdPfj6vEq4"",""'500 объектов перенос на 2026'!A3:AB502""),14,0)"),"#REF!")</f>
        <v>#REF!</v>
      </c>
      <c r="AA334" s="173" t="s">
        <v>4219</v>
      </c>
      <c r="AB334" s="43"/>
    </row>
    <row r="335">
      <c r="A335" s="62" t="s">
        <v>2278</v>
      </c>
      <c r="B335" s="63" t="s">
        <v>703</v>
      </c>
      <c r="C335" s="64" t="s">
        <v>2279</v>
      </c>
      <c r="D335" s="64" t="s">
        <v>85</v>
      </c>
      <c r="E335" s="288"/>
      <c r="F335" s="64" t="s">
        <v>3795</v>
      </c>
      <c r="G335" s="64">
        <v>228.0</v>
      </c>
      <c r="H335" s="64" t="s">
        <v>3512</v>
      </c>
      <c r="I335" s="64">
        <v>2024.0</v>
      </c>
      <c r="J335" s="64">
        <v>2026.0</v>
      </c>
      <c r="K335" s="287">
        <v>1.0</v>
      </c>
      <c r="L335" s="288"/>
      <c r="M335" s="285" t="s">
        <v>4220</v>
      </c>
      <c r="N335" s="35">
        <v>0.0</v>
      </c>
      <c r="O335" s="35" t="s">
        <v>4220</v>
      </c>
      <c r="P335" s="35" t="s">
        <v>209</v>
      </c>
      <c r="Q335" s="38"/>
      <c r="R335" s="38" t="s">
        <v>3359</v>
      </c>
      <c r="S335" s="38"/>
      <c r="T335" s="39">
        <v>16394.09</v>
      </c>
      <c r="U335" s="39">
        <v>14295.45921</v>
      </c>
      <c r="V335" s="39">
        <v>2098.63079</v>
      </c>
      <c r="W335" s="99" t="s">
        <v>2280</v>
      </c>
      <c r="X335" s="42"/>
      <c r="Y335" s="42" t="str">
        <f>IFERROR(__xludf.DUMMYFUNCTION("vLOOKUP(A335,IMPORTRANGE(""https://docs.google.com/spreadsheets/d/1Rawwwdh8wntXGy8isdYNHxsNQS4n_rC8JSdPfj6vEq4"",""'500 объектов перенос на 2026'!A3:AB502""),13,0)"),"#REF!")</f>
        <v>#REF!</v>
      </c>
      <c r="Z335" s="42" t="str">
        <f>IFERROR(__xludf.DUMMYFUNCTION("vLOOKUP(A335,IMPORTRANGE(""https://docs.google.com/spreadsheets/d/1Rawwwdh8wntXGy8isdYNHxsNQS4n_rC8JSdPfj6vEq4"",""'500 объектов перенос на 2026'!A3:AB502""),14,0)"),"#REF!")</f>
        <v>#REF!</v>
      </c>
      <c r="AA335" s="85" t="s">
        <v>4165</v>
      </c>
      <c r="AB335" s="43"/>
    </row>
    <row r="336">
      <c r="A336" s="62" t="s">
        <v>2281</v>
      </c>
      <c r="B336" s="63" t="s">
        <v>703</v>
      </c>
      <c r="C336" s="64" t="s">
        <v>2282</v>
      </c>
      <c r="D336" s="64" t="s">
        <v>85</v>
      </c>
      <c r="E336" s="288"/>
      <c r="F336" s="64" t="s">
        <v>3832</v>
      </c>
      <c r="G336" s="64">
        <v>246.0</v>
      </c>
      <c r="H336" s="64" t="s">
        <v>3512</v>
      </c>
      <c r="I336" s="64">
        <v>2024.0</v>
      </c>
      <c r="J336" s="64">
        <v>2026.0</v>
      </c>
      <c r="K336" s="287">
        <v>1.0</v>
      </c>
      <c r="L336" s="288"/>
      <c r="M336" s="289" t="s">
        <v>4221</v>
      </c>
      <c r="N336" s="35" t="s">
        <v>4222</v>
      </c>
      <c r="O336" s="35" t="s">
        <v>3520</v>
      </c>
      <c r="P336" s="35" t="s">
        <v>209</v>
      </c>
      <c r="Q336" s="38"/>
      <c r="R336" s="38" t="s">
        <v>3359</v>
      </c>
      <c r="S336" s="38"/>
      <c r="T336" s="39">
        <v>23927.6</v>
      </c>
      <c r="U336" s="39">
        <v>17655.5514</v>
      </c>
      <c r="V336" s="39">
        <v>6272.0486</v>
      </c>
      <c r="W336" s="99" t="s">
        <v>2283</v>
      </c>
      <c r="X336" s="42"/>
      <c r="Y336" s="42" t="str">
        <f>IFERROR(__xludf.DUMMYFUNCTION("vLOOKUP(A336,IMPORTRANGE(""https://docs.google.com/spreadsheets/d/1Rawwwdh8wntXGy8isdYNHxsNQS4n_rC8JSdPfj6vEq4"",""'500 объектов перенос на 2026'!A3:AB502""),13,0)"),"#REF!")</f>
        <v>#REF!</v>
      </c>
      <c r="Z336" s="42" t="str">
        <f>IFERROR(__xludf.DUMMYFUNCTION("vLOOKUP(A336,IMPORTRANGE(""https://docs.google.com/spreadsheets/d/1Rawwwdh8wntXGy8isdYNHxsNQS4n_rC8JSdPfj6vEq4"",""'500 объектов перенос на 2026'!A3:AB502""),14,0)"),"#REF!")</f>
        <v>#REF!</v>
      </c>
      <c r="AA336" s="85" t="s">
        <v>803</v>
      </c>
      <c r="AB336" s="43"/>
    </row>
    <row r="337">
      <c r="A337" s="62" t="s">
        <v>2284</v>
      </c>
      <c r="B337" s="63" t="s">
        <v>703</v>
      </c>
      <c r="C337" s="64" t="s">
        <v>2285</v>
      </c>
      <c r="D337" s="64" t="s">
        <v>85</v>
      </c>
      <c r="E337" s="288"/>
      <c r="F337" s="64" t="s">
        <v>3550</v>
      </c>
      <c r="G337" s="64">
        <v>215.0</v>
      </c>
      <c r="H337" s="64" t="s">
        <v>3512</v>
      </c>
      <c r="I337" s="64">
        <v>2025.0</v>
      </c>
      <c r="J337" s="64">
        <v>2026.0</v>
      </c>
      <c r="K337" s="287">
        <v>1.0</v>
      </c>
      <c r="L337" s="288"/>
      <c r="M337" s="285" t="s">
        <v>4223</v>
      </c>
      <c r="N337" s="35">
        <v>0.0</v>
      </c>
      <c r="O337" s="35" t="s">
        <v>4223</v>
      </c>
      <c r="P337" s="35" t="s">
        <v>209</v>
      </c>
      <c r="Q337" s="38"/>
      <c r="R337" s="38" t="s">
        <v>3359</v>
      </c>
      <c r="S337" s="38"/>
      <c r="T337" s="39">
        <v>5750.61</v>
      </c>
      <c r="U337" s="39">
        <v>5505.18773</v>
      </c>
      <c r="V337" s="39">
        <v>245.42227</v>
      </c>
      <c r="W337" s="99" t="s">
        <v>2286</v>
      </c>
      <c r="X337" s="42"/>
      <c r="Y337" s="42" t="str">
        <f>IFERROR(__xludf.DUMMYFUNCTION("vLOOKUP(A337,IMPORTRANGE(""https://docs.google.com/spreadsheets/d/1Rawwwdh8wntXGy8isdYNHxsNQS4n_rC8JSdPfj6vEq4"",""'500 объектов перенос на 2026'!A3:AB502""),13,0)"),"#REF!")</f>
        <v>#REF!</v>
      </c>
      <c r="Z337" s="42" t="str">
        <f>IFERROR(__xludf.DUMMYFUNCTION("vLOOKUP(A337,IMPORTRANGE(""https://docs.google.com/spreadsheets/d/1Rawwwdh8wntXGy8isdYNHxsNQS4n_rC8JSdPfj6vEq4"",""'500 объектов перенос на 2026'!A3:AB502""),14,0)"),"#REF!")</f>
        <v>#REF!</v>
      </c>
      <c r="AA337" s="85" t="s">
        <v>4165</v>
      </c>
      <c r="AB337" s="43"/>
    </row>
    <row r="338">
      <c r="A338" s="62" t="s">
        <v>2287</v>
      </c>
      <c r="B338" s="63" t="s">
        <v>703</v>
      </c>
      <c r="C338" s="64" t="s">
        <v>2288</v>
      </c>
      <c r="D338" s="64" t="s">
        <v>85</v>
      </c>
      <c r="E338" s="288"/>
      <c r="F338" s="64" t="s">
        <v>3550</v>
      </c>
      <c r="G338" s="64">
        <v>56.0</v>
      </c>
      <c r="H338" s="64" t="s">
        <v>3512</v>
      </c>
      <c r="I338" s="64">
        <v>2024.0</v>
      </c>
      <c r="J338" s="64">
        <v>2026.0</v>
      </c>
      <c r="K338" s="287">
        <v>1.0</v>
      </c>
      <c r="L338" s="288"/>
      <c r="M338" s="285" t="s">
        <v>4224</v>
      </c>
      <c r="N338" s="295" t="s">
        <v>4225</v>
      </c>
      <c r="O338" s="35" t="s">
        <v>3520</v>
      </c>
      <c r="P338" s="35" t="s">
        <v>209</v>
      </c>
      <c r="Q338" s="38"/>
      <c r="R338" s="38" t="s">
        <v>3359</v>
      </c>
      <c r="S338" s="38"/>
      <c r="T338" s="39">
        <v>4114.47</v>
      </c>
      <c r="U338" s="39">
        <v>4085.58824</v>
      </c>
      <c r="V338" s="39">
        <v>28.88176</v>
      </c>
      <c r="W338" s="99" t="s">
        <v>2289</v>
      </c>
      <c r="X338" s="42"/>
      <c r="Y338" s="42" t="str">
        <f>IFERROR(__xludf.DUMMYFUNCTION("vLOOKUP(A338,IMPORTRANGE(""https://docs.google.com/spreadsheets/d/1Rawwwdh8wntXGy8isdYNHxsNQS4n_rC8JSdPfj6vEq4"",""'500 объектов перенос на 2026'!A3:AB502""),13,0)"),"#REF!")</f>
        <v>#REF!</v>
      </c>
      <c r="Z338" s="42" t="str">
        <f>IFERROR(__xludf.DUMMYFUNCTION("vLOOKUP(A338,IMPORTRANGE(""https://docs.google.com/spreadsheets/d/1Rawwwdh8wntXGy8isdYNHxsNQS4n_rC8JSdPfj6vEq4"",""'500 объектов перенос на 2026'!A3:AB502""),14,0)"),"#REF!")</f>
        <v>#REF!</v>
      </c>
      <c r="AA338" s="85" t="s">
        <v>4226</v>
      </c>
      <c r="AB338" s="43"/>
    </row>
    <row r="339">
      <c r="A339" s="62" t="s">
        <v>2865</v>
      </c>
      <c r="B339" s="63" t="s">
        <v>703</v>
      </c>
      <c r="C339" s="64" t="s">
        <v>2866</v>
      </c>
      <c r="D339" s="64" t="s">
        <v>85</v>
      </c>
      <c r="E339" s="288"/>
      <c r="F339" s="64" t="s">
        <v>3795</v>
      </c>
      <c r="G339" s="64">
        <v>822.0</v>
      </c>
      <c r="H339" s="64" t="s">
        <v>3512</v>
      </c>
      <c r="I339" s="64">
        <v>2025.0</v>
      </c>
      <c r="J339" s="64">
        <v>2026.0</v>
      </c>
      <c r="K339" s="287">
        <v>1.0</v>
      </c>
      <c r="L339" s="288"/>
      <c r="M339" s="285" t="s">
        <v>4227</v>
      </c>
      <c r="N339" s="35" t="s">
        <v>4228</v>
      </c>
      <c r="O339" s="35" t="s">
        <v>4229</v>
      </c>
      <c r="P339" s="35" t="s">
        <v>803</v>
      </c>
      <c r="Q339" s="37">
        <v>46174.0</v>
      </c>
      <c r="R339" s="38" t="s">
        <v>3359</v>
      </c>
      <c r="S339" s="38"/>
      <c r="T339" s="39">
        <v>60067.36</v>
      </c>
      <c r="U339" s="39">
        <v>17906.39856</v>
      </c>
      <c r="V339" s="40">
        <v>42160.96144</v>
      </c>
      <c r="W339" s="173" t="s">
        <v>2867</v>
      </c>
      <c r="X339" s="42"/>
      <c r="Y339" s="42" t="str">
        <f>IFERROR(__xludf.DUMMYFUNCTION("vLOOKUP(A339,IMPORTRANGE(""https://docs.google.com/spreadsheets/d/1Rawwwdh8wntXGy8isdYNHxsNQS4n_rC8JSdPfj6vEq4"",""'500 объектов перенос на 2026'!A3:AB502""),13,0)"),"#REF!")</f>
        <v>#REF!</v>
      </c>
      <c r="Z339" s="42" t="str">
        <f>IFERROR(__xludf.DUMMYFUNCTION("vLOOKUP(A339,IMPORTRANGE(""https://docs.google.com/spreadsheets/d/1Rawwwdh8wntXGy8isdYNHxsNQS4n_rC8JSdPfj6vEq4"",""'500 объектов перенос на 2026'!A3:AB502""),14,0)"),"#REF!")</f>
        <v>#REF!</v>
      </c>
      <c r="AA339" s="173" t="s">
        <v>4230</v>
      </c>
      <c r="AB339" s="43"/>
    </row>
    <row r="340">
      <c r="A340" s="62" t="s">
        <v>2948</v>
      </c>
      <c r="B340" s="63" t="s">
        <v>703</v>
      </c>
      <c r="C340" s="64" t="s">
        <v>2949</v>
      </c>
      <c r="D340" s="64" t="s">
        <v>85</v>
      </c>
      <c r="E340" s="288"/>
      <c r="F340" s="64" t="s">
        <v>3832</v>
      </c>
      <c r="G340" s="291" t="s">
        <v>4231</v>
      </c>
      <c r="H340" s="64" t="s">
        <v>3512</v>
      </c>
      <c r="I340" s="64">
        <v>2025.0</v>
      </c>
      <c r="J340" s="64">
        <v>2026.0</v>
      </c>
      <c r="K340" s="287">
        <v>1.0</v>
      </c>
      <c r="L340" s="288"/>
      <c r="M340" s="285" t="s">
        <v>4232</v>
      </c>
      <c r="N340" s="35" t="s">
        <v>4233</v>
      </c>
      <c r="O340" s="35" t="s">
        <v>4234</v>
      </c>
      <c r="P340" s="35" t="s">
        <v>803</v>
      </c>
      <c r="Q340" s="37">
        <v>46174.0</v>
      </c>
      <c r="R340" s="38" t="s">
        <v>3359</v>
      </c>
      <c r="S340" s="38"/>
      <c r="T340" s="39">
        <v>59012.92</v>
      </c>
      <c r="U340" s="39">
        <v>44685.03081</v>
      </c>
      <c r="V340" s="40">
        <v>14327.88919</v>
      </c>
      <c r="W340" s="99" t="s">
        <v>2950</v>
      </c>
      <c r="X340" s="42"/>
      <c r="Y340" s="42" t="str">
        <f>IFERROR(__xludf.DUMMYFUNCTION("vLOOKUP(A340,IMPORTRANGE(""https://docs.google.com/spreadsheets/d/1Rawwwdh8wntXGy8isdYNHxsNQS4n_rC8JSdPfj6vEq4"",""'500 объектов перенос на 2026'!A3:AB502""),13,0)"),"#REF!")</f>
        <v>#REF!</v>
      </c>
      <c r="Z340" s="42" t="str">
        <f>IFERROR(__xludf.DUMMYFUNCTION("vLOOKUP(A340,IMPORTRANGE(""https://docs.google.com/spreadsheets/d/1Rawwwdh8wntXGy8isdYNHxsNQS4n_rC8JSdPfj6vEq4"",""'500 объектов перенос на 2026'!A3:AB502""),14,0)"),"#REF!")</f>
        <v>#REF!</v>
      </c>
      <c r="AA340" s="85" t="s">
        <v>4144</v>
      </c>
      <c r="AB340" s="43"/>
    </row>
    <row r="341">
      <c r="A341" s="62" t="s">
        <v>2303</v>
      </c>
      <c r="B341" s="63" t="s">
        <v>653</v>
      </c>
      <c r="C341" s="64" t="s">
        <v>2304</v>
      </c>
      <c r="D341" s="64" t="s">
        <v>85</v>
      </c>
      <c r="E341" s="288"/>
      <c r="F341" s="64">
        <v>400.0</v>
      </c>
      <c r="G341" s="64">
        <v>490.0</v>
      </c>
      <c r="H341" s="64" t="s">
        <v>3512</v>
      </c>
      <c r="I341" s="64">
        <v>2024.0</v>
      </c>
      <c r="J341" s="106">
        <v>2026.0</v>
      </c>
      <c r="K341" s="287">
        <v>0.99</v>
      </c>
      <c r="L341" s="292" t="s">
        <v>3528</v>
      </c>
      <c r="M341" s="289">
        <v>8.62841E7</v>
      </c>
      <c r="N341" s="295">
        <v>6.634822795E7</v>
      </c>
      <c r="O341" s="295">
        <f t="shared" ref="O341:O342" si="1">M341-N341</f>
        <v>19935872.05</v>
      </c>
      <c r="P341" s="35" t="s">
        <v>2308</v>
      </c>
      <c r="Q341" s="38" t="s">
        <v>1219</v>
      </c>
      <c r="R341" s="38" t="s">
        <v>115</v>
      </c>
      <c r="S341" s="38"/>
      <c r="T341" s="39">
        <v>116889.53</v>
      </c>
      <c r="U341" s="39">
        <v>86177.1613</v>
      </c>
      <c r="V341" s="39">
        <v>30712.3687</v>
      </c>
      <c r="W341" s="57" t="s">
        <v>2309</v>
      </c>
      <c r="X341" s="42" t="s">
        <v>1191</v>
      </c>
      <c r="Y341" s="42" t="s">
        <v>1191</v>
      </c>
      <c r="Z341" s="42" t="s">
        <v>1191</v>
      </c>
      <c r="AA341" s="85" t="s">
        <v>175</v>
      </c>
      <c r="AB341" s="43"/>
    </row>
    <row r="342">
      <c r="A342" s="62" t="s">
        <v>2108</v>
      </c>
      <c r="B342" s="63" t="s">
        <v>653</v>
      </c>
      <c r="C342" s="64" t="s">
        <v>2109</v>
      </c>
      <c r="D342" s="64" t="s">
        <v>59</v>
      </c>
      <c r="E342" s="64">
        <v>19.6</v>
      </c>
      <c r="F342" s="288"/>
      <c r="G342" s="288"/>
      <c r="H342" s="64" t="s">
        <v>3512</v>
      </c>
      <c r="I342" s="64">
        <v>2024.0</v>
      </c>
      <c r="J342" s="64">
        <v>2026.0</v>
      </c>
      <c r="K342" s="287">
        <v>0.9</v>
      </c>
      <c r="L342" s="288"/>
      <c r="M342" s="289">
        <v>1.751902E8</v>
      </c>
      <c r="N342" s="295">
        <v>1.6610808517E8</v>
      </c>
      <c r="O342" s="295">
        <f t="shared" si="1"/>
        <v>9082114.83</v>
      </c>
      <c r="P342" s="35" t="s">
        <v>46</v>
      </c>
      <c r="Q342" s="290">
        <v>46249.0</v>
      </c>
      <c r="R342" s="56"/>
      <c r="S342" s="38" t="s">
        <v>2113</v>
      </c>
      <c r="T342" s="39">
        <v>175190.2</v>
      </c>
      <c r="U342" s="39">
        <v>178158.7952</v>
      </c>
      <c r="V342" s="40">
        <v>-2968.59517</v>
      </c>
      <c r="W342" s="57" t="s">
        <v>2114</v>
      </c>
      <c r="X342" s="42" t="s">
        <v>1064</v>
      </c>
      <c r="Y342" s="42" t="str">
        <f>IFERROR(__xludf.DUMMYFUNCTION("vLOOKUP(A342,IMPORTRANGE(""https://docs.google.com/spreadsheets/d/1Rawwwdh8wntXGy8isdYNHxsNQS4n_rC8JSdPfj6vEq4"",""'500 объектов перенос на 2026'!A3:AB502""),13,0)"),"#REF!")</f>
        <v>#REF!</v>
      </c>
      <c r="Z342" s="42" t="str">
        <f>IFERROR(__xludf.DUMMYFUNCTION("vLOOKUP(A342,IMPORTRANGE(""https://docs.google.com/spreadsheets/d/1Rawwwdh8wntXGy8isdYNHxsNQS4n_rC8JSdPfj6vEq4"",""'500 объектов перенос на 2026'!A3:AB502""),14,0)"),"#REF!")</f>
        <v>#REF!</v>
      </c>
      <c r="AA342" s="85" t="s">
        <v>4235</v>
      </c>
      <c r="AB342" s="43"/>
    </row>
    <row r="343">
      <c r="A343" s="62" t="s">
        <v>652</v>
      </c>
      <c r="B343" s="63" t="s">
        <v>653</v>
      </c>
      <c r="C343" s="64" t="s">
        <v>654</v>
      </c>
      <c r="D343" s="64" t="s">
        <v>59</v>
      </c>
      <c r="E343" s="64">
        <v>14.0</v>
      </c>
      <c r="F343" s="288"/>
      <c r="G343" s="288"/>
      <c r="H343" s="64" t="s">
        <v>3512</v>
      </c>
      <c r="I343" s="64">
        <v>2024.0</v>
      </c>
      <c r="J343" s="64">
        <v>2026.0</v>
      </c>
      <c r="K343" s="287">
        <v>0.22</v>
      </c>
      <c r="L343" s="288"/>
      <c r="M343" s="289" t="s">
        <v>4236</v>
      </c>
      <c r="N343" s="35" t="s">
        <v>4237</v>
      </c>
      <c r="O343" s="35" t="s">
        <v>4238</v>
      </c>
      <c r="P343" s="35" t="s">
        <v>326</v>
      </c>
      <c r="Q343" s="37">
        <v>46290.0</v>
      </c>
      <c r="R343" s="56"/>
      <c r="S343" s="38" t="s">
        <v>45</v>
      </c>
      <c r="T343" s="39">
        <v>140619.49</v>
      </c>
      <c r="U343" s="39">
        <v>107561.9709</v>
      </c>
      <c r="V343" s="40">
        <v>33057.51913</v>
      </c>
      <c r="W343" s="57">
        <v>107561.9709</v>
      </c>
      <c r="X343" s="42" t="s">
        <v>661</v>
      </c>
      <c r="Y343" s="42" t="str">
        <f>IFERROR(__xludf.DUMMYFUNCTION("vLOOKUP(A343,IMPORTRANGE(""https://docs.google.com/spreadsheets/d/1Rawwwdh8wntXGy8isdYNHxsNQS4n_rC8JSdPfj6vEq4"",""'500 объектов перенос на 2026'!A3:AB502""),13,0)"),"#REF!")</f>
        <v>#REF!</v>
      </c>
      <c r="Z343" s="42" t="str">
        <f>IFERROR(__xludf.DUMMYFUNCTION("vLOOKUP(A343,IMPORTRANGE(""https://docs.google.com/spreadsheets/d/1Rawwwdh8wntXGy8isdYNHxsNQS4n_rC8JSdPfj6vEq4"",""'500 объектов перенос на 2026'!A3:AB502""),14,0)"),"#REF!")</f>
        <v>#REF!</v>
      </c>
      <c r="AA343" s="85" t="s">
        <v>326</v>
      </c>
      <c r="AB343" s="43"/>
    </row>
    <row r="344">
      <c r="A344" s="62" t="s">
        <v>2322</v>
      </c>
      <c r="B344" s="63" t="s">
        <v>653</v>
      </c>
      <c r="C344" s="64" t="s">
        <v>2323</v>
      </c>
      <c r="D344" s="64" t="s">
        <v>85</v>
      </c>
      <c r="E344" s="288"/>
      <c r="F344" s="64">
        <v>150.0</v>
      </c>
      <c r="G344" s="64">
        <v>350.0</v>
      </c>
      <c r="H344" s="64" t="s">
        <v>3512</v>
      </c>
      <c r="I344" s="64">
        <v>2024.0</v>
      </c>
      <c r="J344" s="64">
        <v>2025.0</v>
      </c>
      <c r="K344" s="287">
        <v>1.0</v>
      </c>
      <c r="L344" s="292" t="s">
        <v>3528</v>
      </c>
      <c r="M344" s="289" t="s">
        <v>4239</v>
      </c>
      <c r="N344" s="35" t="s">
        <v>4240</v>
      </c>
      <c r="O344" s="35" t="s">
        <v>4241</v>
      </c>
      <c r="P344" s="35" t="s">
        <v>2308</v>
      </c>
      <c r="Q344" s="38" t="s">
        <v>1219</v>
      </c>
      <c r="R344" s="38" t="s">
        <v>115</v>
      </c>
      <c r="S344" s="38"/>
      <c r="T344" s="39">
        <v>22484.99</v>
      </c>
      <c r="U344" s="39">
        <v>15120.69323</v>
      </c>
      <c r="V344" s="39">
        <v>7364.29677</v>
      </c>
      <c r="W344" s="57" t="s">
        <v>2324</v>
      </c>
      <c r="X344" s="42" t="s">
        <v>1191</v>
      </c>
      <c r="Y344" s="42" t="s">
        <v>1191</v>
      </c>
      <c r="Z344" s="42" t="s">
        <v>1191</v>
      </c>
      <c r="AA344" s="85" t="s">
        <v>175</v>
      </c>
      <c r="AB344" s="43"/>
    </row>
    <row r="345">
      <c r="A345" s="62" t="s">
        <v>2081</v>
      </c>
      <c r="B345" s="63" t="s">
        <v>653</v>
      </c>
      <c r="C345" s="64" t="s">
        <v>2082</v>
      </c>
      <c r="D345" s="64" t="s">
        <v>85</v>
      </c>
      <c r="E345" s="288"/>
      <c r="F345" s="64" t="s">
        <v>3550</v>
      </c>
      <c r="G345" s="64">
        <v>400.0</v>
      </c>
      <c r="H345" s="64" t="s">
        <v>3512</v>
      </c>
      <c r="I345" s="64">
        <v>2024.0</v>
      </c>
      <c r="J345" s="64">
        <v>2026.0</v>
      </c>
      <c r="K345" s="287">
        <v>0.7</v>
      </c>
      <c r="L345" s="288"/>
      <c r="M345" s="289">
        <v>2.08324E7</v>
      </c>
      <c r="N345" s="35">
        <v>0.0</v>
      </c>
      <c r="O345" s="295">
        <f t="shared" ref="O345:O360" si="2">M345-N345</f>
        <v>20832400</v>
      </c>
      <c r="P345" s="35" t="s">
        <v>1469</v>
      </c>
      <c r="Q345" s="37">
        <v>46290.0</v>
      </c>
      <c r="R345" s="56"/>
      <c r="S345" s="38" t="s">
        <v>2086</v>
      </c>
      <c r="T345" s="39">
        <v>20832.4</v>
      </c>
      <c r="U345" s="39">
        <v>6249.72</v>
      </c>
      <c r="V345" s="40">
        <v>14582.68</v>
      </c>
      <c r="W345" s="57" t="s">
        <v>2087</v>
      </c>
      <c r="X345" s="42" t="s">
        <v>980</v>
      </c>
      <c r="Y345" s="42" t="str">
        <f>IFERROR(__xludf.DUMMYFUNCTION("vLOOKUP(A345,IMPORTRANGE(""https://docs.google.com/spreadsheets/d/1Rawwwdh8wntXGy8isdYNHxsNQS4n_rC8JSdPfj6vEq4"",""'500 объектов перенос на 2026'!A3:AB502""),13,0)"),"#REF!")</f>
        <v>#REF!</v>
      </c>
      <c r="Z345" s="42" t="str">
        <f>IFERROR(__xludf.DUMMYFUNCTION("vLOOKUP(A345,IMPORTRANGE(""https://docs.google.com/spreadsheets/d/1Rawwwdh8wntXGy8isdYNHxsNQS4n_rC8JSdPfj6vEq4"",""'500 объектов перенос на 2026'!A3:AB502""),14,0)"),"#REF!")</f>
        <v>#REF!</v>
      </c>
      <c r="AA345" s="85" t="s">
        <v>4242</v>
      </c>
      <c r="AB345" s="43"/>
    </row>
    <row r="346">
      <c r="A346" s="62" t="s">
        <v>1465</v>
      </c>
      <c r="B346" s="63" t="s">
        <v>653</v>
      </c>
      <c r="C346" s="64" t="s">
        <v>1466</v>
      </c>
      <c r="D346" s="64" t="s">
        <v>59</v>
      </c>
      <c r="E346" s="64">
        <v>7.0</v>
      </c>
      <c r="F346" s="288"/>
      <c r="G346" s="288"/>
      <c r="H346" s="64" t="s">
        <v>3512</v>
      </c>
      <c r="I346" s="64">
        <v>2025.0</v>
      </c>
      <c r="J346" s="64">
        <v>2026.0</v>
      </c>
      <c r="K346" s="287">
        <v>0.42</v>
      </c>
      <c r="L346" s="288"/>
      <c r="M346" s="289">
        <v>6.034040928E7</v>
      </c>
      <c r="N346" s="35">
        <v>0.0</v>
      </c>
      <c r="O346" s="295">
        <f t="shared" si="2"/>
        <v>60340409.28</v>
      </c>
      <c r="P346" s="35" t="s">
        <v>1469</v>
      </c>
      <c r="Q346" s="37">
        <v>46290.0</v>
      </c>
      <c r="R346" s="56"/>
      <c r="S346" s="38"/>
      <c r="T346" s="39">
        <v>60340.40928</v>
      </c>
      <c r="U346" s="39">
        <v>28661.69441</v>
      </c>
      <c r="V346" s="40">
        <v>31678.71487</v>
      </c>
      <c r="W346" s="57" t="s">
        <v>1471</v>
      </c>
      <c r="X346" s="42" t="s">
        <v>980</v>
      </c>
      <c r="Y346" s="42" t="str">
        <f>IFERROR(__xludf.DUMMYFUNCTION("vLOOKUP(A346,IMPORTRANGE(""https://docs.google.com/spreadsheets/d/1Rawwwdh8wntXGy8isdYNHxsNQS4n_rC8JSdPfj6vEq4"",""'500 объектов перенос на 2026'!A3:AB502""),13,0)"),"#REF!")</f>
        <v>#REF!</v>
      </c>
      <c r="Z346" s="42" t="str">
        <f>IFERROR(__xludf.DUMMYFUNCTION("vLOOKUP(A346,IMPORTRANGE(""https://docs.google.com/spreadsheets/d/1Rawwwdh8wntXGy8isdYNHxsNQS4n_rC8JSdPfj6vEq4"",""'500 объектов перенос на 2026'!A3:AB502""),14,0)"),"#REF!")</f>
        <v>#REF!</v>
      </c>
      <c r="AA346" s="85" t="s">
        <v>4243</v>
      </c>
      <c r="AB346" s="43"/>
    </row>
    <row r="347">
      <c r="A347" s="62" t="s">
        <v>693</v>
      </c>
      <c r="B347" s="63" t="s">
        <v>653</v>
      </c>
      <c r="C347" s="64" t="s">
        <v>694</v>
      </c>
      <c r="D347" s="64" t="s">
        <v>59</v>
      </c>
      <c r="E347" s="64">
        <v>12.0</v>
      </c>
      <c r="F347" s="288"/>
      <c r="G347" s="288"/>
      <c r="H347" s="64" t="s">
        <v>3512</v>
      </c>
      <c r="I347" s="64">
        <v>2024.0</v>
      </c>
      <c r="J347" s="64">
        <v>2026.0</v>
      </c>
      <c r="K347" s="287">
        <v>0.67</v>
      </c>
      <c r="L347" s="288"/>
      <c r="M347" s="289">
        <v>1.0511412E8</v>
      </c>
      <c r="N347" s="35">
        <v>0.0</v>
      </c>
      <c r="O347" s="295">
        <f t="shared" si="2"/>
        <v>105114120</v>
      </c>
      <c r="P347" s="35" t="s">
        <v>46</v>
      </c>
      <c r="Q347" s="290">
        <v>46310.0</v>
      </c>
      <c r="R347" s="56"/>
      <c r="S347" s="38" t="s">
        <v>699</v>
      </c>
      <c r="T347" s="39">
        <v>105114.12</v>
      </c>
      <c r="U347" s="39">
        <v>26278.53</v>
      </c>
      <c r="V347" s="40">
        <v>78835.59</v>
      </c>
      <c r="W347" s="57" t="s">
        <v>700</v>
      </c>
      <c r="X347" s="42" t="s">
        <v>701</v>
      </c>
      <c r="Y347" s="42" t="str">
        <f>IFERROR(__xludf.DUMMYFUNCTION("vLOOKUP(A347,IMPORTRANGE(""https://docs.google.com/spreadsheets/d/1Rawwwdh8wntXGy8isdYNHxsNQS4n_rC8JSdPfj6vEq4"",""'500 объектов перенос на 2026'!A3:AB502""),13,0)"),"#REF!")</f>
        <v>#REF!</v>
      </c>
      <c r="Z347" s="42" t="str">
        <f>IFERROR(__xludf.DUMMYFUNCTION("vLOOKUP(A347,IMPORTRANGE(""https://docs.google.com/spreadsheets/d/1Rawwwdh8wntXGy8isdYNHxsNQS4n_rC8JSdPfj6vEq4"",""'500 объектов перенос на 2026'!A3:AB502""),14,0)"),"#REF!")</f>
        <v>#REF!</v>
      </c>
      <c r="AA347" s="85" t="s">
        <v>4244</v>
      </c>
      <c r="AB347" s="43"/>
    </row>
    <row r="348">
      <c r="A348" s="62" t="s">
        <v>2362</v>
      </c>
      <c r="B348" s="63" t="s">
        <v>653</v>
      </c>
      <c r="C348" s="64" t="s">
        <v>2363</v>
      </c>
      <c r="D348" s="64" t="s">
        <v>85</v>
      </c>
      <c r="E348" s="288"/>
      <c r="F348" s="64">
        <v>250.0</v>
      </c>
      <c r="G348" s="64">
        <v>320.0</v>
      </c>
      <c r="H348" s="64" t="s">
        <v>3512</v>
      </c>
      <c r="I348" s="64">
        <v>2025.0</v>
      </c>
      <c r="J348" s="64">
        <v>2026.0</v>
      </c>
      <c r="K348" s="287">
        <v>0.57</v>
      </c>
      <c r="L348" s="288"/>
      <c r="M348" s="289">
        <v>1.9841024E7</v>
      </c>
      <c r="N348" s="35">
        <v>0.0</v>
      </c>
      <c r="O348" s="295">
        <f t="shared" si="2"/>
        <v>19841024</v>
      </c>
      <c r="P348" s="35" t="s">
        <v>4245</v>
      </c>
      <c r="Q348" s="37">
        <v>46235.0</v>
      </c>
      <c r="R348" s="56"/>
      <c r="S348" s="38" t="s">
        <v>507</v>
      </c>
      <c r="T348" s="39">
        <v>19841.02</v>
      </c>
      <c r="U348" s="39">
        <v>9920.512</v>
      </c>
      <c r="V348" s="40">
        <v>9920.508</v>
      </c>
      <c r="W348" s="57" t="s">
        <v>2368</v>
      </c>
      <c r="X348" s="42" t="s">
        <v>980</v>
      </c>
      <c r="Y348" s="42" t="str">
        <f>IFERROR(__xludf.DUMMYFUNCTION("vLOOKUP(A348,IMPORTRANGE(""https://docs.google.com/spreadsheets/d/1Rawwwdh8wntXGy8isdYNHxsNQS4n_rC8JSdPfj6vEq4"",""'500 объектов перенос на 2026'!A3:AB502""),13,0)"),"#REF!")</f>
        <v>#REF!</v>
      </c>
      <c r="Z348" s="42" t="str">
        <f>IFERROR(__xludf.DUMMYFUNCTION("vLOOKUP(A348,IMPORTRANGE(""https://docs.google.com/spreadsheets/d/1Rawwwdh8wntXGy8isdYNHxsNQS4n_rC8JSdPfj6vEq4"",""'500 объектов перенос на 2026'!A3:AB502""),14,0)"),"#REF!")</f>
        <v>#REF!</v>
      </c>
      <c r="AA348" s="85" t="s">
        <v>4246</v>
      </c>
      <c r="AB348" s="43"/>
    </row>
    <row r="349">
      <c r="A349" s="62" t="s">
        <v>1386</v>
      </c>
      <c r="B349" s="63" t="s">
        <v>653</v>
      </c>
      <c r="C349" s="64" t="s">
        <v>1387</v>
      </c>
      <c r="D349" s="64" t="s">
        <v>85</v>
      </c>
      <c r="E349" s="288"/>
      <c r="F349" s="64">
        <v>125.0</v>
      </c>
      <c r="G349" s="64">
        <v>700.0</v>
      </c>
      <c r="H349" s="64" t="s">
        <v>3512</v>
      </c>
      <c r="I349" s="64">
        <v>2025.0</v>
      </c>
      <c r="J349" s="64">
        <v>2026.0</v>
      </c>
      <c r="K349" s="287">
        <v>0.38</v>
      </c>
      <c r="L349" s="288"/>
      <c r="M349" s="289">
        <v>3.264436E7</v>
      </c>
      <c r="N349" s="35">
        <v>0.0</v>
      </c>
      <c r="O349" s="295">
        <f t="shared" si="2"/>
        <v>32644360</v>
      </c>
      <c r="P349" s="35" t="s">
        <v>4247</v>
      </c>
      <c r="Q349" s="37">
        <v>46266.0</v>
      </c>
      <c r="R349" s="56"/>
      <c r="S349" s="38" t="s">
        <v>1391</v>
      </c>
      <c r="T349" s="39">
        <v>32644.36</v>
      </c>
      <c r="U349" s="39">
        <v>0.0</v>
      </c>
      <c r="V349" s="40">
        <v>32644.36</v>
      </c>
      <c r="W349" s="57" t="s">
        <v>1392</v>
      </c>
      <c r="X349" s="42" t="s">
        <v>1393</v>
      </c>
      <c r="Y349" s="96" t="s">
        <v>1394</v>
      </c>
      <c r="Z349" s="96" t="s">
        <v>1394</v>
      </c>
      <c r="AA349" s="85" t="s">
        <v>1394</v>
      </c>
      <c r="AB349" s="43"/>
    </row>
    <row r="350">
      <c r="A350" s="62" t="s">
        <v>1649</v>
      </c>
      <c r="B350" s="63" t="s">
        <v>653</v>
      </c>
      <c r="C350" s="64" t="s">
        <v>1650</v>
      </c>
      <c r="D350" s="64" t="s">
        <v>85</v>
      </c>
      <c r="E350" s="288"/>
      <c r="F350" s="64" t="s">
        <v>4248</v>
      </c>
      <c r="G350" s="64">
        <v>750.0</v>
      </c>
      <c r="H350" s="64" t="s">
        <v>3512</v>
      </c>
      <c r="I350" s="64">
        <v>2025.0</v>
      </c>
      <c r="J350" s="64">
        <v>2026.0</v>
      </c>
      <c r="K350" s="287">
        <v>0.78</v>
      </c>
      <c r="L350" s="288"/>
      <c r="M350" s="289">
        <v>4.70691504E7</v>
      </c>
      <c r="N350" s="35">
        <v>0.0</v>
      </c>
      <c r="O350" s="295">
        <f t="shared" si="2"/>
        <v>47069150.4</v>
      </c>
      <c r="P350" s="35" t="s">
        <v>1652</v>
      </c>
      <c r="Q350" s="37">
        <v>46310.0</v>
      </c>
      <c r="R350" s="56"/>
      <c r="S350" s="38" t="s">
        <v>46</v>
      </c>
      <c r="T350" s="39">
        <v>47069.15</v>
      </c>
      <c r="U350" s="39">
        <v>23534.5752</v>
      </c>
      <c r="V350" s="40">
        <v>23534.5748</v>
      </c>
      <c r="W350" s="57" t="s">
        <v>1654</v>
      </c>
      <c r="X350" s="42" t="s">
        <v>980</v>
      </c>
      <c r="Y350" s="42" t="str">
        <f>IFERROR(__xludf.DUMMYFUNCTION("vLOOKUP(A350,IMPORTRANGE(""https://docs.google.com/spreadsheets/d/1Rawwwdh8wntXGy8isdYNHxsNQS4n_rC8JSdPfj6vEq4"",""'500 объектов перенос на 2026'!A3:AB502""),13,0)"),"#REF!")</f>
        <v>#REF!</v>
      </c>
      <c r="Z350" s="42" t="str">
        <f>IFERROR(__xludf.DUMMYFUNCTION("vLOOKUP(A350,IMPORTRANGE(""https://docs.google.com/spreadsheets/d/1Rawwwdh8wntXGy8isdYNHxsNQS4n_rC8JSdPfj6vEq4"",""'500 объектов перенос на 2026'!A3:AB502""),14,0)"),"#REF!")</f>
        <v>#REF!</v>
      </c>
      <c r="AA350" s="85" t="s">
        <v>4249</v>
      </c>
      <c r="AB350" s="43"/>
    </row>
    <row r="351">
      <c r="A351" s="62" t="s">
        <v>2370</v>
      </c>
      <c r="B351" s="63" t="s">
        <v>653</v>
      </c>
      <c r="C351" s="64" t="s">
        <v>2371</v>
      </c>
      <c r="D351" s="64" t="s">
        <v>85</v>
      </c>
      <c r="E351" s="288"/>
      <c r="F351" s="64">
        <v>200.0</v>
      </c>
      <c r="G351" s="64">
        <v>328.0</v>
      </c>
      <c r="H351" s="64" t="s">
        <v>3512</v>
      </c>
      <c r="I351" s="64">
        <v>2025.0</v>
      </c>
      <c r="J351" s="64">
        <v>2025.0</v>
      </c>
      <c r="K351" s="287">
        <v>1.0</v>
      </c>
      <c r="L351" s="292" t="s">
        <v>3528</v>
      </c>
      <c r="M351" s="289">
        <v>1.48E7</v>
      </c>
      <c r="N351" s="35">
        <v>0.0</v>
      </c>
      <c r="O351" s="295">
        <f t="shared" si="2"/>
        <v>14800000</v>
      </c>
      <c r="P351" s="35" t="s">
        <v>2308</v>
      </c>
      <c r="Q351" s="38" t="s">
        <v>1219</v>
      </c>
      <c r="R351" s="38" t="s">
        <v>115</v>
      </c>
      <c r="S351" s="38"/>
      <c r="T351" s="39">
        <v>19240.0</v>
      </c>
      <c r="U351" s="39">
        <v>19240.0</v>
      </c>
      <c r="V351" s="39">
        <v>0.0</v>
      </c>
      <c r="W351" s="57" t="s">
        <v>2372</v>
      </c>
      <c r="X351" s="42" t="s">
        <v>1191</v>
      </c>
      <c r="Y351" s="42" t="s">
        <v>1191</v>
      </c>
      <c r="Z351" s="42" t="s">
        <v>1191</v>
      </c>
      <c r="AA351" s="85" t="s">
        <v>175</v>
      </c>
      <c r="AB351" s="43"/>
    </row>
    <row r="352">
      <c r="A352" s="62" t="s">
        <v>1500</v>
      </c>
      <c r="B352" s="63" t="s">
        <v>653</v>
      </c>
      <c r="C352" s="64" t="s">
        <v>1501</v>
      </c>
      <c r="D352" s="64" t="s">
        <v>85</v>
      </c>
      <c r="E352" s="288"/>
      <c r="F352" s="64" t="s">
        <v>4250</v>
      </c>
      <c r="G352" s="291" t="s">
        <v>4251</v>
      </c>
      <c r="H352" s="64" t="s">
        <v>3512</v>
      </c>
      <c r="I352" s="64">
        <v>2025.0</v>
      </c>
      <c r="J352" s="64">
        <v>2026.0</v>
      </c>
      <c r="K352" s="287">
        <v>0.88</v>
      </c>
      <c r="L352" s="288"/>
      <c r="M352" s="289">
        <v>4.295E7</v>
      </c>
      <c r="N352" s="35">
        <v>0.0</v>
      </c>
      <c r="O352" s="295">
        <f t="shared" si="2"/>
        <v>42950000</v>
      </c>
      <c r="P352" s="35" t="s">
        <v>46</v>
      </c>
      <c r="Q352" s="37">
        <v>46249.0</v>
      </c>
      <c r="R352" s="56"/>
      <c r="S352" s="38" t="s">
        <v>4252</v>
      </c>
      <c r="T352" s="39">
        <v>42950.0</v>
      </c>
      <c r="U352" s="39">
        <v>12240.75</v>
      </c>
      <c r="V352" s="40">
        <v>30709.25</v>
      </c>
      <c r="W352" s="57" t="s">
        <v>1506</v>
      </c>
      <c r="X352" s="42" t="s">
        <v>903</v>
      </c>
      <c r="Y352" s="42" t="str">
        <f>IFERROR(__xludf.DUMMYFUNCTION("vLOOKUP(A352,IMPORTRANGE(""https://docs.google.com/spreadsheets/d/1Rawwwdh8wntXGy8isdYNHxsNQS4n_rC8JSdPfj6vEq4"",""'500 объектов перенос на 2026'!A3:AB502""),13,0)"),"#REF!")</f>
        <v>#REF!</v>
      </c>
      <c r="Z352" s="42" t="str">
        <f>IFERROR(__xludf.DUMMYFUNCTION("vLOOKUP(A352,IMPORTRANGE(""https://docs.google.com/spreadsheets/d/1Rawwwdh8wntXGy8isdYNHxsNQS4n_rC8JSdPfj6vEq4"",""'500 объектов перенос на 2026'!A3:AB502""),14,0)"),"#REF!")</f>
        <v>#REF!</v>
      </c>
      <c r="AA352" s="85" t="s">
        <v>3789</v>
      </c>
      <c r="AB352" s="43"/>
    </row>
    <row r="353">
      <c r="A353" s="62" t="s">
        <v>1356</v>
      </c>
      <c r="B353" s="63" t="s">
        <v>653</v>
      </c>
      <c r="C353" s="157" t="s">
        <v>1357</v>
      </c>
      <c r="D353" s="64" t="s">
        <v>59</v>
      </c>
      <c r="E353" s="64">
        <v>8.4</v>
      </c>
      <c r="F353" s="288"/>
      <c r="G353" s="288"/>
      <c r="H353" s="64" t="s">
        <v>3512</v>
      </c>
      <c r="I353" s="64">
        <v>2025.0</v>
      </c>
      <c r="J353" s="64">
        <v>2026.0</v>
      </c>
      <c r="K353" s="287">
        <v>0.93</v>
      </c>
      <c r="L353" s="288"/>
      <c r="M353" s="289">
        <v>7.403731E7</v>
      </c>
      <c r="N353" s="35">
        <v>0.0</v>
      </c>
      <c r="O353" s="295">
        <f t="shared" si="2"/>
        <v>74037310</v>
      </c>
      <c r="P353" s="35" t="s">
        <v>49</v>
      </c>
      <c r="Q353" s="37">
        <v>46290.0</v>
      </c>
      <c r="R353" s="56"/>
      <c r="S353" s="38" t="s">
        <v>4253</v>
      </c>
      <c r="T353" s="39">
        <v>74037.0</v>
      </c>
      <c r="U353" s="39">
        <v>37018.655</v>
      </c>
      <c r="V353" s="40">
        <v>37018.345</v>
      </c>
      <c r="W353" s="57" t="s">
        <v>1361</v>
      </c>
      <c r="X353" s="42" t="s">
        <v>980</v>
      </c>
      <c r="Y353" s="42" t="str">
        <f>IFERROR(__xludf.DUMMYFUNCTION("vLOOKUP(A353,IMPORTRANGE(""https://docs.google.com/spreadsheets/d/1Rawwwdh8wntXGy8isdYNHxsNQS4n_rC8JSdPfj6vEq4"",""'500 объектов перенос на 2026'!A3:AB502""),13,0)"),"#REF!")</f>
        <v>#REF!</v>
      </c>
      <c r="Z353" s="42" t="str">
        <f>IFERROR(__xludf.DUMMYFUNCTION("vLOOKUP(A353,IMPORTRANGE(""https://docs.google.com/spreadsheets/d/1Rawwwdh8wntXGy8isdYNHxsNQS4n_rC8JSdPfj6vEq4"",""'500 объектов перенос на 2026'!A3:AB502""),14,0)"),"#REF!")</f>
        <v>#REF!</v>
      </c>
      <c r="AA353" s="85" t="s">
        <v>4254</v>
      </c>
      <c r="AB353" s="43"/>
    </row>
    <row r="354">
      <c r="A354" s="62" t="s">
        <v>1056</v>
      </c>
      <c r="B354" s="63" t="s">
        <v>653</v>
      </c>
      <c r="C354" s="64" t="s">
        <v>1057</v>
      </c>
      <c r="D354" s="64" t="s">
        <v>59</v>
      </c>
      <c r="E354" s="64">
        <v>12.0</v>
      </c>
      <c r="F354" s="288"/>
      <c r="G354" s="288"/>
      <c r="H354" s="64" t="s">
        <v>3512</v>
      </c>
      <c r="I354" s="64">
        <v>2025.0</v>
      </c>
      <c r="J354" s="64">
        <v>2026.0</v>
      </c>
      <c r="K354" s="287">
        <v>0.89</v>
      </c>
      <c r="L354" s="288"/>
      <c r="M354" s="289">
        <v>1.0287544E8</v>
      </c>
      <c r="N354" s="35">
        <v>0.0</v>
      </c>
      <c r="O354" s="295">
        <f t="shared" si="2"/>
        <v>102875440</v>
      </c>
      <c r="P354" s="35" t="s">
        <v>4255</v>
      </c>
      <c r="Q354" s="37">
        <v>46249.0</v>
      </c>
      <c r="R354" s="56"/>
      <c r="S354" s="38" t="s">
        <v>4256</v>
      </c>
      <c r="T354" s="39">
        <v>102875.44</v>
      </c>
      <c r="U354" s="39">
        <v>51437.72</v>
      </c>
      <c r="V354" s="40">
        <v>51437.72</v>
      </c>
      <c r="W354" s="57" t="s">
        <v>1063</v>
      </c>
      <c r="X354" s="42" t="s">
        <v>1064</v>
      </c>
      <c r="Y354" s="42" t="str">
        <f>IFERROR(__xludf.DUMMYFUNCTION("vLOOKUP(A354,IMPORTRANGE(""https://docs.google.com/spreadsheets/d/1Rawwwdh8wntXGy8isdYNHxsNQS4n_rC8JSdPfj6vEq4"",""'500 объектов перенос на 2026'!A3:AB502""),13,0)"),"#REF!")</f>
        <v>#REF!</v>
      </c>
      <c r="Z354" s="42" t="str">
        <f>IFERROR(__xludf.DUMMYFUNCTION("vLOOKUP(A354,IMPORTRANGE(""https://docs.google.com/spreadsheets/d/1Rawwwdh8wntXGy8isdYNHxsNQS4n_rC8JSdPfj6vEq4"",""'500 объектов перенос на 2026'!A3:AB502""),14,0)"),"#REF!")</f>
        <v>#REF!</v>
      </c>
      <c r="AA354" s="85" t="s">
        <v>4257</v>
      </c>
      <c r="AB354" s="43"/>
    </row>
    <row r="355">
      <c r="A355" s="62" t="s">
        <v>972</v>
      </c>
      <c r="B355" s="63" t="s">
        <v>653</v>
      </c>
      <c r="C355" s="64" t="s">
        <v>973</v>
      </c>
      <c r="D355" s="64" t="s">
        <v>85</v>
      </c>
      <c r="E355" s="288"/>
      <c r="F355" s="64">
        <v>400.0</v>
      </c>
      <c r="G355" s="64">
        <v>590.0</v>
      </c>
      <c r="H355" s="64" t="s">
        <v>3512</v>
      </c>
      <c r="I355" s="64">
        <v>2024.0</v>
      </c>
      <c r="J355" s="90">
        <v>2026.0</v>
      </c>
      <c r="K355" s="287">
        <v>0.67</v>
      </c>
      <c r="L355" s="288"/>
      <c r="M355" s="289">
        <v>1.073149E8</v>
      </c>
      <c r="N355" s="35">
        <v>0.0</v>
      </c>
      <c r="O355" s="295">
        <f t="shared" si="2"/>
        <v>107314900</v>
      </c>
      <c r="P355" s="35" t="s">
        <v>976</v>
      </c>
      <c r="Q355" s="37">
        <v>46234.0</v>
      </c>
      <c r="R355" s="56"/>
      <c r="S355" s="38" t="s">
        <v>978</v>
      </c>
      <c r="T355" s="39">
        <v>107414.9</v>
      </c>
      <c r="U355" s="39">
        <v>53657.45</v>
      </c>
      <c r="V355" s="40">
        <v>53757.45</v>
      </c>
      <c r="W355" s="57" t="s">
        <v>979</v>
      </c>
      <c r="X355" s="42" t="s">
        <v>980</v>
      </c>
      <c r="Y355" s="42" t="str">
        <f>IFERROR(__xludf.DUMMYFUNCTION("vLOOKUP(A355,IMPORTRANGE(""https://docs.google.com/spreadsheets/d/1Rawwwdh8wntXGy8isdYNHxsNQS4n_rC8JSdPfj6vEq4"",""'500 объектов перенос на 2026'!A3:AB502""),13,0)"),"#REF!")</f>
        <v>#REF!</v>
      </c>
      <c r="Z355" s="42" t="str">
        <f>IFERROR(__xludf.DUMMYFUNCTION("vLOOKUP(A355,IMPORTRANGE(""https://docs.google.com/spreadsheets/d/1Rawwwdh8wntXGy8isdYNHxsNQS4n_rC8JSdPfj6vEq4"",""'500 объектов перенос на 2026'!A3:AB502""),14,0)"),"#REF!")</f>
        <v>#REF!</v>
      </c>
      <c r="AA355" s="85" t="s">
        <v>4258</v>
      </c>
      <c r="AB355" s="43"/>
    </row>
    <row r="356">
      <c r="A356" s="62" t="s">
        <v>1444</v>
      </c>
      <c r="B356" s="63" t="s">
        <v>653</v>
      </c>
      <c r="C356" s="90" t="s">
        <v>1445</v>
      </c>
      <c r="D356" s="64" t="s">
        <v>85</v>
      </c>
      <c r="E356" s="288"/>
      <c r="F356" s="64" t="s">
        <v>4259</v>
      </c>
      <c r="G356" s="64">
        <v>702.0</v>
      </c>
      <c r="H356" s="64" t="s">
        <v>3512</v>
      </c>
      <c r="I356" s="64">
        <v>2024.0</v>
      </c>
      <c r="J356" s="64">
        <v>2026.0</v>
      </c>
      <c r="K356" s="287">
        <v>0.7</v>
      </c>
      <c r="L356" s="288"/>
      <c r="M356" s="289">
        <v>6.412909E7</v>
      </c>
      <c r="N356" s="35">
        <v>0.0</v>
      </c>
      <c r="O356" s="295">
        <f t="shared" si="2"/>
        <v>64129090</v>
      </c>
      <c r="P356" s="35" t="s">
        <v>976</v>
      </c>
      <c r="Q356" s="37">
        <v>46290.0</v>
      </c>
      <c r="R356" s="56"/>
      <c r="S356" s="38" t="s">
        <v>978</v>
      </c>
      <c r="T356" s="39">
        <v>64139.1</v>
      </c>
      <c r="U356" s="39">
        <v>32064.545</v>
      </c>
      <c r="V356" s="40">
        <v>32074.555</v>
      </c>
      <c r="W356" s="57" t="s">
        <v>1448</v>
      </c>
      <c r="X356" s="42" t="s">
        <v>980</v>
      </c>
      <c r="Y356" s="42" t="str">
        <f>IFERROR(__xludf.DUMMYFUNCTION("vLOOKUP(A356,IMPORTRANGE(""https://docs.google.com/spreadsheets/d/1Rawwwdh8wntXGy8isdYNHxsNQS4n_rC8JSdPfj6vEq4"",""'500 объектов перенос на 2026'!A3:AB502""),13,0)"),"#REF!")</f>
        <v>#REF!</v>
      </c>
      <c r="Z356" s="42" t="str">
        <f>IFERROR(__xludf.DUMMYFUNCTION("vLOOKUP(A356,IMPORTRANGE(""https://docs.google.com/spreadsheets/d/1Rawwwdh8wntXGy8isdYNHxsNQS4n_rC8JSdPfj6vEq4"",""'500 объектов перенос на 2026'!A3:AB502""),14,0)"),"#REF!")</f>
        <v>#REF!</v>
      </c>
      <c r="AA356" s="85" t="s">
        <v>4258</v>
      </c>
      <c r="AB356" s="43"/>
    </row>
    <row r="357">
      <c r="A357" s="62" t="s">
        <v>2408</v>
      </c>
      <c r="B357" s="63" t="s">
        <v>653</v>
      </c>
      <c r="C357" s="64" t="s">
        <v>2409</v>
      </c>
      <c r="D357" s="64" t="s">
        <v>85</v>
      </c>
      <c r="E357" s="288"/>
      <c r="F357" s="64">
        <v>250.0</v>
      </c>
      <c r="G357" s="64">
        <v>250.0</v>
      </c>
      <c r="H357" s="64" t="s">
        <v>3512</v>
      </c>
      <c r="I357" s="64">
        <v>2024.0</v>
      </c>
      <c r="J357" s="64">
        <v>2025.0</v>
      </c>
      <c r="K357" s="287">
        <v>1.0</v>
      </c>
      <c r="L357" s="292" t="s">
        <v>3528</v>
      </c>
      <c r="M357" s="289">
        <v>2.27358E7</v>
      </c>
      <c r="N357" s="35">
        <v>2.455445264E7</v>
      </c>
      <c r="O357" s="295">
        <f t="shared" si="2"/>
        <v>-1818652.64</v>
      </c>
      <c r="P357" s="35" t="s">
        <v>2308</v>
      </c>
      <c r="Q357" s="38" t="s">
        <v>1219</v>
      </c>
      <c r="R357" s="38" t="s">
        <v>115</v>
      </c>
      <c r="S357" s="38"/>
      <c r="T357" s="39">
        <v>25851.84</v>
      </c>
      <c r="U357" s="39">
        <v>25270.02464</v>
      </c>
      <c r="V357" s="39">
        <v>581.81536</v>
      </c>
      <c r="W357" s="57" t="s">
        <v>2410</v>
      </c>
      <c r="X357" s="42" t="s">
        <v>2411</v>
      </c>
      <c r="Y357" s="42" t="s">
        <v>2411</v>
      </c>
      <c r="Z357" s="42" t="s">
        <v>2411</v>
      </c>
      <c r="AA357" s="85" t="s">
        <v>175</v>
      </c>
      <c r="AB357" s="43"/>
    </row>
    <row r="358">
      <c r="A358" s="62" t="s">
        <v>2412</v>
      </c>
      <c r="B358" s="63" t="s">
        <v>653</v>
      </c>
      <c r="C358" s="64" t="s">
        <v>2413</v>
      </c>
      <c r="D358" s="64" t="s">
        <v>85</v>
      </c>
      <c r="E358" s="288"/>
      <c r="F358" s="64" t="s">
        <v>3550</v>
      </c>
      <c r="G358" s="64">
        <v>450.0</v>
      </c>
      <c r="H358" s="64" t="s">
        <v>3512</v>
      </c>
      <c r="I358" s="64">
        <v>2024.0</v>
      </c>
      <c r="J358" s="64">
        <v>2025.0</v>
      </c>
      <c r="K358" s="287">
        <v>0.66</v>
      </c>
      <c r="L358" s="292" t="s">
        <v>3528</v>
      </c>
      <c r="M358" s="289">
        <v>3.06E7</v>
      </c>
      <c r="N358" s="35">
        <v>2.641561798E7</v>
      </c>
      <c r="O358" s="295">
        <f t="shared" si="2"/>
        <v>4184382.02</v>
      </c>
      <c r="P358" s="35" t="s">
        <v>2308</v>
      </c>
      <c r="Q358" s="38" t="s">
        <v>1219</v>
      </c>
      <c r="R358" s="38" t="s">
        <v>115</v>
      </c>
      <c r="S358" s="38"/>
      <c r="T358" s="39">
        <v>30636.0</v>
      </c>
      <c r="U358" s="39">
        <v>29645.09795</v>
      </c>
      <c r="V358" s="39">
        <v>990.90205</v>
      </c>
      <c r="W358" s="57" t="s">
        <v>2414</v>
      </c>
      <c r="X358" s="42" t="s">
        <v>2411</v>
      </c>
      <c r="Y358" s="42" t="s">
        <v>2411</v>
      </c>
      <c r="Z358" s="42" t="s">
        <v>2411</v>
      </c>
      <c r="AA358" s="85" t="s">
        <v>175</v>
      </c>
      <c r="AB358" s="43"/>
    </row>
    <row r="359">
      <c r="A359" s="62" t="s">
        <v>1882</v>
      </c>
      <c r="B359" s="63" t="s">
        <v>653</v>
      </c>
      <c r="C359" s="64" t="s">
        <v>1883</v>
      </c>
      <c r="D359" s="64" t="s">
        <v>85</v>
      </c>
      <c r="E359" s="288"/>
      <c r="F359" s="64">
        <v>300.0</v>
      </c>
      <c r="G359" s="64">
        <v>495.0</v>
      </c>
      <c r="H359" s="64" t="s">
        <v>3512</v>
      </c>
      <c r="I359" s="64">
        <v>2024.0</v>
      </c>
      <c r="J359" s="64">
        <v>2026.0</v>
      </c>
      <c r="K359" s="287">
        <v>0.82</v>
      </c>
      <c r="L359" s="288"/>
      <c r="M359" s="289">
        <v>3.496768E7</v>
      </c>
      <c r="N359" s="35">
        <v>0.0</v>
      </c>
      <c r="O359" s="295">
        <f t="shared" si="2"/>
        <v>34967680</v>
      </c>
      <c r="P359" s="35" t="s">
        <v>1885</v>
      </c>
      <c r="Q359" s="37">
        <v>46294.0</v>
      </c>
      <c r="R359" s="56"/>
      <c r="S359" s="38" t="s">
        <v>978</v>
      </c>
      <c r="T359" s="39">
        <v>34967.68</v>
      </c>
      <c r="U359" s="39">
        <v>17483.84</v>
      </c>
      <c r="V359" s="40">
        <v>17483.84</v>
      </c>
      <c r="W359" s="57" t="s">
        <v>1887</v>
      </c>
      <c r="X359" s="42" t="s">
        <v>980</v>
      </c>
      <c r="Y359" s="42" t="str">
        <f>IFERROR(__xludf.DUMMYFUNCTION("vLOOKUP(A359,IMPORTRANGE(""https://docs.google.com/spreadsheets/d/1Rawwwdh8wntXGy8isdYNHxsNQS4n_rC8JSdPfj6vEq4"",""'500 объектов перенос на 2026'!A3:AB502""),13,0)"),"#REF!")</f>
        <v>#REF!</v>
      </c>
      <c r="Z359" s="42" t="str">
        <f>IFERROR(__xludf.DUMMYFUNCTION("vLOOKUP(A359,IMPORTRANGE(""https://docs.google.com/spreadsheets/d/1Rawwwdh8wntXGy8isdYNHxsNQS4n_rC8JSdPfj6vEq4"",""'500 объектов перенос на 2026'!A3:AB502""),14,0)"),"#REF!")</f>
        <v>#REF!</v>
      </c>
      <c r="AA359" s="85" t="s">
        <v>4260</v>
      </c>
      <c r="AB359" s="43"/>
    </row>
    <row r="360">
      <c r="A360" s="62" t="s">
        <v>869</v>
      </c>
      <c r="B360" s="63" t="s">
        <v>653</v>
      </c>
      <c r="C360" s="64" t="s">
        <v>870</v>
      </c>
      <c r="D360" s="64" t="s">
        <v>85</v>
      </c>
      <c r="E360" s="288"/>
      <c r="F360" s="64" t="s">
        <v>3832</v>
      </c>
      <c r="G360" s="291" t="s">
        <v>4261</v>
      </c>
      <c r="H360" s="64" t="s">
        <v>3512</v>
      </c>
      <c r="I360" s="64">
        <v>2024.0</v>
      </c>
      <c r="J360" s="64">
        <v>2026.0</v>
      </c>
      <c r="K360" s="287">
        <v>0.73</v>
      </c>
      <c r="L360" s="288"/>
      <c r="M360" s="289">
        <v>1.256E8</v>
      </c>
      <c r="N360" s="35">
        <v>0.0</v>
      </c>
      <c r="O360" s="295">
        <f t="shared" si="2"/>
        <v>125600000</v>
      </c>
      <c r="P360" s="35" t="s">
        <v>4255</v>
      </c>
      <c r="Q360" s="37">
        <v>46249.0</v>
      </c>
      <c r="R360" s="56"/>
      <c r="S360" s="38" t="s">
        <v>874</v>
      </c>
      <c r="T360" s="39">
        <v>125600.0</v>
      </c>
      <c r="U360" s="39">
        <v>62800.0</v>
      </c>
      <c r="V360" s="40">
        <v>62800.0</v>
      </c>
      <c r="W360" s="57" t="s">
        <v>875</v>
      </c>
      <c r="X360" s="42" t="s">
        <v>326</v>
      </c>
      <c r="Y360" s="42" t="str">
        <f>IFERROR(__xludf.DUMMYFUNCTION("vLOOKUP(A360,IMPORTRANGE(""https://docs.google.com/spreadsheets/d/1Rawwwdh8wntXGy8isdYNHxsNQS4n_rC8JSdPfj6vEq4"",""'500 объектов перенос на 2026'!A3:AB502""),13,0)"),"#REF!")</f>
        <v>#REF!</v>
      </c>
      <c r="Z360" s="42" t="str">
        <f>IFERROR(__xludf.DUMMYFUNCTION("vLOOKUP(A360,IMPORTRANGE(""https://docs.google.com/spreadsheets/d/1Rawwwdh8wntXGy8isdYNHxsNQS4n_rC8JSdPfj6vEq4"",""'500 объектов перенос на 2026'!A3:AB502""),14,0)"),"#REF!")</f>
        <v>#REF!</v>
      </c>
      <c r="AA360" s="85" t="s">
        <v>4262</v>
      </c>
      <c r="AB360" s="43"/>
    </row>
    <row r="361">
      <c r="A361" s="62" t="s">
        <v>2430</v>
      </c>
      <c r="B361" s="63" t="s">
        <v>2431</v>
      </c>
      <c r="C361" s="64" t="s">
        <v>2432</v>
      </c>
      <c r="D361" s="64" t="s">
        <v>85</v>
      </c>
      <c r="E361" s="288"/>
      <c r="F361" s="64">
        <v>400.0</v>
      </c>
      <c r="G361" s="64">
        <v>725.0</v>
      </c>
      <c r="H361" s="64" t="s">
        <v>3593</v>
      </c>
      <c r="I361" s="64">
        <v>2024.0</v>
      </c>
      <c r="J361" s="64">
        <v>2026.0</v>
      </c>
      <c r="K361" s="287">
        <v>1.0</v>
      </c>
      <c r="L361" s="288"/>
      <c r="M361" s="285" t="s">
        <v>4263</v>
      </c>
      <c r="N361" s="35" t="s">
        <v>4264</v>
      </c>
      <c r="O361" s="35" t="s">
        <v>4265</v>
      </c>
      <c r="P361" s="35" t="s">
        <v>2434</v>
      </c>
      <c r="Q361" s="37">
        <v>46142.0</v>
      </c>
      <c r="R361" s="179"/>
      <c r="S361" s="37"/>
      <c r="T361" s="39">
        <v>159256.78</v>
      </c>
      <c r="U361" s="39">
        <v>151020.7958</v>
      </c>
      <c r="V361" s="40">
        <v>8235.98418</v>
      </c>
      <c r="W361" s="99" t="s">
        <v>2436</v>
      </c>
      <c r="X361" s="42" t="s">
        <v>2104</v>
      </c>
      <c r="Y361" s="42" t="str">
        <f>IFERROR(__xludf.DUMMYFUNCTION("vLOOKUP(A361,IMPORTRANGE(""https://docs.google.com/spreadsheets/d/1Rawwwdh8wntXGy8isdYNHxsNQS4n_rC8JSdPfj6vEq4"",""'500 объектов перенос на 2026'!A3:AB502""),13,0)"),"#REF!")</f>
        <v>#REF!</v>
      </c>
      <c r="Z361" s="42" t="str">
        <f>IFERROR(__xludf.DUMMYFUNCTION("vLOOKUP(A361,IMPORTRANGE(""https://docs.google.com/spreadsheets/d/1Rawwwdh8wntXGy8isdYNHxsNQS4n_rC8JSdPfj6vEq4"",""'500 объектов перенос на 2026'!A3:AB502""),14,0)"),"#REF!")</f>
        <v>#REF!</v>
      </c>
      <c r="AA361" s="85" t="s">
        <v>4266</v>
      </c>
      <c r="AB361" s="43"/>
    </row>
    <row r="362">
      <c r="A362" s="62" t="s">
        <v>2437</v>
      </c>
      <c r="B362" s="63" t="s">
        <v>2431</v>
      </c>
      <c r="C362" s="64" t="s">
        <v>2438</v>
      </c>
      <c r="D362" s="64" t="s">
        <v>85</v>
      </c>
      <c r="E362" s="288"/>
      <c r="F362" s="64">
        <v>300.0</v>
      </c>
      <c r="G362" s="64">
        <v>331.0</v>
      </c>
      <c r="H362" s="64" t="s">
        <v>3512</v>
      </c>
      <c r="I362" s="64">
        <v>2025.0</v>
      </c>
      <c r="J362" s="64">
        <v>2025.0</v>
      </c>
      <c r="K362" s="287">
        <v>1.0</v>
      </c>
      <c r="L362" s="288"/>
      <c r="M362" s="285" t="s">
        <v>4267</v>
      </c>
      <c r="N362" s="35" t="s">
        <v>4268</v>
      </c>
      <c r="O362" s="35" t="s">
        <v>4269</v>
      </c>
      <c r="P362" s="35" t="s">
        <v>209</v>
      </c>
      <c r="Q362" s="38" t="s">
        <v>173</v>
      </c>
      <c r="R362" s="38" t="s">
        <v>115</v>
      </c>
      <c r="S362" s="38"/>
      <c r="T362" s="39">
        <v>31989.55</v>
      </c>
      <c r="U362" s="39">
        <v>31377.79691</v>
      </c>
      <c r="V362" s="39">
        <v>611.75309</v>
      </c>
      <c r="W362" s="57" t="s">
        <v>2440</v>
      </c>
      <c r="X362" s="42" t="s">
        <v>2441</v>
      </c>
      <c r="Y362" s="42" t="str">
        <f>IFERROR(__xludf.DUMMYFUNCTION("vLOOKUP(A362,IMPORTRANGE(""https://docs.google.com/spreadsheets/d/1Rawwwdh8wntXGy8isdYNHxsNQS4n_rC8JSdPfj6vEq4"",""'500 объектов перенос на 2026'!A3:AB502""),13,0)"),"#REF!")</f>
        <v>#REF!</v>
      </c>
      <c r="Z362" s="42" t="str">
        <f>IFERROR(__xludf.DUMMYFUNCTION("vLOOKUP(A362,IMPORTRANGE(""https://docs.google.com/spreadsheets/d/1Rawwwdh8wntXGy8isdYNHxsNQS4n_rC8JSdPfj6vEq4"",""'500 объектов перенос на 2026'!A3:AB502""),14,0)"),"#REF!")</f>
        <v>#REF!</v>
      </c>
      <c r="AA362" s="85" t="s">
        <v>175</v>
      </c>
      <c r="AB362" s="43"/>
    </row>
    <row r="363">
      <c r="A363" s="62" t="s">
        <v>2442</v>
      </c>
      <c r="B363" s="63" t="s">
        <v>2431</v>
      </c>
      <c r="C363" s="64" t="s">
        <v>2443</v>
      </c>
      <c r="D363" s="64" t="s">
        <v>85</v>
      </c>
      <c r="E363" s="288"/>
      <c r="F363" s="64">
        <v>200.0</v>
      </c>
      <c r="G363" s="64">
        <v>231.0</v>
      </c>
      <c r="H363" s="64" t="s">
        <v>3593</v>
      </c>
      <c r="I363" s="64">
        <v>2025.0</v>
      </c>
      <c r="J363" s="64">
        <v>2025.0</v>
      </c>
      <c r="K363" s="287">
        <v>0.9</v>
      </c>
      <c r="L363" s="288"/>
      <c r="M363" s="289" t="s">
        <v>4270</v>
      </c>
      <c r="N363" s="35" t="s">
        <v>2444</v>
      </c>
      <c r="O363" s="35" t="s">
        <v>3520</v>
      </c>
      <c r="P363" s="35" t="s">
        <v>209</v>
      </c>
      <c r="Q363" s="38" t="s">
        <v>173</v>
      </c>
      <c r="R363" s="38" t="s">
        <v>115</v>
      </c>
      <c r="S363" s="38"/>
      <c r="T363" s="39">
        <v>58618.31</v>
      </c>
      <c r="U363" s="39">
        <v>49859.63579</v>
      </c>
      <c r="V363" s="39">
        <v>8758.67421</v>
      </c>
      <c r="W363" s="57" t="s">
        <v>2445</v>
      </c>
      <c r="X363" s="42" t="s">
        <v>2446</v>
      </c>
      <c r="Y363" s="42" t="str">
        <f>IFERROR(__xludf.DUMMYFUNCTION("vLOOKUP(A363,IMPORTRANGE(""https://docs.google.com/spreadsheets/d/1Rawwwdh8wntXGy8isdYNHxsNQS4n_rC8JSdPfj6vEq4"",""'500 объектов перенос на 2026'!A3:AB502""),13,0)"),"#REF!")</f>
        <v>#REF!</v>
      </c>
      <c r="Z363" s="42" t="str">
        <f>IFERROR(__xludf.DUMMYFUNCTION("vLOOKUP(A363,IMPORTRANGE(""https://docs.google.com/spreadsheets/d/1Rawwwdh8wntXGy8isdYNHxsNQS4n_rC8JSdPfj6vEq4"",""'500 объектов перенос на 2026'!A3:AB502""),14,0)"),"#REF!")</f>
        <v>#REF!</v>
      </c>
      <c r="AA363" s="85" t="s">
        <v>175</v>
      </c>
      <c r="AB363" s="43"/>
    </row>
    <row r="364">
      <c r="A364" s="62" t="s">
        <v>2447</v>
      </c>
      <c r="B364" s="63" t="s">
        <v>2090</v>
      </c>
      <c r="C364" s="104" t="s">
        <v>2448</v>
      </c>
      <c r="D364" s="64" t="s">
        <v>39</v>
      </c>
      <c r="E364" s="64">
        <v>0.3</v>
      </c>
      <c r="F364" s="288"/>
      <c r="G364" s="288"/>
      <c r="H364" s="64" t="s">
        <v>3527</v>
      </c>
      <c r="I364" s="64">
        <v>2025.0</v>
      </c>
      <c r="J364" s="64">
        <v>2025.0</v>
      </c>
      <c r="K364" s="287">
        <v>1.0</v>
      </c>
      <c r="L364" s="292" t="s">
        <v>3528</v>
      </c>
      <c r="M364" s="285" t="s">
        <v>4271</v>
      </c>
      <c r="N364" s="35">
        <v>0.0</v>
      </c>
      <c r="O364" s="35" t="s">
        <v>4271</v>
      </c>
      <c r="P364" s="35" t="s">
        <v>113</v>
      </c>
      <c r="Q364" s="38"/>
      <c r="R364" s="38" t="s">
        <v>115</v>
      </c>
      <c r="S364" s="38"/>
      <c r="T364" s="39">
        <v>11343.92</v>
      </c>
      <c r="U364" s="39">
        <v>25865.63585</v>
      </c>
      <c r="V364" s="39">
        <v>-14521.71585</v>
      </c>
      <c r="W364" s="57" t="s">
        <v>2450</v>
      </c>
      <c r="X364" s="42" t="s">
        <v>2446</v>
      </c>
      <c r="Y364" s="42" t="str">
        <f>IFERROR(__xludf.DUMMYFUNCTION("vLOOKUP(A364,IMPORTRANGE(""https://docs.google.com/spreadsheets/d/1Rawwwdh8wntXGy8isdYNHxsNQS4n_rC8JSdPfj6vEq4"",""'500 объектов перенос на 2026'!A3:AB502""),13,0)"),"#REF!")</f>
        <v>#REF!</v>
      </c>
      <c r="Z364" s="42" t="str">
        <f>IFERROR(__xludf.DUMMYFUNCTION("vLOOKUP(A364,IMPORTRANGE(""https://docs.google.com/spreadsheets/d/1Rawwwdh8wntXGy8isdYNHxsNQS4n_rC8JSdPfj6vEq4"",""'500 объектов перенос на 2026'!A3:AB502""),14,0)"),"#REF!")</f>
        <v>#REF!</v>
      </c>
      <c r="AA364" s="85" t="s">
        <v>175</v>
      </c>
      <c r="AB364" s="43"/>
    </row>
    <row r="365">
      <c r="A365" s="62" t="s">
        <v>2451</v>
      </c>
      <c r="B365" s="63" t="s">
        <v>2090</v>
      </c>
      <c r="C365" s="104" t="s">
        <v>2452</v>
      </c>
      <c r="D365" s="64" t="s">
        <v>39</v>
      </c>
      <c r="E365" s="64">
        <v>0.3</v>
      </c>
      <c r="F365" s="288"/>
      <c r="G365" s="288"/>
      <c r="H365" s="64" t="s">
        <v>3527</v>
      </c>
      <c r="I365" s="64">
        <v>2025.0</v>
      </c>
      <c r="J365" s="64">
        <v>2025.0</v>
      </c>
      <c r="K365" s="287">
        <v>1.0</v>
      </c>
      <c r="L365" s="292" t="s">
        <v>3528</v>
      </c>
      <c r="M365" s="289" t="s">
        <v>4272</v>
      </c>
      <c r="N365" s="35">
        <v>0.0</v>
      </c>
      <c r="O365" s="35" t="s">
        <v>3520</v>
      </c>
      <c r="P365" s="35" t="s">
        <v>113</v>
      </c>
      <c r="Q365" s="38"/>
      <c r="R365" s="38" t="s">
        <v>115</v>
      </c>
      <c r="S365" s="38"/>
      <c r="T365" s="39">
        <v>30442.99</v>
      </c>
      <c r="U365" s="39">
        <v>30442.98657</v>
      </c>
      <c r="V365" s="39">
        <v>0.00343</v>
      </c>
      <c r="W365" s="57" t="s">
        <v>2454</v>
      </c>
      <c r="X365" s="42" t="s">
        <v>2446</v>
      </c>
      <c r="Y365" s="42" t="str">
        <f>IFERROR(__xludf.DUMMYFUNCTION("vLOOKUP(A365,IMPORTRANGE(""https://docs.google.com/spreadsheets/d/1Rawwwdh8wntXGy8isdYNHxsNQS4n_rC8JSdPfj6vEq4"",""'500 объектов перенос на 2026'!A3:AB502""),13,0)"),"#REF!")</f>
        <v>#REF!</v>
      </c>
      <c r="Z365" s="42" t="str">
        <f>IFERROR(__xludf.DUMMYFUNCTION("vLOOKUP(A365,IMPORTRANGE(""https://docs.google.com/spreadsheets/d/1Rawwwdh8wntXGy8isdYNHxsNQS4n_rC8JSdPfj6vEq4"",""'500 объектов перенос на 2026'!A3:AB502""),14,0)"),"#REF!")</f>
        <v>#REF!</v>
      </c>
      <c r="AA365" s="85" t="s">
        <v>175</v>
      </c>
      <c r="AB365" s="43"/>
    </row>
    <row r="366">
      <c r="A366" s="62" t="s">
        <v>2089</v>
      </c>
      <c r="B366" s="63" t="s">
        <v>2090</v>
      </c>
      <c r="C366" s="104" t="s">
        <v>2091</v>
      </c>
      <c r="D366" s="90" t="s">
        <v>39</v>
      </c>
      <c r="E366" s="64">
        <v>0.45</v>
      </c>
      <c r="F366" s="288"/>
      <c r="G366" s="286"/>
      <c r="H366" s="90" t="s">
        <v>3527</v>
      </c>
      <c r="I366" s="90">
        <v>2025.0</v>
      </c>
      <c r="J366" s="90">
        <v>2026.0</v>
      </c>
      <c r="K366" s="287">
        <v>0.97</v>
      </c>
      <c r="L366" s="288"/>
      <c r="M366" s="285" t="s">
        <v>3568</v>
      </c>
      <c r="N366" s="35" t="s">
        <v>3568</v>
      </c>
      <c r="O366" s="35" t="s">
        <v>3568</v>
      </c>
      <c r="P366" s="35" t="s">
        <v>49</v>
      </c>
      <c r="Q366" s="37">
        <v>46218.0</v>
      </c>
      <c r="R366" s="56"/>
      <c r="S366" s="38"/>
      <c r="T366" s="39">
        <v>20827.94</v>
      </c>
      <c r="U366" s="39">
        <v>6248.382</v>
      </c>
      <c r="V366" s="40">
        <v>14579.558</v>
      </c>
      <c r="W366" s="57" t="s">
        <v>2095</v>
      </c>
      <c r="X366" s="42" t="s">
        <v>49</v>
      </c>
      <c r="Y366" s="42" t="str">
        <f>IFERROR(__xludf.DUMMYFUNCTION("vLOOKUP(A366,IMPORTRANGE(""https://docs.google.com/spreadsheets/d/1Rawwwdh8wntXGy8isdYNHxsNQS4n_rC8JSdPfj6vEq4"",""'500 объектов перенос на 2026'!A3:AB502""),13,0)"),"#REF!")</f>
        <v>#REF!</v>
      </c>
      <c r="Z366" s="42" t="str">
        <f>IFERROR(__xludf.DUMMYFUNCTION("vLOOKUP(A366,IMPORTRANGE(""https://docs.google.com/spreadsheets/d/1Rawwwdh8wntXGy8isdYNHxsNQS4n_rC8JSdPfj6vEq4"",""'500 объектов перенос на 2026'!A3:AB502""),14,0)"),"#REF!")</f>
        <v>#REF!</v>
      </c>
      <c r="AA366" s="85" t="s">
        <v>4273</v>
      </c>
      <c r="AB366" s="43"/>
    </row>
    <row r="367">
      <c r="A367" s="62" t="s">
        <v>542</v>
      </c>
      <c r="B367" s="63" t="s">
        <v>543</v>
      </c>
      <c r="C367" s="64" t="s">
        <v>544</v>
      </c>
      <c r="D367" s="64" t="s">
        <v>85</v>
      </c>
      <c r="E367" s="288"/>
      <c r="F367" s="64">
        <v>200.0</v>
      </c>
      <c r="G367" s="291" t="s">
        <v>4274</v>
      </c>
      <c r="H367" s="64" t="s">
        <v>3512</v>
      </c>
      <c r="I367" s="64">
        <v>2024.0</v>
      </c>
      <c r="J367" s="64">
        <v>2026.0</v>
      </c>
      <c r="K367" s="287">
        <v>0.78</v>
      </c>
      <c r="L367" s="288"/>
      <c r="M367" s="285" t="s">
        <v>4275</v>
      </c>
      <c r="N367" s="35" t="s">
        <v>4275</v>
      </c>
      <c r="O367" s="35">
        <v>0.0</v>
      </c>
      <c r="P367" s="35" t="s">
        <v>46</v>
      </c>
      <c r="Q367" s="290">
        <v>46268.0</v>
      </c>
      <c r="R367" s="56"/>
      <c r="S367" s="38"/>
      <c r="T367" s="39">
        <v>90546.4</v>
      </c>
      <c r="U367" s="39">
        <v>31691.24</v>
      </c>
      <c r="V367" s="40">
        <v>58855.16</v>
      </c>
      <c r="W367" s="57" t="s">
        <v>551</v>
      </c>
      <c r="X367" s="42" t="s">
        <v>552</v>
      </c>
      <c r="Y367" s="42" t="str">
        <f>IFERROR(__xludf.DUMMYFUNCTION("vLOOKUP(A367,IMPORTRANGE(""https://docs.google.com/spreadsheets/d/1Rawwwdh8wntXGy8isdYNHxsNQS4n_rC8JSdPfj6vEq4"",""'500 объектов перенос на 2026'!A3:AB502""),13,0)"),"#REF!")</f>
        <v>#REF!</v>
      </c>
      <c r="Z367" s="42" t="str">
        <f>IFERROR(__xludf.DUMMYFUNCTION("vLOOKUP(A367,IMPORTRANGE(""https://docs.google.com/spreadsheets/d/1Rawwwdh8wntXGy8isdYNHxsNQS4n_rC8JSdPfj6vEq4"",""'500 объектов перенос на 2026'!A3:AB502""),14,0)"),"#REF!")</f>
        <v>#REF!</v>
      </c>
      <c r="AA367" s="85" t="s">
        <v>4276</v>
      </c>
      <c r="AB367" s="43"/>
    </row>
    <row r="368">
      <c r="A368" s="62" t="s">
        <v>1101</v>
      </c>
      <c r="B368" s="63" t="s">
        <v>894</v>
      </c>
      <c r="C368" s="64" t="s">
        <v>1102</v>
      </c>
      <c r="D368" s="64" t="s">
        <v>85</v>
      </c>
      <c r="E368" s="288"/>
      <c r="F368" s="64" t="s">
        <v>4277</v>
      </c>
      <c r="G368" s="291" t="s">
        <v>4278</v>
      </c>
      <c r="H368" s="64" t="s">
        <v>3593</v>
      </c>
      <c r="I368" s="64">
        <v>2024.0</v>
      </c>
      <c r="J368" s="64">
        <v>2026.0</v>
      </c>
      <c r="K368" s="287">
        <v>0.89</v>
      </c>
      <c r="L368" s="288"/>
      <c r="M368" s="285" t="s">
        <v>4279</v>
      </c>
      <c r="N368" s="35" t="s">
        <v>4280</v>
      </c>
      <c r="O368" s="35" t="s">
        <v>4281</v>
      </c>
      <c r="P368" s="35" t="s">
        <v>899</v>
      </c>
      <c r="Q368" s="37">
        <v>46203.0</v>
      </c>
      <c r="R368" s="56"/>
      <c r="S368" s="38" t="s">
        <v>901</v>
      </c>
      <c r="T368" s="39">
        <v>325662.41</v>
      </c>
      <c r="U368" s="39">
        <v>279156.2548</v>
      </c>
      <c r="V368" s="40">
        <v>46506.15522</v>
      </c>
      <c r="W368" s="57" t="s">
        <v>1106</v>
      </c>
      <c r="X368" s="42" t="s">
        <v>1107</v>
      </c>
      <c r="Y368" s="42" t="str">
        <f>IFERROR(__xludf.DUMMYFUNCTION("vLOOKUP(A368,IMPORTRANGE(""https://docs.google.com/spreadsheets/d/1Rawwwdh8wntXGy8isdYNHxsNQS4n_rC8JSdPfj6vEq4"",""'500 объектов перенос на 2026'!A3:AB502""),13,0)"),"#REF!")</f>
        <v>#REF!</v>
      </c>
      <c r="Z368" s="42" t="str">
        <f>IFERROR(__xludf.DUMMYFUNCTION("vLOOKUP(A368,IMPORTRANGE(""https://docs.google.com/spreadsheets/d/1Rawwwdh8wntXGy8isdYNHxsNQS4n_rC8JSdPfj6vEq4"",""'500 объектов перенос на 2026'!A3:AB502""),14,0)"),"#REF!")</f>
        <v>#REF!</v>
      </c>
      <c r="AA368" s="85" t="s">
        <v>4282</v>
      </c>
      <c r="AB368" s="43"/>
    </row>
    <row r="369">
      <c r="A369" s="62" t="s">
        <v>893</v>
      </c>
      <c r="B369" s="63" t="s">
        <v>894</v>
      </c>
      <c r="C369" s="64" t="s">
        <v>895</v>
      </c>
      <c r="D369" s="64" t="s">
        <v>85</v>
      </c>
      <c r="E369" s="288"/>
      <c r="F369" s="64">
        <v>159.0</v>
      </c>
      <c r="G369" s="291" t="s">
        <v>4283</v>
      </c>
      <c r="H369" s="64" t="s">
        <v>3593</v>
      </c>
      <c r="I369" s="64">
        <v>2024.0</v>
      </c>
      <c r="J369" s="64">
        <v>2026.0</v>
      </c>
      <c r="K369" s="287">
        <v>0.83</v>
      </c>
      <c r="L369" s="288"/>
      <c r="M369" s="285" t="s">
        <v>896</v>
      </c>
      <c r="N369" s="35">
        <v>0.0</v>
      </c>
      <c r="O369" s="35" t="s">
        <v>896</v>
      </c>
      <c r="P369" s="35" t="s">
        <v>899</v>
      </c>
      <c r="Q369" s="37">
        <v>46234.0</v>
      </c>
      <c r="R369" s="56"/>
      <c r="S369" s="38" t="s">
        <v>901</v>
      </c>
      <c r="T369" s="39">
        <v>101404.46</v>
      </c>
      <c r="U369" s="39">
        <v>30421.33869</v>
      </c>
      <c r="V369" s="40">
        <v>70983.12131</v>
      </c>
      <c r="W369" s="57" t="s">
        <v>902</v>
      </c>
      <c r="X369" s="42" t="s">
        <v>903</v>
      </c>
      <c r="Y369" s="42" t="str">
        <f>IFERROR(__xludf.DUMMYFUNCTION("vLOOKUP(A369,IMPORTRANGE(""https://docs.google.com/spreadsheets/d/1Rawwwdh8wntXGy8isdYNHxsNQS4n_rC8JSdPfj6vEq4"",""'500 объектов перенос на 2026'!A3:AB502""),13,0)"),"#REF!")</f>
        <v>#REF!</v>
      </c>
      <c r="Z369" s="42" t="str">
        <f>IFERROR(__xludf.DUMMYFUNCTION("vLOOKUP(A369,IMPORTRANGE(""https://docs.google.com/spreadsheets/d/1Rawwwdh8wntXGy8isdYNHxsNQS4n_rC8JSdPfj6vEq4"",""'500 объектов перенос на 2026'!A3:AB502""),14,0)"),"#REF!")</f>
        <v>#REF!</v>
      </c>
      <c r="AA369" s="85" t="s">
        <v>4284</v>
      </c>
      <c r="AB369" s="43"/>
    </row>
    <row r="370">
      <c r="A370" s="62" t="s">
        <v>2479</v>
      </c>
      <c r="B370" s="63" t="s">
        <v>894</v>
      </c>
      <c r="C370" s="64" t="s">
        <v>2480</v>
      </c>
      <c r="D370" s="64" t="s">
        <v>39</v>
      </c>
      <c r="E370" s="64">
        <v>0.3</v>
      </c>
      <c r="F370" s="288"/>
      <c r="G370" s="288"/>
      <c r="H370" s="64" t="s">
        <v>3527</v>
      </c>
      <c r="I370" s="64">
        <v>2024.0</v>
      </c>
      <c r="J370" s="64">
        <v>2025.0</v>
      </c>
      <c r="K370" s="287">
        <v>1.0</v>
      </c>
      <c r="L370" s="292" t="s">
        <v>3528</v>
      </c>
      <c r="M370" s="285" t="s">
        <v>4285</v>
      </c>
      <c r="N370" s="35" t="s">
        <v>4286</v>
      </c>
      <c r="O370" s="35" t="s">
        <v>4287</v>
      </c>
      <c r="P370" s="35" t="s">
        <v>2308</v>
      </c>
      <c r="Q370" s="38" t="s">
        <v>1219</v>
      </c>
      <c r="R370" s="38" t="s">
        <v>115</v>
      </c>
      <c r="S370" s="38"/>
      <c r="T370" s="39">
        <v>22004.06</v>
      </c>
      <c r="U370" s="39">
        <v>19834.10019</v>
      </c>
      <c r="V370" s="39">
        <v>2169.95981</v>
      </c>
      <c r="W370" s="57" t="s">
        <v>2481</v>
      </c>
      <c r="X370" s="42" t="s">
        <v>2411</v>
      </c>
      <c r="Y370" s="42" t="s">
        <v>2411</v>
      </c>
      <c r="Z370" s="42" t="s">
        <v>2411</v>
      </c>
      <c r="AA370" s="85" t="s">
        <v>175</v>
      </c>
      <c r="AB370" s="43"/>
    </row>
    <row r="371">
      <c r="A371" s="62" t="s">
        <v>2482</v>
      </c>
      <c r="B371" s="63" t="s">
        <v>894</v>
      </c>
      <c r="C371" s="64" t="s">
        <v>2483</v>
      </c>
      <c r="D371" s="64" t="s">
        <v>324</v>
      </c>
      <c r="E371" s="64">
        <v>4.2</v>
      </c>
      <c r="F371" s="288"/>
      <c r="G371" s="288"/>
      <c r="H371" s="64" t="s">
        <v>3512</v>
      </c>
      <c r="I371" s="64">
        <v>2024.0</v>
      </c>
      <c r="J371" s="294">
        <v>2025.0</v>
      </c>
      <c r="K371" s="287">
        <v>1.0</v>
      </c>
      <c r="L371" s="288"/>
      <c r="M371" s="285">
        <v>2.09324443E7</v>
      </c>
      <c r="N371" s="285">
        <v>2.09324443E7</v>
      </c>
      <c r="O371" s="35">
        <f t="shared" ref="O371:O374" si="3">M371-N371</f>
        <v>0</v>
      </c>
      <c r="P371" s="35" t="s">
        <v>4288</v>
      </c>
      <c r="Q371" s="38" t="s">
        <v>1219</v>
      </c>
      <c r="R371" s="38" t="s">
        <v>115</v>
      </c>
      <c r="S371" s="38"/>
      <c r="T371" s="39">
        <v>23672.54</v>
      </c>
      <c r="U371" s="39">
        <v>18908.94463</v>
      </c>
      <c r="V371" s="40">
        <v>4763.59537</v>
      </c>
      <c r="W371" s="57" t="s">
        <v>2484</v>
      </c>
      <c r="X371" s="42" t="s">
        <v>11</v>
      </c>
      <c r="Y371" s="42" t="s">
        <v>11</v>
      </c>
      <c r="Z371" s="42" t="s">
        <v>11</v>
      </c>
      <c r="AA371" s="85" t="s">
        <v>175</v>
      </c>
      <c r="AB371" s="43"/>
    </row>
    <row r="372">
      <c r="A372" s="62" t="s">
        <v>1812</v>
      </c>
      <c r="B372" s="63" t="s">
        <v>894</v>
      </c>
      <c r="C372" s="64" t="s">
        <v>1813</v>
      </c>
      <c r="D372" s="64" t="s">
        <v>59</v>
      </c>
      <c r="E372" s="64">
        <v>12.0</v>
      </c>
      <c r="F372" s="288"/>
      <c r="G372" s="288"/>
      <c r="H372" s="64" t="s">
        <v>3512</v>
      </c>
      <c r="I372" s="64">
        <v>2024.0</v>
      </c>
      <c r="J372" s="64">
        <v>2026.0</v>
      </c>
      <c r="K372" s="287">
        <v>0.8</v>
      </c>
      <c r="L372" s="288"/>
      <c r="M372" s="285">
        <v>9.828519112E7</v>
      </c>
      <c r="N372" s="35">
        <v>6.645972562E7</v>
      </c>
      <c r="O372" s="35">
        <f t="shared" si="3"/>
        <v>31825465.5</v>
      </c>
      <c r="P372" s="35" t="s">
        <v>326</v>
      </c>
      <c r="Q372" s="303">
        <v>46174.0</v>
      </c>
      <c r="R372" s="143"/>
      <c r="S372" s="35" t="s">
        <v>899</v>
      </c>
      <c r="T372" s="39">
        <v>98285.19</v>
      </c>
      <c r="U372" s="39">
        <v>81552.22962</v>
      </c>
      <c r="V372" s="40">
        <v>16732.96038</v>
      </c>
      <c r="W372" s="57" t="s">
        <v>3432</v>
      </c>
      <c r="X372" s="42" t="s">
        <v>1628</v>
      </c>
      <c r="Y372" s="42" t="str">
        <f>IFERROR(__xludf.DUMMYFUNCTION("vLOOKUP(A372,IMPORTRANGE(""https://docs.google.com/spreadsheets/d/1Rawwwdh8wntXGy8isdYNHxsNQS4n_rC8JSdPfj6vEq4"",""'500 объектов перенос на 2026'!A3:AB502""),13,0)"),"#REF!")</f>
        <v>#REF!</v>
      </c>
      <c r="Z372" s="42" t="str">
        <f>IFERROR(__xludf.DUMMYFUNCTION("vLOOKUP(A372,IMPORTRANGE(""https://docs.google.com/spreadsheets/d/1Rawwwdh8wntXGy8isdYNHxsNQS4n_rC8JSdPfj6vEq4"",""'500 объектов перенос на 2026'!A3:AB502""),14,0)"),"#REF!")</f>
        <v>#REF!</v>
      </c>
      <c r="AA372" s="85" t="s">
        <v>4289</v>
      </c>
      <c r="AB372" s="43"/>
    </row>
    <row r="373">
      <c r="A373" s="62" t="s">
        <v>2493</v>
      </c>
      <c r="B373" s="63" t="s">
        <v>894</v>
      </c>
      <c r="C373" s="64" t="s">
        <v>2494</v>
      </c>
      <c r="D373" s="64" t="s">
        <v>85</v>
      </c>
      <c r="E373" s="288"/>
      <c r="F373" s="64" t="s">
        <v>4290</v>
      </c>
      <c r="G373" s="291" t="s">
        <v>4291</v>
      </c>
      <c r="H373" s="64" t="s">
        <v>3512</v>
      </c>
      <c r="I373" s="64">
        <v>2024.0</v>
      </c>
      <c r="J373" s="64">
        <v>2025.0</v>
      </c>
      <c r="K373" s="287">
        <v>1.0</v>
      </c>
      <c r="L373" s="292" t="s">
        <v>3528</v>
      </c>
      <c r="M373" s="285">
        <v>8.238468E7</v>
      </c>
      <c r="N373" s="35">
        <v>6.290249824E7</v>
      </c>
      <c r="O373" s="35">
        <f t="shared" si="3"/>
        <v>19482181.76</v>
      </c>
      <c r="P373" s="35" t="s">
        <v>2308</v>
      </c>
      <c r="Q373" s="38" t="s">
        <v>1219</v>
      </c>
      <c r="R373" s="38" t="s">
        <v>115</v>
      </c>
      <c r="S373" s="38"/>
      <c r="T373" s="39">
        <v>99480.24</v>
      </c>
      <c r="U373" s="39">
        <v>99480.24082</v>
      </c>
      <c r="V373" s="39">
        <v>-8.2E-4</v>
      </c>
      <c r="W373" s="57" t="s">
        <v>2496</v>
      </c>
      <c r="X373" s="42" t="s">
        <v>1191</v>
      </c>
      <c r="Y373" s="42" t="s">
        <v>1191</v>
      </c>
      <c r="Z373" s="42" t="s">
        <v>1191</v>
      </c>
      <c r="AA373" s="85" t="s">
        <v>175</v>
      </c>
      <c r="AB373" s="43"/>
    </row>
    <row r="374">
      <c r="A374" s="62" t="s">
        <v>2497</v>
      </c>
      <c r="B374" s="63" t="s">
        <v>894</v>
      </c>
      <c r="C374" s="64" t="s">
        <v>2498</v>
      </c>
      <c r="D374" s="64" t="s">
        <v>85</v>
      </c>
      <c r="E374" s="288"/>
      <c r="F374" s="64">
        <v>150.0</v>
      </c>
      <c r="G374" s="64">
        <v>340.0</v>
      </c>
      <c r="H374" s="64" t="s">
        <v>3512</v>
      </c>
      <c r="I374" s="64">
        <v>2024.0</v>
      </c>
      <c r="J374" s="64">
        <v>2025.0</v>
      </c>
      <c r="K374" s="287">
        <v>0.95</v>
      </c>
      <c r="L374" s="292" t="s">
        <v>3528</v>
      </c>
      <c r="M374" s="285">
        <v>2.314718884E7</v>
      </c>
      <c r="N374" s="285">
        <v>2.314718884E7</v>
      </c>
      <c r="O374" s="35">
        <f t="shared" si="3"/>
        <v>0</v>
      </c>
      <c r="P374" s="35" t="s">
        <v>2308</v>
      </c>
      <c r="Q374" s="38" t="s">
        <v>1219</v>
      </c>
      <c r="R374" s="38" t="s">
        <v>115</v>
      </c>
      <c r="S374" s="38"/>
      <c r="T374" s="39">
        <v>20014.96</v>
      </c>
      <c r="U374" s="39">
        <v>11481.77611</v>
      </c>
      <c r="V374" s="39">
        <v>8533.18389</v>
      </c>
      <c r="W374" s="57" t="s">
        <v>2499</v>
      </c>
      <c r="X374" s="42" t="s">
        <v>1191</v>
      </c>
      <c r="Y374" s="42" t="str">
        <f>IFERROR(__xludf.DUMMYFUNCTION("vLOOKUP(A374,IMPORTRANGE(""https://docs.google.com/spreadsheets/d/1Rawwwdh8wntXGy8isdYNHxsNQS4n_rC8JSdPfj6vEq4"",""'500 объектов перенос на 2026'!A3:AB502""),13,0)"),"#REF!")</f>
        <v>#REF!</v>
      </c>
      <c r="Z374" s="42" t="str">
        <f>IFERROR(__xludf.DUMMYFUNCTION("vLOOKUP(A374,IMPORTRANGE(""https://docs.google.com/spreadsheets/d/1Rawwwdh8wntXGy8isdYNHxsNQS4n_rC8JSdPfj6vEq4"",""'500 объектов перенос на 2026'!A3:AB502""),14,0)"),"#REF!")</f>
        <v>#REF!</v>
      </c>
      <c r="AA374" s="85" t="s">
        <v>175</v>
      </c>
      <c r="AB374" s="43"/>
    </row>
    <row r="375">
      <c r="A375" s="62" t="s">
        <v>2500</v>
      </c>
      <c r="B375" s="63" t="s">
        <v>894</v>
      </c>
      <c r="C375" s="64" t="s">
        <v>2501</v>
      </c>
      <c r="D375" s="64" t="s">
        <v>85</v>
      </c>
      <c r="E375" s="288"/>
      <c r="F375" s="64">
        <v>100.0</v>
      </c>
      <c r="G375" s="64">
        <v>434.0</v>
      </c>
      <c r="H375" s="64" t="s">
        <v>3512</v>
      </c>
      <c r="I375" s="64">
        <v>2025.0</v>
      </c>
      <c r="J375" s="64">
        <v>2025.0</v>
      </c>
      <c r="K375" s="287">
        <v>0.95</v>
      </c>
      <c r="L375" s="292" t="s">
        <v>3528</v>
      </c>
      <c r="M375" s="285" t="s">
        <v>4292</v>
      </c>
      <c r="N375" s="35" t="s">
        <v>4293</v>
      </c>
      <c r="O375" s="35" t="s">
        <v>4294</v>
      </c>
      <c r="P375" s="35" t="s">
        <v>2308</v>
      </c>
      <c r="Q375" s="38" t="s">
        <v>1219</v>
      </c>
      <c r="R375" s="38" t="s">
        <v>115</v>
      </c>
      <c r="S375" s="38"/>
      <c r="T375" s="39">
        <v>12390.55</v>
      </c>
      <c r="U375" s="39">
        <v>5629.58832</v>
      </c>
      <c r="V375" s="39">
        <v>6760.96168</v>
      </c>
      <c r="W375" s="57" t="s">
        <v>2502</v>
      </c>
      <c r="X375" s="42" t="s">
        <v>1191</v>
      </c>
      <c r="Y375" s="42" t="str">
        <f>IFERROR(__xludf.DUMMYFUNCTION("vLOOKUP(A375,IMPORTRANGE(""https://docs.google.com/spreadsheets/d/1Rawwwdh8wntXGy8isdYNHxsNQS4n_rC8JSdPfj6vEq4"",""'500 объектов перенос на 2026'!A3:AB502""),13,0)"),"#REF!")</f>
        <v>#REF!</v>
      </c>
      <c r="Z375" s="42" t="str">
        <f>IFERROR(__xludf.DUMMYFUNCTION("vLOOKUP(A375,IMPORTRANGE(""https://docs.google.com/spreadsheets/d/1Rawwwdh8wntXGy8isdYNHxsNQS4n_rC8JSdPfj6vEq4"",""'500 объектов перенос на 2026'!A3:AB502""),14,0)"),"#REF!")</f>
        <v>#REF!</v>
      </c>
      <c r="AA375" s="85" t="s">
        <v>175</v>
      </c>
      <c r="AB375" s="43"/>
    </row>
    <row r="376">
      <c r="A376" s="62" t="s">
        <v>1621</v>
      </c>
      <c r="B376" s="63" t="s">
        <v>894</v>
      </c>
      <c r="C376" s="64" t="s">
        <v>1622</v>
      </c>
      <c r="D376" s="64" t="s">
        <v>85</v>
      </c>
      <c r="E376" s="288"/>
      <c r="F376" s="64">
        <v>150.0</v>
      </c>
      <c r="G376" s="291" t="s">
        <v>4295</v>
      </c>
      <c r="H376" s="64" t="s">
        <v>3512</v>
      </c>
      <c r="I376" s="64">
        <v>2024.0</v>
      </c>
      <c r="J376" s="64">
        <v>2026.0</v>
      </c>
      <c r="K376" s="287">
        <v>0.89</v>
      </c>
      <c r="L376" s="288"/>
      <c r="M376" s="285" t="s">
        <v>4296</v>
      </c>
      <c r="N376" s="35" t="s">
        <v>1624</v>
      </c>
      <c r="O376" s="35" t="s">
        <v>4297</v>
      </c>
      <c r="P376" s="35" t="s">
        <v>4288</v>
      </c>
      <c r="Q376" s="37">
        <v>46203.0</v>
      </c>
      <c r="R376" s="56"/>
      <c r="S376" s="38" t="s">
        <v>901</v>
      </c>
      <c r="T376" s="39">
        <v>78580.21</v>
      </c>
      <c r="U376" s="39">
        <v>54865.63098</v>
      </c>
      <c r="V376" s="40">
        <v>23714.57902</v>
      </c>
      <c r="W376" s="57" t="s">
        <v>1627</v>
      </c>
      <c r="X376" s="42" t="s">
        <v>1628</v>
      </c>
      <c r="Y376" s="42" t="str">
        <f>IFERROR(__xludf.DUMMYFUNCTION("vLOOKUP(A376,IMPORTRANGE(""https://docs.google.com/spreadsheets/d/1Rawwwdh8wntXGy8isdYNHxsNQS4n_rC8JSdPfj6vEq4"",""'500 объектов перенос на 2026'!A3:AB502""),13,0)"),"#REF!")</f>
        <v>#REF!</v>
      </c>
      <c r="Z376" s="42" t="str">
        <f>IFERROR(__xludf.DUMMYFUNCTION("vLOOKUP(A376,IMPORTRANGE(""https://docs.google.com/spreadsheets/d/1Rawwwdh8wntXGy8isdYNHxsNQS4n_rC8JSdPfj6vEq4"",""'500 объектов перенос на 2026'!A3:AB502""),14,0)"),"#REF!")</f>
        <v>#REF!</v>
      </c>
      <c r="AA376" s="85" t="s">
        <v>175</v>
      </c>
      <c r="AB376" s="43"/>
    </row>
    <row r="377">
      <c r="A377" s="62" t="s">
        <v>2310</v>
      </c>
      <c r="B377" s="63" t="s">
        <v>70</v>
      </c>
      <c r="C377" s="64" t="s">
        <v>2311</v>
      </c>
      <c r="D377" s="64" t="s">
        <v>59</v>
      </c>
      <c r="E377" s="64">
        <v>37.15</v>
      </c>
      <c r="F377" s="288"/>
      <c r="G377" s="288"/>
      <c r="H377" s="64" t="s">
        <v>3512</v>
      </c>
      <c r="I377" s="64">
        <v>2024.0</v>
      </c>
      <c r="J377" s="64">
        <v>2026.0</v>
      </c>
      <c r="K377" s="287">
        <v>0.98</v>
      </c>
      <c r="L377" s="288"/>
      <c r="M377" s="285" t="s">
        <v>4298</v>
      </c>
      <c r="N377" s="35">
        <v>0.0</v>
      </c>
      <c r="O377" s="35" t="s">
        <v>4298</v>
      </c>
      <c r="P377" s="35" t="s">
        <v>507</v>
      </c>
      <c r="Q377" s="37">
        <v>46157.0</v>
      </c>
      <c r="R377" s="56"/>
      <c r="S377" s="38"/>
      <c r="T377" s="39">
        <v>22477.5</v>
      </c>
      <c r="U377" s="39">
        <v>11238.75</v>
      </c>
      <c r="V377" s="40">
        <v>11238.75</v>
      </c>
      <c r="W377" s="57" t="s">
        <v>2313</v>
      </c>
      <c r="X377" s="42" t="s">
        <v>66</v>
      </c>
      <c r="Y377" s="42" t="str">
        <f>IFERROR(__xludf.DUMMYFUNCTION("vLOOKUP(A377,IMPORTRANGE(""https://docs.google.com/spreadsheets/d/1Rawwwdh8wntXGy8isdYNHxsNQS4n_rC8JSdPfj6vEq4"",""'500 объектов перенос на 2026'!A3:AB502""),13,0)"),"#REF!")</f>
        <v>#REF!</v>
      </c>
      <c r="Z377" s="42" t="str">
        <f>IFERROR(__xludf.DUMMYFUNCTION("vLOOKUP(A377,IMPORTRANGE(""https://docs.google.com/spreadsheets/d/1Rawwwdh8wntXGy8isdYNHxsNQS4n_rC8JSdPfj6vEq4"",""'500 объектов перенос на 2026'!A3:AB502""),14,0)"),"#REF!")</f>
        <v>#REF!</v>
      </c>
      <c r="AA377" s="298" t="s">
        <v>4299</v>
      </c>
      <c r="AB377" s="43"/>
    </row>
    <row r="378">
      <c r="A378" s="62" t="s">
        <v>2521</v>
      </c>
      <c r="B378" s="63" t="s">
        <v>894</v>
      </c>
      <c r="C378" s="64" t="s">
        <v>2522</v>
      </c>
      <c r="D378" s="64" t="s">
        <v>85</v>
      </c>
      <c r="E378" s="288"/>
      <c r="F378" s="64" t="s">
        <v>4300</v>
      </c>
      <c r="G378" s="291" t="s">
        <v>4301</v>
      </c>
      <c r="H378" s="64" t="s">
        <v>3512</v>
      </c>
      <c r="I378" s="64">
        <v>2024.0</v>
      </c>
      <c r="J378" s="294">
        <v>2025.0</v>
      </c>
      <c r="K378" s="287">
        <v>0.93</v>
      </c>
      <c r="L378" s="288"/>
      <c r="M378" s="285" t="s">
        <v>4302</v>
      </c>
      <c r="N378" s="35">
        <v>0.0</v>
      </c>
      <c r="O378" s="35" t="s">
        <v>4302</v>
      </c>
      <c r="P378" s="35" t="s">
        <v>4288</v>
      </c>
      <c r="Q378" s="38" t="s">
        <v>1219</v>
      </c>
      <c r="R378" s="38" t="s">
        <v>115</v>
      </c>
      <c r="S378" s="38" t="s">
        <v>901</v>
      </c>
      <c r="T378" s="39">
        <v>85176.81</v>
      </c>
      <c r="U378" s="39">
        <v>64022.76607</v>
      </c>
      <c r="V378" s="40">
        <v>21154.04393</v>
      </c>
      <c r="W378" s="57" t="s">
        <v>2527</v>
      </c>
      <c r="X378" s="42" t="s">
        <v>1219</v>
      </c>
      <c r="Y378" s="42" t="s">
        <v>1219</v>
      </c>
      <c r="Z378" s="42" t="s">
        <v>1219</v>
      </c>
      <c r="AA378" s="85" t="s">
        <v>175</v>
      </c>
      <c r="AB378" s="43"/>
    </row>
    <row r="379">
      <c r="A379" s="62" t="s">
        <v>2528</v>
      </c>
      <c r="B379" s="63" t="s">
        <v>2529</v>
      </c>
      <c r="C379" s="64" t="s">
        <v>2530</v>
      </c>
      <c r="D379" s="64" t="s">
        <v>324</v>
      </c>
      <c r="E379" s="64">
        <v>26.0</v>
      </c>
      <c r="F379" s="288"/>
      <c r="G379" s="288"/>
      <c r="H379" s="64" t="s">
        <v>3512</v>
      </c>
      <c r="I379" s="64">
        <v>2024.0</v>
      </c>
      <c r="J379" s="64">
        <v>2025.0</v>
      </c>
      <c r="K379" s="287">
        <v>1.0</v>
      </c>
      <c r="L379" s="292" t="s">
        <v>3528</v>
      </c>
      <c r="M379" s="285" t="s">
        <v>4303</v>
      </c>
      <c r="N379" s="35" t="s">
        <v>4304</v>
      </c>
      <c r="O379" s="35" t="s">
        <v>4305</v>
      </c>
      <c r="P379" s="35" t="s">
        <v>113</v>
      </c>
      <c r="Q379" s="38" t="s">
        <v>11</v>
      </c>
      <c r="R379" s="38" t="s">
        <v>115</v>
      </c>
      <c r="S379" s="38"/>
      <c r="T379" s="39">
        <v>35939.71</v>
      </c>
      <c r="U379" s="39">
        <v>8211.0</v>
      </c>
      <c r="V379" s="39">
        <v>27728.71</v>
      </c>
      <c r="W379" s="57" t="s">
        <v>2531</v>
      </c>
      <c r="X379" s="42" t="s">
        <v>2532</v>
      </c>
      <c r="Y379" s="42" t="str">
        <f>IFERROR(__xludf.DUMMYFUNCTION("vLOOKUP(A379,IMPORTRANGE(""https://docs.google.com/spreadsheets/d/1Rawwwdh8wntXGy8isdYNHxsNQS4n_rC8JSdPfj6vEq4"",""'500 объектов перенос на 2026'!A3:AB502""),13,0)"),"#REF!")</f>
        <v>#REF!</v>
      </c>
      <c r="Z379" s="42" t="str">
        <f>IFERROR(__xludf.DUMMYFUNCTION("vLOOKUP(A379,IMPORTRANGE(""https://docs.google.com/spreadsheets/d/1Rawwwdh8wntXGy8isdYNHxsNQS4n_rC8JSdPfj6vEq4"",""'500 объектов перенос на 2026'!A3:AB502""),14,0)"),"#REF!")</f>
        <v>#REF!</v>
      </c>
      <c r="AA379" s="85" t="s">
        <v>175</v>
      </c>
      <c r="AB379" s="43"/>
    </row>
    <row r="380">
      <c r="A380" s="62" t="s">
        <v>671</v>
      </c>
      <c r="B380" s="63" t="s">
        <v>70</v>
      </c>
      <c r="C380" s="64" t="s">
        <v>672</v>
      </c>
      <c r="D380" s="64" t="s">
        <v>85</v>
      </c>
      <c r="E380" s="288"/>
      <c r="F380" s="64" t="s">
        <v>4306</v>
      </c>
      <c r="G380" s="291" t="s">
        <v>4307</v>
      </c>
      <c r="H380" s="64" t="s">
        <v>3512</v>
      </c>
      <c r="I380" s="64">
        <v>2023.0</v>
      </c>
      <c r="J380" s="64">
        <v>2026.0</v>
      </c>
      <c r="K380" s="287">
        <v>1.0</v>
      </c>
      <c r="L380" s="288"/>
      <c r="M380" s="285" t="s">
        <v>4308</v>
      </c>
      <c r="N380" s="35">
        <v>0.0</v>
      </c>
      <c r="O380" s="285" t="s">
        <v>4308</v>
      </c>
      <c r="P380" s="35" t="s">
        <v>507</v>
      </c>
      <c r="Q380" s="37">
        <v>46157.0</v>
      </c>
      <c r="R380" s="56"/>
      <c r="S380" s="38"/>
      <c r="T380" s="39">
        <v>257853.5168</v>
      </c>
      <c r="U380" s="39">
        <v>128926.76</v>
      </c>
      <c r="V380" s="40">
        <v>128926.7568</v>
      </c>
      <c r="W380" s="57" t="s">
        <v>675</v>
      </c>
      <c r="X380" s="42" t="s">
        <v>66</v>
      </c>
      <c r="Y380" s="42" t="str">
        <f>IFERROR(__xludf.DUMMYFUNCTION("vLOOKUP(A380,IMPORTRANGE(""https://docs.google.com/spreadsheets/d/1Rawwwdh8wntXGy8isdYNHxsNQS4n_rC8JSdPfj6vEq4"",""'500 объектов перенос на 2026'!A3:AB502""),13,0)"),"#REF!")</f>
        <v>#REF!</v>
      </c>
      <c r="Z380" s="42" t="str">
        <f>IFERROR(__xludf.DUMMYFUNCTION("vLOOKUP(A380,IMPORTRANGE(""https://docs.google.com/spreadsheets/d/1Rawwwdh8wntXGy8isdYNHxsNQS4n_rC8JSdPfj6vEq4"",""'500 объектов перенос на 2026'!A3:AB502""),14,0)"),"#REF!")</f>
        <v>#REF!</v>
      </c>
      <c r="AA380" s="298" t="s">
        <v>4309</v>
      </c>
      <c r="AB380" s="43"/>
    </row>
    <row r="381">
      <c r="A381" s="62" t="s">
        <v>2539</v>
      </c>
      <c r="B381" s="111" t="s">
        <v>70</v>
      </c>
      <c r="C381" s="64" t="s">
        <v>2540</v>
      </c>
      <c r="D381" s="64" t="s">
        <v>85</v>
      </c>
      <c r="E381" s="288"/>
      <c r="F381" s="64">
        <v>500.0</v>
      </c>
      <c r="G381" s="64">
        <v>915.0</v>
      </c>
      <c r="H381" s="64" t="s">
        <v>3512</v>
      </c>
      <c r="I381" s="64">
        <v>2023.0</v>
      </c>
      <c r="J381" s="64">
        <v>2026.0</v>
      </c>
      <c r="K381" s="287">
        <v>0.43</v>
      </c>
      <c r="L381" s="288"/>
      <c r="M381" s="285" t="s">
        <v>4310</v>
      </c>
      <c r="N381" s="35" t="s">
        <v>4311</v>
      </c>
      <c r="O381" s="35" t="s">
        <v>4312</v>
      </c>
      <c r="P381" s="35" t="s">
        <v>2542</v>
      </c>
      <c r="Q381" s="38"/>
      <c r="R381" s="56"/>
      <c r="S381" s="38" t="s">
        <v>284</v>
      </c>
      <c r="T381" s="39">
        <v>93216.0</v>
      </c>
      <c r="U381" s="39">
        <v>46608.0</v>
      </c>
      <c r="V381" s="39">
        <v>46608.0</v>
      </c>
      <c r="W381" s="57" t="s">
        <v>2544</v>
      </c>
      <c r="X381" s="42" t="s">
        <v>284</v>
      </c>
      <c r="Y381" s="42" t="str">
        <f>IFERROR(__xludf.DUMMYFUNCTION("vLOOKUP(A381,IMPORTRANGE(""https://docs.google.com/spreadsheets/d/1Rawwwdh8wntXGy8isdYNHxsNQS4n_rC8JSdPfj6vEq4"",""'500 объектов перенос на 2026'!A3:AB502""),13,0)"),"#REF!")</f>
        <v>#REF!</v>
      </c>
      <c r="Z381" s="42" t="str">
        <f>IFERROR(__xludf.DUMMYFUNCTION("vLOOKUP(A381,IMPORTRANGE(""https://docs.google.com/spreadsheets/d/1Rawwwdh8wntXGy8isdYNHxsNQS4n_rC8JSdPfj6vEq4"",""'500 объектов перенос на 2026'!A3:AB502""),14,0)"),"#REF!")</f>
        <v>#REF!</v>
      </c>
      <c r="AA381" s="85" t="s">
        <v>175</v>
      </c>
      <c r="AB381" s="43"/>
    </row>
    <row r="382">
      <c r="A382" s="62" t="s">
        <v>2546</v>
      </c>
      <c r="B382" s="63" t="s">
        <v>70</v>
      </c>
      <c r="C382" s="64" t="s">
        <v>2547</v>
      </c>
      <c r="D382" s="64" t="s">
        <v>85</v>
      </c>
      <c r="E382" s="288"/>
      <c r="F382" s="64" t="s">
        <v>4313</v>
      </c>
      <c r="G382" s="291" t="s">
        <v>4314</v>
      </c>
      <c r="H382" s="64" t="s">
        <v>3512</v>
      </c>
      <c r="I382" s="64">
        <v>2024.0</v>
      </c>
      <c r="J382" s="64">
        <v>2025.0</v>
      </c>
      <c r="K382" s="287">
        <v>0.94</v>
      </c>
      <c r="L382" s="288"/>
      <c r="M382" s="285" t="s">
        <v>4315</v>
      </c>
      <c r="N382" s="285" t="s">
        <v>4315</v>
      </c>
      <c r="O382" s="35">
        <v>0.0</v>
      </c>
      <c r="P382" s="35" t="s">
        <v>209</v>
      </c>
      <c r="Q382" s="37">
        <v>46147.0</v>
      </c>
      <c r="R382" s="38" t="s">
        <v>115</v>
      </c>
      <c r="S382" s="38"/>
      <c r="T382" s="39">
        <v>2065767.78</v>
      </c>
      <c r="U382" s="39">
        <v>2065767.793</v>
      </c>
      <c r="V382" s="39">
        <v>-0.01348</v>
      </c>
      <c r="W382" s="57" t="s">
        <v>2551</v>
      </c>
      <c r="X382" s="42" t="s">
        <v>66</v>
      </c>
      <c r="Y382" s="42" t="str">
        <f>IFERROR(__xludf.DUMMYFUNCTION("vLOOKUP(A382,IMPORTRANGE(""https://docs.google.com/spreadsheets/d/1Rawwwdh8wntXGy8isdYNHxsNQS4n_rC8JSdPfj6vEq4"",""'500 объектов перенос на 2026'!A3:AB502""),13,0)"),"#REF!")</f>
        <v>#REF!</v>
      </c>
      <c r="Z382" s="42" t="str">
        <f>IFERROR(__xludf.DUMMYFUNCTION("vLOOKUP(A382,IMPORTRANGE(""https://docs.google.com/spreadsheets/d/1Rawwwdh8wntXGy8isdYNHxsNQS4n_rC8JSdPfj6vEq4"",""'500 объектов перенос на 2026'!A3:AB502""),14,0)"),"#REF!")</f>
        <v>#REF!</v>
      </c>
      <c r="AA382" s="298" t="s">
        <v>4316</v>
      </c>
      <c r="AB382" s="43"/>
    </row>
    <row r="383">
      <c r="A383" s="62" t="s">
        <v>2553</v>
      </c>
      <c r="B383" s="63" t="s">
        <v>70</v>
      </c>
      <c r="C383" s="64" t="s">
        <v>2554</v>
      </c>
      <c r="D383" s="64" t="s">
        <v>59</v>
      </c>
      <c r="E383" s="64">
        <v>50.0</v>
      </c>
      <c r="F383" s="288"/>
      <c r="G383" s="288"/>
      <c r="H383" s="64" t="s">
        <v>3512</v>
      </c>
      <c r="I383" s="64">
        <v>2024.0</v>
      </c>
      <c r="J383" s="64">
        <v>2025.0</v>
      </c>
      <c r="K383" s="287">
        <v>1.0</v>
      </c>
      <c r="L383" s="292" t="s">
        <v>3528</v>
      </c>
      <c r="M383" s="285" t="s">
        <v>4317</v>
      </c>
      <c r="N383" s="35" t="s">
        <v>4318</v>
      </c>
      <c r="O383" s="35" t="s">
        <v>4319</v>
      </c>
      <c r="P383" s="35" t="s">
        <v>113</v>
      </c>
      <c r="Q383" s="38"/>
      <c r="R383" s="38" t="s">
        <v>115</v>
      </c>
      <c r="S383" s="38" t="s">
        <v>284</v>
      </c>
      <c r="T383" s="39">
        <v>78133.6</v>
      </c>
      <c r="U383" s="39">
        <v>73154.48555</v>
      </c>
      <c r="V383" s="39">
        <v>4979.11445</v>
      </c>
      <c r="W383" s="57" t="s">
        <v>2555</v>
      </c>
      <c r="X383" s="42" t="s">
        <v>284</v>
      </c>
      <c r="Y383" s="42" t="str">
        <f>IFERROR(__xludf.DUMMYFUNCTION("vLOOKUP(A383,IMPORTRANGE(""https://docs.google.com/spreadsheets/d/1Rawwwdh8wntXGy8isdYNHxsNQS4n_rC8JSdPfj6vEq4"",""'500 объектов перенос на 2026'!A3:AB502""),13,0)"),"#REF!")</f>
        <v>#REF!</v>
      </c>
      <c r="Z383" s="42" t="str">
        <f>IFERROR(__xludf.DUMMYFUNCTION("vLOOKUP(A383,IMPORTRANGE(""https://docs.google.com/spreadsheets/d/1Rawwwdh8wntXGy8isdYNHxsNQS4n_rC8JSdPfj6vEq4"",""'500 объектов перенос на 2026'!A3:AB502""),14,0)"),"#REF!")</f>
        <v>#REF!</v>
      </c>
      <c r="AA383" s="85" t="s">
        <v>175</v>
      </c>
      <c r="AB383" s="43"/>
    </row>
    <row r="384">
      <c r="A384" s="62" t="s">
        <v>777</v>
      </c>
      <c r="B384" s="63" t="s">
        <v>70</v>
      </c>
      <c r="C384" s="64" t="s">
        <v>778</v>
      </c>
      <c r="D384" s="64" t="s">
        <v>59</v>
      </c>
      <c r="E384" s="64">
        <v>32.4</v>
      </c>
      <c r="F384" s="288"/>
      <c r="G384" s="288"/>
      <c r="H384" s="64" t="s">
        <v>3512</v>
      </c>
      <c r="I384" s="64">
        <v>2024.0</v>
      </c>
      <c r="J384" s="64">
        <v>2026.0</v>
      </c>
      <c r="K384" s="287">
        <v>0.88</v>
      </c>
      <c r="L384" s="288"/>
      <c r="M384" s="285" t="s">
        <v>4320</v>
      </c>
      <c r="N384" s="35">
        <v>0.0</v>
      </c>
      <c r="O384" s="35" t="s">
        <v>4320</v>
      </c>
      <c r="P384" s="35" t="s">
        <v>507</v>
      </c>
      <c r="Q384" s="37">
        <v>46285.0</v>
      </c>
      <c r="R384" s="56"/>
      <c r="S384" s="38"/>
      <c r="T384" s="39">
        <v>218210.56</v>
      </c>
      <c r="U384" s="39">
        <v>150565.2898</v>
      </c>
      <c r="V384" s="40">
        <v>67645.27016</v>
      </c>
      <c r="W384" s="57" t="s">
        <v>781</v>
      </c>
      <c r="X384" s="42" t="s">
        <v>782</v>
      </c>
      <c r="Y384" s="42" t="str">
        <f>IFERROR(__xludf.DUMMYFUNCTION("vLOOKUP(A384,IMPORTRANGE(""https://docs.google.com/spreadsheets/d/1Rawwwdh8wntXGy8isdYNHxsNQS4n_rC8JSdPfj6vEq4"",""'500 объектов перенос на 2026'!A3:AB502""),13,0)"),"#REF!")</f>
        <v>#REF!</v>
      </c>
      <c r="Z384" s="42" t="str">
        <f>IFERROR(__xludf.DUMMYFUNCTION("vLOOKUP(A384,IMPORTRANGE(""https://docs.google.com/spreadsheets/d/1Rawwwdh8wntXGy8isdYNHxsNQS4n_rC8JSdPfj6vEq4"",""'500 объектов перенос на 2026'!A3:AB502""),14,0)"),"#REF!")</f>
        <v>#REF!</v>
      </c>
      <c r="AA384" s="297" t="s">
        <v>4321</v>
      </c>
      <c r="AB384" s="43"/>
    </row>
    <row r="385">
      <c r="A385" s="62" t="s">
        <v>235</v>
      </c>
      <c r="B385" s="63" t="s">
        <v>70</v>
      </c>
      <c r="C385" s="64" t="s">
        <v>236</v>
      </c>
      <c r="D385" s="64" t="s">
        <v>85</v>
      </c>
      <c r="E385" s="288"/>
      <c r="F385" s="64" t="s">
        <v>4322</v>
      </c>
      <c r="G385" s="291" t="s">
        <v>4323</v>
      </c>
      <c r="H385" s="64" t="s">
        <v>3512</v>
      </c>
      <c r="I385" s="64">
        <v>2024.0</v>
      </c>
      <c r="J385" s="64">
        <v>2026.0</v>
      </c>
      <c r="K385" s="287">
        <v>0.87</v>
      </c>
      <c r="L385" s="288"/>
      <c r="M385" s="285" t="s">
        <v>4324</v>
      </c>
      <c r="N385" s="35">
        <v>0.0</v>
      </c>
      <c r="O385" s="35" t="s">
        <v>4324</v>
      </c>
      <c r="P385" s="35" t="s">
        <v>46</v>
      </c>
      <c r="Q385" s="83">
        <v>46341.0</v>
      </c>
      <c r="R385" s="56"/>
      <c r="S385" s="38"/>
      <c r="T385" s="39">
        <v>581387.05</v>
      </c>
      <c r="U385" s="39">
        <v>401155.7155</v>
      </c>
      <c r="V385" s="40">
        <v>180231.3345</v>
      </c>
      <c r="W385" s="57" t="s">
        <v>241</v>
      </c>
      <c r="X385" s="42" t="s">
        <v>49</v>
      </c>
      <c r="Y385" s="42" t="str">
        <f>IFERROR(__xludf.DUMMYFUNCTION("vLOOKUP(A385,IMPORTRANGE(""https://docs.google.com/spreadsheets/d/1Rawwwdh8wntXGy8isdYNHxsNQS4n_rC8JSdPfj6vEq4"",""'500 объектов перенос на 2026'!A3:AB502""),13,0)"),"#REF!")</f>
        <v>#REF!</v>
      </c>
      <c r="Z385" s="42" t="str">
        <f>IFERROR(__xludf.DUMMYFUNCTION("vLOOKUP(A385,IMPORTRANGE(""https://docs.google.com/spreadsheets/d/1Rawwwdh8wntXGy8isdYNHxsNQS4n_rC8JSdPfj6vEq4"",""'500 объектов перенос на 2026'!A3:AB502""),14,0)"),"#REF!")</f>
        <v>#REF!</v>
      </c>
      <c r="AA385" s="297" t="s">
        <v>4325</v>
      </c>
      <c r="AB385" s="43"/>
    </row>
    <row r="386">
      <c r="A386" s="62" t="s">
        <v>69</v>
      </c>
      <c r="B386" s="63" t="s">
        <v>70</v>
      </c>
      <c r="C386" s="64" t="s">
        <v>71</v>
      </c>
      <c r="D386" s="64" t="s">
        <v>59</v>
      </c>
      <c r="E386" s="64">
        <v>61.0</v>
      </c>
      <c r="F386" s="288"/>
      <c r="G386" s="288"/>
      <c r="H386" s="64" t="s">
        <v>3593</v>
      </c>
      <c r="I386" s="64">
        <v>2024.0</v>
      </c>
      <c r="J386" s="64">
        <v>2026.0</v>
      </c>
      <c r="K386" s="287">
        <v>0.88</v>
      </c>
      <c r="L386" s="288"/>
      <c r="M386" s="285" t="s">
        <v>4326</v>
      </c>
      <c r="N386" s="35" t="s">
        <v>4327</v>
      </c>
      <c r="O386" s="35" t="s">
        <v>4328</v>
      </c>
      <c r="P386" s="35" t="s">
        <v>3747</v>
      </c>
      <c r="Q386" s="37">
        <v>46162.0</v>
      </c>
      <c r="R386" s="56"/>
      <c r="S386" s="38"/>
      <c r="T386" s="39">
        <v>741548.47</v>
      </c>
      <c r="U386" s="39">
        <v>511668.4456</v>
      </c>
      <c r="V386" s="40">
        <v>229880.0244</v>
      </c>
      <c r="W386" s="57" t="s">
        <v>76</v>
      </c>
      <c r="X386" s="42" t="s">
        <v>66</v>
      </c>
      <c r="Y386" s="42" t="str">
        <f>IFERROR(__xludf.DUMMYFUNCTION("vLOOKUP(A386,IMPORTRANGE(""https://docs.google.com/spreadsheets/d/1Rawwwdh8wntXGy8isdYNHxsNQS4n_rC8JSdPfj6vEq4"",""'500 объектов перенос на 2026'!A3:AB502""),13,0)"),"#REF!")</f>
        <v>#REF!</v>
      </c>
      <c r="Z386" s="42" t="str">
        <f>IFERROR(__xludf.DUMMYFUNCTION("vLOOKUP(A386,IMPORTRANGE(""https://docs.google.com/spreadsheets/d/1Rawwwdh8wntXGy8isdYNHxsNQS4n_rC8JSdPfj6vEq4"",""'500 объектов перенос на 2026'!A3:AB502""),14,0)"),"#REF!")</f>
        <v>#REF!</v>
      </c>
      <c r="AA386" s="297" t="s">
        <v>4329</v>
      </c>
      <c r="AB386" s="43"/>
    </row>
    <row r="387">
      <c r="A387" s="62" t="s">
        <v>1066</v>
      </c>
      <c r="B387" s="63" t="s">
        <v>70</v>
      </c>
      <c r="C387" s="64" t="s">
        <v>1067</v>
      </c>
      <c r="D387" s="64" t="s">
        <v>59</v>
      </c>
      <c r="E387" s="64">
        <v>16.9</v>
      </c>
      <c r="F387" s="288"/>
      <c r="G387" s="288"/>
      <c r="H387" s="64" t="s">
        <v>3593</v>
      </c>
      <c r="I387" s="64">
        <v>2024.0</v>
      </c>
      <c r="J387" s="64">
        <v>2026.0</v>
      </c>
      <c r="K387" s="287">
        <v>0.78</v>
      </c>
      <c r="L387" s="288"/>
      <c r="M387" s="285" t="s">
        <v>4330</v>
      </c>
      <c r="N387" s="35" t="s">
        <v>4331</v>
      </c>
      <c r="O387" s="35" t="s">
        <v>4332</v>
      </c>
      <c r="P387" s="35" t="s">
        <v>3747</v>
      </c>
      <c r="Q387" s="83">
        <v>46356.0</v>
      </c>
      <c r="R387" s="56"/>
      <c r="S387" s="38"/>
      <c r="T387" s="39">
        <v>190200.36</v>
      </c>
      <c r="U387" s="39">
        <v>139007.0742</v>
      </c>
      <c r="V387" s="40">
        <v>51193.28585</v>
      </c>
      <c r="W387" s="57" t="s">
        <v>1070</v>
      </c>
      <c r="X387" s="42" t="s">
        <v>66</v>
      </c>
      <c r="Y387" s="42" t="str">
        <f>IFERROR(__xludf.DUMMYFUNCTION("vLOOKUP(A387,IMPORTRANGE(""https://docs.google.com/spreadsheets/d/1Rawwwdh8wntXGy8isdYNHxsNQS4n_rC8JSdPfj6vEq4"",""'500 объектов перенос на 2026'!A3:AB502""),13,0)"),"#REF!")</f>
        <v>#REF!</v>
      </c>
      <c r="Z387" s="42" t="str">
        <f>IFERROR(__xludf.DUMMYFUNCTION("vLOOKUP(A387,IMPORTRANGE(""https://docs.google.com/spreadsheets/d/1Rawwwdh8wntXGy8isdYNHxsNQS4n_rC8JSdPfj6vEq4"",""'500 объектов перенос на 2026'!A3:AB502""),14,0)"),"#REF!")</f>
        <v>#REF!</v>
      </c>
      <c r="AA387" s="297" t="s">
        <v>4333</v>
      </c>
      <c r="AB387" s="43"/>
    </row>
    <row r="388">
      <c r="A388" s="62" t="s">
        <v>2579</v>
      </c>
      <c r="B388" s="63" t="s">
        <v>82</v>
      </c>
      <c r="C388" s="64" t="s">
        <v>2580</v>
      </c>
      <c r="D388" s="64" t="s">
        <v>85</v>
      </c>
      <c r="E388" s="288"/>
      <c r="F388" s="64">
        <v>400.0</v>
      </c>
      <c r="G388" s="64">
        <v>310.0</v>
      </c>
      <c r="H388" s="64" t="s">
        <v>3512</v>
      </c>
      <c r="I388" s="64">
        <v>2024.0</v>
      </c>
      <c r="J388" s="64">
        <v>2025.0</v>
      </c>
      <c r="K388" s="287">
        <v>1.0</v>
      </c>
      <c r="L388" s="292" t="s">
        <v>3528</v>
      </c>
      <c r="M388" s="285" t="s">
        <v>4334</v>
      </c>
      <c r="N388" s="35" t="s">
        <v>4335</v>
      </c>
      <c r="O388" s="35" t="s">
        <v>4336</v>
      </c>
      <c r="P388" s="35" t="s">
        <v>113</v>
      </c>
      <c r="Q388" s="38" t="s">
        <v>11</v>
      </c>
      <c r="R388" s="38" t="s">
        <v>115</v>
      </c>
      <c r="S388" s="38"/>
      <c r="T388" s="39">
        <v>51858.5</v>
      </c>
      <c r="U388" s="39">
        <v>62966.07428</v>
      </c>
      <c r="V388" s="39">
        <v>-11107.57428</v>
      </c>
      <c r="W388" s="57" t="s">
        <v>2582</v>
      </c>
      <c r="X388" s="42" t="s">
        <v>2532</v>
      </c>
      <c r="Y388" s="42" t="str">
        <f>IFERROR(__xludf.DUMMYFUNCTION("vLOOKUP(A388,IMPORTRANGE(""https://docs.google.com/spreadsheets/d/1Rawwwdh8wntXGy8isdYNHxsNQS4n_rC8JSdPfj6vEq4"",""'500 объектов перенос на 2026'!A3:AB502""),13,0)"),"#REF!")</f>
        <v>#REF!</v>
      </c>
      <c r="Z388" s="42" t="str">
        <f>IFERROR(__xludf.DUMMYFUNCTION("vLOOKUP(A388,IMPORTRANGE(""https://docs.google.com/spreadsheets/d/1Rawwwdh8wntXGy8isdYNHxsNQS4n_rC8JSdPfj6vEq4"",""'500 объектов перенос на 2026'!A3:AB502""),14,0)"),"#REF!")</f>
        <v>#REF!</v>
      </c>
      <c r="AA388" s="85" t="s">
        <v>175</v>
      </c>
      <c r="AB388" s="43"/>
    </row>
    <row r="389">
      <c r="A389" s="62" t="s">
        <v>2660</v>
      </c>
      <c r="B389" s="63" t="s">
        <v>82</v>
      </c>
      <c r="C389" s="64" t="s">
        <v>2661</v>
      </c>
      <c r="D389" s="64" t="s">
        <v>324</v>
      </c>
      <c r="E389" s="64">
        <v>17.4</v>
      </c>
      <c r="F389" s="288"/>
      <c r="G389" s="288"/>
      <c r="H389" s="64" t="s">
        <v>3512</v>
      </c>
      <c r="I389" s="64">
        <v>2024.0</v>
      </c>
      <c r="J389" s="64">
        <v>2026.0</v>
      </c>
      <c r="K389" s="287">
        <v>0.98</v>
      </c>
      <c r="L389" s="288"/>
      <c r="M389" s="285" t="s">
        <v>4337</v>
      </c>
      <c r="N389" s="35">
        <v>0.0</v>
      </c>
      <c r="O389" s="35" t="s">
        <v>4337</v>
      </c>
      <c r="P389" s="35" t="s">
        <v>2662</v>
      </c>
      <c r="Q389" s="37">
        <v>46264.0</v>
      </c>
      <c r="R389" s="56"/>
      <c r="S389" s="38" t="s">
        <v>2664</v>
      </c>
      <c r="T389" s="39">
        <v>12954.06</v>
      </c>
      <c r="U389" s="39">
        <v>6477.03</v>
      </c>
      <c r="V389" s="40">
        <v>6477.03</v>
      </c>
      <c r="W389" s="57" t="s">
        <v>2665</v>
      </c>
      <c r="X389" s="42" t="s">
        <v>103</v>
      </c>
      <c r="Y389" s="42" t="str">
        <f>IFERROR(__xludf.DUMMYFUNCTION("vLOOKUP(A389,IMPORTRANGE(""https://docs.google.com/spreadsheets/d/1Rawwwdh8wntXGy8isdYNHxsNQS4n_rC8JSdPfj6vEq4"",""'500 объектов перенос на 2026'!A3:AB502""),13,0)"),"#REF!")</f>
        <v>#REF!</v>
      </c>
      <c r="Z389" s="42" t="str">
        <f>IFERROR(__xludf.DUMMYFUNCTION("vLOOKUP(A389,IMPORTRANGE(""https://docs.google.com/spreadsheets/d/1Rawwwdh8wntXGy8isdYNHxsNQS4n_rC8JSdPfj6vEq4"",""'500 объектов перенос на 2026'!A3:AB502""),14,0)"),"#REF!")</f>
        <v>#REF!</v>
      </c>
      <c r="AA389" s="85" t="s">
        <v>4338</v>
      </c>
      <c r="AB389" s="43"/>
    </row>
    <row r="390">
      <c r="A390" s="62" t="s">
        <v>2589</v>
      </c>
      <c r="B390" s="63" t="s">
        <v>82</v>
      </c>
      <c r="C390" s="64" t="s">
        <v>2590</v>
      </c>
      <c r="D390" s="64" t="s">
        <v>324</v>
      </c>
      <c r="E390" s="64">
        <v>16.3</v>
      </c>
      <c r="F390" s="288"/>
      <c r="G390" s="288"/>
      <c r="H390" s="64" t="s">
        <v>3512</v>
      </c>
      <c r="I390" s="64">
        <v>2024.0</v>
      </c>
      <c r="J390" s="64">
        <v>2025.0</v>
      </c>
      <c r="K390" s="287">
        <v>1.0</v>
      </c>
      <c r="L390" s="292" t="s">
        <v>3528</v>
      </c>
      <c r="M390" s="289" t="s">
        <v>4339</v>
      </c>
      <c r="N390" s="35">
        <v>0.0</v>
      </c>
      <c r="O390" s="35" t="s">
        <v>3520</v>
      </c>
      <c r="P390" s="35" t="s">
        <v>113</v>
      </c>
      <c r="Q390" s="38" t="s">
        <v>11</v>
      </c>
      <c r="R390" s="38" t="s">
        <v>115</v>
      </c>
      <c r="S390" s="38"/>
      <c r="T390" s="39">
        <v>22610.0</v>
      </c>
      <c r="U390" s="39">
        <v>18215.90698</v>
      </c>
      <c r="V390" s="39">
        <v>4394.09302</v>
      </c>
      <c r="W390" s="57"/>
      <c r="X390" s="42" t="s">
        <v>2593</v>
      </c>
      <c r="Y390" s="42" t="str">
        <f>IFERROR(__xludf.DUMMYFUNCTION("vLOOKUP(A390,IMPORTRANGE(""https://docs.google.com/spreadsheets/d/1Rawwwdh8wntXGy8isdYNHxsNQS4n_rC8JSdPfj6vEq4"",""'500 объектов перенос на 2026'!A3:AB502""),13,0)"),"#REF!")</f>
        <v>#REF!</v>
      </c>
      <c r="Z390" s="42" t="str">
        <f>IFERROR(__xludf.DUMMYFUNCTION("vLOOKUP(A390,IMPORTRANGE(""https://docs.google.com/spreadsheets/d/1Rawwwdh8wntXGy8isdYNHxsNQS4n_rC8JSdPfj6vEq4"",""'500 объектов перенос на 2026'!A3:AB502""),14,0)"),"#REF!")</f>
        <v>#REF!</v>
      </c>
      <c r="AA390" s="42" t="s">
        <v>2593</v>
      </c>
      <c r="AB390" s="43"/>
    </row>
    <row r="391">
      <c r="A391" s="62" t="s">
        <v>2594</v>
      </c>
      <c r="B391" s="63" t="s">
        <v>82</v>
      </c>
      <c r="C391" s="64" t="s">
        <v>2595</v>
      </c>
      <c r="D391" s="64" t="s">
        <v>85</v>
      </c>
      <c r="E391" s="288"/>
      <c r="F391" s="64" t="s">
        <v>4340</v>
      </c>
      <c r="G391" s="64">
        <v>326.0</v>
      </c>
      <c r="H391" s="64" t="s">
        <v>3512</v>
      </c>
      <c r="I391" s="64">
        <v>2025.0</v>
      </c>
      <c r="J391" s="64">
        <v>2025.0</v>
      </c>
      <c r="K391" s="287">
        <v>1.0</v>
      </c>
      <c r="L391" s="292" t="s">
        <v>3528</v>
      </c>
      <c r="M391" s="285" t="s">
        <v>4341</v>
      </c>
      <c r="N391" s="35">
        <v>0.0</v>
      </c>
      <c r="O391" s="35" t="s">
        <v>4341</v>
      </c>
      <c r="P391" s="35" t="s">
        <v>113</v>
      </c>
      <c r="Q391" s="38" t="s">
        <v>11</v>
      </c>
      <c r="R391" s="38" t="s">
        <v>115</v>
      </c>
      <c r="S391" s="38"/>
      <c r="T391" s="39">
        <v>26540.96</v>
      </c>
      <c r="U391" s="39">
        <v>26308.10785</v>
      </c>
      <c r="V391" s="39">
        <v>232.85215</v>
      </c>
      <c r="W391" s="57" t="s">
        <v>2596</v>
      </c>
      <c r="X391" s="42" t="s">
        <v>253</v>
      </c>
      <c r="Y391" s="42" t="str">
        <f>IFERROR(__xludf.DUMMYFUNCTION("vLOOKUP(A391,IMPORTRANGE(""https://docs.google.com/spreadsheets/d/1Rawwwdh8wntXGy8isdYNHxsNQS4n_rC8JSdPfj6vEq4"",""'500 объектов перенос на 2026'!A3:AB502""),13,0)"),"#REF!")</f>
        <v>#REF!</v>
      </c>
      <c r="Z391" s="42" t="str">
        <f>IFERROR(__xludf.DUMMYFUNCTION("vLOOKUP(A391,IMPORTRANGE(""https://docs.google.com/spreadsheets/d/1Rawwwdh8wntXGy8isdYNHxsNQS4n_rC8JSdPfj6vEq4"",""'500 объектов перенос на 2026'!A3:AB502""),14,0)"),"#REF!")</f>
        <v>#REF!</v>
      </c>
      <c r="AA391" s="85" t="s">
        <v>175</v>
      </c>
      <c r="AB391" s="43"/>
    </row>
    <row r="392">
      <c r="A392" s="62" t="s">
        <v>1080</v>
      </c>
      <c r="B392" s="63" t="s">
        <v>82</v>
      </c>
      <c r="C392" s="64" t="s">
        <v>1081</v>
      </c>
      <c r="D392" s="64" t="s">
        <v>59</v>
      </c>
      <c r="E392" s="64">
        <v>3.5</v>
      </c>
      <c r="F392" s="288"/>
      <c r="G392" s="288"/>
      <c r="H392" s="64" t="s">
        <v>3593</v>
      </c>
      <c r="I392" s="64">
        <v>2025.0</v>
      </c>
      <c r="J392" s="64">
        <v>2026.0</v>
      </c>
      <c r="K392" s="287">
        <v>0.72</v>
      </c>
      <c r="L392" s="288"/>
      <c r="M392" s="285" t="s">
        <v>4342</v>
      </c>
      <c r="N392" s="35">
        <v>0.0</v>
      </c>
      <c r="O392" s="35" t="s">
        <v>4342</v>
      </c>
      <c r="P392" s="35" t="s">
        <v>4343</v>
      </c>
      <c r="Q392" s="37">
        <v>46249.0</v>
      </c>
      <c r="R392" s="56"/>
      <c r="S392" s="38" t="s">
        <v>103</v>
      </c>
      <c r="T392" s="39">
        <v>99518.65</v>
      </c>
      <c r="U392" s="39">
        <v>49759.325</v>
      </c>
      <c r="V392" s="40">
        <v>49759.325</v>
      </c>
      <c r="W392" s="57" t="s">
        <v>1085</v>
      </c>
      <c r="X392" s="42" t="s">
        <v>948</v>
      </c>
      <c r="Y392" s="42" t="str">
        <f>IFERROR(__xludf.DUMMYFUNCTION("vLOOKUP(A392,IMPORTRANGE(""https://docs.google.com/spreadsheets/d/1Rawwwdh8wntXGy8isdYNHxsNQS4n_rC8JSdPfj6vEq4"",""'500 объектов перенос на 2026'!A3:AB502""),13,0)"),"#REF!")</f>
        <v>#REF!</v>
      </c>
      <c r="Z392" s="42" t="str">
        <f>IFERROR(__xludf.DUMMYFUNCTION("vLOOKUP(A392,IMPORTRANGE(""https://docs.google.com/spreadsheets/d/1Rawwwdh8wntXGy8isdYNHxsNQS4n_rC8JSdPfj6vEq4"",""'500 объектов перенос на 2026'!A3:AB502""),14,0)"),"#REF!")</f>
        <v>#REF!</v>
      </c>
      <c r="AA392" s="85" t="s">
        <v>4344</v>
      </c>
      <c r="AB392" s="43"/>
    </row>
    <row r="393">
      <c r="A393" s="62" t="s">
        <v>2604</v>
      </c>
      <c r="B393" s="63" t="s">
        <v>82</v>
      </c>
      <c r="C393" s="64" t="s">
        <v>2605</v>
      </c>
      <c r="D393" s="64" t="s">
        <v>39</v>
      </c>
      <c r="E393" s="64">
        <v>6.0</v>
      </c>
      <c r="F393" s="288"/>
      <c r="G393" s="288"/>
      <c r="H393" s="64" t="s">
        <v>3527</v>
      </c>
      <c r="I393" s="64">
        <v>2024.0</v>
      </c>
      <c r="J393" s="64">
        <v>2025.0</v>
      </c>
      <c r="K393" s="287">
        <v>1.0</v>
      </c>
      <c r="L393" s="292" t="s">
        <v>3528</v>
      </c>
      <c r="M393" s="285" t="s">
        <v>4345</v>
      </c>
      <c r="N393" s="295" t="s">
        <v>4346</v>
      </c>
      <c r="O393" s="35" t="s">
        <v>3520</v>
      </c>
      <c r="P393" s="35" t="s">
        <v>113</v>
      </c>
      <c r="Q393" s="38" t="s">
        <v>11</v>
      </c>
      <c r="R393" s="38" t="s">
        <v>115</v>
      </c>
      <c r="S393" s="38"/>
      <c r="T393" s="39">
        <v>99869.02</v>
      </c>
      <c r="U393" s="39">
        <v>95185.99254</v>
      </c>
      <c r="V393" s="39">
        <v>4683.02746</v>
      </c>
      <c r="W393" s="57" t="s">
        <v>2606</v>
      </c>
      <c r="X393" s="42" t="s">
        <v>253</v>
      </c>
      <c r="Y393" s="42" t="str">
        <f>IFERROR(__xludf.DUMMYFUNCTION("vLOOKUP(A393,IMPORTRANGE(""https://docs.google.com/spreadsheets/d/1Rawwwdh8wntXGy8isdYNHxsNQS4n_rC8JSdPfj6vEq4"",""'500 объектов перенос на 2026'!A3:AB502""),13,0)"),"#REF!")</f>
        <v>#REF!</v>
      </c>
      <c r="Z393" s="42" t="str">
        <f>IFERROR(__xludf.DUMMYFUNCTION("vLOOKUP(A393,IMPORTRANGE(""https://docs.google.com/spreadsheets/d/1Rawwwdh8wntXGy8isdYNHxsNQS4n_rC8JSdPfj6vEq4"",""'500 объектов перенос на 2026'!A3:AB502""),14,0)"),"#REF!")</f>
        <v>#REF!</v>
      </c>
      <c r="AA393" s="85" t="s">
        <v>175</v>
      </c>
      <c r="AB393" s="43"/>
    </row>
    <row r="394">
      <c r="A394" s="62" t="s">
        <v>785</v>
      </c>
      <c r="B394" s="63" t="s">
        <v>82</v>
      </c>
      <c r="C394" s="64" t="s">
        <v>786</v>
      </c>
      <c r="D394" s="64" t="s">
        <v>39</v>
      </c>
      <c r="E394" s="64">
        <v>6.0</v>
      </c>
      <c r="F394" s="288"/>
      <c r="G394" s="288"/>
      <c r="H394" s="64" t="s">
        <v>3527</v>
      </c>
      <c r="I394" s="64">
        <v>2024.0</v>
      </c>
      <c r="J394" s="64">
        <v>2026.0</v>
      </c>
      <c r="K394" s="287">
        <v>0.96</v>
      </c>
      <c r="L394" s="288"/>
      <c r="M394" s="285" t="s">
        <v>787</v>
      </c>
      <c r="N394" s="35">
        <v>0.0</v>
      </c>
      <c r="O394" s="35" t="s">
        <v>787</v>
      </c>
      <c r="P394" s="35" t="s">
        <v>4347</v>
      </c>
      <c r="Q394" s="37">
        <v>46188.0</v>
      </c>
      <c r="R394" s="56"/>
      <c r="S394" s="38" t="s">
        <v>789</v>
      </c>
      <c r="T394" s="39">
        <v>133859.58</v>
      </c>
      <c r="U394" s="39">
        <v>66929.79</v>
      </c>
      <c r="V394" s="40">
        <v>66929.79</v>
      </c>
      <c r="W394" s="57" t="s">
        <v>790</v>
      </c>
      <c r="X394" s="42" t="s">
        <v>46</v>
      </c>
      <c r="Y394" s="42" t="str">
        <f>IFERROR(__xludf.DUMMYFUNCTION("vLOOKUP(A394,IMPORTRANGE(""https://docs.google.com/spreadsheets/d/1Rawwwdh8wntXGy8isdYNHxsNQS4n_rC8JSdPfj6vEq4"",""'500 объектов перенос на 2026'!A3:AB502""),13,0)"),"#REF!")</f>
        <v>#REF!</v>
      </c>
      <c r="Z394" s="42" t="str">
        <f>IFERROR(__xludf.DUMMYFUNCTION("vLOOKUP(A394,IMPORTRANGE(""https://docs.google.com/spreadsheets/d/1Rawwwdh8wntXGy8isdYNHxsNQS4n_rC8JSdPfj6vEq4"",""'500 объектов перенос на 2026'!A3:AB502""),14,0)"),"#REF!")</f>
        <v>#REF!</v>
      </c>
      <c r="AA394" s="85" t="s">
        <v>4348</v>
      </c>
      <c r="AB394" s="43"/>
    </row>
    <row r="395">
      <c r="A395" s="62" t="s">
        <v>942</v>
      </c>
      <c r="B395" s="63" t="s">
        <v>82</v>
      </c>
      <c r="C395" s="64" t="s">
        <v>943</v>
      </c>
      <c r="D395" s="64" t="s">
        <v>39</v>
      </c>
      <c r="E395" s="64">
        <v>8.0</v>
      </c>
      <c r="F395" s="288"/>
      <c r="G395" s="288"/>
      <c r="H395" s="64" t="s">
        <v>3527</v>
      </c>
      <c r="I395" s="64">
        <v>2024.0</v>
      </c>
      <c r="J395" s="64">
        <v>2026.0</v>
      </c>
      <c r="K395" s="287">
        <v>0.72</v>
      </c>
      <c r="L395" s="288"/>
      <c r="M395" s="285" t="s">
        <v>944</v>
      </c>
      <c r="N395" s="35">
        <v>0.0</v>
      </c>
      <c r="O395" s="35" t="s">
        <v>944</v>
      </c>
      <c r="P395" s="35" t="s">
        <v>46</v>
      </c>
      <c r="Q395" s="83">
        <v>46244.0</v>
      </c>
      <c r="R395" s="56"/>
      <c r="S395" s="38" t="s">
        <v>103</v>
      </c>
      <c r="T395" s="39">
        <v>114234.79</v>
      </c>
      <c r="U395" s="39">
        <v>57117.395</v>
      </c>
      <c r="V395" s="40">
        <v>57117.395</v>
      </c>
      <c r="W395" s="57" t="s">
        <v>947</v>
      </c>
      <c r="X395" s="42" t="s">
        <v>948</v>
      </c>
      <c r="Y395" s="42" t="str">
        <f>IFERROR(__xludf.DUMMYFUNCTION("vLOOKUP(A395,IMPORTRANGE(""https://docs.google.com/spreadsheets/d/1Rawwwdh8wntXGy8isdYNHxsNQS4n_rC8JSdPfj6vEq4"",""'500 объектов перенос на 2026'!A3:AB502""),13,0)"),"#REF!")</f>
        <v>#REF!</v>
      </c>
      <c r="Z395" s="42" t="str">
        <f>IFERROR(__xludf.DUMMYFUNCTION("vLOOKUP(A395,IMPORTRANGE(""https://docs.google.com/spreadsheets/d/1Rawwwdh8wntXGy8isdYNHxsNQS4n_rC8JSdPfj6vEq4"",""'500 объектов перенос на 2026'!A3:AB502""),14,0)"),"#REF!")</f>
        <v>#REF!</v>
      </c>
      <c r="AA395" s="85" t="s">
        <v>4349</v>
      </c>
      <c r="AB395" s="43"/>
    </row>
    <row r="396">
      <c r="A396" s="62" t="s">
        <v>2621</v>
      </c>
      <c r="B396" s="63" t="s">
        <v>82</v>
      </c>
      <c r="C396" s="64" t="s">
        <v>2622</v>
      </c>
      <c r="D396" s="64" t="s">
        <v>85</v>
      </c>
      <c r="E396" s="288"/>
      <c r="F396" s="64">
        <v>200.0</v>
      </c>
      <c r="G396" s="64">
        <v>400.0</v>
      </c>
      <c r="H396" s="64" t="s">
        <v>3527</v>
      </c>
      <c r="I396" s="64">
        <v>2024.0</v>
      </c>
      <c r="J396" s="64">
        <v>2025.0</v>
      </c>
      <c r="K396" s="287">
        <v>0.0</v>
      </c>
      <c r="L396" s="292" t="s">
        <v>3528</v>
      </c>
      <c r="M396" s="285" t="s">
        <v>4350</v>
      </c>
      <c r="N396" s="35">
        <v>0.0</v>
      </c>
      <c r="O396" s="35" t="s">
        <v>4350</v>
      </c>
      <c r="P396" s="35" t="s">
        <v>113</v>
      </c>
      <c r="Q396" s="38" t="s">
        <v>11</v>
      </c>
      <c r="R396" s="38" t="s">
        <v>115</v>
      </c>
      <c r="S396" s="38"/>
      <c r="T396" s="39">
        <v>25392.87</v>
      </c>
      <c r="U396" s="39">
        <v>24431.36368</v>
      </c>
      <c r="V396" s="39">
        <v>961.50632</v>
      </c>
      <c r="W396" s="57" t="s">
        <v>2624</v>
      </c>
      <c r="X396" s="42" t="s">
        <v>253</v>
      </c>
      <c r="Y396" s="42" t="str">
        <f>IFERROR(__xludf.DUMMYFUNCTION("vLOOKUP(A396,IMPORTRANGE(""https://docs.google.com/spreadsheets/d/1Rawwwdh8wntXGy8isdYNHxsNQS4n_rC8JSdPfj6vEq4"",""'500 объектов перенос на 2026'!A3:AB502""),13,0)"),"#REF!")</f>
        <v>#REF!</v>
      </c>
      <c r="Z396" s="42" t="str">
        <f>IFERROR(__xludf.DUMMYFUNCTION("vLOOKUP(A396,IMPORTRANGE(""https://docs.google.com/spreadsheets/d/1Rawwwdh8wntXGy8isdYNHxsNQS4n_rC8JSdPfj6vEq4"",""'500 объектов перенос на 2026'!A3:AB502""),14,0)"),"#REF!")</f>
        <v>#REF!</v>
      </c>
      <c r="AA396" s="85" t="s">
        <v>175</v>
      </c>
      <c r="AB396" s="43"/>
    </row>
    <row r="397">
      <c r="A397" s="62" t="s">
        <v>81</v>
      </c>
      <c r="B397" s="63" t="s">
        <v>82</v>
      </c>
      <c r="C397" s="64" t="s">
        <v>83</v>
      </c>
      <c r="D397" s="64" t="s">
        <v>85</v>
      </c>
      <c r="E397" s="288"/>
      <c r="F397" s="64">
        <v>500.0</v>
      </c>
      <c r="G397" s="64">
        <v>920.0</v>
      </c>
      <c r="H397" s="64" t="s">
        <v>3512</v>
      </c>
      <c r="I397" s="64">
        <v>2024.0</v>
      </c>
      <c r="J397" s="64">
        <v>2026.0</v>
      </c>
      <c r="K397" s="287">
        <v>0.93</v>
      </c>
      <c r="L397" s="288"/>
      <c r="M397" s="285" t="s">
        <v>4351</v>
      </c>
      <c r="N397" s="35">
        <v>0.0</v>
      </c>
      <c r="O397" s="35" t="s">
        <v>4351</v>
      </c>
      <c r="P397" s="35" t="s">
        <v>90</v>
      </c>
      <c r="Q397" s="37">
        <v>46249.0</v>
      </c>
      <c r="R397" s="56"/>
      <c r="S397" s="38" t="s">
        <v>93</v>
      </c>
      <c r="T397" s="39">
        <v>167285.5</v>
      </c>
      <c r="U397" s="39">
        <v>83642.75</v>
      </c>
      <c r="V397" s="40">
        <v>83642.75</v>
      </c>
      <c r="W397" s="57" t="s">
        <v>94</v>
      </c>
      <c r="X397" s="42" t="s">
        <v>95</v>
      </c>
      <c r="Y397" s="42" t="str">
        <f>IFERROR(__xludf.DUMMYFUNCTION("vLOOKUP(A397,IMPORTRANGE(""https://docs.google.com/spreadsheets/d/1Rawwwdh8wntXGy8isdYNHxsNQS4n_rC8JSdPfj6vEq4"",""'500 объектов перенос на 2026'!A3:AB502""),13,0)"),"#REF!")</f>
        <v>#REF!</v>
      </c>
      <c r="Z397" s="42" t="str">
        <f>IFERROR(__xludf.DUMMYFUNCTION("vLOOKUP(A397,IMPORTRANGE(""https://docs.google.com/spreadsheets/d/1Rawwwdh8wntXGy8isdYNHxsNQS4n_rC8JSdPfj6vEq4"",""'500 объектов перенос на 2026'!A3:AB502""),14,0)"),"#REF!")</f>
        <v>#REF!</v>
      </c>
      <c r="AA397" s="85" t="s">
        <v>4352</v>
      </c>
      <c r="AB397" s="43"/>
    </row>
    <row r="398">
      <c r="A398" s="62" t="s">
        <v>2633</v>
      </c>
      <c r="B398" s="63" t="s">
        <v>82</v>
      </c>
      <c r="C398" s="64" t="s">
        <v>2634</v>
      </c>
      <c r="D398" s="64" t="s">
        <v>85</v>
      </c>
      <c r="E398" s="288"/>
      <c r="F398" s="64" t="s">
        <v>3832</v>
      </c>
      <c r="G398" s="64">
        <v>80.0</v>
      </c>
      <c r="H398" s="64" t="s">
        <v>3512</v>
      </c>
      <c r="I398" s="64">
        <v>2025.0</v>
      </c>
      <c r="J398" s="64">
        <v>2025.0</v>
      </c>
      <c r="K398" s="287">
        <v>1.0</v>
      </c>
      <c r="L398" s="292" t="s">
        <v>3528</v>
      </c>
      <c r="M398" s="285" t="s">
        <v>4353</v>
      </c>
      <c r="N398" s="35" t="s">
        <v>4354</v>
      </c>
      <c r="O398" s="35" t="s">
        <v>4355</v>
      </c>
      <c r="P398" s="35" t="s">
        <v>113</v>
      </c>
      <c r="Q398" s="38" t="s">
        <v>11</v>
      </c>
      <c r="R398" s="38" t="s">
        <v>115</v>
      </c>
      <c r="S398" s="38"/>
      <c r="T398" s="39">
        <v>7067.13</v>
      </c>
      <c r="U398" s="39">
        <v>7067.13453</v>
      </c>
      <c r="V398" s="39">
        <v>-0.00453</v>
      </c>
      <c r="W398" s="57" t="s">
        <v>2635</v>
      </c>
      <c r="X398" s="42" t="s">
        <v>2636</v>
      </c>
      <c r="Y398" s="42" t="str">
        <f>IFERROR(__xludf.DUMMYFUNCTION("vLOOKUP(A398,IMPORTRANGE(""https://docs.google.com/spreadsheets/d/1Rawwwdh8wntXGy8isdYNHxsNQS4n_rC8JSdPfj6vEq4"",""'500 объектов перенос на 2026'!A3:AB502""),13,0)"),"#REF!")</f>
        <v>#REF!</v>
      </c>
      <c r="Z398" s="42" t="str">
        <f>IFERROR(__xludf.DUMMYFUNCTION("vLOOKUP(A398,IMPORTRANGE(""https://docs.google.com/spreadsheets/d/1Rawwwdh8wntXGy8isdYNHxsNQS4n_rC8JSdPfj6vEq4"",""'500 объектов перенос на 2026'!A3:AB502""),14,0)"),"#REF!")</f>
        <v>#REF!</v>
      </c>
      <c r="AA398" s="85" t="s">
        <v>175</v>
      </c>
      <c r="AB398" s="43"/>
    </row>
    <row r="399">
      <c r="A399" s="62" t="s">
        <v>2637</v>
      </c>
      <c r="B399" s="63" t="s">
        <v>82</v>
      </c>
      <c r="C399" s="64" t="s">
        <v>2638</v>
      </c>
      <c r="D399" s="64" t="s">
        <v>85</v>
      </c>
      <c r="E399" s="288"/>
      <c r="F399" s="64" t="s">
        <v>3832</v>
      </c>
      <c r="G399" s="64">
        <v>72.0</v>
      </c>
      <c r="H399" s="64" t="s">
        <v>3512</v>
      </c>
      <c r="I399" s="64">
        <v>2025.0</v>
      </c>
      <c r="J399" s="64">
        <v>2025.0</v>
      </c>
      <c r="K399" s="287">
        <v>1.0</v>
      </c>
      <c r="L399" s="292" t="s">
        <v>3528</v>
      </c>
      <c r="M399" s="285" t="s">
        <v>4356</v>
      </c>
      <c r="N399" s="35">
        <v>0.0</v>
      </c>
      <c r="O399" s="35" t="s">
        <v>4356</v>
      </c>
      <c r="P399" s="35" t="s">
        <v>113</v>
      </c>
      <c r="Q399" s="38" t="s">
        <v>11</v>
      </c>
      <c r="R399" s="38" t="s">
        <v>115</v>
      </c>
      <c r="S399" s="38"/>
      <c r="T399" s="39">
        <v>7228.23</v>
      </c>
      <c r="U399" s="39">
        <v>7119.06845</v>
      </c>
      <c r="V399" s="39">
        <v>109.16155</v>
      </c>
      <c r="W399" s="57" t="s">
        <v>2640</v>
      </c>
      <c r="X399" s="42"/>
      <c r="Y399" s="42" t="str">
        <f>IFERROR(__xludf.DUMMYFUNCTION("vLOOKUP(A399,IMPORTRANGE(""https://docs.google.com/spreadsheets/d/1Rawwwdh8wntXGy8isdYNHxsNQS4n_rC8JSdPfj6vEq4"",""'500 объектов перенос на 2026'!A3:AB502""),13,0)"),"#REF!")</f>
        <v>#REF!</v>
      </c>
      <c r="Z399" s="42" t="str">
        <f>IFERROR(__xludf.DUMMYFUNCTION("vLOOKUP(A399,IMPORTRANGE(""https://docs.google.com/spreadsheets/d/1Rawwwdh8wntXGy8isdYNHxsNQS4n_rC8JSdPfj6vEq4"",""'500 объектов перенос на 2026'!A3:AB502""),14,0)"),"#REF!")</f>
        <v>#REF!</v>
      </c>
      <c r="AA399" s="85" t="s">
        <v>4357</v>
      </c>
      <c r="AB399" s="43"/>
    </row>
    <row r="400">
      <c r="A400" s="62" t="s">
        <v>385</v>
      </c>
      <c r="B400" s="63" t="s">
        <v>82</v>
      </c>
      <c r="C400" s="64" t="s">
        <v>386</v>
      </c>
      <c r="D400" s="64" t="s">
        <v>85</v>
      </c>
      <c r="E400" s="288"/>
      <c r="F400" s="64" t="s">
        <v>4340</v>
      </c>
      <c r="G400" s="291" t="s">
        <v>4358</v>
      </c>
      <c r="H400" s="64" t="s">
        <v>3512</v>
      </c>
      <c r="I400" s="64">
        <v>2025.0</v>
      </c>
      <c r="J400" s="64">
        <v>2026.0</v>
      </c>
      <c r="K400" s="287">
        <v>0.95</v>
      </c>
      <c r="L400" s="288"/>
      <c r="M400" s="285" t="s">
        <v>4359</v>
      </c>
      <c r="N400" s="35">
        <v>0.0</v>
      </c>
      <c r="O400" s="35" t="s">
        <v>4359</v>
      </c>
      <c r="P400" s="35" t="s">
        <v>49</v>
      </c>
      <c r="Q400" s="37">
        <v>46218.0</v>
      </c>
      <c r="R400" s="56"/>
      <c r="S400" s="38"/>
      <c r="T400" s="39">
        <v>134325.76</v>
      </c>
      <c r="U400" s="39">
        <v>0.0</v>
      </c>
      <c r="V400" s="40">
        <v>134325.76</v>
      </c>
      <c r="W400" s="57"/>
      <c r="X400" s="42"/>
      <c r="Y400" s="42" t="str">
        <f>IFERROR(__xludf.DUMMYFUNCTION("vLOOKUP(A400,IMPORTRANGE(""https://docs.google.com/spreadsheets/d/1Rawwwdh8wntXGy8isdYNHxsNQS4n_rC8JSdPfj6vEq4"",""'500 объектов перенос на 2026'!A3:AB502""),13,0)"),"#REF!")</f>
        <v>#REF!</v>
      </c>
      <c r="Z400" s="42" t="str">
        <f>IFERROR(__xludf.DUMMYFUNCTION("vLOOKUP(A400,IMPORTRANGE(""https://docs.google.com/spreadsheets/d/1Rawwwdh8wntXGy8isdYNHxsNQS4n_rC8JSdPfj6vEq4"",""'500 объектов перенос на 2026'!A3:AB502""),14,0)"),"#REF!")</f>
        <v>#REF!</v>
      </c>
      <c r="AA400" s="85" t="s">
        <v>4360</v>
      </c>
      <c r="AB400" s="43"/>
    </row>
    <row r="401">
      <c r="A401" s="62" t="s">
        <v>2648</v>
      </c>
      <c r="B401" s="63" t="s">
        <v>82</v>
      </c>
      <c r="C401" s="90" t="s">
        <v>2649</v>
      </c>
      <c r="D401" s="64" t="s">
        <v>85</v>
      </c>
      <c r="E401" s="288"/>
      <c r="F401" s="64" t="s">
        <v>3550</v>
      </c>
      <c r="G401" s="64">
        <v>600.0</v>
      </c>
      <c r="H401" s="64" t="s">
        <v>3512</v>
      </c>
      <c r="I401" s="64">
        <v>2024.0</v>
      </c>
      <c r="J401" s="64">
        <v>2025.0</v>
      </c>
      <c r="K401" s="287">
        <v>1.0</v>
      </c>
      <c r="L401" s="292" t="s">
        <v>3528</v>
      </c>
      <c r="M401" s="285" t="s">
        <v>4361</v>
      </c>
      <c r="N401" s="35">
        <v>0.0</v>
      </c>
      <c r="O401" s="35" t="s">
        <v>4361</v>
      </c>
      <c r="P401" s="35" t="s">
        <v>113</v>
      </c>
      <c r="Q401" s="38" t="s">
        <v>11</v>
      </c>
      <c r="R401" s="38" t="s">
        <v>115</v>
      </c>
      <c r="S401" s="38"/>
      <c r="T401" s="39">
        <v>44646.11</v>
      </c>
      <c r="U401" s="39">
        <v>45279.58476</v>
      </c>
      <c r="V401" s="39">
        <v>-633.47476</v>
      </c>
      <c r="W401" s="57" t="s">
        <v>2650</v>
      </c>
      <c r="X401" s="42" t="s">
        <v>253</v>
      </c>
      <c r="Y401" s="42" t="str">
        <f>IFERROR(__xludf.DUMMYFUNCTION("vLOOKUP(A401,IMPORTRANGE(""https://docs.google.com/spreadsheets/d/1Rawwwdh8wntXGy8isdYNHxsNQS4n_rC8JSdPfj6vEq4"",""'500 объектов перенос на 2026'!A3:AB502""),13,0)"),"#REF!")</f>
        <v>#REF!</v>
      </c>
      <c r="Z401" s="42" t="str">
        <f>IFERROR(__xludf.DUMMYFUNCTION("vLOOKUP(A401,IMPORTRANGE(""https://docs.google.com/spreadsheets/d/1Rawwwdh8wntXGy8isdYNHxsNQS4n_rC8JSdPfj6vEq4"",""'500 объектов перенос на 2026'!A3:AB502""),14,0)"),"#REF!")</f>
        <v>#REF!</v>
      </c>
      <c r="AA401" s="85" t="s">
        <v>175</v>
      </c>
      <c r="AB401" s="43"/>
    </row>
    <row r="402">
      <c r="A402" s="62" t="s">
        <v>2651</v>
      </c>
      <c r="B402" s="63" t="s">
        <v>82</v>
      </c>
      <c r="C402" s="64" t="s">
        <v>2652</v>
      </c>
      <c r="D402" s="64" t="s">
        <v>59</v>
      </c>
      <c r="E402" s="64">
        <v>6.46</v>
      </c>
      <c r="F402" s="288"/>
      <c r="G402" s="288"/>
      <c r="H402" s="64" t="s">
        <v>3512</v>
      </c>
      <c r="I402" s="64">
        <v>2024.0</v>
      </c>
      <c r="J402" s="64">
        <v>2025.0</v>
      </c>
      <c r="K402" s="287">
        <v>1.0</v>
      </c>
      <c r="L402" s="292" t="s">
        <v>3528</v>
      </c>
      <c r="M402" s="285" t="s">
        <v>3568</v>
      </c>
      <c r="N402" s="35" t="s">
        <v>3568</v>
      </c>
      <c r="O402" s="35" t="s">
        <v>3568</v>
      </c>
      <c r="P402" s="35" t="s">
        <v>113</v>
      </c>
      <c r="Q402" s="38" t="s">
        <v>11</v>
      </c>
      <c r="R402" s="38" t="s">
        <v>115</v>
      </c>
      <c r="S402" s="38"/>
      <c r="T402" s="39">
        <v>15391.65</v>
      </c>
      <c r="U402" s="39">
        <v>14792.10041</v>
      </c>
      <c r="V402" s="39">
        <v>599.54959</v>
      </c>
      <c r="W402" s="57" t="s">
        <v>2653</v>
      </c>
      <c r="X402" s="42" t="s">
        <v>253</v>
      </c>
      <c r="Y402" s="42" t="str">
        <f>IFERROR(__xludf.DUMMYFUNCTION("vLOOKUP(A402,IMPORTRANGE(""https://docs.google.com/spreadsheets/d/1Rawwwdh8wntXGy8isdYNHxsNQS4n_rC8JSdPfj6vEq4"",""'500 объектов перенос на 2026'!A3:AB502""),13,0)"),"#REF!")</f>
        <v>#REF!</v>
      </c>
      <c r="Z402" s="42" t="str">
        <f>IFERROR(__xludf.DUMMYFUNCTION("vLOOKUP(A402,IMPORTRANGE(""https://docs.google.com/spreadsheets/d/1Rawwwdh8wntXGy8isdYNHxsNQS4n_rC8JSdPfj6vEq4"",""'500 объектов перенос на 2026'!A3:AB502""),14,0)"),"#REF!")</f>
        <v>#REF!</v>
      </c>
      <c r="AA402" s="85" t="s">
        <v>175</v>
      </c>
      <c r="AB402" s="43"/>
    </row>
    <row r="403">
      <c r="A403" s="62" t="s">
        <v>1656</v>
      </c>
      <c r="B403" s="63" t="s">
        <v>82</v>
      </c>
      <c r="C403" s="64" t="s">
        <v>1657</v>
      </c>
      <c r="D403" s="64" t="s">
        <v>85</v>
      </c>
      <c r="E403" s="288"/>
      <c r="F403" s="64" t="s">
        <v>4362</v>
      </c>
      <c r="G403" s="64">
        <v>658.0</v>
      </c>
      <c r="H403" s="64" t="s">
        <v>3512</v>
      </c>
      <c r="I403" s="64">
        <v>2025.0</v>
      </c>
      <c r="J403" s="64">
        <v>2026.0</v>
      </c>
      <c r="K403" s="287">
        <v>0.48</v>
      </c>
      <c r="L403" s="288"/>
      <c r="M403" s="285" t="s">
        <v>3568</v>
      </c>
      <c r="N403" s="35" t="s">
        <v>3568</v>
      </c>
      <c r="O403" s="35" t="s">
        <v>3568</v>
      </c>
      <c r="P403" s="35" t="s">
        <v>1659</v>
      </c>
      <c r="Q403" s="37">
        <v>46162.0</v>
      </c>
      <c r="R403" s="56"/>
      <c r="S403" s="38" t="s">
        <v>789</v>
      </c>
      <c r="T403" s="39">
        <v>40984.17</v>
      </c>
      <c r="U403" s="39">
        <v>24224.7675</v>
      </c>
      <c r="V403" s="40">
        <v>16759.4025</v>
      </c>
      <c r="W403" s="57" t="s">
        <v>1661</v>
      </c>
      <c r="X403" s="42" t="s">
        <v>1662</v>
      </c>
      <c r="Y403" s="42" t="str">
        <f>IFERROR(__xludf.DUMMYFUNCTION("vLOOKUP(A403,IMPORTRANGE(""https://docs.google.com/spreadsheets/d/1Rawwwdh8wntXGy8isdYNHxsNQS4n_rC8JSdPfj6vEq4"",""'500 объектов перенос на 2026'!A3:AB502""),13,0)"),"#REF!")</f>
        <v>#REF!</v>
      </c>
      <c r="Z403" s="42" t="str">
        <f>IFERROR(__xludf.DUMMYFUNCTION("vLOOKUP(A403,IMPORTRANGE(""https://docs.google.com/spreadsheets/d/1Rawwwdh8wntXGy8isdYNHxsNQS4n_rC8JSdPfj6vEq4"",""'500 объектов перенос на 2026'!A3:AB502""),14,0)"),"#REF!")</f>
        <v>#REF!</v>
      </c>
      <c r="AA403" s="85" t="s">
        <v>4363</v>
      </c>
      <c r="AB403" s="43"/>
    </row>
    <row r="404">
      <c r="A404" s="62" t="s">
        <v>1731</v>
      </c>
      <c r="B404" s="63" t="s">
        <v>82</v>
      </c>
      <c r="C404" s="64" t="s">
        <v>1732</v>
      </c>
      <c r="D404" s="64" t="s">
        <v>85</v>
      </c>
      <c r="E404" s="288"/>
      <c r="F404" s="64" t="s">
        <v>4364</v>
      </c>
      <c r="G404" s="64">
        <v>596.0</v>
      </c>
      <c r="H404" s="64" t="s">
        <v>3512</v>
      </c>
      <c r="I404" s="64">
        <v>2025.0</v>
      </c>
      <c r="J404" s="64">
        <v>2026.0</v>
      </c>
      <c r="K404" s="287">
        <v>0.45</v>
      </c>
      <c r="L404" s="288"/>
      <c r="M404" s="285" t="s">
        <v>3568</v>
      </c>
      <c r="N404" s="35" t="s">
        <v>3568</v>
      </c>
      <c r="O404" s="35" t="s">
        <v>3568</v>
      </c>
      <c r="P404" s="35" t="s">
        <v>1659</v>
      </c>
      <c r="Q404" s="37">
        <v>46162.0</v>
      </c>
      <c r="R404" s="56"/>
      <c r="S404" s="38" t="s">
        <v>789</v>
      </c>
      <c r="T404" s="39">
        <v>45707.2</v>
      </c>
      <c r="U404" s="39">
        <v>22853.6</v>
      </c>
      <c r="V404" s="40">
        <v>22853.6</v>
      </c>
      <c r="W404" s="57" t="s">
        <v>1734</v>
      </c>
      <c r="X404" s="42" t="s">
        <v>1662</v>
      </c>
      <c r="Y404" s="42" t="str">
        <f>IFERROR(__xludf.DUMMYFUNCTION("vLOOKUP(A404,IMPORTRANGE(""https://docs.google.com/spreadsheets/d/1Rawwwdh8wntXGy8isdYNHxsNQS4n_rC8JSdPfj6vEq4"",""'500 объектов перенос на 2026'!A3:AB502""),13,0)"),"#REF!")</f>
        <v>#REF!</v>
      </c>
      <c r="Z404" s="42" t="str">
        <f>IFERROR(__xludf.DUMMYFUNCTION("vLOOKUP(A404,IMPORTRANGE(""https://docs.google.com/spreadsheets/d/1Rawwwdh8wntXGy8isdYNHxsNQS4n_rC8JSdPfj6vEq4"",""'500 объектов перенос на 2026'!A3:AB502""),14,0)"),"#REF!")</f>
        <v>#REF!</v>
      </c>
      <c r="AA404" s="85" t="s">
        <v>4365</v>
      </c>
      <c r="AB404" s="43"/>
    </row>
    <row r="405">
      <c r="A405" s="62" t="s">
        <v>1790</v>
      </c>
      <c r="B405" s="63" t="s">
        <v>82</v>
      </c>
      <c r="C405" s="90" t="s">
        <v>1791</v>
      </c>
      <c r="D405" s="90" t="s">
        <v>85</v>
      </c>
      <c r="E405" s="286"/>
      <c r="F405" s="90" t="s">
        <v>4364</v>
      </c>
      <c r="G405" s="90">
        <v>761.0</v>
      </c>
      <c r="H405" s="90" t="s">
        <v>3512</v>
      </c>
      <c r="I405" s="90">
        <v>2025.0</v>
      </c>
      <c r="J405" s="64">
        <v>2026.0</v>
      </c>
      <c r="K405" s="287">
        <v>0.3</v>
      </c>
      <c r="L405" s="288"/>
      <c r="M405" s="285" t="s">
        <v>3568</v>
      </c>
      <c r="N405" s="35" t="s">
        <v>3568</v>
      </c>
      <c r="O405" s="35" t="s">
        <v>3568</v>
      </c>
      <c r="P405" s="35" t="s">
        <v>1659</v>
      </c>
      <c r="Q405" s="37">
        <v>46162.0</v>
      </c>
      <c r="R405" s="56"/>
      <c r="S405" s="38" t="s">
        <v>789</v>
      </c>
      <c r="T405" s="39">
        <v>40848.0</v>
      </c>
      <c r="U405" s="39">
        <v>22432.68</v>
      </c>
      <c r="V405" s="40">
        <v>18415.32</v>
      </c>
      <c r="W405" s="57" t="s">
        <v>1793</v>
      </c>
      <c r="X405" s="42" t="s">
        <v>1662</v>
      </c>
      <c r="Y405" s="42" t="str">
        <f>IFERROR(__xludf.DUMMYFUNCTION("vLOOKUP(A405,IMPORTRANGE(""https://docs.google.com/spreadsheets/d/1Rawwwdh8wntXGy8isdYNHxsNQS4n_rC8JSdPfj6vEq4"",""'500 объектов перенос на 2026'!A3:AB502""),13,0)"),"#REF!")</f>
        <v>#REF!</v>
      </c>
      <c r="Z405" s="42" t="str">
        <f>IFERROR(__xludf.DUMMYFUNCTION("vLOOKUP(A405,IMPORTRANGE(""https://docs.google.com/spreadsheets/d/1Rawwwdh8wntXGy8isdYNHxsNQS4n_rC8JSdPfj6vEq4"",""'500 объектов перенос на 2026'!A3:AB502""),14,0)"),"#REF!")</f>
        <v>#REF!</v>
      </c>
      <c r="AA405" s="85" t="s">
        <v>4365</v>
      </c>
      <c r="AB405" s="43"/>
    </row>
    <row r="406">
      <c r="A406" s="62" t="s">
        <v>1842</v>
      </c>
      <c r="B406" s="63" t="s">
        <v>82</v>
      </c>
      <c r="C406" s="90" t="s">
        <v>1843</v>
      </c>
      <c r="D406" s="90" t="s">
        <v>85</v>
      </c>
      <c r="E406" s="286"/>
      <c r="F406" s="90">
        <v>159.0</v>
      </c>
      <c r="G406" s="90">
        <v>378.0</v>
      </c>
      <c r="H406" s="90" t="s">
        <v>3512</v>
      </c>
      <c r="I406" s="90">
        <v>2025.0</v>
      </c>
      <c r="J406" s="64">
        <v>2026.0</v>
      </c>
      <c r="K406" s="287">
        <v>0.58</v>
      </c>
      <c r="L406" s="288"/>
      <c r="M406" s="285" t="s">
        <v>3568</v>
      </c>
      <c r="N406" s="35" t="s">
        <v>3568</v>
      </c>
      <c r="O406" s="35" t="s">
        <v>3568</v>
      </c>
      <c r="P406" s="35" t="s">
        <v>1659</v>
      </c>
      <c r="Q406" s="37">
        <v>46162.0</v>
      </c>
      <c r="R406" s="56"/>
      <c r="S406" s="38" t="s">
        <v>789</v>
      </c>
      <c r="T406" s="39">
        <v>25083.39</v>
      </c>
      <c r="U406" s="39">
        <v>8516.75117</v>
      </c>
      <c r="V406" s="40">
        <v>16566.63883</v>
      </c>
      <c r="W406" s="57" t="s">
        <v>1845</v>
      </c>
      <c r="X406" s="42" t="s">
        <v>1662</v>
      </c>
      <c r="Y406" s="42" t="str">
        <f>IFERROR(__xludf.DUMMYFUNCTION("vLOOKUP(A406,IMPORTRANGE(""https://docs.google.com/spreadsheets/d/1Rawwwdh8wntXGy8isdYNHxsNQS4n_rC8JSdPfj6vEq4"",""'500 объектов перенос на 2026'!A3:AB502""),13,0)"),"#REF!")</f>
        <v>#REF!</v>
      </c>
      <c r="Z406" s="42" t="str">
        <f>IFERROR(__xludf.DUMMYFUNCTION("vLOOKUP(A406,IMPORTRANGE(""https://docs.google.com/spreadsheets/d/1Rawwwdh8wntXGy8isdYNHxsNQS4n_rC8JSdPfj6vEq4"",""'500 объектов перенос на 2026'!A3:AB502""),14,0)"),"#REF!")</f>
        <v>#REF!</v>
      </c>
      <c r="AA406" s="85" t="s">
        <v>4366</v>
      </c>
      <c r="AB406" s="43"/>
    </row>
    <row r="407">
      <c r="A407" s="62" t="s">
        <v>2681</v>
      </c>
      <c r="B407" s="63" t="s">
        <v>625</v>
      </c>
      <c r="C407" s="90" t="s">
        <v>2682</v>
      </c>
      <c r="D407" s="64" t="s">
        <v>85</v>
      </c>
      <c r="E407" s="288"/>
      <c r="F407" s="288"/>
      <c r="G407" s="291" t="s">
        <v>4367</v>
      </c>
      <c r="H407" s="64" t="s">
        <v>3593</v>
      </c>
      <c r="I407" s="64">
        <v>2024.0</v>
      </c>
      <c r="J407" s="64">
        <v>2025.0</v>
      </c>
      <c r="K407" s="287">
        <v>1.0</v>
      </c>
      <c r="L407" s="292" t="s">
        <v>3528</v>
      </c>
      <c r="M407" s="285" t="s">
        <v>4368</v>
      </c>
      <c r="N407" s="295" t="s">
        <v>4369</v>
      </c>
      <c r="O407" s="35" t="s">
        <v>3520</v>
      </c>
      <c r="P407" s="35" t="s">
        <v>113</v>
      </c>
      <c r="Q407" s="38" t="s">
        <v>3627</v>
      </c>
      <c r="R407" s="38" t="s">
        <v>115</v>
      </c>
      <c r="S407" s="38"/>
      <c r="T407" s="39">
        <v>218003.85</v>
      </c>
      <c r="U407" s="39">
        <v>169375.2171</v>
      </c>
      <c r="V407" s="39">
        <v>48628.63291</v>
      </c>
      <c r="W407" s="57" t="s">
        <v>2684</v>
      </c>
      <c r="X407" s="85" t="s">
        <v>2411</v>
      </c>
      <c r="Y407" s="85" t="s">
        <v>2685</v>
      </c>
      <c r="Z407" s="85" t="s">
        <v>2411</v>
      </c>
      <c r="AA407" s="85" t="s">
        <v>175</v>
      </c>
      <c r="AB407" s="43"/>
    </row>
    <row r="408">
      <c r="A408" s="62" t="s">
        <v>2686</v>
      </c>
      <c r="B408" s="63" t="s">
        <v>625</v>
      </c>
      <c r="C408" s="90" t="s">
        <v>2687</v>
      </c>
      <c r="D408" s="64" t="s">
        <v>85</v>
      </c>
      <c r="E408" s="288"/>
      <c r="F408" s="64" t="s">
        <v>4370</v>
      </c>
      <c r="G408" s="291" t="s">
        <v>4371</v>
      </c>
      <c r="H408" s="64" t="s">
        <v>3593</v>
      </c>
      <c r="I408" s="64">
        <v>2024.0</v>
      </c>
      <c r="J408" s="64">
        <v>2025.0</v>
      </c>
      <c r="K408" s="287">
        <v>1.0</v>
      </c>
      <c r="L408" s="292" t="s">
        <v>3528</v>
      </c>
      <c r="M408" s="285" t="s">
        <v>4372</v>
      </c>
      <c r="N408" s="35" t="s">
        <v>4373</v>
      </c>
      <c r="O408" s="35" t="s">
        <v>4374</v>
      </c>
      <c r="P408" s="35" t="s">
        <v>113</v>
      </c>
      <c r="Q408" s="38" t="s">
        <v>3627</v>
      </c>
      <c r="R408" s="38" t="s">
        <v>115</v>
      </c>
      <c r="S408" s="38"/>
      <c r="T408" s="39">
        <v>89092.68</v>
      </c>
      <c r="U408" s="39">
        <v>66768.7154</v>
      </c>
      <c r="V408" s="39">
        <v>22323.9646</v>
      </c>
      <c r="W408" s="57" t="s">
        <v>2692</v>
      </c>
      <c r="X408" s="85" t="s">
        <v>2685</v>
      </c>
      <c r="Y408" s="85" t="s">
        <v>2685</v>
      </c>
      <c r="Z408" s="85" t="s">
        <v>2685</v>
      </c>
      <c r="AA408" s="85" t="s">
        <v>175</v>
      </c>
      <c r="AB408" s="43"/>
    </row>
    <row r="409">
      <c r="A409" s="62" t="s">
        <v>624</v>
      </c>
      <c r="B409" s="63" t="s">
        <v>625</v>
      </c>
      <c r="C409" s="64" t="s">
        <v>626</v>
      </c>
      <c r="D409" s="64" t="s">
        <v>39</v>
      </c>
      <c r="E409" s="64">
        <v>11.0</v>
      </c>
      <c r="F409" s="288"/>
      <c r="G409" s="288"/>
      <c r="H409" s="64" t="s">
        <v>3527</v>
      </c>
      <c r="I409" s="64">
        <v>2024.0</v>
      </c>
      <c r="J409" s="64">
        <v>2026.0</v>
      </c>
      <c r="K409" s="287">
        <v>0.34</v>
      </c>
      <c r="L409" s="288"/>
      <c r="M409" s="285" t="s">
        <v>3568</v>
      </c>
      <c r="N409" s="35" t="s">
        <v>3568</v>
      </c>
      <c r="O409" s="35" t="s">
        <v>3568</v>
      </c>
      <c r="P409" s="35" t="s">
        <v>46</v>
      </c>
      <c r="Q409" s="290">
        <v>46310.0</v>
      </c>
      <c r="R409" s="56"/>
      <c r="S409" s="38"/>
      <c r="T409" s="39">
        <v>151024.29</v>
      </c>
      <c r="U409" s="39">
        <v>45307.2888</v>
      </c>
      <c r="V409" s="40">
        <v>105717.0012</v>
      </c>
      <c r="W409" s="57" t="s">
        <v>630</v>
      </c>
      <c r="X409" s="42" t="s">
        <v>272</v>
      </c>
      <c r="Y409" s="42" t="str">
        <f>IFERROR(__xludf.DUMMYFUNCTION("vLOOKUP(A409,IMPORTRANGE(""https://docs.google.com/spreadsheets/d/1Rawwwdh8wntXGy8isdYNHxsNQS4n_rC8JSdPfj6vEq4"",""'500 объектов перенос на 2026'!A3:AB502""),13,0)"),"#REF!")</f>
        <v>#REF!</v>
      </c>
      <c r="Z409" s="85" t="s">
        <v>631</v>
      </c>
      <c r="AA409" s="85" t="s">
        <v>631</v>
      </c>
      <c r="AB409" s="43"/>
    </row>
    <row r="410">
      <c r="A410" s="62" t="s">
        <v>2698</v>
      </c>
      <c r="B410" s="63" t="s">
        <v>625</v>
      </c>
      <c r="C410" s="90" t="s">
        <v>2699</v>
      </c>
      <c r="D410" s="64" t="s">
        <v>85</v>
      </c>
      <c r="E410" s="288"/>
      <c r="F410" s="64" t="s">
        <v>3550</v>
      </c>
      <c r="G410" s="64">
        <v>261.0</v>
      </c>
      <c r="H410" s="64" t="s">
        <v>3512</v>
      </c>
      <c r="I410" s="64">
        <v>2024.0</v>
      </c>
      <c r="J410" s="64">
        <v>2026.0</v>
      </c>
      <c r="K410" s="287">
        <v>0.62</v>
      </c>
      <c r="L410" s="288"/>
      <c r="M410" s="285" t="s">
        <v>3568</v>
      </c>
      <c r="N410" s="35" t="s">
        <v>3568</v>
      </c>
      <c r="O410" s="35" t="s">
        <v>3568</v>
      </c>
      <c r="P410" s="35" t="s">
        <v>2701</v>
      </c>
      <c r="Q410" s="290">
        <v>46253.0</v>
      </c>
      <c r="R410" s="56"/>
      <c r="S410" s="38"/>
      <c r="T410" s="39">
        <v>17768.88</v>
      </c>
      <c r="U410" s="39">
        <v>5330.664</v>
      </c>
      <c r="V410" s="40">
        <v>12438.216</v>
      </c>
      <c r="W410" s="57" t="s">
        <v>2703</v>
      </c>
      <c r="X410" s="42" t="s">
        <v>2704</v>
      </c>
      <c r="Y410" s="42" t="str">
        <f>IFERROR(__xludf.DUMMYFUNCTION("vLOOKUP(A410,IMPORTRANGE(""https://docs.google.com/spreadsheets/d/1Rawwwdh8wntXGy8isdYNHxsNQS4n_rC8JSdPfj6vEq4"",""'500 объектов перенос на 2026'!A3:AB502""),13,0)"),"#REF!")</f>
        <v>#REF!</v>
      </c>
      <c r="Z410" s="42" t="str">
        <f>IFERROR(__xludf.DUMMYFUNCTION("vLOOKUP(A410,IMPORTRANGE(""https://docs.google.com/spreadsheets/d/1Rawwwdh8wntXGy8isdYNHxsNQS4n_rC8JSdPfj6vEq4"",""'500 объектов перенос на 2026'!A3:AB502""),14,0)"),"#REF!")</f>
        <v>#REF!</v>
      </c>
      <c r="AA410" s="308" t="s">
        <v>4375</v>
      </c>
      <c r="AB410" s="43"/>
    </row>
    <row r="411">
      <c r="A411" s="62" t="s">
        <v>2904</v>
      </c>
      <c r="B411" s="63" t="s">
        <v>625</v>
      </c>
      <c r="C411" s="90" t="s">
        <v>2905</v>
      </c>
      <c r="D411" s="64" t="s">
        <v>85</v>
      </c>
      <c r="E411" s="288"/>
      <c r="F411" s="64" t="s">
        <v>3592</v>
      </c>
      <c r="G411" s="64">
        <v>678.0</v>
      </c>
      <c r="H411" s="64" t="s">
        <v>3512</v>
      </c>
      <c r="I411" s="64">
        <v>2024.0</v>
      </c>
      <c r="J411" s="64">
        <v>2026.0</v>
      </c>
      <c r="K411" s="287">
        <v>0.94</v>
      </c>
      <c r="L411" s="288"/>
      <c r="M411" s="289" t="s">
        <v>4376</v>
      </c>
      <c r="N411" s="35" t="s">
        <v>4377</v>
      </c>
      <c r="O411" s="35" t="s">
        <v>3520</v>
      </c>
      <c r="P411" s="35" t="s">
        <v>2338</v>
      </c>
      <c r="Q411" s="290">
        <v>46218.0</v>
      </c>
      <c r="R411" s="56"/>
      <c r="S411" s="38"/>
      <c r="T411" s="39">
        <v>38390.51</v>
      </c>
      <c r="U411" s="39">
        <v>35442.341</v>
      </c>
      <c r="V411" s="40">
        <v>2948.169</v>
      </c>
      <c r="W411" s="57" t="s">
        <v>2909</v>
      </c>
      <c r="X411" s="42" t="s">
        <v>2341</v>
      </c>
      <c r="Y411" s="42" t="str">
        <f>IFERROR(__xludf.DUMMYFUNCTION("vLOOKUP(A411,IMPORTRANGE(""https://docs.google.com/spreadsheets/d/1Rawwwdh8wntXGy8isdYNHxsNQS4n_rC8JSdPfj6vEq4"",""'500 объектов перенос на 2026'!A3:AB502""),13,0)"),"#REF!")</f>
        <v>#REF!</v>
      </c>
      <c r="Z411" s="42" t="str">
        <f>IFERROR(__xludf.DUMMYFUNCTION("vLOOKUP(A411,IMPORTRANGE(""https://docs.google.com/spreadsheets/d/1Rawwwdh8wntXGy8isdYNHxsNQS4n_rC8JSdPfj6vEq4"",""'500 объектов перенос на 2026'!A3:AB502""),14,0)"),"#REF!")</f>
        <v>#REF!</v>
      </c>
      <c r="AA411" s="85" t="s">
        <v>4378</v>
      </c>
      <c r="AB411" s="43"/>
    </row>
    <row r="412">
      <c r="A412" s="62" t="s">
        <v>2333</v>
      </c>
      <c r="B412" s="63" t="s">
        <v>625</v>
      </c>
      <c r="C412" s="90" t="s">
        <v>2334</v>
      </c>
      <c r="D412" s="64" t="s">
        <v>85</v>
      </c>
      <c r="E412" s="288"/>
      <c r="F412" s="64" t="s">
        <v>3592</v>
      </c>
      <c r="G412" s="291" t="s">
        <v>4379</v>
      </c>
      <c r="H412" s="64" t="s">
        <v>3512</v>
      </c>
      <c r="I412" s="64">
        <v>2024.0</v>
      </c>
      <c r="J412" s="64">
        <v>2026.0</v>
      </c>
      <c r="K412" s="287">
        <v>0.9</v>
      </c>
      <c r="L412" s="288"/>
      <c r="M412" s="289" t="s">
        <v>4380</v>
      </c>
      <c r="N412" s="295" t="s">
        <v>4381</v>
      </c>
      <c r="O412" s="35" t="s">
        <v>3520</v>
      </c>
      <c r="P412" s="35" t="s">
        <v>2338</v>
      </c>
      <c r="Q412" s="290">
        <v>46218.0</v>
      </c>
      <c r="R412" s="56"/>
      <c r="S412" s="38"/>
      <c r="T412" s="39">
        <v>79660.54</v>
      </c>
      <c r="U412" s="39">
        <v>69292.42482</v>
      </c>
      <c r="V412" s="40">
        <v>10368.11518</v>
      </c>
      <c r="W412" s="57" t="s">
        <v>2340</v>
      </c>
      <c r="X412" s="42" t="s">
        <v>2341</v>
      </c>
      <c r="Y412" s="42" t="str">
        <f>IFERROR(__xludf.DUMMYFUNCTION("vLOOKUP(A412,IMPORTRANGE(""https://docs.google.com/spreadsheets/d/1Rawwwdh8wntXGy8isdYNHxsNQS4n_rC8JSdPfj6vEq4"",""'500 объектов перенос на 2026'!A3:AB502""),13,0)"),"#REF!")</f>
        <v>#REF!</v>
      </c>
      <c r="Z412" s="42" t="str">
        <f>IFERROR(__xludf.DUMMYFUNCTION("vLOOKUP(A412,IMPORTRANGE(""https://docs.google.com/spreadsheets/d/1Rawwwdh8wntXGy8isdYNHxsNQS4n_rC8JSdPfj6vEq4"",""'500 объектов перенос на 2026'!A3:AB502""),14,0)"),"#REF!")</f>
        <v>#REF!</v>
      </c>
      <c r="AA412" s="85" t="s">
        <v>4382</v>
      </c>
      <c r="AB412" s="43"/>
    </row>
    <row r="413">
      <c r="A413" s="62" t="s">
        <v>2426</v>
      </c>
      <c r="B413" s="63" t="s">
        <v>625</v>
      </c>
      <c r="C413" s="90" t="s">
        <v>2427</v>
      </c>
      <c r="D413" s="64" t="s">
        <v>85</v>
      </c>
      <c r="E413" s="288"/>
      <c r="F413" s="64" t="s">
        <v>3550</v>
      </c>
      <c r="G413" s="64">
        <v>220.0</v>
      </c>
      <c r="H413" s="64" t="s">
        <v>3512</v>
      </c>
      <c r="I413" s="64">
        <v>2024.0</v>
      </c>
      <c r="J413" s="64">
        <v>2026.0</v>
      </c>
      <c r="K413" s="287">
        <v>0.52</v>
      </c>
      <c r="L413" s="288"/>
      <c r="M413" s="285" t="s">
        <v>3568</v>
      </c>
      <c r="N413" s="35" t="s">
        <v>3568</v>
      </c>
      <c r="O413" s="35" t="s">
        <v>3568</v>
      </c>
      <c r="P413" s="35" t="s">
        <v>2050</v>
      </c>
      <c r="Q413" s="290">
        <v>46253.0</v>
      </c>
      <c r="R413" s="56"/>
      <c r="S413" s="38"/>
      <c r="T413" s="39">
        <v>14977.6</v>
      </c>
      <c r="U413" s="39">
        <v>4493.28</v>
      </c>
      <c r="V413" s="40">
        <v>10484.32</v>
      </c>
      <c r="W413" s="57" t="s">
        <v>2429</v>
      </c>
      <c r="X413" s="42" t="s">
        <v>272</v>
      </c>
      <c r="Y413" s="42" t="str">
        <f>IFERROR(__xludf.DUMMYFUNCTION("vLOOKUP(A413,IMPORTRANGE(""https://docs.google.com/spreadsheets/d/1Rawwwdh8wntXGy8isdYNHxsNQS4n_rC8JSdPfj6vEq4"",""'500 объектов перенос на 2026'!A3:AB502""),13,0)"),"#REF!")</f>
        <v>#REF!</v>
      </c>
      <c r="Z413" s="42" t="str">
        <f>IFERROR(__xludf.DUMMYFUNCTION("vLOOKUP(A413,IMPORTRANGE(""https://docs.google.com/spreadsheets/d/1Rawwwdh8wntXGy8isdYNHxsNQS4n_rC8JSdPfj6vEq4"",""'500 объектов перенос на 2026'!A3:AB502""),14,0)"),"#REF!")</f>
        <v>#REF!</v>
      </c>
      <c r="AA413" s="85" t="s">
        <v>4383</v>
      </c>
      <c r="AB413" s="43"/>
    </row>
    <row r="414">
      <c r="A414" s="62" t="s">
        <v>2234</v>
      </c>
      <c r="B414" s="63" t="s">
        <v>625</v>
      </c>
      <c r="C414" s="90" t="s">
        <v>2235</v>
      </c>
      <c r="D414" s="64" t="s">
        <v>85</v>
      </c>
      <c r="E414" s="288"/>
      <c r="F414" s="64" t="s">
        <v>3550</v>
      </c>
      <c r="G414" s="64">
        <v>358.0</v>
      </c>
      <c r="H414" s="64" t="s">
        <v>3512</v>
      </c>
      <c r="I414" s="64">
        <v>2024.0</v>
      </c>
      <c r="J414" s="64">
        <v>2026.0</v>
      </c>
      <c r="K414" s="287">
        <v>0.51</v>
      </c>
      <c r="L414" s="288"/>
      <c r="M414" s="289" t="s">
        <v>4384</v>
      </c>
      <c r="N414" s="35">
        <v>0.0</v>
      </c>
      <c r="O414" s="35" t="s">
        <v>3520</v>
      </c>
      <c r="P414" s="35" t="s">
        <v>2050</v>
      </c>
      <c r="Q414" s="290">
        <v>46253.0</v>
      </c>
      <c r="R414" s="56"/>
      <c r="S414" s="38"/>
      <c r="T414" s="39">
        <v>24372.64</v>
      </c>
      <c r="U414" s="39">
        <v>7311.792</v>
      </c>
      <c r="V414" s="40">
        <v>17060.848</v>
      </c>
      <c r="W414" s="57" t="s">
        <v>2238</v>
      </c>
      <c r="X414" s="42" t="s">
        <v>49</v>
      </c>
      <c r="Y414" s="42" t="str">
        <f>IFERROR(__xludf.DUMMYFUNCTION("vLOOKUP(A414,IMPORTRANGE(""https://docs.google.com/spreadsheets/d/1Rawwwdh8wntXGy8isdYNHxsNQS4n_rC8JSdPfj6vEq4"",""'500 объектов перенос на 2026'!A3:AB502""),13,0)"),"#REF!")</f>
        <v>#REF!</v>
      </c>
      <c r="Z414" s="42" t="str">
        <f>IFERROR(__xludf.DUMMYFUNCTION("vLOOKUP(A414,IMPORTRANGE(""https://docs.google.com/spreadsheets/d/1Rawwwdh8wntXGy8isdYNHxsNQS4n_rC8JSdPfj6vEq4"",""'500 объектов перенос на 2026'!A3:AB502""),14,0)"),"#REF!")</f>
        <v>#REF!</v>
      </c>
      <c r="AA414" s="85" t="s">
        <v>4385</v>
      </c>
      <c r="AB414" s="43"/>
    </row>
    <row r="415">
      <c r="A415" s="62" t="s">
        <v>2849</v>
      </c>
      <c r="B415" s="63" t="s">
        <v>625</v>
      </c>
      <c r="C415" s="90" t="s">
        <v>2850</v>
      </c>
      <c r="D415" s="64" t="s">
        <v>85</v>
      </c>
      <c r="E415" s="288"/>
      <c r="F415" s="64" t="s">
        <v>3592</v>
      </c>
      <c r="G415" s="64">
        <v>726.0</v>
      </c>
      <c r="H415" s="64" t="s">
        <v>3512</v>
      </c>
      <c r="I415" s="64">
        <v>2024.0</v>
      </c>
      <c r="J415" s="64">
        <v>2026.0</v>
      </c>
      <c r="K415" s="287">
        <v>0.9</v>
      </c>
      <c r="L415" s="288"/>
      <c r="M415" s="289" t="s">
        <v>4386</v>
      </c>
      <c r="N415" s="295" t="s">
        <v>4387</v>
      </c>
      <c r="O415" s="35" t="s">
        <v>3520</v>
      </c>
      <c r="P415" s="35" t="s">
        <v>2338</v>
      </c>
      <c r="Q415" s="290">
        <v>46218.0</v>
      </c>
      <c r="R415" s="56"/>
      <c r="S415" s="38"/>
      <c r="T415" s="39">
        <v>39158.84</v>
      </c>
      <c r="U415" s="39">
        <v>34850.29187</v>
      </c>
      <c r="V415" s="40">
        <v>4308.54813</v>
      </c>
      <c r="W415" s="57" t="s">
        <v>2854</v>
      </c>
      <c r="X415" s="42" t="s">
        <v>2341</v>
      </c>
      <c r="Y415" s="42" t="str">
        <f>IFERROR(__xludf.DUMMYFUNCTION("vLOOKUP(A415,IMPORTRANGE(""https://docs.google.com/spreadsheets/d/1Rawwwdh8wntXGy8isdYNHxsNQS4n_rC8JSdPfj6vEq4"",""'500 объектов перенос на 2026'!A3:AB502""),13,0)"),"#REF!")</f>
        <v>#REF!</v>
      </c>
      <c r="Z415" s="42" t="str">
        <f>IFERROR(__xludf.DUMMYFUNCTION("vLOOKUP(A415,IMPORTRANGE(""https://docs.google.com/spreadsheets/d/1Rawwwdh8wntXGy8isdYNHxsNQS4n_rC8JSdPfj6vEq4"",""'500 объектов перенос на 2026'!A3:AB502""),14,0)"),"#REF!")</f>
        <v>#REF!</v>
      </c>
      <c r="AA415" s="85" t="s">
        <v>3830</v>
      </c>
      <c r="AB415" s="43"/>
    </row>
    <row r="416">
      <c r="A416" s="62" t="s">
        <v>2046</v>
      </c>
      <c r="B416" s="63" t="s">
        <v>625</v>
      </c>
      <c r="C416" s="64" t="s">
        <v>2047</v>
      </c>
      <c r="D416" s="64" t="s">
        <v>85</v>
      </c>
      <c r="E416" s="288"/>
      <c r="F416" s="64" t="s">
        <v>3832</v>
      </c>
      <c r="G416" s="64">
        <v>220.0</v>
      </c>
      <c r="H416" s="64" t="s">
        <v>3512</v>
      </c>
      <c r="I416" s="64">
        <v>2024.0</v>
      </c>
      <c r="J416" s="64">
        <v>2026.0</v>
      </c>
      <c r="K416" s="287">
        <v>0.68</v>
      </c>
      <c r="L416" s="288"/>
      <c r="M416" s="289" t="s">
        <v>4388</v>
      </c>
      <c r="N416" s="35">
        <v>0.0</v>
      </c>
      <c r="O416" s="35" t="s">
        <v>3520</v>
      </c>
      <c r="P416" s="35" t="s">
        <v>2050</v>
      </c>
      <c r="Q416" s="290">
        <v>46253.0</v>
      </c>
      <c r="R416" s="56"/>
      <c r="S416" s="38"/>
      <c r="T416" s="39">
        <v>21313.6</v>
      </c>
      <c r="U416" s="39">
        <v>6394.08</v>
      </c>
      <c r="V416" s="40">
        <v>14919.52</v>
      </c>
      <c r="W416" s="57" t="s">
        <v>2052</v>
      </c>
      <c r="X416" s="42" t="s">
        <v>272</v>
      </c>
      <c r="Y416" s="42" t="str">
        <f>IFERROR(__xludf.DUMMYFUNCTION("vLOOKUP(A416,IMPORTRANGE(""https://docs.google.com/spreadsheets/d/1Rawwwdh8wntXGy8isdYNHxsNQS4n_rC8JSdPfj6vEq4"",""'500 объектов перенос на 2026'!A3:AB502""),13,0)"),"#REF!")</f>
        <v>#REF!</v>
      </c>
      <c r="Z416" s="42" t="str">
        <f>IFERROR(__xludf.DUMMYFUNCTION("vLOOKUP(A416,IMPORTRANGE(""https://docs.google.com/spreadsheets/d/1Rawwwdh8wntXGy8isdYNHxsNQS4n_rC8JSdPfj6vEq4"",""'500 объектов перенос на 2026'!A3:AB502""),14,0)"),"#REF!")</f>
        <v>#REF!</v>
      </c>
      <c r="AA416" s="85" t="s">
        <v>4389</v>
      </c>
      <c r="AB416" s="43"/>
    </row>
    <row r="417">
      <c r="A417" s="62" t="s">
        <v>3076</v>
      </c>
      <c r="B417" s="63" t="s">
        <v>625</v>
      </c>
      <c r="C417" s="64" t="s">
        <v>3077</v>
      </c>
      <c r="D417" s="64" t="s">
        <v>85</v>
      </c>
      <c r="E417" s="288"/>
      <c r="F417" s="64" t="s">
        <v>3550</v>
      </c>
      <c r="G417" s="64">
        <v>21.0</v>
      </c>
      <c r="H417" s="64" t="s">
        <v>3512</v>
      </c>
      <c r="I417" s="64">
        <v>2024.0</v>
      </c>
      <c r="J417" s="64">
        <v>2026.0</v>
      </c>
      <c r="K417" s="287">
        <v>0.51</v>
      </c>
      <c r="L417" s="288"/>
      <c r="M417" s="285" t="s">
        <v>3568</v>
      </c>
      <c r="N417" s="35" t="s">
        <v>3568</v>
      </c>
      <c r="O417" s="35" t="s">
        <v>3568</v>
      </c>
      <c r="P417" s="35" t="s">
        <v>2701</v>
      </c>
      <c r="Q417" s="290">
        <v>46253.0</v>
      </c>
      <c r="R417" s="56"/>
      <c r="S417" s="38"/>
      <c r="T417" s="39">
        <v>1429.68</v>
      </c>
      <c r="U417" s="39">
        <v>428.904</v>
      </c>
      <c r="V417" s="40">
        <v>1000.776</v>
      </c>
      <c r="W417" s="57" t="s">
        <v>3080</v>
      </c>
      <c r="X417" s="42" t="s">
        <v>2704</v>
      </c>
      <c r="Y417" s="42" t="str">
        <f>IFERROR(__xludf.DUMMYFUNCTION("vLOOKUP(A417,IMPORTRANGE(""https://docs.google.com/spreadsheets/d/1Rawwwdh8wntXGy8isdYNHxsNQS4n_rC8JSdPfj6vEq4"",""'500 объектов перенос на 2026'!A3:AB502""),13,0)"),"#REF!")</f>
        <v>#REF!</v>
      </c>
      <c r="Z417" s="42" t="str">
        <f>IFERROR(__xludf.DUMMYFUNCTION("vLOOKUP(A417,IMPORTRANGE(""https://docs.google.com/spreadsheets/d/1Rawwwdh8wntXGy8isdYNHxsNQS4n_rC8JSdPfj6vEq4"",""'500 объектов перенос на 2026'!A3:AB502""),14,0)"),"#REF!")</f>
        <v>#REF!</v>
      </c>
      <c r="AA417" s="85" t="s">
        <v>4390</v>
      </c>
      <c r="AB417" s="43"/>
    </row>
    <row r="418">
      <c r="A418" s="132" t="s">
        <v>2744</v>
      </c>
      <c r="B418" s="63" t="s">
        <v>2745</v>
      </c>
      <c r="C418" s="64" t="s">
        <v>2746</v>
      </c>
      <c r="D418" s="64" t="s">
        <v>85</v>
      </c>
      <c r="E418" s="288"/>
      <c r="F418" s="64" t="s">
        <v>4391</v>
      </c>
      <c r="G418" s="64">
        <v>130.0</v>
      </c>
      <c r="H418" s="64" t="s">
        <v>3512</v>
      </c>
      <c r="I418" s="64">
        <v>2024.0</v>
      </c>
      <c r="J418" s="64">
        <v>2025.0</v>
      </c>
      <c r="K418" s="287">
        <v>1.0</v>
      </c>
      <c r="L418" s="292" t="s">
        <v>3528</v>
      </c>
      <c r="M418" s="285" t="s">
        <v>4392</v>
      </c>
      <c r="N418" s="35" t="s">
        <v>4393</v>
      </c>
      <c r="O418" s="35" t="s">
        <v>4394</v>
      </c>
      <c r="P418" s="35" t="s">
        <v>2308</v>
      </c>
      <c r="Q418" s="38" t="s">
        <v>1219</v>
      </c>
      <c r="R418" s="38" t="s">
        <v>115</v>
      </c>
      <c r="S418" s="38"/>
      <c r="T418" s="39">
        <v>1701.31</v>
      </c>
      <c r="U418" s="39">
        <v>1173.11644</v>
      </c>
      <c r="V418" s="39">
        <v>528.19356</v>
      </c>
      <c r="W418" s="57" t="s">
        <v>2748</v>
      </c>
      <c r="X418" s="42" t="s">
        <v>2411</v>
      </c>
      <c r="Y418" s="42" t="s">
        <v>2411</v>
      </c>
      <c r="Z418" s="42" t="s">
        <v>2411</v>
      </c>
      <c r="AA418" s="85" t="s">
        <v>175</v>
      </c>
      <c r="AB418" s="43"/>
    </row>
    <row r="419">
      <c r="A419" s="62" t="s">
        <v>2749</v>
      </c>
      <c r="B419" s="63" t="s">
        <v>2745</v>
      </c>
      <c r="C419" s="64" t="s">
        <v>2750</v>
      </c>
      <c r="D419" s="64" t="s">
        <v>85</v>
      </c>
      <c r="E419" s="288"/>
      <c r="F419" s="64" t="s">
        <v>4391</v>
      </c>
      <c r="G419" s="64">
        <v>130.0</v>
      </c>
      <c r="H419" s="64" t="s">
        <v>3512</v>
      </c>
      <c r="I419" s="64">
        <v>2024.0</v>
      </c>
      <c r="J419" s="64">
        <v>2025.0</v>
      </c>
      <c r="K419" s="287">
        <v>1.0</v>
      </c>
      <c r="L419" s="292" t="s">
        <v>3528</v>
      </c>
      <c r="M419" s="285" t="s">
        <v>4395</v>
      </c>
      <c r="N419" s="35" t="s">
        <v>4396</v>
      </c>
      <c r="O419" s="35" t="s">
        <v>4397</v>
      </c>
      <c r="P419" s="35" t="s">
        <v>2308</v>
      </c>
      <c r="Q419" s="38" t="s">
        <v>1219</v>
      </c>
      <c r="R419" s="38" t="s">
        <v>115</v>
      </c>
      <c r="S419" s="38"/>
      <c r="T419" s="39">
        <v>1391.0</v>
      </c>
      <c r="U419" s="39">
        <v>1144.72498</v>
      </c>
      <c r="V419" s="39">
        <v>246.27502</v>
      </c>
      <c r="W419" s="57" t="s">
        <v>2751</v>
      </c>
      <c r="X419" s="42" t="s">
        <v>2411</v>
      </c>
      <c r="Y419" s="42" t="s">
        <v>2411</v>
      </c>
      <c r="Z419" s="42" t="s">
        <v>2411</v>
      </c>
      <c r="AA419" s="85" t="s">
        <v>175</v>
      </c>
      <c r="AB419" s="43"/>
    </row>
    <row r="420">
      <c r="A420" s="62" t="s">
        <v>2752</v>
      </c>
      <c r="B420" s="63" t="s">
        <v>2745</v>
      </c>
      <c r="C420" s="64" t="s">
        <v>2753</v>
      </c>
      <c r="D420" s="64" t="s">
        <v>85</v>
      </c>
      <c r="E420" s="288"/>
      <c r="F420" s="64">
        <v>50.0</v>
      </c>
      <c r="G420" s="64">
        <v>70.0</v>
      </c>
      <c r="H420" s="64" t="s">
        <v>3512</v>
      </c>
      <c r="I420" s="64">
        <v>2024.0</v>
      </c>
      <c r="J420" s="64">
        <v>2025.0</v>
      </c>
      <c r="K420" s="287">
        <v>1.0</v>
      </c>
      <c r="L420" s="292" t="s">
        <v>3528</v>
      </c>
      <c r="M420" s="285" t="s">
        <v>4398</v>
      </c>
      <c r="N420" s="35" t="s">
        <v>4399</v>
      </c>
      <c r="O420" s="35" t="s">
        <v>4400</v>
      </c>
      <c r="P420" s="35" t="s">
        <v>2308</v>
      </c>
      <c r="Q420" s="38" t="s">
        <v>1219</v>
      </c>
      <c r="R420" s="38" t="s">
        <v>115</v>
      </c>
      <c r="S420" s="38"/>
      <c r="T420" s="39">
        <v>838.5</v>
      </c>
      <c r="U420" s="39">
        <v>699.80334</v>
      </c>
      <c r="V420" s="39">
        <v>138.69666</v>
      </c>
      <c r="W420" s="57" t="s">
        <v>2754</v>
      </c>
      <c r="X420" s="42" t="s">
        <v>2411</v>
      </c>
      <c r="Y420" s="42" t="s">
        <v>2411</v>
      </c>
      <c r="Z420" s="42" t="s">
        <v>2411</v>
      </c>
      <c r="AA420" s="85" t="s">
        <v>175</v>
      </c>
      <c r="AB420" s="43"/>
    </row>
    <row r="421">
      <c r="A421" s="62" t="s">
        <v>2755</v>
      </c>
      <c r="B421" s="63" t="s">
        <v>2745</v>
      </c>
      <c r="C421" s="64" t="s">
        <v>2756</v>
      </c>
      <c r="D421" s="64" t="s">
        <v>85</v>
      </c>
      <c r="E421" s="288"/>
      <c r="F421" s="64" t="s">
        <v>4401</v>
      </c>
      <c r="G421" s="64">
        <v>90.0</v>
      </c>
      <c r="H421" s="64" t="s">
        <v>3512</v>
      </c>
      <c r="I421" s="64">
        <v>2024.0</v>
      </c>
      <c r="J421" s="64">
        <v>2025.0</v>
      </c>
      <c r="K421" s="287">
        <v>1.0</v>
      </c>
      <c r="L421" s="292" t="s">
        <v>3528</v>
      </c>
      <c r="M421" s="285" t="s">
        <v>4402</v>
      </c>
      <c r="N421" s="35" t="s">
        <v>4403</v>
      </c>
      <c r="O421" s="35" t="s">
        <v>4404</v>
      </c>
      <c r="P421" s="35" t="s">
        <v>2308</v>
      </c>
      <c r="Q421" s="38" t="s">
        <v>1219</v>
      </c>
      <c r="R421" s="38" t="s">
        <v>115</v>
      </c>
      <c r="S421" s="38"/>
      <c r="T421" s="39">
        <v>1846.0</v>
      </c>
      <c r="U421" s="39">
        <v>1662.95806</v>
      </c>
      <c r="V421" s="39">
        <v>183.04194</v>
      </c>
      <c r="W421" s="57" t="s">
        <v>2757</v>
      </c>
      <c r="X421" s="42" t="s">
        <v>2411</v>
      </c>
      <c r="Y421" s="42" t="s">
        <v>2411</v>
      </c>
      <c r="Z421" s="42" t="s">
        <v>2411</v>
      </c>
      <c r="AA421" s="85" t="s">
        <v>175</v>
      </c>
      <c r="AB421" s="43"/>
    </row>
    <row r="422">
      <c r="A422" s="62" t="s">
        <v>2758</v>
      </c>
      <c r="B422" s="63" t="s">
        <v>2745</v>
      </c>
      <c r="C422" s="64" t="s">
        <v>2759</v>
      </c>
      <c r="D422" s="64" t="s">
        <v>85</v>
      </c>
      <c r="E422" s="288"/>
      <c r="F422" s="64" t="s">
        <v>4405</v>
      </c>
      <c r="G422" s="64">
        <v>120.0</v>
      </c>
      <c r="H422" s="64" t="s">
        <v>3512</v>
      </c>
      <c r="I422" s="64">
        <v>2024.0</v>
      </c>
      <c r="J422" s="64">
        <v>2025.0</v>
      </c>
      <c r="K422" s="287">
        <v>1.0</v>
      </c>
      <c r="L422" s="292" t="s">
        <v>3528</v>
      </c>
      <c r="M422" s="285" t="s">
        <v>4406</v>
      </c>
      <c r="N422" s="35" t="s">
        <v>4407</v>
      </c>
      <c r="O422" s="35" t="s">
        <v>4408</v>
      </c>
      <c r="P422" s="35" t="s">
        <v>2308</v>
      </c>
      <c r="Q422" s="38" t="s">
        <v>1219</v>
      </c>
      <c r="R422" s="38" t="s">
        <v>115</v>
      </c>
      <c r="S422" s="38"/>
      <c r="T422" s="39">
        <v>1651.0</v>
      </c>
      <c r="U422" s="39">
        <v>1538.98616</v>
      </c>
      <c r="V422" s="39">
        <v>112.01384</v>
      </c>
      <c r="W422" s="57" t="s">
        <v>2760</v>
      </c>
      <c r="X422" s="42" t="s">
        <v>2411</v>
      </c>
      <c r="Y422" s="42" t="s">
        <v>2411</v>
      </c>
      <c r="Z422" s="42" t="s">
        <v>2411</v>
      </c>
      <c r="AA422" s="85" t="s">
        <v>175</v>
      </c>
      <c r="AB422" s="43"/>
    </row>
    <row r="423">
      <c r="A423" s="62" t="s">
        <v>2761</v>
      </c>
      <c r="B423" s="63" t="s">
        <v>2745</v>
      </c>
      <c r="C423" s="64" t="s">
        <v>2762</v>
      </c>
      <c r="D423" s="64" t="s">
        <v>85</v>
      </c>
      <c r="E423" s="288"/>
      <c r="F423" s="64">
        <v>80.0</v>
      </c>
      <c r="G423" s="64">
        <v>40.0</v>
      </c>
      <c r="H423" s="64" t="s">
        <v>3512</v>
      </c>
      <c r="I423" s="64">
        <v>2024.0</v>
      </c>
      <c r="J423" s="64">
        <v>2025.0</v>
      </c>
      <c r="K423" s="287">
        <v>1.0</v>
      </c>
      <c r="L423" s="292" t="s">
        <v>3528</v>
      </c>
      <c r="M423" s="285" t="s">
        <v>4409</v>
      </c>
      <c r="N423" s="35" t="s">
        <v>4410</v>
      </c>
      <c r="O423" s="35" t="s">
        <v>4411</v>
      </c>
      <c r="P423" s="35" t="s">
        <v>2308</v>
      </c>
      <c r="Q423" s="38" t="s">
        <v>1219</v>
      </c>
      <c r="R423" s="38" t="s">
        <v>115</v>
      </c>
      <c r="S423" s="38"/>
      <c r="T423" s="39">
        <v>1139.5</v>
      </c>
      <c r="U423" s="39">
        <v>990.47746</v>
      </c>
      <c r="V423" s="39">
        <v>149.02254</v>
      </c>
      <c r="W423" s="57" t="s">
        <v>2763</v>
      </c>
      <c r="X423" s="42" t="s">
        <v>2411</v>
      </c>
      <c r="Y423" s="42" t="s">
        <v>2411</v>
      </c>
      <c r="Z423" s="42" t="s">
        <v>2411</v>
      </c>
      <c r="AA423" s="85" t="s">
        <v>175</v>
      </c>
      <c r="AB423" s="43"/>
    </row>
    <row r="424">
      <c r="A424" s="62" t="s">
        <v>2764</v>
      </c>
      <c r="B424" s="63" t="s">
        <v>2745</v>
      </c>
      <c r="C424" s="64" t="s">
        <v>2765</v>
      </c>
      <c r="D424" s="64" t="s">
        <v>85</v>
      </c>
      <c r="E424" s="288"/>
      <c r="F424" s="64" t="s">
        <v>4412</v>
      </c>
      <c r="G424" s="64">
        <v>150.0</v>
      </c>
      <c r="H424" s="64" t="s">
        <v>3512</v>
      </c>
      <c r="I424" s="64">
        <v>2024.0</v>
      </c>
      <c r="J424" s="64">
        <v>2025.0</v>
      </c>
      <c r="K424" s="287">
        <v>1.0</v>
      </c>
      <c r="L424" s="292" t="s">
        <v>3528</v>
      </c>
      <c r="M424" s="285">
        <v>3740000.0</v>
      </c>
      <c r="N424" s="295">
        <v>2512930.38</v>
      </c>
      <c r="O424" s="295">
        <f>M424-N424</f>
        <v>1227069.62</v>
      </c>
      <c r="P424" s="35" t="s">
        <v>2308</v>
      </c>
      <c r="Q424" s="38" t="s">
        <v>1219</v>
      </c>
      <c r="R424" s="38" t="s">
        <v>115</v>
      </c>
      <c r="S424" s="38"/>
      <c r="T424" s="39">
        <v>3740.0</v>
      </c>
      <c r="U424" s="39">
        <v>2150.28189</v>
      </c>
      <c r="V424" s="39">
        <v>1589.71811</v>
      </c>
      <c r="W424" s="57" t="s">
        <v>2766</v>
      </c>
      <c r="X424" s="42" t="s">
        <v>2411</v>
      </c>
      <c r="Y424" s="42" t="s">
        <v>2411</v>
      </c>
      <c r="Z424" s="42" t="s">
        <v>2411</v>
      </c>
      <c r="AA424" s="85" t="s">
        <v>175</v>
      </c>
      <c r="AB424" s="43"/>
    </row>
    <row r="425">
      <c r="A425" s="62" t="s">
        <v>2767</v>
      </c>
      <c r="B425" s="63" t="s">
        <v>2745</v>
      </c>
      <c r="C425" s="64" t="s">
        <v>2768</v>
      </c>
      <c r="D425" s="64" t="s">
        <v>85</v>
      </c>
      <c r="E425" s="288"/>
      <c r="F425" s="64">
        <v>500.0</v>
      </c>
      <c r="G425" s="64">
        <v>56.0</v>
      </c>
      <c r="H425" s="64" t="s">
        <v>3593</v>
      </c>
      <c r="I425" s="64">
        <v>2025.0</v>
      </c>
      <c r="J425" s="64">
        <v>2025.0</v>
      </c>
      <c r="K425" s="287">
        <v>1.0</v>
      </c>
      <c r="L425" s="292" t="s">
        <v>3528</v>
      </c>
      <c r="M425" s="285" t="s">
        <v>4413</v>
      </c>
      <c r="N425" s="35">
        <v>0.0</v>
      </c>
      <c r="O425" s="35" t="s">
        <v>4413</v>
      </c>
      <c r="P425" s="35" t="s">
        <v>2308</v>
      </c>
      <c r="Q425" s="309" t="s">
        <v>1219</v>
      </c>
      <c r="R425" s="38" t="s">
        <v>115</v>
      </c>
      <c r="S425" s="38"/>
      <c r="T425" s="39">
        <v>13205.43</v>
      </c>
      <c r="U425" s="39">
        <v>12242.97714</v>
      </c>
      <c r="V425" s="39">
        <v>962.45286</v>
      </c>
      <c r="W425" s="57" t="s">
        <v>2769</v>
      </c>
      <c r="X425" s="42" t="s">
        <v>2411</v>
      </c>
      <c r="Y425" s="42" t="s">
        <v>2411</v>
      </c>
      <c r="Z425" s="42" t="s">
        <v>2411</v>
      </c>
      <c r="AA425" s="85" t="s">
        <v>175</v>
      </c>
      <c r="AB425" s="43"/>
    </row>
    <row r="426">
      <c r="A426" s="62" t="s">
        <v>2770</v>
      </c>
      <c r="B426" s="63" t="s">
        <v>2745</v>
      </c>
      <c r="C426" s="64" t="s">
        <v>2771</v>
      </c>
      <c r="D426" s="64" t="s">
        <v>85</v>
      </c>
      <c r="E426" s="288"/>
      <c r="F426" s="64">
        <v>200.0</v>
      </c>
      <c r="G426" s="64">
        <v>22.0</v>
      </c>
      <c r="H426" s="64" t="s">
        <v>3512</v>
      </c>
      <c r="I426" s="64">
        <v>2024.0</v>
      </c>
      <c r="J426" s="64">
        <v>2025.0</v>
      </c>
      <c r="K426" s="287">
        <v>1.0</v>
      </c>
      <c r="L426" s="292" t="s">
        <v>3528</v>
      </c>
      <c r="M426" s="285" t="s">
        <v>4414</v>
      </c>
      <c r="N426" s="35">
        <v>0.0</v>
      </c>
      <c r="O426" s="35" t="s">
        <v>4414</v>
      </c>
      <c r="P426" s="35" t="s">
        <v>2308</v>
      </c>
      <c r="Q426" s="309" t="s">
        <v>1219</v>
      </c>
      <c r="R426" s="38" t="s">
        <v>115</v>
      </c>
      <c r="S426" s="38"/>
      <c r="T426" s="39">
        <v>1283.2</v>
      </c>
      <c r="U426" s="39">
        <v>1238.80957</v>
      </c>
      <c r="V426" s="39">
        <v>44.39043</v>
      </c>
      <c r="W426" s="57" t="s">
        <v>2773</v>
      </c>
      <c r="X426" s="42" t="s">
        <v>2411</v>
      </c>
      <c r="Y426" s="42" t="s">
        <v>2411</v>
      </c>
      <c r="Z426" s="42" t="s">
        <v>2411</v>
      </c>
      <c r="AA426" s="85" t="s">
        <v>175</v>
      </c>
      <c r="AB426" s="43"/>
    </row>
    <row r="427">
      <c r="A427" s="62" t="s">
        <v>2774</v>
      </c>
      <c r="B427" s="63" t="s">
        <v>1299</v>
      </c>
      <c r="C427" s="64" t="s">
        <v>2775</v>
      </c>
      <c r="D427" s="64" t="s">
        <v>85</v>
      </c>
      <c r="E427" s="288"/>
      <c r="F427" s="64">
        <v>400.0</v>
      </c>
      <c r="G427" s="64">
        <v>360.0</v>
      </c>
      <c r="H427" s="64" t="s">
        <v>3512</v>
      </c>
      <c r="I427" s="64">
        <v>2024.0</v>
      </c>
      <c r="J427" s="64">
        <v>2025.0</v>
      </c>
      <c r="K427" s="287">
        <v>1.0</v>
      </c>
      <c r="L427" s="292" t="s">
        <v>3528</v>
      </c>
      <c r="M427" s="285" t="s">
        <v>4415</v>
      </c>
      <c r="N427" s="35" t="s">
        <v>4416</v>
      </c>
      <c r="O427" s="35" t="s">
        <v>4417</v>
      </c>
      <c r="P427" s="35" t="s">
        <v>113</v>
      </c>
      <c r="Q427" s="38" t="s">
        <v>11</v>
      </c>
      <c r="R427" s="38" t="s">
        <v>115</v>
      </c>
      <c r="S427" s="38"/>
      <c r="T427" s="39">
        <v>90992.55</v>
      </c>
      <c r="U427" s="39">
        <v>70216.535</v>
      </c>
      <c r="V427" s="39">
        <v>20776.015</v>
      </c>
      <c r="W427" s="57" t="s">
        <v>2776</v>
      </c>
      <c r="X427" s="42" t="s">
        <v>2777</v>
      </c>
      <c r="Y427" s="42" t="str">
        <f>IFERROR(__xludf.DUMMYFUNCTION("vLOOKUP(A427,IMPORTRANGE(""https://docs.google.com/spreadsheets/d/1Rawwwdh8wntXGy8isdYNHxsNQS4n_rC8JSdPfj6vEq4"",""'500 объектов перенос на 2026'!A3:AB502""),13,0)"),"#REF!")</f>
        <v>#REF!</v>
      </c>
      <c r="Z427" s="42" t="str">
        <f>IFERROR(__xludf.DUMMYFUNCTION("vLOOKUP(A427,IMPORTRANGE(""https://docs.google.com/spreadsheets/d/1Rawwwdh8wntXGy8isdYNHxsNQS4n_rC8JSdPfj6vEq4"",""'500 объектов перенос на 2026'!A3:AB502""),14,0)"),"#REF!")</f>
        <v>#REF!</v>
      </c>
      <c r="AA427" s="85" t="s">
        <v>4418</v>
      </c>
      <c r="AB427" s="43"/>
    </row>
    <row r="428">
      <c r="A428" s="62" t="s">
        <v>2778</v>
      </c>
      <c r="B428" s="63" t="s">
        <v>1299</v>
      </c>
      <c r="C428" s="64" t="s">
        <v>2779</v>
      </c>
      <c r="D428" s="64" t="s">
        <v>85</v>
      </c>
      <c r="E428" s="288"/>
      <c r="F428" s="64">
        <v>500.0</v>
      </c>
      <c r="G428" s="64">
        <v>610.0</v>
      </c>
      <c r="H428" s="64" t="s">
        <v>3512</v>
      </c>
      <c r="I428" s="64">
        <v>2024.0</v>
      </c>
      <c r="J428" s="64">
        <v>2025.0</v>
      </c>
      <c r="K428" s="287">
        <v>1.0</v>
      </c>
      <c r="L428" s="292" t="s">
        <v>3528</v>
      </c>
      <c r="M428" s="285" t="s">
        <v>4419</v>
      </c>
      <c r="N428" s="35" t="s">
        <v>4420</v>
      </c>
      <c r="O428" s="35" t="s">
        <v>4421</v>
      </c>
      <c r="P428" s="35" t="s">
        <v>113</v>
      </c>
      <c r="Q428" s="38" t="s">
        <v>11</v>
      </c>
      <c r="R428" s="38" t="s">
        <v>115</v>
      </c>
      <c r="S428" s="38"/>
      <c r="T428" s="39">
        <v>107321.77</v>
      </c>
      <c r="U428" s="39">
        <v>102834.0708</v>
      </c>
      <c r="V428" s="39">
        <v>4487.69916</v>
      </c>
      <c r="W428" s="57" t="s">
        <v>2781</v>
      </c>
      <c r="X428" s="42" t="s">
        <v>2777</v>
      </c>
      <c r="Y428" s="42" t="str">
        <f>IFERROR(__xludf.DUMMYFUNCTION("vLOOKUP(A428,IMPORTRANGE(""https://docs.google.com/spreadsheets/d/1Rawwwdh8wntXGy8isdYNHxsNQS4n_rC8JSdPfj6vEq4"",""'500 объектов перенос на 2026'!A3:AB502""),13,0)"),"#REF!")</f>
        <v>#REF!</v>
      </c>
      <c r="Z428" s="42" t="str">
        <f>IFERROR(__xludf.DUMMYFUNCTION("vLOOKUP(A428,IMPORTRANGE(""https://docs.google.com/spreadsheets/d/1Rawwwdh8wntXGy8isdYNHxsNQS4n_rC8JSdPfj6vEq4"",""'500 объектов перенос на 2026'!A3:AB502""),14,0)"),"#REF!")</f>
        <v>#REF!</v>
      </c>
      <c r="AA428" s="85" t="s">
        <v>3830</v>
      </c>
      <c r="AB428" s="43"/>
    </row>
    <row r="429">
      <c r="A429" s="62" t="s">
        <v>2782</v>
      </c>
      <c r="B429" s="63" t="s">
        <v>1299</v>
      </c>
      <c r="C429" s="64" t="s">
        <v>2783</v>
      </c>
      <c r="D429" s="64" t="s">
        <v>85</v>
      </c>
      <c r="E429" s="288"/>
      <c r="F429" s="64">
        <v>159.0</v>
      </c>
      <c r="G429" s="64">
        <v>800.0</v>
      </c>
      <c r="H429" s="64" t="s">
        <v>3512</v>
      </c>
      <c r="I429" s="64">
        <v>2024.0</v>
      </c>
      <c r="J429" s="64">
        <v>2025.0</v>
      </c>
      <c r="K429" s="287">
        <v>0.93</v>
      </c>
      <c r="L429" s="292" t="s">
        <v>3528</v>
      </c>
      <c r="M429" s="285" t="s">
        <v>4422</v>
      </c>
      <c r="N429" s="35" t="s">
        <v>4423</v>
      </c>
      <c r="O429" s="35" t="s">
        <v>4424</v>
      </c>
      <c r="P429" s="35" t="s">
        <v>113</v>
      </c>
      <c r="Q429" s="38" t="s">
        <v>11</v>
      </c>
      <c r="R429" s="38" t="s">
        <v>115</v>
      </c>
      <c r="S429" s="38"/>
      <c r="T429" s="39">
        <v>16503.4</v>
      </c>
      <c r="U429" s="39">
        <v>10626.02692</v>
      </c>
      <c r="V429" s="39">
        <v>5877.37308</v>
      </c>
      <c r="W429" s="57" t="s">
        <v>2785</v>
      </c>
      <c r="X429" s="42" t="s">
        <v>2786</v>
      </c>
      <c r="Y429" s="42" t="str">
        <f>IFERROR(__xludf.DUMMYFUNCTION("vLOOKUP(A429,IMPORTRANGE(""https://docs.google.com/spreadsheets/d/1Rawwwdh8wntXGy8isdYNHxsNQS4n_rC8JSdPfj6vEq4"",""'500 объектов перенос на 2026'!A3:AB502""),13,0)"),"#REF!")</f>
        <v>#REF!</v>
      </c>
      <c r="Z429" s="42" t="str">
        <f>IFERROR(__xludf.DUMMYFUNCTION("vLOOKUP(A429,IMPORTRANGE(""https://docs.google.com/spreadsheets/d/1Rawwwdh8wntXGy8isdYNHxsNQS4n_rC8JSdPfj6vEq4"",""'500 объектов перенос на 2026'!A3:AB502""),14,0)"),"#REF!")</f>
        <v>#REF!</v>
      </c>
      <c r="AA429" s="85" t="s">
        <v>175</v>
      </c>
      <c r="AB429" s="43"/>
    </row>
    <row r="430">
      <c r="A430" s="62" t="s">
        <v>1544</v>
      </c>
      <c r="B430" s="63" t="s">
        <v>1299</v>
      </c>
      <c r="C430" s="144" t="s">
        <v>1545</v>
      </c>
      <c r="D430" s="64" t="s">
        <v>85</v>
      </c>
      <c r="E430" s="288"/>
      <c r="F430" s="288"/>
      <c r="G430" s="64">
        <v>800.0</v>
      </c>
      <c r="H430" s="64" t="s">
        <v>3512</v>
      </c>
      <c r="I430" s="64">
        <v>2024.0</v>
      </c>
      <c r="J430" s="64">
        <v>2026.0</v>
      </c>
      <c r="K430" s="287">
        <v>0.98</v>
      </c>
      <c r="L430" s="288"/>
      <c r="M430" s="285" t="s">
        <v>1547</v>
      </c>
      <c r="N430" s="35">
        <v>0.0</v>
      </c>
      <c r="O430" s="35" t="s">
        <v>1547</v>
      </c>
      <c r="P430" s="35" t="s">
        <v>1548</v>
      </c>
      <c r="Q430" s="37">
        <v>46122.0</v>
      </c>
      <c r="R430" s="56"/>
      <c r="S430" s="38"/>
      <c r="T430" s="39">
        <v>54607.0</v>
      </c>
      <c r="U430" s="39">
        <v>26351.855</v>
      </c>
      <c r="V430" s="40">
        <v>28255.145</v>
      </c>
      <c r="W430" s="57" t="s">
        <v>1550</v>
      </c>
      <c r="X430" s="42" t="s">
        <v>4425</v>
      </c>
      <c r="Y430" s="42" t="str">
        <f>IFERROR(__xludf.DUMMYFUNCTION("vLOOKUP(A430,IMPORTRANGE(""https://docs.google.com/spreadsheets/d/1Rawwwdh8wntXGy8isdYNHxsNQS4n_rC8JSdPfj6vEq4"",""'500 объектов перенос на 2026'!A3:AB502""),13,0)"),"#REF!")</f>
        <v>#REF!</v>
      </c>
      <c r="Z430" s="42" t="str">
        <f>IFERROR(__xludf.DUMMYFUNCTION("vLOOKUP(A430,IMPORTRANGE(""https://docs.google.com/spreadsheets/d/1Rawwwdh8wntXGy8isdYNHxsNQS4n_rC8JSdPfj6vEq4"",""'500 объектов перенос на 2026'!A3:AB502""),14,0)"),"#REF!")</f>
        <v>#REF!</v>
      </c>
      <c r="AA430" s="85" t="s">
        <v>4426</v>
      </c>
      <c r="AB430" s="43"/>
    </row>
    <row r="431">
      <c r="A431" s="62" t="s">
        <v>2792</v>
      </c>
      <c r="B431" s="63" t="s">
        <v>1299</v>
      </c>
      <c r="C431" s="64" t="s">
        <v>2793</v>
      </c>
      <c r="D431" s="64" t="s">
        <v>85</v>
      </c>
      <c r="E431" s="288"/>
      <c r="F431" s="64">
        <v>400.0</v>
      </c>
      <c r="G431" s="64">
        <v>537.3</v>
      </c>
      <c r="H431" s="64" t="s">
        <v>3512</v>
      </c>
      <c r="I431" s="64">
        <v>2024.0</v>
      </c>
      <c r="J431" s="64">
        <v>2026.0</v>
      </c>
      <c r="K431" s="287">
        <v>0.75</v>
      </c>
      <c r="L431" s="288"/>
      <c r="M431" s="285" t="s">
        <v>4427</v>
      </c>
      <c r="N431" s="35">
        <v>0.0</v>
      </c>
      <c r="O431" s="35" t="s">
        <v>4427</v>
      </c>
      <c r="P431" s="35" t="s">
        <v>2104</v>
      </c>
      <c r="Q431" s="37">
        <v>46203.0</v>
      </c>
      <c r="R431" s="56"/>
      <c r="S431" s="38"/>
      <c r="T431" s="39">
        <v>96133.83</v>
      </c>
      <c r="U431" s="39">
        <v>76495.47339</v>
      </c>
      <c r="V431" s="40">
        <v>19638.35661</v>
      </c>
      <c r="W431" s="57" t="s">
        <v>2794</v>
      </c>
      <c r="X431" s="42" t="s">
        <v>1308</v>
      </c>
      <c r="Y431" s="42" t="str">
        <f>IFERROR(__xludf.DUMMYFUNCTION("vLOOKUP(A431,IMPORTRANGE(""https://docs.google.com/spreadsheets/d/1Rawwwdh8wntXGy8isdYNHxsNQS4n_rC8JSdPfj6vEq4"",""'500 объектов перенос на 2026'!A3:AB502""),13,0)"),"#REF!")</f>
        <v>#REF!</v>
      </c>
      <c r="Z431" s="42" t="str">
        <f>IFERROR(__xludf.DUMMYFUNCTION("vLOOKUP(A431,IMPORTRANGE(""https://docs.google.com/spreadsheets/d/1Rawwwdh8wntXGy8isdYNHxsNQS4n_rC8JSdPfj6vEq4"",""'500 объектов перенос на 2026'!A3:AB502""),14,0)"),"#REF!")</f>
        <v>#REF!</v>
      </c>
      <c r="AA431" s="85" t="s">
        <v>3830</v>
      </c>
      <c r="AB431" s="43"/>
    </row>
    <row r="432">
      <c r="A432" s="62" t="s">
        <v>2385</v>
      </c>
      <c r="B432" s="63" t="s">
        <v>1299</v>
      </c>
      <c r="C432" s="64" t="s">
        <v>2386</v>
      </c>
      <c r="D432" s="64" t="s">
        <v>85</v>
      </c>
      <c r="E432" s="288"/>
      <c r="F432" s="64">
        <v>219.0</v>
      </c>
      <c r="G432" s="64">
        <v>273.0</v>
      </c>
      <c r="H432" s="64" t="s">
        <v>3512</v>
      </c>
      <c r="I432" s="64">
        <v>2024.0</v>
      </c>
      <c r="J432" s="64">
        <v>2026.0</v>
      </c>
      <c r="K432" s="287">
        <v>0.75</v>
      </c>
      <c r="L432" s="288"/>
      <c r="M432" s="285" t="s">
        <v>4428</v>
      </c>
      <c r="N432" s="35">
        <v>0.0</v>
      </c>
      <c r="O432" s="35" t="s">
        <v>4428</v>
      </c>
      <c r="P432" s="35" t="s">
        <v>2104</v>
      </c>
      <c r="Q432" s="37">
        <v>46203.0</v>
      </c>
      <c r="R432" s="56"/>
      <c r="S432" s="38"/>
      <c r="T432" s="39">
        <v>48072.57</v>
      </c>
      <c r="U432" s="39">
        <v>14421.771</v>
      </c>
      <c r="V432" s="40">
        <v>33650.799</v>
      </c>
      <c r="W432" s="57" t="s">
        <v>2391</v>
      </c>
      <c r="X432" s="42" t="s">
        <v>1308</v>
      </c>
      <c r="Y432" s="42" t="str">
        <f>IFERROR(__xludf.DUMMYFUNCTION("vLOOKUP(A432,IMPORTRANGE(""https://docs.google.com/spreadsheets/d/1Rawwwdh8wntXGy8isdYNHxsNQS4n_rC8JSdPfj6vEq4"",""'500 объектов перенос на 2026'!A3:AB502""),13,0)"),"#REF!")</f>
        <v>#REF!</v>
      </c>
      <c r="Z432" s="42" t="str">
        <f>IFERROR(__xludf.DUMMYFUNCTION("vLOOKUP(A432,IMPORTRANGE(""https://docs.google.com/spreadsheets/d/1Rawwwdh8wntXGy8isdYNHxsNQS4n_rC8JSdPfj6vEq4"",""'500 объектов перенос на 2026'!A3:AB502""),14,0)"),"#REF!")</f>
        <v>#REF!</v>
      </c>
      <c r="AA432" s="85" t="s">
        <v>4429</v>
      </c>
      <c r="AB432" s="43"/>
    </row>
    <row r="433">
      <c r="A433" s="62" t="s">
        <v>1298</v>
      </c>
      <c r="B433" s="63" t="s">
        <v>1299</v>
      </c>
      <c r="C433" s="64" t="s">
        <v>1300</v>
      </c>
      <c r="D433" s="64" t="s">
        <v>85</v>
      </c>
      <c r="E433" s="288"/>
      <c r="F433" s="288"/>
      <c r="G433" s="64">
        <v>540.0</v>
      </c>
      <c r="H433" s="64" t="s">
        <v>3512</v>
      </c>
      <c r="I433" s="64">
        <v>2024.0</v>
      </c>
      <c r="J433" s="64">
        <v>2026.0</v>
      </c>
      <c r="K433" s="287">
        <v>0.68</v>
      </c>
      <c r="L433" s="288"/>
      <c r="M433" s="285" t="s">
        <v>1301</v>
      </c>
      <c r="N433" s="35">
        <v>0.0</v>
      </c>
      <c r="O433" s="35" t="s">
        <v>1301</v>
      </c>
      <c r="P433" s="35" t="s">
        <v>4430</v>
      </c>
      <c r="Q433" s="37">
        <v>46203.0</v>
      </c>
      <c r="R433" s="56"/>
      <c r="S433" s="38"/>
      <c r="T433" s="39">
        <v>58900.0</v>
      </c>
      <c r="U433" s="39">
        <v>20059.98027</v>
      </c>
      <c r="V433" s="40">
        <v>38840.01973</v>
      </c>
      <c r="W433" s="57" t="s">
        <v>1307</v>
      </c>
      <c r="X433" s="42" t="s">
        <v>1308</v>
      </c>
      <c r="Y433" s="42" t="str">
        <f>IFERROR(__xludf.DUMMYFUNCTION("vLOOKUP(A433,IMPORTRANGE(""https://docs.google.com/spreadsheets/d/1Rawwwdh8wntXGy8isdYNHxsNQS4n_rC8JSdPfj6vEq4"",""'500 объектов перенос на 2026'!A3:AB502""),13,0)"),"#REF!")</f>
        <v>#REF!</v>
      </c>
      <c r="Z433" s="42" t="str">
        <f>IFERROR(__xludf.DUMMYFUNCTION("vLOOKUP(A433,IMPORTRANGE(""https://docs.google.com/spreadsheets/d/1Rawwwdh8wntXGy8isdYNHxsNQS4n_rC8JSdPfj6vEq4"",""'500 объектов перенос на 2026'!A3:AB502""),14,0)"),"#REF!")</f>
        <v>#REF!</v>
      </c>
      <c r="AA433" s="85" t="s">
        <v>4431</v>
      </c>
      <c r="AB433" s="43"/>
    </row>
    <row r="434">
      <c r="A434" s="62" t="s">
        <v>2810</v>
      </c>
      <c r="B434" s="63" t="s">
        <v>1299</v>
      </c>
      <c r="C434" s="64" t="s">
        <v>2811</v>
      </c>
      <c r="D434" s="64" t="s">
        <v>85</v>
      </c>
      <c r="E434" s="288"/>
      <c r="F434" s="64">
        <v>500.0</v>
      </c>
      <c r="G434" s="64">
        <v>474.7</v>
      </c>
      <c r="H434" s="64" t="s">
        <v>3512</v>
      </c>
      <c r="I434" s="64">
        <v>2024.0</v>
      </c>
      <c r="J434" s="64">
        <v>2026.0</v>
      </c>
      <c r="K434" s="287">
        <v>0.85</v>
      </c>
      <c r="L434" s="288"/>
      <c r="M434" s="285" t="s">
        <v>4432</v>
      </c>
      <c r="N434" s="35">
        <v>0.0</v>
      </c>
      <c r="O434" s="35" t="s">
        <v>4432</v>
      </c>
      <c r="P434" s="35" t="s">
        <v>2104</v>
      </c>
      <c r="Q434" s="37">
        <v>46203.0</v>
      </c>
      <c r="R434" s="56"/>
      <c r="S434" s="38"/>
      <c r="T434" s="39">
        <v>93799.65</v>
      </c>
      <c r="U434" s="39">
        <v>74426.22384</v>
      </c>
      <c r="V434" s="40">
        <v>19373.42616</v>
      </c>
      <c r="W434" s="99" t="s">
        <v>4433</v>
      </c>
      <c r="X434" s="42" t="s">
        <v>1308</v>
      </c>
      <c r="Y434" s="42" t="str">
        <f>IFERROR(__xludf.DUMMYFUNCTION("vLOOKUP(A434,IMPORTRANGE(""https://docs.google.com/spreadsheets/d/1Rawwwdh8wntXGy8isdYNHxsNQS4n_rC8JSdPfj6vEq4"",""'500 объектов перенос на 2026'!A3:AB502""),13,0)"),"#REF!")</f>
        <v>#REF!</v>
      </c>
      <c r="Z434" s="42" t="str">
        <f>IFERROR(__xludf.DUMMYFUNCTION("vLOOKUP(A434,IMPORTRANGE(""https://docs.google.com/spreadsheets/d/1Rawwwdh8wntXGy8isdYNHxsNQS4n_rC8JSdPfj6vEq4"",""'500 объектов перенос на 2026'!A3:AB502""),14,0)"),"#REF!")</f>
        <v>#REF!</v>
      </c>
      <c r="AA434" s="85" t="s">
        <v>3830</v>
      </c>
      <c r="AB434" s="43"/>
    </row>
    <row r="435">
      <c r="A435" s="62" t="s">
        <v>2116</v>
      </c>
      <c r="B435" s="63" t="s">
        <v>1299</v>
      </c>
      <c r="C435" s="144" t="s">
        <v>2117</v>
      </c>
      <c r="D435" s="64" t="s">
        <v>59</v>
      </c>
      <c r="E435" s="64">
        <v>7.5</v>
      </c>
      <c r="F435" s="288"/>
      <c r="G435" s="288"/>
      <c r="H435" s="64" t="s">
        <v>3512</v>
      </c>
      <c r="I435" s="64">
        <v>2024.0</v>
      </c>
      <c r="J435" s="64">
        <v>2026.0</v>
      </c>
      <c r="K435" s="287">
        <v>0.65</v>
      </c>
      <c r="L435" s="288"/>
      <c r="M435" s="285" t="s">
        <v>4434</v>
      </c>
      <c r="N435" s="35">
        <v>0.0</v>
      </c>
      <c r="O435" s="35" t="s">
        <v>4434</v>
      </c>
      <c r="P435" s="35" t="s">
        <v>880</v>
      </c>
      <c r="Q435" s="290">
        <v>46295.0</v>
      </c>
      <c r="R435" s="56"/>
      <c r="S435" s="38"/>
      <c r="T435" s="39">
        <v>20000.79</v>
      </c>
      <c r="U435" s="39">
        <v>6000.237</v>
      </c>
      <c r="V435" s="40">
        <v>14000.553</v>
      </c>
      <c r="W435" s="57" t="s">
        <v>2121</v>
      </c>
      <c r="X435" s="42" t="s">
        <v>2122</v>
      </c>
      <c r="Y435" s="42" t="str">
        <f>IFERROR(__xludf.DUMMYFUNCTION("vLOOKUP(A435,IMPORTRANGE(""https://docs.google.com/spreadsheets/d/1Rawwwdh8wntXGy8isdYNHxsNQS4n_rC8JSdPfj6vEq4"",""'500 объектов перенос на 2026'!A3:AB502""),13,0)"),"#REF!")</f>
        <v>#REF!</v>
      </c>
      <c r="Z435" s="42" t="str">
        <f>IFERROR(__xludf.DUMMYFUNCTION("vLOOKUP(A435,IMPORTRANGE(""https://docs.google.com/spreadsheets/d/1Rawwwdh8wntXGy8isdYNHxsNQS4n_rC8JSdPfj6vEq4"",""'500 объектов перенос на 2026'!A3:AB502""),14,0)"),"#REF!")</f>
        <v>#REF!</v>
      </c>
      <c r="AA435" s="85" t="s">
        <v>4435</v>
      </c>
      <c r="AB435" s="43"/>
    </row>
    <row r="436">
      <c r="A436" s="62" t="s">
        <v>2819</v>
      </c>
      <c r="B436" s="63" t="s">
        <v>1299</v>
      </c>
      <c r="C436" s="64" t="s">
        <v>2820</v>
      </c>
      <c r="D436" s="64" t="s">
        <v>85</v>
      </c>
      <c r="E436" s="288"/>
      <c r="F436" s="288"/>
      <c r="G436" s="64">
        <v>32.0</v>
      </c>
      <c r="H436" s="64" t="s">
        <v>3512</v>
      </c>
      <c r="I436" s="64">
        <v>2025.0</v>
      </c>
      <c r="J436" s="64">
        <v>2025.0</v>
      </c>
      <c r="K436" s="287">
        <v>1.0</v>
      </c>
      <c r="L436" s="292" t="s">
        <v>3528</v>
      </c>
      <c r="M436" s="289" t="s">
        <v>4436</v>
      </c>
      <c r="N436" s="35">
        <v>0.0</v>
      </c>
      <c r="O436" s="35" t="s">
        <v>3520</v>
      </c>
      <c r="P436" s="35" t="s">
        <v>113</v>
      </c>
      <c r="Q436" s="38" t="s">
        <v>11</v>
      </c>
      <c r="R436" s="38" t="s">
        <v>115</v>
      </c>
      <c r="S436" s="38"/>
      <c r="T436" s="39">
        <v>6466.51</v>
      </c>
      <c r="U436" s="39">
        <v>5971.52997</v>
      </c>
      <c r="V436" s="39">
        <v>494.98003</v>
      </c>
      <c r="W436" s="57" t="s">
        <v>2823</v>
      </c>
      <c r="X436" s="42" t="s">
        <v>2777</v>
      </c>
      <c r="Y436" s="42" t="str">
        <f>IFERROR(__xludf.DUMMYFUNCTION("vLOOKUP(A436,IMPORTRANGE(""https://docs.google.com/spreadsheets/d/1Rawwwdh8wntXGy8isdYNHxsNQS4n_rC8JSdPfj6vEq4"",""'500 объектов перенос на 2026'!A3:AB502""),13,0)"),"#REF!")</f>
        <v>#REF!</v>
      </c>
      <c r="Z436" s="42" t="str">
        <f>IFERROR(__xludf.DUMMYFUNCTION("vLOOKUP(A436,IMPORTRANGE(""https://docs.google.com/spreadsheets/d/1Rawwwdh8wntXGy8isdYNHxsNQS4n_rC8JSdPfj6vEq4"",""'500 объектов перенос на 2026'!A3:AB502""),14,0)"),"#REF!")</f>
        <v>#REF!</v>
      </c>
      <c r="AA436" s="85" t="s">
        <v>175</v>
      </c>
      <c r="AB436" s="43"/>
    </row>
    <row r="437">
      <c r="A437" s="62" t="s">
        <v>2098</v>
      </c>
      <c r="B437" s="63" t="s">
        <v>1299</v>
      </c>
      <c r="C437" s="64" t="s">
        <v>2099</v>
      </c>
      <c r="D437" s="64" t="s">
        <v>85</v>
      </c>
      <c r="E437" s="288"/>
      <c r="F437" s="288"/>
      <c r="G437" s="64">
        <v>101.5</v>
      </c>
      <c r="H437" s="64" t="s">
        <v>3512</v>
      </c>
      <c r="I437" s="64">
        <v>2025.0</v>
      </c>
      <c r="J437" s="64">
        <v>2026.0</v>
      </c>
      <c r="K437" s="287">
        <v>0.87</v>
      </c>
      <c r="L437" s="288"/>
      <c r="M437" s="285" t="s">
        <v>2101</v>
      </c>
      <c r="N437" s="35">
        <v>0.0</v>
      </c>
      <c r="O437" s="35" t="s">
        <v>2101</v>
      </c>
      <c r="P437" s="35" t="s">
        <v>2104</v>
      </c>
      <c r="Q437" s="37">
        <v>46203.0</v>
      </c>
      <c r="R437" s="56"/>
      <c r="S437" s="38"/>
      <c r="T437" s="39">
        <v>20964.47</v>
      </c>
      <c r="U437" s="39">
        <v>6915.45676</v>
      </c>
      <c r="V437" s="40">
        <v>14049.01324</v>
      </c>
      <c r="W437" s="57" t="s">
        <v>2106</v>
      </c>
      <c r="X437" s="42" t="s">
        <v>1308</v>
      </c>
      <c r="Y437" s="42" t="str">
        <f>IFERROR(__xludf.DUMMYFUNCTION("vLOOKUP(A437,IMPORTRANGE(""https://docs.google.com/spreadsheets/d/1Rawwwdh8wntXGy8isdYNHxsNQS4n_rC8JSdPfj6vEq4"",""'500 объектов перенос на 2026'!A3:AB502""),13,0)"),"#REF!")</f>
        <v>#REF!</v>
      </c>
      <c r="Z437" s="42" t="str">
        <f>IFERROR(__xludf.DUMMYFUNCTION("vLOOKUP(A437,IMPORTRANGE(""https://docs.google.com/spreadsheets/d/1Rawwwdh8wntXGy8isdYNHxsNQS4n_rC8JSdPfj6vEq4"",""'500 объектов перенос на 2026'!A3:AB502""),14,0)"),"#REF!")</f>
        <v>#REF!</v>
      </c>
      <c r="AA437" s="85" t="s">
        <v>4437</v>
      </c>
      <c r="AB437" s="43"/>
    </row>
    <row r="438">
      <c r="A438" s="62" t="s">
        <v>2829</v>
      </c>
      <c r="B438" s="63" t="s">
        <v>1299</v>
      </c>
      <c r="C438" s="90" t="s">
        <v>2830</v>
      </c>
      <c r="D438" s="64" t="s">
        <v>59</v>
      </c>
      <c r="E438" s="64">
        <v>280.3</v>
      </c>
      <c r="F438" s="288"/>
      <c r="G438" s="288"/>
      <c r="H438" s="64" t="s">
        <v>3512</v>
      </c>
      <c r="I438" s="64">
        <v>2025.0</v>
      </c>
      <c r="J438" s="64">
        <v>2025.0</v>
      </c>
      <c r="K438" s="287">
        <v>1.0</v>
      </c>
      <c r="L438" s="292" t="s">
        <v>3528</v>
      </c>
      <c r="M438" s="289" t="s">
        <v>4438</v>
      </c>
      <c r="N438" s="35">
        <v>0.0</v>
      </c>
      <c r="O438" s="35" t="s">
        <v>3520</v>
      </c>
      <c r="P438" s="35" t="s">
        <v>113</v>
      </c>
      <c r="Q438" s="38" t="s">
        <v>11</v>
      </c>
      <c r="R438" s="38" t="s">
        <v>115</v>
      </c>
      <c r="S438" s="38"/>
      <c r="T438" s="39">
        <v>103325.16</v>
      </c>
      <c r="U438" s="39">
        <v>101870.6763</v>
      </c>
      <c r="V438" s="39">
        <v>1454.48371</v>
      </c>
      <c r="W438" s="57" t="s">
        <v>2832</v>
      </c>
      <c r="X438" s="42" t="s">
        <v>2777</v>
      </c>
      <c r="Y438" s="42" t="str">
        <f>IFERROR(__xludf.DUMMYFUNCTION("vLOOKUP(A438,IMPORTRANGE(""https://docs.google.com/spreadsheets/d/1Rawwwdh8wntXGy8isdYNHxsNQS4n_rC8JSdPfj6vEq4"",""'500 объектов перенос на 2026'!A3:AB502""),13,0)"),"#REF!")</f>
        <v>#REF!</v>
      </c>
      <c r="Z438" s="42" t="str">
        <f>IFERROR(__xludf.DUMMYFUNCTION("vLOOKUP(A438,IMPORTRANGE(""https://docs.google.com/spreadsheets/d/1Rawwwdh8wntXGy8isdYNHxsNQS4n_rC8JSdPfj6vEq4"",""'500 объектов перенос на 2026'!A3:AB502""),14,0)"),"#REF!")</f>
        <v>#REF!</v>
      </c>
      <c r="AA438" s="85" t="s">
        <v>175</v>
      </c>
      <c r="AB438" s="43"/>
    </row>
    <row r="439">
      <c r="A439" s="62" t="s">
        <v>2833</v>
      </c>
      <c r="B439" s="63" t="s">
        <v>99</v>
      </c>
      <c r="C439" s="64" t="s">
        <v>2834</v>
      </c>
      <c r="D439" s="64" t="s">
        <v>39</v>
      </c>
      <c r="E439" s="64">
        <v>2.1</v>
      </c>
      <c r="F439" s="288"/>
      <c r="G439" s="288"/>
      <c r="H439" s="64" t="s">
        <v>3527</v>
      </c>
      <c r="I439" s="64">
        <v>2024.0</v>
      </c>
      <c r="J439" s="64">
        <v>2025.0</v>
      </c>
      <c r="K439" s="287">
        <v>1.0</v>
      </c>
      <c r="L439" s="292" t="s">
        <v>3528</v>
      </c>
      <c r="M439" s="285" t="s">
        <v>4439</v>
      </c>
      <c r="N439" s="35" t="s">
        <v>4440</v>
      </c>
      <c r="O439" s="35" t="s">
        <v>4441</v>
      </c>
      <c r="P439" s="35" t="s">
        <v>113</v>
      </c>
      <c r="Q439" s="38" t="s">
        <v>11</v>
      </c>
      <c r="R439" s="38" t="s">
        <v>115</v>
      </c>
      <c r="S439" s="38"/>
      <c r="T439" s="39">
        <v>63344.12</v>
      </c>
      <c r="U439" s="39">
        <v>65336.75928</v>
      </c>
      <c r="V439" s="39">
        <v>-1992.63928</v>
      </c>
      <c r="W439" s="57" t="s">
        <v>2835</v>
      </c>
      <c r="X439" s="42" t="s">
        <v>2836</v>
      </c>
      <c r="Y439" s="42" t="str">
        <f>IFERROR(__xludf.DUMMYFUNCTION("vLOOKUP(A439,IMPORTRANGE(""https://docs.google.com/spreadsheets/d/1Rawwwdh8wntXGy8isdYNHxsNQS4n_rC8JSdPfj6vEq4"",""'500 объектов перенос на 2026'!A3:AB502""),13,0)"),"#REF!")</f>
        <v>#REF!</v>
      </c>
      <c r="Z439" s="42" t="str">
        <f>IFERROR(__xludf.DUMMYFUNCTION("vLOOKUP(A439,IMPORTRANGE(""https://docs.google.com/spreadsheets/d/1Rawwwdh8wntXGy8isdYNHxsNQS4n_rC8JSdPfj6vEq4"",""'500 объектов перенос на 2026'!A3:AB502""),14,0)"),"#REF!")</f>
        <v>#REF!</v>
      </c>
      <c r="AA439" s="85" t="s">
        <v>175</v>
      </c>
      <c r="AB439" s="43"/>
    </row>
    <row r="440">
      <c r="A440" s="62" t="s">
        <v>2837</v>
      </c>
      <c r="B440" s="63" t="s">
        <v>99</v>
      </c>
      <c r="C440" s="64" t="s">
        <v>2838</v>
      </c>
      <c r="D440" s="64" t="s">
        <v>59</v>
      </c>
      <c r="E440" s="64">
        <v>17.4</v>
      </c>
      <c r="F440" s="288"/>
      <c r="G440" s="288"/>
      <c r="H440" s="64" t="s">
        <v>3593</v>
      </c>
      <c r="I440" s="64">
        <v>2019.0</v>
      </c>
      <c r="J440" s="64">
        <v>2025.0</v>
      </c>
      <c r="K440" s="287">
        <v>1.0</v>
      </c>
      <c r="L440" s="292" t="s">
        <v>3528</v>
      </c>
      <c r="M440" s="285" t="s">
        <v>4442</v>
      </c>
      <c r="N440" s="35" t="s">
        <v>4443</v>
      </c>
      <c r="O440" s="35" t="s">
        <v>4444</v>
      </c>
      <c r="P440" s="35" t="s">
        <v>113</v>
      </c>
      <c r="Q440" s="38" t="s">
        <v>11</v>
      </c>
      <c r="R440" s="38" t="s">
        <v>115</v>
      </c>
      <c r="S440" s="38"/>
      <c r="T440" s="39">
        <v>100201.73</v>
      </c>
      <c r="U440" s="39">
        <v>153830.198</v>
      </c>
      <c r="V440" s="39">
        <v>-53628.46799</v>
      </c>
      <c r="W440" s="57" t="s">
        <v>2839</v>
      </c>
      <c r="X440" s="42" t="s">
        <v>2836</v>
      </c>
      <c r="Y440" s="42" t="str">
        <f>IFERROR(__xludf.DUMMYFUNCTION("vLOOKUP(A440,IMPORTRANGE(""https://docs.google.com/spreadsheets/d/1Rawwwdh8wntXGy8isdYNHxsNQS4n_rC8JSdPfj6vEq4"",""'500 объектов перенос на 2026'!A3:AB502""),13,0)"),"#REF!")</f>
        <v>#REF!</v>
      </c>
      <c r="Z440" s="42" t="str">
        <f>IFERROR(__xludf.DUMMYFUNCTION("vLOOKUP(A440,IMPORTRANGE(""https://docs.google.com/spreadsheets/d/1Rawwwdh8wntXGy8isdYNHxsNQS4n_rC8JSdPfj6vEq4"",""'500 объектов перенос на 2026'!A3:AB502""),14,0)"),"#REF!")</f>
        <v>#REF!</v>
      </c>
      <c r="AA440" s="85" t="s">
        <v>175</v>
      </c>
      <c r="AB440" s="43"/>
    </row>
    <row r="441">
      <c r="A441" s="62" t="s">
        <v>289</v>
      </c>
      <c r="B441" s="63" t="s">
        <v>99</v>
      </c>
      <c r="C441" s="64" t="s">
        <v>290</v>
      </c>
      <c r="D441" s="64" t="s">
        <v>59</v>
      </c>
      <c r="E441" s="64">
        <v>24.4</v>
      </c>
      <c r="F441" s="288"/>
      <c r="G441" s="288"/>
      <c r="H441" s="64" t="s">
        <v>3593</v>
      </c>
      <c r="I441" s="64">
        <v>2024.0</v>
      </c>
      <c r="J441" s="64">
        <v>2026.0</v>
      </c>
      <c r="K441" s="287">
        <v>0.7</v>
      </c>
      <c r="L441" s="288"/>
      <c r="M441" s="285" t="s">
        <v>3568</v>
      </c>
      <c r="N441" s="35" t="s">
        <v>3568</v>
      </c>
      <c r="O441" s="35" t="s">
        <v>3568</v>
      </c>
      <c r="P441" s="35" t="s">
        <v>291</v>
      </c>
      <c r="Q441" s="37">
        <v>46248.0</v>
      </c>
      <c r="R441" s="56"/>
      <c r="S441" s="38"/>
      <c r="T441" s="39">
        <v>238152.54</v>
      </c>
      <c r="U441" s="39">
        <v>71445.762</v>
      </c>
      <c r="V441" s="40">
        <v>166706.778</v>
      </c>
      <c r="W441" s="57" t="s">
        <v>292</v>
      </c>
      <c r="X441" s="42" t="s">
        <v>46</v>
      </c>
      <c r="Y441" s="42" t="str">
        <f>IFERROR(__xludf.DUMMYFUNCTION("vLOOKUP(A441,IMPORTRANGE(""https://docs.google.com/spreadsheets/d/1Rawwwdh8wntXGy8isdYNHxsNQS4n_rC8JSdPfj6vEq4"",""'500 объектов перенос на 2026'!A3:AB502""),13,0)"),"#REF!")</f>
        <v>#REF!</v>
      </c>
      <c r="Z441" s="42" t="str">
        <f>IFERROR(__xludf.DUMMYFUNCTION("vLOOKUP(A441,IMPORTRANGE(""https://docs.google.com/spreadsheets/d/1Rawwwdh8wntXGy8isdYNHxsNQS4n_rC8JSdPfj6vEq4"",""'500 объектов перенос на 2026'!A3:AB502""),14,0)"),"#REF!")</f>
        <v>#REF!</v>
      </c>
      <c r="AA441" s="85" t="s">
        <v>4445</v>
      </c>
      <c r="AB441" s="43"/>
    </row>
    <row r="442">
      <c r="A442" s="62" t="s">
        <v>2468</v>
      </c>
      <c r="B442" s="63" t="s">
        <v>99</v>
      </c>
      <c r="C442" s="64" t="s">
        <v>2469</v>
      </c>
      <c r="D442" s="64" t="s">
        <v>85</v>
      </c>
      <c r="E442" s="288"/>
      <c r="F442" s="64" t="s">
        <v>4446</v>
      </c>
      <c r="G442" s="64">
        <v>180.0</v>
      </c>
      <c r="H442" s="64" t="s">
        <v>3512</v>
      </c>
      <c r="I442" s="64">
        <v>2024.0</v>
      </c>
      <c r="J442" s="64">
        <v>2026.0</v>
      </c>
      <c r="K442" s="287">
        <v>1.0</v>
      </c>
      <c r="L442" s="288"/>
      <c r="M442" s="289" t="s">
        <v>4447</v>
      </c>
      <c r="N442" s="35" t="s">
        <v>4448</v>
      </c>
      <c r="O442" s="35" t="s">
        <v>3520</v>
      </c>
      <c r="P442" s="35" t="s">
        <v>1150</v>
      </c>
      <c r="Q442" s="37">
        <v>46185.0</v>
      </c>
      <c r="R442" s="56"/>
      <c r="S442" s="38" t="s">
        <v>1153</v>
      </c>
      <c r="T442" s="39">
        <v>17438.4</v>
      </c>
      <c r="U442" s="39">
        <v>8719.2</v>
      </c>
      <c r="V442" s="40">
        <v>8719.2</v>
      </c>
      <c r="W442" s="57" t="s">
        <v>2471</v>
      </c>
      <c r="X442" s="42" t="s">
        <v>1155</v>
      </c>
      <c r="Y442" s="42" t="str">
        <f>IFERROR(__xludf.DUMMYFUNCTION("vLOOKUP(A442,IMPORTRANGE(""https://docs.google.com/spreadsheets/d/1Rawwwdh8wntXGy8isdYNHxsNQS4n_rC8JSdPfj6vEq4"",""'500 объектов перенос на 2026'!A3:AB502""),13,0)"),"#REF!")</f>
        <v>#REF!</v>
      </c>
      <c r="Z442" s="42" t="str">
        <f>IFERROR(__xludf.DUMMYFUNCTION("vLOOKUP(A442,IMPORTRANGE(""https://docs.google.com/spreadsheets/d/1Rawwwdh8wntXGy8isdYNHxsNQS4n_rC8JSdPfj6vEq4"",""'500 объектов перенос на 2026'!A3:AB502""),14,0)"),"#REF!")</f>
        <v>#REF!</v>
      </c>
      <c r="AA442" s="85" t="s">
        <v>4449</v>
      </c>
      <c r="AB442" s="43"/>
    </row>
    <row r="443">
      <c r="A443" s="62" t="s">
        <v>2024</v>
      </c>
      <c r="B443" s="63" t="s">
        <v>99</v>
      </c>
      <c r="C443" s="64" t="s">
        <v>2025</v>
      </c>
      <c r="D443" s="64" t="s">
        <v>85</v>
      </c>
      <c r="E443" s="288"/>
      <c r="F443" s="64" t="s">
        <v>4450</v>
      </c>
      <c r="G443" s="64">
        <v>364.0</v>
      </c>
      <c r="H443" s="64" t="s">
        <v>3512</v>
      </c>
      <c r="I443" s="64">
        <v>2024.0</v>
      </c>
      <c r="J443" s="64">
        <v>2026.0</v>
      </c>
      <c r="K443" s="287">
        <v>1.0</v>
      </c>
      <c r="L443" s="288"/>
      <c r="M443" s="289" t="s">
        <v>4451</v>
      </c>
      <c r="N443" s="35" t="s">
        <v>4452</v>
      </c>
      <c r="O443" s="35" t="s">
        <v>3520</v>
      </c>
      <c r="P443" s="35" t="s">
        <v>1150</v>
      </c>
      <c r="Q443" s="37">
        <v>46185.0</v>
      </c>
      <c r="R443" s="56"/>
      <c r="S443" s="38" t="s">
        <v>1153</v>
      </c>
      <c r="T443" s="39">
        <v>24781.12</v>
      </c>
      <c r="U443" s="39">
        <v>8673.39</v>
      </c>
      <c r="V443" s="40">
        <v>16107.73</v>
      </c>
      <c r="W443" s="57" t="s">
        <v>2026</v>
      </c>
      <c r="X443" s="42" t="s">
        <v>1155</v>
      </c>
      <c r="Y443" s="42" t="str">
        <f>IFERROR(__xludf.DUMMYFUNCTION("vLOOKUP(A443,IMPORTRANGE(""https://docs.google.com/spreadsheets/d/1Rawwwdh8wntXGy8isdYNHxsNQS4n_rC8JSdPfj6vEq4"",""'500 объектов перенос на 2026'!A3:AB502""),13,0)"),"#REF!")</f>
        <v>#REF!</v>
      </c>
      <c r="Z443" s="42" t="str">
        <f>IFERROR(__xludf.DUMMYFUNCTION("vLOOKUP(A443,IMPORTRANGE(""https://docs.google.com/spreadsheets/d/1Rawwwdh8wntXGy8isdYNHxsNQS4n_rC8JSdPfj6vEq4"",""'500 объектов перенос на 2026'!A3:AB502""),14,0)"),"#REF!")</f>
        <v>#REF!</v>
      </c>
      <c r="AA443" s="85" t="s">
        <v>4449</v>
      </c>
      <c r="AB443" s="43"/>
    </row>
    <row r="444">
      <c r="A444" s="62" t="s">
        <v>2574</v>
      </c>
      <c r="B444" s="63" t="s">
        <v>99</v>
      </c>
      <c r="C444" s="64" t="s">
        <v>2575</v>
      </c>
      <c r="D444" s="64" t="s">
        <v>85</v>
      </c>
      <c r="E444" s="288"/>
      <c r="F444" s="64" t="s">
        <v>4453</v>
      </c>
      <c r="G444" s="64">
        <v>220.0</v>
      </c>
      <c r="H444" s="64" t="s">
        <v>3512</v>
      </c>
      <c r="I444" s="64">
        <v>2024.0</v>
      </c>
      <c r="J444" s="64">
        <v>2026.0</v>
      </c>
      <c r="K444" s="287">
        <v>1.0</v>
      </c>
      <c r="L444" s="288"/>
      <c r="M444" s="285" t="s">
        <v>4454</v>
      </c>
      <c r="N444" s="35" t="s">
        <v>4455</v>
      </c>
      <c r="O444" s="35" t="s">
        <v>4456</v>
      </c>
      <c r="P444" s="35" t="s">
        <v>1150</v>
      </c>
      <c r="Q444" s="37">
        <v>46122.0</v>
      </c>
      <c r="R444" s="56"/>
      <c r="S444" s="38" t="s">
        <v>1153</v>
      </c>
      <c r="T444" s="39">
        <v>14977.6</v>
      </c>
      <c r="U444" s="39">
        <v>5242.16</v>
      </c>
      <c r="V444" s="40">
        <v>9735.44</v>
      </c>
      <c r="W444" s="57" t="s">
        <v>2577</v>
      </c>
      <c r="X444" s="42" t="s">
        <v>1155</v>
      </c>
      <c r="Y444" s="42" t="str">
        <f>IFERROR(__xludf.DUMMYFUNCTION("vLOOKUP(A444,IMPORTRANGE(""https://docs.google.com/spreadsheets/d/1Rawwwdh8wntXGy8isdYNHxsNQS4n_rC8JSdPfj6vEq4"",""'500 объектов перенос на 2026'!A3:AB502""),13,0)"),"#REF!")</f>
        <v>#REF!</v>
      </c>
      <c r="Z444" s="42" t="str">
        <f>IFERROR(__xludf.DUMMYFUNCTION("vLOOKUP(A444,IMPORTRANGE(""https://docs.google.com/spreadsheets/d/1Rawwwdh8wntXGy8isdYNHxsNQS4n_rC8JSdPfj6vEq4"",""'500 объектов перенос на 2026'!A3:AB502""),14,0)"),"#REF!")</f>
        <v>#REF!</v>
      </c>
      <c r="AA444" s="85" t="s">
        <v>4457</v>
      </c>
      <c r="AB444" s="43"/>
    </row>
    <row r="445">
      <c r="A445" s="62" t="s">
        <v>1759</v>
      </c>
      <c r="B445" s="63" t="s">
        <v>99</v>
      </c>
      <c r="C445" s="64" t="s">
        <v>1760</v>
      </c>
      <c r="D445" s="64" t="s">
        <v>85</v>
      </c>
      <c r="E445" s="288"/>
      <c r="F445" s="64" t="s">
        <v>4458</v>
      </c>
      <c r="G445" s="64">
        <v>320.0</v>
      </c>
      <c r="H445" s="64" t="s">
        <v>3512</v>
      </c>
      <c r="I445" s="64">
        <v>2024.0</v>
      </c>
      <c r="J445" s="64">
        <v>2026.0</v>
      </c>
      <c r="K445" s="287">
        <v>1.0</v>
      </c>
      <c r="L445" s="288"/>
      <c r="M445" s="285" t="s">
        <v>4459</v>
      </c>
      <c r="N445" s="35" t="s">
        <v>4460</v>
      </c>
      <c r="O445" s="35" t="s">
        <v>4461</v>
      </c>
      <c r="P445" s="35" t="s">
        <v>1150</v>
      </c>
      <c r="Q445" s="37">
        <v>46185.0</v>
      </c>
      <c r="R445" s="56"/>
      <c r="S445" s="38" t="s">
        <v>1153</v>
      </c>
      <c r="T445" s="39">
        <v>31001.6</v>
      </c>
      <c r="U445" s="39">
        <v>10850.56</v>
      </c>
      <c r="V445" s="40">
        <v>20151.04</v>
      </c>
      <c r="W445" s="57" t="s">
        <v>1763</v>
      </c>
      <c r="X445" s="42" t="s">
        <v>1155</v>
      </c>
      <c r="Y445" s="42" t="str">
        <f>IFERROR(__xludf.DUMMYFUNCTION("vLOOKUP(A445,IMPORTRANGE(""https://docs.google.com/spreadsheets/d/1Rawwwdh8wntXGy8isdYNHxsNQS4n_rC8JSdPfj6vEq4"",""'500 объектов перенос на 2026'!A3:AB502""),13,0)"),"#REF!")</f>
        <v>#REF!</v>
      </c>
      <c r="Z445" s="42" t="str">
        <f>IFERROR(__xludf.DUMMYFUNCTION("vLOOKUP(A445,IMPORTRANGE(""https://docs.google.com/spreadsheets/d/1Rawwwdh8wntXGy8isdYNHxsNQS4n_rC8JSdPfj6vEq4"",""'500 объектов перенос на 2026'!A3:AB502""),14,0)"),"#REF!")</f>
        <v>#REF!</v>
      </c>
      <c r="AA445" s="85" t="s">
        <v>4449</v>
      </c>
      <c r="AB445" s="43"/>
    </row>
    <row r="446">
      <c r="A446" s="62" t="s">
        <v>98</v>
      </c>
      <c r="B446" s="63" t="s">
        <v>99</v>
      </c>
      <c r="C446" s="64" t="s">
        <v>100</v>
      </c>
      <c r="D446" s="64" t="s">
        <v>59</v>
      </c>
      <c r="E446" s="64">
        <v>31.0</v>
      </c>
      <c r="F446" s="288"/>
      <c r="G446" s="288"/>
      <c r="H446" s="64" t="s">
        <v>3593</v>
      </c>
      <c r="I446" s="64">
        <v>2024.0</v>
      </c>
      <c r="J446" s="64">
        <v>2026.0</v>
      </c>
      <c r="K446" s="287">
        <v>0.81</v>
      </c>
      <c r="L446" s="288"/>
      <c r="M446" s="285" t="s">
        <v>4462</v>
      </c>
      <c r="N446" s="35">
        <v>0.0</v>
      </c>
      <c r="O446" s="35" t="s">
        <v>4462</v>
      </c>
      <c r="P446" s="35" t="s">
        <v>4347</v>
      </c>
      <c r="Q446" s="37">
        <v>46248.0</v>
      </c>
      <c r="R446" s="56"/>
      <c r="S446" s="38" t="s">
        <v>103</v>
      </c>
      <c r="T446" s="39">
        <v>280465.25</v>
      </c>
      <c r="U446" s="39">
        <v>140232.625</v>
      </c>
      <c r="V446" s="40">
        <v>140232.625</v>
      </c>
      <c r="W446" s="57" t="s">
        <v>104</v>
      </c>
      <c r="X446" s="42" t="s">
        <v>105</v>
      </c>
      <c r="Y446" s="42" t="str">
        <f>IFERROR(__xludf.DUMMYFUNCTION("vLOOKUP(A446,IMPORTRANGE(""https://docs.google.com/spreadsheets/d/1Rawwwdh8wntXGy8isdYNHxsNQS4n_rC8JSdPfj6vEq4"",""'500 объектов перенос на 2026'!A3:AB502""),13,0)"),"#REF!")</f>
        <v>#REF!</v>
      </c>
      <c r="Z446" s="42" t="str">
        <f>IFERROR(__xludf.DUMMYFUNCTION("vLOOKUP(A446,IMPORTRANGE(""https://docs.google.com/spreadsheets/d/1Rawwwdh8wntXGy8isdYNHxsNQS4n_rC8JSdPfj6vEq4"",""'500 объектов перенос на 2026'!A3:AB502""),14,0)"),"#REF!")</f>
        <v>#REF!</v>
      </c>
      <c r="AA446" s="85" t="s">
        <v>105</v>
      </c>
      <c r="AB446" s="43"/>
    </row>
    <row r="447">
      <c r="A447" s="62" t="s">
        <v>1147</v>
      </c>
      <c r="B447" s="63" t="s">
        <v>99</v>
      </c>
      <c r="C447" s="64" t="s">
        <v>1148</v>
      </c>
      <c r="D447" s="64" t="s">
        <v>59</v>
      </c>
      <c r="E447" s="64">
        <v>22.7</v>
      </c>
      <c r="F447" s="288"/>
      <c r="G447" s="288"/>
      <c r="H447" s="64" t="s">
        <v>3512</v>
      </c>
      <c r="I447" s="64">
        <v>2024.0</v>
      </c>
      <c r="J447" s="64">
        <v>2026.0</v>
      </c>
      <c r="K447" s="287">
        <v>1.0</v>
      </c>
      <c r="L447" s="288"/>
      <c r="M447" s="285" t="s">
        <v>4463</v>
      </c>
      <c r="N447" s="35">
        <v>0.0</v>
      </c>
      <c r="O447" s="35" t="s">
        <v>4463</v>
      </c>
      <c r="P447" s="35" t="s">
        <v>1150</v>
      </c>
      <c r="Q447" s="37">
        <v>46127.0</v>
      </c>
      <c r="R447" s="56"/>
      <c r="S447" s="38" t="s">
        <v>1153</v>
      </c>
      <c r="T447" s="39">
        <v>62494.2</v>
      </c>
      <c r="U447" s="39">
        <v>18748.26</v>
      </c>
      <c r="V447" s="40">
        <v>43745.94</v>
      </c>
      <c r="W447" s="57" t="s">
        <v>1154</v>
      </c>
      <c r="X447" s="42" t="s">
        <v>1155</v>
      </c>
      <c r="Y447" s="42" t="str">
        <f>IFERROR(__xludf.DUMMYFUNCTION("vLOOKUP(A447,IMPORTRANGE(""https://docs.google.com/spreadsheets/d/1Rawwwdh8wntXGy8isdYNHxsNQS4n_rC8JSdPfj6vEq4"",""'500 объектов перенос на 2026'!A3:AB502""),13,0)"),"#REF!")</f>
        <v>#REF!</v>
      </c>
      <c r="Z447" s="42" t="str">
        <f>IFERROR(__xludf.DUMMYFUNCTION("vLOOKUP(A447,IMPORTRANGE(""https://docs.google.com/spreadsheets/d/1Rawwwdh8wntXGy8isdYNHxsNQS4n_rC8JSdPfj6vEq4"",""'500 объектов перенос на 2026'!A3:AB502""),14,0)"),"#REF!")</f>
        <v>#REF!</v>
      </c>
      <c r="AA447" s="85" t="s">
        <v>4464</v>
      </c>
      <c r="AB447" s="43"/>
    </row>
    <row r="448">
      <c r="A448" s="62" t="s">
        <v>1807</v>
      </c>
      <c r="B448" s="63" t="s">
        <v>99</v>
      </c>
      <c r="C448" s="64" t="s">
        <v>1808</v>
      </c>
      <c r="D448" s="64" t="s">
        <v>85</v>
      </c>
      <c r="E448" s="288"/>
      <c r="F448" s="64" t="s">
        <v>4465</v>
      </c>
      <c r="G448" s="64">
        <v>382.0</v>
      </c>
      <c r="H448" s="64" t="s">
        <v>3593</v>
      </c>
      <c r="I448" s="64">
        <v>2024.0</v>
      </c>
      <c r="J448" s="64">
        <v>2026.0</v>
      </c>
      <c r="K448" s="287">
        <v>1.0</v>
      </c>
      <c r="L448" s="288"/>
      <c r="M448" s="289" t="s">
        <v>4466</v>
      </c>
      <c r="N448" s="35">
        <v>0.0</v>
      </c>
      <c r="O448" s="35" t="s">
        <v>3520</v>
      </c>
      <c r="P448" s="35" t="s">
        <v>1150</v>
      </c>
      <c r="Q448" s="37">
        <v>46157.0</v>
      </c>
      <c r="R448" s="56"/>
      <c r="S448" s="38" t="s">
        <v>1153</v>
      </c>
      <c r="T448" s="39">
        <v>30368.8</v>
      </c>
      <c r="U448" s="39">
        <v>12206.88</v>
      </c>
      <c r="V448" s="40">
        <v>18161.92</v>
      </c>
      <c r="W448" s="57" t="s">
        <v>1810</v>
      </c>
      <c r="X448" s="42" t="s">
        <v>1155</v>
      </c>
      <c r="Y448" s="42" t="str">
        <f>IFERROR(__xludf.DUMMYFUNCTION("vLOOKUP(A448,IMPORTRANGE(""https://docs.google.com/spreadsheets/d/1Rawwwdh8wntXGy8isdYNHxsNQS4n_rC8JSdPfj6vEq4"",""'500 объектов перенос на 2026'!A3:AB502""),13,0)"),"#REF!")</f>
        <v>#REF!</v>
      </c>
      <c r="Z448" s="42" t="str">
        <f>IFERROR(__xludf.DUMMYFUNCTION("vLOOKUP(A448,IMPORTRANGE(""https://docs.google.com/spreadsheets/d/1Rawwwdh8wntXGy8isdYNHxsNQS4n_rC8JSdPfj6vEq4"",""'500 объектов перенос на 2026'!A3:AB502""),14,0)"),"#REF!")</f>
        <v>#REF!</v>
      </c>
      <c r="AA448" s="85" t="s">
        <v>4467</v>
      </c>
      <c r="AB448" s="43"/>
    </row>
    <row r="449">
      <c r="A449" s="62" t="s">
        <v>2845</v>
      </c>
      <c r="B449" s="63" t="s">
        <v>99</v>
      </c>
      <c r="C449" s="64" t="s">
        <v>2846</v>
      </c>
      <c r="D449" s="64" t="s">
        <v>85</v>
      </c>
      <c r="E449" s="288"/>
      <c r="F449" s="64" t="s">
        <v>4468</v>
      </c>
      <c r="G449" s="64">
        <v>85.0</v>
      </c>
      <c r="H449" s="64" t="s">
        <v>3512</v>
      </c>
      <c r="I449" s="64">
        <v>2024.0</v>
      </c>
      <c r="J449" s="64">
        <v>2026.0</v>
      </c>
      <c r="K449" s="287">
        <v>1.0</v>
      </c>
      <c r="L449" s="288"/>
      <c r="M449" s="285" t="s">
        <v>4469</v>
      </c>
      <c r="N449" s="35" t="s">
        <v>4470</v>
      </c>
      <c r="O449" s="35" t="s">
        <v>4471</v>
      </c>
      <c r="P449" s="35" t="s">
        <v>1150</v>
      </c>
      <c r="Q449" s="37">
        <v>46122.0</v>
      </c>
      <c r="R449" s="56"/>
      <c r="S449" s="38" t="s">
        <v>1153</v>
      </c>
      <c r="T449" s="39">
        <v>8234.8</v>
      </c>
      <c r="U449" s="39">
        <v>4117.4</v>
      </c>
      <c r="V449" s="40">
        <v>4117.4</v>
      </c>
      <c r="W449" s="57" t="s">
        <v>2848</v>
      </c>
      <c r="X449" s="42" t="s">
        <v>1155</v>
      </c>
      <c r="Y449" s="42" t="str">
        <f>IFERROR(__xludf.DUMMYFUNCTION("vLOOKUP(A449,IMPORTRANGE(""https://docs.google.com/spreadsheets/d/1Rawwwdh8wntXGy8isdYNHxsNQS4n_rC8JSdPfj6vEq4"",""'500 объектов перенос на 2026'!A3:AB502""),13,0)"),"#REF!")</f>
        <v>#REF!</v>
      </c>
      <c r="Z449" s="42" t="str">
        <f>IFERROR(__xludf.DUMMYFUNCTION("vLOOKUP(A449,IMPORTRANGE(""https://docs.google.com/spreadsheets/d/1Rawwwdh8wntXGy8isdYNHxsNQS4n_rC8JSdPfj6vEq4"",""'500 объектов перенос на 2026'!A3:AB502""),14,0)"),"#REF!")</f>
        <v>#REF!</v>
      </c>
      <c r="AA449" s="85" t="s">
        <v>4457</v>
      </c>
      <c r="AB449" s="43"/>
    </row>
    <row r="450">
      <c r="A450" s="62" t="s">
        <v>2887</v>
      </c>
      <c r="B450" s="63" t="s">
        <v>225</v>
      </c>
      <c r="C450" s="64" t="s">
        <v>2888</v>
      </c>
      <c r="D450" s="64" t="s">
        <v>39</v>
      </c>
      <c r="E450" s="64">
        <v>12.0</v>
      </c>
      <c r="F450" s="288"/>
      <c r="G450" s="288"/>
      <c r="H450" s="64" t="s">
        <v>3527</v>
      </c>
      <c r="I450" s="64">
        <v>2023.0</v>
      </c>
      <c r="J450" s="64">
        <v>2025.0</v>
      </c>
      <c r="K450" s="287">
        <v>1.0</v>
      </c>
      <c r="L450" s="292" t="s">
        <v>3528</v>
      </c>
      <c r="M450" s="285" t="s">
        <v>4472</v>
      </c>
      <c r="N450" s="35">
        <v>0.0</v>
      </c>
      <c r="O450" s="35" t="s">
        <v>4472</v>
      </c>
      <c r="P450" s="35" t="s">
        <v>113</v>
      </c>
      <c r="Q450" s="309" t="s">
        <v>1219</v>
      </c>
      <c r="R450" s="38" t="s">
        <v>115</v>
      </c>
      <c r="S450" s="38"/>
      <c r="T450" s="39">
        <v>206621.1</v>
      </c>
      <c r="U450" s="39">
        <v>206664.3432</v>
      </c>
      <c r="V450" s="39">
        <v>-43.24322</v>
      </c>
      <c r="W450" s="57" t="s">
        <v>2890</v>
      </c>
      <c r="X450" s="42" t="s">
        <v>2891</v>
      </c>
      <c r="Y450" s="42" t="str">
        <f>IFERROR(__xludf.DUMMYFUNCTION("vLOOKUP(A450,IMPORTRANGE(""https://docs.google.com/spreadsheets/d/1Rawwwdh8wntXGy8isdYNHxsNQS4n_rC8JSdPfj6vEq4"",""'500 объектов перенос на 2026'!A3:AB502""),13,0)"),"#REF!")</f>
        <v>#REF!</v>
      </c>
      <c r="Z450" s="42" t="str">
        <f>IFERROR(__xludf.DUMMYFUNCTION("vLOOKUP(A450,IMPORTRANGE(""https://docs.google.com/spreadsheets/d/1Rawwwdh8wntXGy8isdYNHxsNQS4n_rC8JSdPfj6vEq4"",""'500 объектов перенос на 2026'!A3:AB502""),14,0)"),"#REF!")</f>
        <v>#REF!</v>
      </c>
      <c r="AA450" s="85" t="s">
        <v>175</v>
      </c>
      <c r="AB450" s="43"/>
    </row>
    <row r="451">
      <c r="A451" s="62" t="s">
        <v>521</v>
      </c>
      <c r="B451" s="63" t="s">
        <v>225</v>
      </c>
      <c r="C451" s="64" t="s">
        <v>522</v>
      </c>
      <c r="D451" s="64" t="s">
        <v>39</v>
      </c>
      <c r="E451" s="64">
        <v>10.0</v>
      </c>
      <c r="F451" s="288"/>
      <c r="G451" s="288"/>
      <c r="H451" s="64" t="s">
        <v>3527</v>
      </c>
      <c r="I451" s="64">
        <v>2023.0</v>
      </c>
      <c r="J451" s="310">
        <v>2026.0</v>
      </c>
      <c r="K451" s="287">
        <v>0.49</v>
      </c>
      <c r="L451" s="288"/>
      <c r="M451" s="285" t="s">
        <v>524</v>
      </c>
      <c r="N451" s="35" t="s">
        <v>4473</v>
      </c>
      <c r="O451" s="35" t="s">
        <v>4474</v>
      </c>
      <c r="P451" s="35" t="s">
        <v>4475</v>
      </c>
      <c r="Q451" s="37">
        <v>46223.0</v>
      </c>
      <c r="R451" s="56"/>
      <c r="S451" s="38"/>
      <c r="T451" s="39">
        <v>204591.78</v>
      </c>
      <c r="U451" s="39">
        <v>103991.7587</v>
      </c>
      <c r="V451" s="40">
        <v>100600.0214</v>
      </c>
      <c r="W451" s="57" t="s">
        <v>530</v>
      </c>
      <c r="X451" s="42" t="s">
        <v>531</v>
      </c>
      <c r="Y451" s="42" t="str">
        <f>IFERROR(__xludf.DUMMYFUNCTION("vLOOKUP(A451,IMPORTRANGE(""https://docs.google.com/spreadsheets/d/1Rawwwdh8wntXGy8isdYNHxsNQS4n_rC8JSdPfj6vEq4"",""'500 объектов перенос на 2026'!A3:AB502""),13,0)"),"#REF!")</f>
        <v>#REF!</v>
      </c>
      <c r="Z451" s="42" t="str">
        <f>IFERROR(__xludf.DUMMYFUNCTION("vLOOKUP(A451,IMPORTRANGE(""https://docs.google.com/spreadsheets/d/1Rawwwdh8wntXGy8isdYNHxsNQS4n_rC8JSdPfj6vEq4"",""'500 объектов перенос на 2026'!A3:AB502""),14,0)"),"#REF!")</f>
        <v>#REF!</v>
      </c>
      <c r="AA451" s="85" t="s">
        <v>4476</v>
      </c>
      <c r="AB451" s="43"/>
    </row>
    <row r="452">
      <c r="A452" s="62" t="s">
        <v>278</v>
      </c>
      <c r="B452" s="106" t="s">
        <v>225</v>
      </c>
      <c r="C452" s="64" t="s">
        <v>279</v>
      </c>
      <c r="D452" s="64" t="s">
        <v>39</v>
      </c>
      <c r="E452" s="64">
        <v>10.0</v>
      </c>
      <c r="F452" s="288"/>
      <c r="G452" s="288"/>
      <c r="H452" s="64" t="s">
        <v>3527</v>
      </c>
      <c r="I452" s="64">
        <v>2023.0</v>
      </c>
      <c r="J452" s="64">
        <v>2026.0</v>
      </c>
      <c r="K452" s="287">
        <v>0.56</v>
      </c>
      <c r="L452" s="288"/>
      <c r="M452" s="285" t="s">
        <v>4472</v>
      </c>
      <c r="N452" s="35" t="s">
        <v>4477</v>
      </c>
      <c r="O452" s="35" t="s">
        <v>4478</v>
      </c>
      <c r="P452" s="35" t="s">
        <v>284</v>
      </c>
      <c r="Q452" s="35" t="s">
        <v>284</v>
      </c>
      <c r="R452" s="56"/>
      <c r="S452" s="38"/>
      <c r="T452" s="39">
        <v>202130.67</v>
      </c>
      <c r="U452" s="39">
        <v>117512.5689</v>
      </c>
      <c r="V452" s="40">
        <v>84618.1011</v>
      </c>
      <c r="W452" s="57" t="s">
        <v>286</v>
      </c>
      <c r="X452" s="42" t="s">
        <v>287</v>
      </c>
      <c r="Y452" s="42" t="str">
        <f>IFERROR(__xludf.DUMMYFUNCTION("vLOOKUP(A452,IMPORTRANGE(""https://docs.google.com/spreadsheets/d/1Rawwwdh8wntXGy8isdYNHxsNQS4n_rC8JSdPfj6vEq4"",""'500 объектов перенос на 2026'!A3:AB502""),13,0)"),"#REF!")</f>
        <v>#REF!</v>
      </c>
      <c r="Z452" s="42" t="str">
        <f>IFERROR(__xludf.DUMMYFUNCTION("vLOOKUP(A452,IMPORTRANGE(""https://docs.google.com/spreadsheets/d/1Rawwwdh8wntXGy8isdYNHxsNQS4n_rC8JSdPfj6vEq4"",""'500 объектов перенос на 2026'!A3:AB502""),14,0)"),"#REF!")</f>
        <v>#REF!</v>
      </c>
      <c r="AA452" s="85" t="s">
        <v>4479</v>
      </c>
      <c r="AB452" s="43"/>
    </row>
    <row r="453">
      <c r="A453" s="62" t="s">
        <v>224</v>
      </c>
      <c r="B453" s="63" t="s">
        <v>225</v>
      </c>
      <c r="C453" s="64" t="s">
        <v>226</v>
      </c>
      <c r="D453" s="64" t="s">
        <v>39</v>
      </c>
      <c r="E453" s="64">
        <v>15.0</v>
      </c>
      <c r="F453" s="288"/>
      <c r="G453" s="288"/>
      <c r="H453" s="64" t="s">
        <v>3527</v>
      </c>
      <c r="I453" s="64">
        <v>2024.0</v>
      </c>
      <c r="J453" s="64">
        <v>2026.0</v>
      </c>
      <c r="K453" s="287">
        <v>0.83</v>
      </c>
      <c r="L453" s="288"/>
      <c r="M453" s="285" t="s">
        <v>4480</v>
      </c>
      <c r="N453" s="35" t="s">
        <v>3311</v>
      </c>
      <c r="O453" s="35" t="s">
        <v>4481</v>
      </c>
      <c r="P453" s="35" t="s">
        <v>73</v>
      </c>
      <c r="Q453" s="37">
        <v>46230.0</v>
      </c>
      <c r="R453" s="56"/>
      <c r="S453" s="38"/>
      <c r="T453" s="39">
        <v>188344.94</v>
      </c>
      <c r="U453" s="39">
        <v>56503.48246</v>
      </c>
      <c r="V453" s="40">
        <v>131841.4575</v>
      </c>
      <c r="W453" s="57" t="s">
        <v>3315</v>
      </c>
      <c r="X453" s="42" t="s">
        <v>3316</v>
      </c>
      <c r="Y453" s="42" t="str">
        <f>IFERROR(__xludf.DUMMYFUNCTION("vLOOKUP(A453,IMPORTRANGE(""https://docs.google.com/spreadsheets/d/1Rawwwdh8wntXGy8isdYNHxsNQS4n_rC8JSdPfj6vEq4"",""'500 объектов перенос на 2026'!A3:AB502""),13,0)"),"#REF!")</f>
        <v>#REF!</v>
      </c>
      <c r="Z453" s="42" t="str">
        <f>IFERROR(__xludf.DUMMYFUNCTION("vLOOKUP(A453,IMPORTRANGE(""https://docs.google.com/spreadsheets/d/1Rawwwdh8wntXGy8isdYNHxsNQS4n_rC8JSdPfj6vEq4"",""'500 объектов перенос на 2026'!A3:AB502""),14,0)"),"#REF!")</f>
        <v>#REF!</v>
      </c>
      <c r="AA453" s="85" t="s">
        <v>4482</v>
      </c>
      <c r="AB453" s="43"/>
    </row>
    <row r="454">
      <c r="A454" s="62" t="s">
        <v>2173</v>
      </c>
      <c r="B454" s="63" t="s">
        <v>225</v>
      </c>
      <c r="C454" s="64" t="s">
        <v>2174</v>
      </c>
      <c r="D454" s="64" t="s">
        <v>59</v>
      </c>
      <c r="E454" s="64">
        <v>38.6</v>
      </c>
      <c r="F454" s="288"/>
      <c r="G454" s="288"/>
      <c r="H454" s="64" t="s">
        <v>3512</v>
      </c>
      <c r="I454" s="64">
        <v>2024.0</v>
      </c>
      <c r="J454" s="64">
        <v>2026.0</v>
      </c>
      <c r="K454" s="287">
        <v>0.7</v>
      </c>
      <c r="L454" s="288"/>
      <c r="M454" s="289" t="s">
        <v>4483</v>
      </c>
      <c r="N454" s="35">
        <v>0.0</v>
      </c>
      <c r="O454" s="35" t="s">
        <v>3520</v>
      </c>
      <c r="P454" s="35" t="s">
        <v>73</v>
      </c>
      <c r="Q454" s="37">
        <v>46204.0</v>
      </c>
      <c r="R454" s="56"/>
      <c r="S454" s="38"/>
      <c r="T454" s="39">
        <v>20645.45</v>
      </c>
      <c r="U454" s="39">
        <v>7128.6159</v>
      </c>
      <c r="V454" s="40">
        <v>13516.8341</v>
      </c>
      <c r="W454" s="99" t="s">
        <v>2182</v>
      </c>
      <c r="X454" s="42" t="s">
        <v>2183</v>
      </c>
      <c r="Y454" s="42" t="str">
        <f>IFERROR(__xludf.DUMMYFUNCTION("vLOOKUP(A454,IMPORTRANGE(""https://docs.google.com/spreadsheets/d/1Rawwwdh8wntXGy8isdYNHxsNQS4n_rC8JSdPfj6vEq4"",""'500 объектов перенос на 2026'!A3:AB502""),13,0)"),"#REF!")</f>
        <v>#REF!</v>
      </c>
      <c r="Z454" s="42" t="str">
        <f>IFERROR(__xludf.DUMMYFUNCTION("vLOOKUP(A454,IMPORTRANGE(""https://docs.google.com/spreadsheets/d/1Rawwwdh8wntXGy8isdYNHxsNQS4n_rC8JSdPfj6vEq4"",""'500 объектов перенос на 2026'!A3:AB502""),14,0)"),"#REF!")</f>
        <v>#REF!</v>
      </c>
      <c r="AA454" s="85" t="s">
        <v>4482</v>
      </c>
      <c r="AB454" s="43"/>
    </row>
    <row r="455">
      <c r="A455" s="62" t="s">
        <v>2255</v>
      </c>
      <c r="B455" s="63" t="s">
        <v>225</v>
      </c>
      <c r="C455" s="64" t="s">
        <v>2256</v>
      </c>
      <c r="D455" s="64" t="s">
        <v>59</v>
      </c>
      <c r="E455" s="64">
        <v>39.0</v>
      </c>
      <c r="F455" s="288"/>
      <c r="G455" s="288"/>
      <c r="H455" s="64" t="s">
        <v>3512</v>
      </c>
      <c r="I455" s="64">
        <v>2024.0</v>
      </c>
      <c r="J455" s="64">
        <v>2026.0</v>
      </c>
      <c r="K455" s="287">
        <v>0.7</v>
      </c>
      <c r="L455" s="288"/>
      <c r="M455" s="289" t="s">
        <v>4484</v>
      </c>
      <c r="N455" s="35">
        <v>0.0</v>
      </c>
      <c r="O455" s="35" t="s">
        <v>3520</v>
      </c>
      <c r="P455" s="35" t="s">
        <v>73</v>
      </c>
      <c r="Q455" s="37">
        <v>46204.0</v>
      </c>
      <c r="R455" s="56"/>
      <c r="S455" s="38"/>
      <c r="T455" s="39">
        <v>19035.68</v>
      </c>
      <c r="U455" s="39">
        <v>7145.78589</v>
      </c>
      <c r="V455" s="40">
        <v>11889.89411</v>
      </c>
      <c r="W455" s="99" t="s">
        <v>2261</v>
      </c>
      <c r="X455" s="42" t="s">
        <v>2262</v>
      </c>
      <c r="Y455" s="42" t="str">
        <f>IFERROR(__xludf.DUMMYFUNCTION("vLOOKUP(A455,IMPORTRANGE(""https://docs.google.com/spreadsheets/d/1Rawwwdh8wntXGy8isdYNHxsNQS4n_rC8JSdPfj6vEq4"",""'500 объектов перенос на 2026'!A3:AB502""),13,0)"),"#REF!")</f>
        <v>#REF!</v>
      </c>
      <c r="Z455" s="42" t="str">
        <f>IFERROR(__xludf.DUMMYFUNCTION("vLOOKUP(A455,IMPORTRANGE(""https://docs.google.com/spreadsheets/d/1Rawwwdh8wntXGy8isdYNHxsNQS4n_rC8JSdPfj6vEq4"",""'500 объектов перенос на 2026'!A3:AB502""),14,0)"),"#REF!")</f>
        <v>#REF!</v>
      </c>
      <c r="AA455" s="85" t="s">
        <v>4482</v>
      </c>
      <c r="AB455" s="43"/>
    </row>
    <row r="456">
      <c r="A456" s="62" t="s">
        <v>2919</v>
      </c>
      <c r="B456" s="111" t="s">
        <v>225</v>
      </c>
      <c r="C456" s="64" t="s">
        <v>2920</v>
      </c>
      <c r="D456" s="64" t="s">
        <v>59</v>
      </c>
      <c r="E456" s="64">
        <v>6.0</v>
      </c>
      <c r="F456" s="288"/>
      <c r="G456" s="288"/>
      <c r="H456" s="64" t="s">
        <v>3512</v>
      </c>
      <c r="I456" s="64">
        <v>2024.0</v>
      </c>
      <c r="J456" s="64">
        <v>2026.0</v>
      </c>
      <c r="K456" s="287">
        <v>0.2</v>
      </c>
      <c r="L456" s="288"/>
      <c r="M456" s="285" t="s">
        <v>4485</v>
      </c>
      <c r="N456" s="35">
        <v>0.0</v>
      </c>
      <c r="O456" s="35" t="s">
        <v>4485</v>
      </c>
      <c r="P456" s="35" t="s">
        <v>284</v>
      </c>
      <c r="Q456" s="35" t="s">
        <v>284</v>
      </c>
      <c r="R456" s="56"/>
      <c r="S456" s="38"/>
      <c r="T456" s="39">
        <v>2702.79</v>
      </c>
      <c r="U456" s="39">
        <v>824.26298</v>
      </c>
      <c r="V456" s="40">
        <v>1878.52702</v>
      </c>
      <c r="W456" s="57" t="s">
        <v>2924</v>
      </c>
      <c r="X456" s="42" t="s">
        <v>2925</v>
      </c>
      <c r="Y456" s="42" t="str">
        <f>IFERROR(__xludf.DUMMYFUNCTION("vLOOKUP(A456,IMPORTRANGE(""https://docs.google.com/spreadsheets/d/1Rawwwdh8wntXGy8isdYNHxsNQS4n_rC8JSdPfj6vEq4"",""'500 объектов перенос на 2026'!A3:AB502""),13,0)"),"#REF!")</f>
        <v>#REF!</v>
      </c>
      <c r="Z456" s="42" t="str">
        <f>IFERROR(__xludf.DUMMYFUNCTION("vLOOKUP(A456,IMPORTRANGE(""https://docs.google.com/spreadsheets/d/1Rawwwdh8wntXGy8isdYNHxsNQS4n_rC8JSdPfj6vEq4"",""'500 объектов перенос на 2026'!A3:AB502""),14,0)"),"#REF!")</f>
        <v>#REF!</v>
      </c>
      <c r="AA456" s="85" t="s">
        <v>4486</v>
      </c>
      <c r="AB456" s="43"/>
    </row>
    <row r="457">
      <c r="A457" s="62" t="s">
        <v>2927</v>
      </c>
      <c r="B457" s="111" t="s">
        <v>225</v>
      </c>
      <c r="C457" s="64" t="s">
        <v>2928</v>
      </c>
      <c r="D457" s="64" t="s">
        <v>59</v>
      </c>
      <c r="E457" s="64">
        <v>5.7</v>
      </c>
      <c r="F457" s="288"/>
      <c r="G457" s="288"/>
      <c r="H457" s="64" t="s">
        <v>3512</v>
      </c>
      <c r="I457" s="64">
        <v>2024.0</v>
      </c>
      <c r="J457" s="64">
        <v>2026.0</v>
      </c>
      <c r="K457" s="287">
        <v>0.14</v>
      </c>
      <c r="L457" s="288"/>
      <c r="M457" s="285" t="s">
        <v>4487</v>
      </c>
      <c r="N457" s="35">
        <v>0.0</v>
      </c>
      <c r="O457" s="35" t="s">
        <v>4487</v>
      </c>
      <c r="P457" s="35" t="s">
        <v>284</v>
      </c>
      <c r="Q457" s="35" t="s">
        <v>284</v>
      </c>
      <c r="R457" s="56"/>
      <c r="S457" s="38"/>
      <c r="T457" s="39">
        <v>4046.51</v>
      </c>
      <c r="U457" s="39">
        <v>1384.12892</v>
      </c>
      <c r="V457" s="40">
        <v>2662.38108</v>
      </c>
      <c r="W457" s="57" t="s">
        <v>2929</v>
      </c>
      <c r="X457" s="42" t="s">
        <v>2930</v>
      </c>
      <c r="Y457" s="42" t="str">
        <f>IFERROR(__xludf.DUMMYFUNCTION("vLOOKUP(A457,IMPORTRANGE(""https://docs.google.com/spreadsheets/d/1Rawwwdh8wntXGy8isdYNHxsNQS4n_rC8JSdPfj6vEq4"",""'500 объектов перенос на 2026'!A3:AB502""),13,0)"),"#REF!")</f>
        <v>#REF!</v>
      </c>
      <c r="Z457" s="42" t="str">
        <f>IFERROR(__xludf.DUMMYFUNCTION("vLOOKUP(A457,IMPORTRANGE(""https://docs.google.com/spreadsheets/d/1Rawwwdh8wntXGy8isdYNHxsNQS4n_rC8JSdPfj6vEq4"",""'500 объектов перенос на 2026'!A3:AB502""),14,0)"),"#REF!")</f>
        <v>#REF!</v>
      </c>
      <c r="AA457" s="85" t="s">
        <v>4488</v>
      </c>
      <c r="AB457" s="43"/>
    </row>
    <row r="458">
      <c r="A458" s="62" t="s">
        <v>2931</v>
      </c>
      <c r="B458" s="111" t="s">
        <v>225</v>
      </c>
      <c r="C458" s="64" t="s">
        <v>2932</v>
      </c>
      <c r="D458" s="64" t="s">
        <v>59</v>
      </c>
      <c r="E458" s="64">
        <v>5.0</v>
      </c>
      <c r="F458" s="288"/>
      <c r="G458" s="288"/>
      <c r="H458" s="64" t="s">
        <v>3512</v>
      </c>
      <c r="I458" s="64">
        <v>2024.0</v>
      </c>
      <c r="J458" s="64">
        <v>2026.0</v>
      </c>
      <c r="K458" s="287">
        <v>0.2</v>
      </c>
      <c r="L458" s="288"/>
      <c r="M458" s="285" t="s">
        <v>4489</v>
      </c>
      <c r="N458" s="35">
        <v>0.0</v>
      </c>
      <c r="O458" s="35" t="s">
        <v>4489</v>
      </c>
      <c r="P458" s="35" t="s">
        <v>284</v>
      </c>
      <c r="Q458" s="35" t="s">
        <v>284</v>
      </c>
      <c r="R458" s="56"/>
      <c r="S458" s="38"/>
      <c r="T458" s="39">
        <v>3513.98</v>
      </c>
      <c r="U458" s="39">
        <v>1436.35169</v>
      </c>
      <c r="V458" s="40">
        <v>2077.62831</v>
      </c>
      <c r="W458" s="57" t="s">
        <v>2933</v>
      </c>
      <c r="X458" s="42" t="s">
        <v>2934</v>
      </c>
      <c r="Y458" s="42" t="str">
        <f>IFERROR(__xludf.DUMMYFUNCTION("vLOOKUP(A458,IMPORTRANGE(""https://docs.google.com/spreadsheets/d/1Rawwwdh8wntXGy8isdYNHxsNQS4n_rC8JSdPfj6vEq4"",""'500 объектов перенос на 2026'!A3:AB502""),13,0)"),"#REF!")</f>
        <v>#REF!</v>
      </c>
      <c r="Z458" s="42" t="str">
        <f>IFERROR(__xludf.DUMMYFUNCTION("vLOOKUP(A458,IMPORTRANGE(""https://docs.google.com/spreadsheets/d/1Rawwwdh8wntXGy8isdYNHxsNQS4n_rC8JSdPfj6vEq4"",""'500 объектов перенос на 2026'!A3:AB502""),14,0)"),"#REF!")</f>
        <v>#REF!</v>
      </c>
      <c r="AA458" s="85" t="s">
        <v>4490</v>
      </c>
      <c r="AB458" s="43"/>
    </row>
    <row r="459">
      <c r="A459" s="62" t="s">
        <v>2935</v>
      </c>
      <c r="B459" s="111" t="s">
        <v>225</v>
      </c>
      <c r="C459" s="64" t="s">
        <v>2936</v>
      </c>
      <c r="D459" s="64" t="s">
        <v>59</v>
      </c>
      <c r="E459" s="64">
        <v>18.0</v>
      </c>
      <c r="F459" s="288"/>
      <c r="G459" s="288"/>
      <c r="H459" s="64" t="s">
        <v>3512</v>
      </c>
      <c r="I459" s="64">
        <v>2024.0</v>
      </c>
      <c r="J459" s="64">
        <v>2026.0</v>
      </c>
      <c r="K459" s="287">
        <v>0.2</v>
      </c>
      <c r="L459" s="288"/>
      <c r="M459" s="285" t="s">
        <v>3568</v>
      </c>
      <c r="N459" s="35" t="s">
        <v>3568</v>
      </c>
      <c r="O459" s="35" t="s">
        <v>3568</v>
      </c>
      <c r="P459" s="35" t="s">
        <v>284</v>
      </c>
      <c r="Q459" s="35" t="s">
        <v>284</v>
      </c>
      <c r="R459" s="56"/>
      <c r="S459" s="38"/>
      <c r="T459" s="39">
        <v>4632.94</v>
      </c>
      <c r="U459" s="39">
        <v>1389.8792</v>
      </c>
      <c r="V459" s="40">
        <v>3243.0608</v>
      </c>
      <c r="W459" s="57" t="s">
        <v>2938</v>
      </c>
      <c r="X459" s="42" t="s">
        <v>2939</v>
      </c>
      <c r="Y459" s="42" t="str">
        <f>IFERROR(__xludf.DUMMYFUNCTION("vLOOKUP(A459,IMPORTRANGE(""https://docs.google.com/spreadsheets/d/1Rawwwdh8wntXGy8isdYNHxsNQS4n_rC8JSdPfj6vEq4"",""'500 объектов перенос на 2026'!A3:AB502""),13,0)"),"#REF!")</f>
        <v>#REF!</v>
      </c>
      <c r="Z459" s="42" t="str">
        <f>IFERROR(__xludf.DUMMYFUNCTION("vLOOKUP(A459,IMPORTRANGE(""https://docs.google.com/spreadsheets/d/1Rawwwdh8wntXGy8isdYNHxsNQS4n_rC8JSdPfj6vEq4"",""'500 объектов перенос на 2026'!A3:AB502""),14,0)"),"#REF!")</f>
        <v>#REF!</v>
      </c>
      <c r="AA459" s="85" t="s">
        <v>4491</v>
      </c>
      <c r="AB459" s="43"/>
    </row>
    <row r="460">
      <c r="A460" s="62" t="s">
        <v>2941</v>
      </c>
      <c r="B460" s="111" t="s">
        <v>225</v>
      </c>
      <c r="C460" s="64" t="s">
        <v>2942</v>
      </c>
      <c r="D460" s="64" t="s">
        <v>39</v>
      </c>
      <c r="E460" s="64">
        <v>10.0</v>
      </c>
      <c r="F460" s="288"/>
      <c r="G460" s="288"/>
      <c r="H460" s="64" t="s">
        <v>3527</v>
      </c>
      <c r="I460" s="64">
        <v>2024.0</v>
      </c>
      <c r="J460" s="64">
        <v>2026.0</v>
      </c>
      <c r="K460" s="287">
        <v>0.15</v>
      </c>
      <c r="L460" s="288"/>
      <c r="M460" s="285" t="s">
        <v>3568</v>
      </c>
      <c r="N460" s="35" t="s">
        <v>3568</v>
      </c>
      <c r="O460" s="35" t="s">
        <v>3568</v>
      </c>
      <c r="P460" s="35" t="s">
        <v>284</v>
      </c>
      <c r="Q460" s="35" t="s">
        <v>284</v>
      </c>
      <c r="R460" s="56"/>
      <c r="S460" s="38"/>
      <c r="T460" s="39">
        <v>189190.43</v>
      </c>
      <c r="U460" s="39">
        <v>57198.70246</v>
      </c>
      <c r="V460" s="40">
        <v>131991.7275</v>
      </c>
      <c r="W460" s="57" t="s">
        <v>2945</v>
      </c>
      <c r="X460" s="42" t="s">
        <v>2946</v>
      </c>
      <c r="Y460" s="42" t="str">
        <f>IFERROR(__xludf.DUMMYFUNCTION("vLOOKUP(A460,IMPORTRANGE(""https://docs.google.com/spreadsheets/d/1Rawwwdh8wntXGy8isdYNHxsNQS4n_rC8JSdPfj6vEq4"",""'500 объектов перенос на 2026'!A3:AB502""),13,0)"),"#REF!")</f>
        <v>#REF!</v>
      </c>
      <c r="Z460" s="42" t="str">
        <f>IFERROR(__xludf.DUMMYFUNCTION("vLOOKUP(A460,IMPORTRANGE(""https://docs.google.com/spreadsheets/d/1Rawwwdh8wntXGy8isdYNHxsNQS4n_rC8JSdPfj6vEq4"",""'500 объектов перенос на 2026'!A3:AB502""),14,0)"),"#REF!")</f>
        <v>#REF!</v>
      </c>
      <c r="AA460" s="85" t="s">
        <v>4492</v>
      </c>
      <c r="AB460" s="43"/>
    </row>
    <row r="461">
      <c r="A461" s="62" t="s">
        <v>563</v>
      </c>
      <c r="B461" s="63" t="s">
        <v>225</v>
      </c>
      <c r="C461" s="64" t="s">
        <v>564</v>
      </c>
      <c r="D461" s="64" t="s">
        <v>85</v>
      </c>
      <c r="E461" s="288"/>
      <c r="F461" s="288"/>
      <c r="G461" s="311" t="s">
        <v>4493</v>
      </c>
      <c r="H461" s="64" t="s">
        <v>3593</v>
      </c>
      <c r="I461" s="64">
        <v>2024.0</v>
      </c>
      <c r="J461" s="64">
        <v>2025.0</v>
      </c>
      <c r="K461" s="287">
        <v>0.0</v>
      </c>
      <c r="L461" s="288"/>
      <c r="M461" s="285" t="s">
        <v>3568</v>
      </c>
      <c r="N461" s="35" t="s">
        <v>3568</v>
      </c>
      <c r="O461" s="35" t="s">
        <v>3568</v>
      </c>
      <c r="P461" s="35" t="s">
        <v>49</v>
      </c>
      <c r="Q461" s="290">
        <v>46384.0</v>
      </c>
      <c r="R461" s="56"/>
      <c r="S461" s="38" t="s">
        <v>567</v>
      </c>
      <c r="T461" s="39" t="s">
        <v>568</v>
      </c>
      <c r="U461" s="39">
        <v>40921.19</v>
      </c>
      <c r="V461" s="40">
        <v>95482.79</v>
      </c>
      <c r="W461" s="57" t="s">
        <v>569</v>
      </c>
      <c r="X461" s="42" t="s">
        <v>570</v>
      </c>
      <c r="Y461" s="42" t="str">
        <f>IFERROR(__xludf.DUMMYFUNCTION("vLOOKUP(A461,IMPORTRANGE(""https://docs.google.com/spreadsheets/d/1Rawwwdh8wntXGy8isdYNHxsNQS4n_rC8JSdPfj6vEq4"",""'500 объектов перенос на 2026'!A3:AB502""),13,0)"),"#REF!")</f>
        <v>#REF!</v>
      </c>
      <c r="Z461" s="42" t="str">
        <f>IFERROR(__xludf.DUMMYFUNCTION("vLOOKUP(A461,IMPORTRANGE(""https://docs.google.com/spreadsheets/d/1Rawwwdh8wntXGy8isdYNHxsNQS4n_rC8JSdPfj6vEq4"",""'500 объектов перенос на 2026'!A3:AB502""),14,0)"),"#REF!")</f>
        <v>#REF!</v>
      </c>
      <c r="AA461" s="85" t="s">
        <v>4494</v>
      </c>
      <c r="AB461" s="43"/>
    </row>
    <row r="462">
      <c r="A462" s="62" t="s">
        <v>2952</v>
      </c>
      <c r="B462" s="63" t="s">
        <v>225</v>
      </c>
      <c r="C462" s="64" t="s">
        <v>2953</v>
      </c>
      <c r="D462" s="64" t="s">
        <v>85</v>
      </c>
      <c r="E462" s="288"/>
      <c r="F462" s="64" t="s">
        <v>3550</v>
      </c>
      <c r="G462" s="64">
        <v>220.0</v>
      </c>
      <c r="H462" s="64" t="s">
        <v>3512</v>
      </c>
      <c r="I462" s="64">
        <v>2024.0</v>
      </c>
      <c r="J462" s="64">
        <v>2025.0</v>
      </c>
      <c r="K462" s="287">
        <v>1.0</v>
      </c>
      <c r="L462" s="292" t="s">
        <v>3528</v>
      </c>
      <c r="M462" s="289" t="s">
        <v>4495</v>
      </c>
      <c r="N462" s="35" t="s">
        <v>4496</v>
      </c>
      <c r="O462" s="35" t="s">
        <v>3520</v>
      </c>
      <c r="P462" s="35" t="s">
        <v>113</v>
      </c>
      <c r="Q462" s="38" t="s">
        <v>1219</v>
      </c>
      <c r="R462" s="38" t="s">
        <v>115</v>
      </c>
      <c r="S462" s="38"/>
      <c r="T462" s="39">
        <v>14960.72</v>
      </c>
      <c r="U462" s="39">
        <v>13505.01693</v>
      </c>
      <c r="V462" s="39">
        <v>1455.70307</v>
      </c>
      <c r="W462" s="57" t="s">
        <v>2955</v>
      </c>
      <c r="X462" s="42" t="s">
        <v>2956</v>
      </c>
      <c r="Y462" s="42" t="str">
        <f>IFERROR(__xludf.DUMMYFUNCTION("vLOOKUP(A462,IMPORTRANGE(""https://docs.google.com/spreadsheets/d/1Rawwwdh8wntXGy8isdYNHxsNQS4n_rC8JSdPfj6vEq4"",""'500 объектов перенос на 2026'!A3:AB502""),13,0)"),"#REF!")</f>
        <v>#REF!</v>
      </c>
      <c r="Z462" s="42" t="str">
        <f>IFERROR(__xludf.DUMMYFUNCTION("vLOOKUP(A462,IMPORTRANGE(""https://docs.google.com/spreadsheets/d/1Rawwwdh8wntXGy8isdYNHxsNQS4n_rC8JSdPfj6vEq4"",""'500 объектов перенос на 2026'!A3:AB502""),14,0)"),"#REF!")</f>
        <v>#REF!</v>
      </c>
      <c r="AA462" s="85" t="s">
        <v>175</v>
      </c>
      <c r="AB462" s="43"/>
    </row>
    <row r="463">
      <c r="A463" s="62" t="s">
        <v>2957</v>
      </c>
      <c r="B463" s="63" t="s">
        <v>225</v>
      </c>
      <c r="C463" s="64" t="s">
        <v>2958</v>
      </c>
      <c r="D463" s="64" t="s">
        <v>85</v>
      </c>
      <c r="E463" s="288"/>
      <c r="F463" s="64" t="s">
        <v>3550</v>
      </c>
      <c r="G463" s="64">
        <v>160.0</v>
      </c>
      <c r="H463" s="64" t="s">
        <v>3512</v>
      </c>
      <c r="I463" s="64">
        <v>2024.0</v>
      </c>
      <c r="J463" s="294">
        <v>2025.0</v>
      </c>
      <c r="K463" s="287">
        <v>1.0</v>
      </c>
      <c r="L463" s="288"/>
      <c r="M463" s="285" t="s">
        <v>4497</v>
      </c>
      <c r="N463" s="35">
        <v>0.0</v>
      </c>
      <c r="O463" s="35" t="s">
        <v>4497</v>
      </c>
      <c r="P463" s="35" t="s">
        <v>113</v>
      </c>
      <c r="Q463" s="38" t="s">
        <v>1219</v>
      </c>
      <c r="R463" s="38" t="s">
        <v>115</v>
      </c>
      <c r="S463" s="38"/>
      <c r="T463" s="39">
        <v>10264.88</v>
      </c>
      <c r="U463" s="39">
        <v>8800.99461</v>
      </c>
      <c r="V463" s="39">
        <v>1463.88539</v>
      </c>
      <c r="W463" s="57" t="s">
        <v>2959</v>
      </c>
      <c r="X463" s="42" t="s">
        <v>2960</v>
      </c>
      <c r="Y463" s="42" t="str">
        <f>IFERROR(__xludf.DUMMYFUNCTION("vLOOKUP(A463,IMPORTRANGE(""https://docs.google.com/spreadsheets/d/1Rawwwdh8wntXGy8isdYNHxsNQS4n_rC8JSdPfj6vEq4"",""'500 объектов перенос на 2026'!A3:AB502""),13,0)"),"#REF!")</f>
        <v>#REF!</v>
      </c>
      <c r="Z463" s="42" t="str">
        <f>IFERROR(__xludf.DUMMYFUNCTION("vLOOKUP(A463,IMPORTRANGE(""https://docs.google.com/spreadsheets/d/1Rawwwdh8wntXGy8isdYNHxsNQS4n_rC8JSdPfj6vEq4"",""'500 объектов перенос на 2026'!A3:AB502""),14,0)"),"#REF!")</f>
        <v>#REF!</v>
      </c>
      <c r="AA463" s="85" t="s">
        <v>175</v>
      </c>
      <c r="AB463" s="43"/>
    </row>
    <row r="464">
      <c r="A464" s="62" t="s">
        <v>2264</v>
      </c>
      <c r="B464" s="63" t="s">
        <v>225</v>
      </c>
      <c r="C464" s="64" t="s">
        <v>2265</v>
      </c>
      <c r="D464" s="64" t="s">
        <v>85</v>
      </c>
      <c r="E464" s="288"/>
      <c r="F464" s="64" t="s">
        <v>3550</v>
      </c>
      <c r="G464" s="64">
        <v>250.0</v>
      </c>
      <c r="H464" s="64" t="s">
        <v>3512</v>
      </c>
      <c r="I464" s="64">
        <v>2025.0</v>
      </c>
      <c r="J464" s="64">
        <v>2026.0</v>
      </c>
      <c r="K464" s="287">
        <v>0.99</v>
      </c>
      <c r="L464" s="288"/>
      <c r="M464" s="285" t="s">
        <v>4498</v>
      </c>
      <c r="N464" s="35">
        <v>0.0</v>
      </c>
      <c r="O464" s="35" t="s">
        <v>4498</v>
      </c>
      <c r="P464" s="35" t="s">
        <v>49</v>
      </c>
      <c r="Q464" s="37">
        <v>46220.0</v>
      </c>
      <c r="R464" s="56"/>
      <c r="S464" s="38"/>
      <c r="T464" s="39">
        <v>16970.0</v>
      </c>
      <c r="U464" s="39">
        <v>5091.0</v>
      </c>
      <c r="V464" s="40">
        <v>11879.0</v>
      </c>
      <c r="W464" s="57" t="s">
        <v>2269</v>
      </c>
      <c r="X464" s="42" t="s">
        <v>2270</v>
      </c>
      <c r="Y464" s="42" t="str">
        <f>IFERROR(__xludf.DUMMYFUNCTION("vLOOKUP(A464,IMPORTRANGE(""https://docs.google.com/spreadsheets/d/1Rawwwdh8wntXGy8isdYNHxsNQS4n_rC8JSdPfj6vEq4"",""'500 объектов перенос на 2026'!A3:AB502""),13,0)"),"#REF!")</f>
        <v>#REF!</v>
      </c>
      <c r="Z464" s="42" t="str">
        <f>IFERROR(__xludf.DUMMYFUNCTION("vLOOKUP(A464,IMPORTRANGE(""https://docs.google.com/spreadsheets/d/1Rawwwdh8wntXGy8isdYNHxsNQS4n_rC8JSdPfj6vEq4"",""'500 объектов перенос на 2026'!A3:AB502""),14,0)"),"#REF!")</f>
        <v>#REF!</v>
      </c>
      <c r="AA464" s="85" t="s">
        <v>4499</v>
      </c>
      <c r="AB464" s="43"/>
    </row>
    <row r="465">
      <c r="A465" s="62" t="s">
        <v>2968</v>
      </c>
      <c r="B465" s="63" t="s">
        <v>225</v>
      </c>
      <c r="C465" s="64" t="s">
        <v>2969</v>
      </c>
      <c r="D465" s="64" t="s">
        <v>85</v>
      </c>
      <c r="E465" s="288"/>
      <c r="F465" s="64" t="s">
        <v>3550</v>
      </c>
      <c r="G465" s="64">
        <v>120.0</v>
      </c>
      <c r="H465" s="64" t="s">
        <v>3512</v>
      </c>
      <c r="I465" s="64">
        <v>2025.0</v>
      </c>
      <c r="J465" s="294">
        <v>2025.0</v>
      </c>
      <c r="K465" s="287">
        <v>1.0</v>
      </c>
      <c r="L465" s="292" t="s">
        <v>3528</v>
      </c>
      <c r="M465" s="289" t="s">
        <v>4500</v>
      </c>
      <c r="N465" s="35">
        <v>0.0</v>
      </c>
      <c r="O465" s="35" t="s">
        <v>3520</v>
      </c>
      <c r="P465" s="35" t="s">
        <v>113</v>
      </c>
      <c r="Q465" s="38" t="s">
        <v>1219</v>
      </c>
      <c r="R465" s="38" t="s">
        <v>115</v>
      </c>
      <c r="S465" s="38"/>
      <c r="T465" s="39">
        <v>8169.6</v>
      </c>
      <c r="U465" s="39">
        <v>4649.20759</v>
      </c>
      <c r="V465" s="39">
        <v>3520.39241</v>
      </c>
      <c r="W465" s="57" t="s">
        <v>2971</v>
      </c>
      <c r="X465" s="42" t="s">
        <v>2972</v>
      </c>
      <c r="Y465" s="42" t="str">
        <f>IFERROR(__xludf.DUMMYFUNCTION("vLOOKUP(A465,IMPORTRANGE(""https://docs.google.com/spreadsheets/d/1Rawwwdh8wntXGy8isdYNHxsNQS4n_rC8JSdPfj6vEq4"",""'500 объектов перенос на 2026'!A3:AB502""),13,0)"),"#REF!")</f>
        <v>#REF!</v>
      </c>
      <c r="Z465" s="42" t="str">
        <f>IFERROR(__xludf.DUMMYFUNCTION("vLOOKUP(A465,IMPORTRANGE(""https://docs.google.com/spreadsheets/d/1Rawwwdh8wntXGy8isdYNHxsNQS4n_rC8JSdPfj6vEq4"",""'500 объектов перенос на 2026'!A3:AB502""),14,0)"),"#REF!")</f>
        <v>#REF!</v>
      </c>
      <c r="AA465" s="85" t="s">
        <v>175</v>
      </c>
      <c r="AB465" s="43"/>
    </row>
    <row r="466">
      <c r="A466" s="62" t="s">
        <v>2973</v>
      </c>
      <c r="B466" s="63" t="s">
        <v>225</v>
      </c>
      <c r="C466" s="144" t="s">
        <v>2974</v>
      </c>
      <c r="D466" s="64" t="s">
        <v>85</v>
      </c>
      <c r="E466" s="288"/>
      <c r="F466" s="288"/>
      <c r="G466" s="291" t="s">
        <v>4501</v>
      </c>
      <c r="H466" s="64" t="s">
        <v>3593</v>
      </c>
      <c r="I466" s="64">
        <v>2025.0</v>
      </c>
      <c r="J466" s="64">
        <v>2025.0</v>
      </c>
      <c r="K466" s="287">
        <v>1.0</v>
      </c>
      <c r="L466" s="292" t="s">
        <v>3528</v>
      </c>
      <c r="M466" s="285" t="s">
        <v>3568</v>
      </c>
      <c r="N466" s="35" t="s">
        <v>3568</v>
      </c>
      <c r="O466" s="35" t="s">
        <v>3568</v>
      </c>
      <c r="P466" s="35" t="s">
        <v>113</v>
      </c>
      <c r="Q466" s="38" t="s">
        <v>1219</v>
      </c>
      <c r="R466" s="38" t="s">
        <v>115</v>
      </c>
      <c r="S466" s="38"/>
      <c r="T466" s="102">
        <v>216000.01</v>
      </c>
      <c r="U466" s="102">
        <v>0.0</v>
      </c>
      <c r="V466" s="39">
        <v>216000.01</v>
      </c>
      <c r="W466" s="57" t="s">
        <v>2975</v>
      </c>
      <c r="X466" s="42" t="s">
        <v>2976</v>
      </c>
      <c r="Y466" s="42" t="str">
        <f>IFERROR(__xludf.DUMMYFUNCTION("vLOOKUP(A466,IMPORTRANGE(""https://docs.google.com/spreadsheets/d/1Rawwwdh8wntXGy8isdYNHxsNQS4n_rC8JSdPfj6vEq4"",""'500 объектов перенос на 2026'!A3:AB502""),13,0)"),"#REF!")</f>
        <v>#REF!</v>
      </c>
      <c r="Z466" s="42" t="str">
        <f>IFERROR(__xludf.DUMMYFUNCTION("vLOOKUP(A466,IMPORTRANGE(""https://docs.google.com/spreadsheets/d/1Rawwwdh8wntXGy8isdYNHxsNQS4n_rC8JSdPfj6vEq4"",""'500 объектов перенос на 2026'!A3:AB502""),14,0)"),"#REF!")</f>
        <v>#REF!</v>
      </c>
      <c r="AA466" s="85" t="s">
        <v>175</v>
      </c>
      <c r="AB466" s="43"/>
    </row>
    <row r="467">
      <c r="A467" s="62" t="s">
        <v>2977</v>
      </c>
      <c r="B467" s="63" t="s">
        <v>225</v>
      </c>
      <c r="C467" s="144" t="s">
        <v>2978</v>
      </c>
      <c r="D467" s="64" t="s">
        <v>324</v>
      </c>
      <c r="E467" s="64">
        <v>2.0</v>
      </c>
      <c r="F467" s="288"/>
      <c r="G467" s="288"/>
      <c r="H467" s="64" t="s">
        <v>3593</v>
      </c>
      <c r="I467" s="64">
        <v>2025.0</v>
      </c>
      <c r="J467" s="64">
        <v>2025.0</v>
      </c>
      <c r="K467" s="287">
        <v>1.0</v>
      </c>
      <c r="L467" s="292" t="s">
        <v>3528</v>
      </c>
      <c r="M467" s="285" t="s">
        <v>3568</v>
      </c>
      <c r="N467" s="35" t="s">
        <v>3568</v>
      </c>
      <c r="O467" s="35" t="s">
        <v>3568</v>
      </c>
      <c r="P467" s="35" t="s">
        <v>113</v>
      </c>
      <c r="Q467" s="38" t="s">
        <v>1219</v>
      </c>
      <c r="R467" s="38" t="s">
        <v>115</v>
      </c>
      <c r="S467" s="38"/>
      <c r="T467" s="39">
        <v>29722.73</v>
      </c>
      <c r="U467" s="102">
        <v>0.0</v>
      </c>
      <c r="V467" s="39">
        <v>29722.73</v>
      </c>
      <c r="W467" s="57" t="s">
        <v>2979</v>
      </c>
      <c r="X467" s="42" t="s">
        <v>2980</v>
      </c>
      <c r="Y467" s="42" t="str">
        <f>IFERROR(__xludf.DUMMYFUNCTION("vLOOKUP(A467,IMPORTRANGE(""https://docs.google.com/spreadsheets/d/1Rawwwdh8wntXGy8isdYNHxsNQS4n_rC8JSdPfj6vEq4"",""'500 объектов перенос на 2026'!A3:AB502""),13,0)"),"#REF!")</f>
        <v>#REF!</v>
      </c>
      <c r="Z467" s="42" t="str">
        <f>IFERROR(__xludf.DUMMYFUNCTION("vLOOKUP(A467,IMPORTRANGE(""https://docs.google.com/spreadsheets/d/1Rawwwdh8wntXGy8isdYNHxsNQS4n_rC8JSdPfj6vEq4"",""'500 объектов перенос на 2026'!A3:AB502""),14,0)"),"#REF!")</f>
        <v>#REF!</v>
      </c>
      <c r="AA467" s="85" t="s">
        <v>175</v>
      </c>
      <c r="AB467" s="43"/>
    </row>
    <row r="468">
      <c r="A468" s="62" t="s">
        <v>2981</v>
      </c>
      <c r="B468" s="63" t="s">
        <v>225</v>
      </c>
      <c r="C468" s="64" t="s">
        <v>2982</v>
      </c>
      <c r="D468" s="64" t="s">
        <v>324</v>
      </c>
      <c r="E468" s="64">
        <v>3.5</v>
      </c>
      <c r="F468" s="288"/>
      <c r="G468" s="288"/>
      <c r="H468" s="64" t="s">
        <v>3593</v>
      </c>
      <c r="I468" s="64">
        <v>2025.0</v>
      </c>
      <c r="J468" s="64">
        <v>2025.0</v>
      </c>
      <c r="K468" s="287">
        <v>1.0</v>
      </c>
      <c r="L468" s="292" t="s">
        <v>3528</v>
      </c>
      <c r="M468" s="285" t="s">
        <v>3568</v>
      </c>
      <c r="N468" s="35" t="s">
        <v>3568</v>
      </c>
      <c r="O468" s="35" t="s">
        <v>3568</v>
      </c>
      <c r="P468" s="35" t="s">
        <v>113</v>
      </c>
      <c r="Q468" s="38" t="s">
        <v>1219</v>
      </c>
      <c r="R468" s="38" t="s">
        <v>115</v>
      </c>
      <c r="S468" s="38"/>
      <c r="T468" s="102">
        <v>35741.0</v>
      </c>
      <c r="U468" s="39">
        <v>0.0</v>
      </c>
      <c r="V468" s="39">
        <v>35741.0</v>
      </c>
      <c r="W468" s="57" t="s">
        <v>2983</v>
      </c>
      <c r="X468" s="42" t="s">
        <v>2984</v>
      </c>
      <c r="Y468" s="42" t="str">
        <f>IFERROR(__xludf.DUMMYFUNCTION("vLOOKUP(A468,IMPORTRANGE(""https://docs.google.com/spreadsheets/d/1Rawwwdh8wntXGy8isdYNHxsNQS4n_rC8JSdPfj6vEq4"",""'500 объектов перенос на 2026'!A3:AB502""),13,0)"),"#REF!")</f>
        <v>#REF!</v>
      </c>
      <c r="Z468" s="42" t="str">
        <f>IFERROR(__xludf.DUMMYFUNCTION("vLOOKUP(A468,IMPORTRANGE(""https://docs.google.com/spreadsheets/d/1Rawwwdh8wntXGy8isdYNHxsNQS4n_rC8JSdPfj6vEq4"",""'500 объектов перенос на 2026'!A3:AB502""),14,0)"),"#REF!")</f>
        <v>#REF!</v>
      </c>
      <c r="AA468" s="85" t="s">
        <v>175</v>
      </c>
      <c r="AB468" s="43"/>
    </row>
    <row r="469">
      <c r="A469" s="62" t="s">
        <v>2985</v>
      </c>
      <c r="B469" s="63" t="s">
        <v>225</v>
      </c>
      <c r="C469" s="64" t="s">
        <v>2986</v>
      </c>
      <c r="D469" s="64" t="s">
        <v>324</v>
      </c>
      <c r="E469" s="64">
        <v>3.5</v>
      </c>
      <c r="F469" s="288"/>
      <c r="G469" s="288"/>
      <c r="H469" s="64" t="s">
        <v>3593</v>
      </c>
      <c r="I469" s="64">
        <v>2025.0</v>
      </c>
      <c r="J469" s="64">
        <v>2025.0</v>
      </c>
      <c r="K469" s="287">
        <v>1.0</v>
      </c>
      <c r="L469" s="292" t="s">
        <v>3528</v>
      </c>
      <c r="M469" s="285" t="s">
        <v>3568</v>
      </c>
      <c r="N469" s="35" t="s">
        <v>3568</v>
      </c>
      <c r="O469" s="35" t="s">
        <v>3568</v>
      </c>
      <c r="P469" s="35" t="s">
        <v>113</v>
      </c>
      <c r="Q469" s="38" t="s">
        <v>1219</v>
      </c>
      <c r="R469" s="38" t="s">
        <v>115</v>
      </c>
      <c r="S469" s="38"/>
      <c r="T469" s="39">
        <v>24269.7</v>
      </c>
      <c r="U469" s="39">
        <v>0.0</v>
      </c>
      <c r="V469" s="39">
        <v>24269.7</v>
      </c>
      <c r="W469" s="57" t="s">
        <v>2987</v>
      </c>
      <c r="X469" s="42" t="s">
        <v>2988</v>
      </c>
      <c r="Y469" s="42" t="str">
        <f>IFERROR(__xludf.DUMMYFUNCTION("vLOOKUP(A469,IMPORTRANGE(""https://docs.google.com/spreadsheets/d/1Rawwwdh8wntXGy8isdYNHxsNQS4n_rC8JSdPfj6vEq4"",""'500 объектов перенос на 2026'!A3:AB502""),13,0)"),"#REF!")</f>
        <v>#REF!</v>
      </c>
      <c r="Z469" s="42" t="str">
        <f>IFERROR(__xludf.DUMMYFUNCTION("vLOOKUP(A469,IMPORTRANGE(""https://docs.google.com/spreadsheets/d/1Rawwwdh8wntXGy8isdYNHxsNQS4n_rC8JSdPfj6vEq4"",""'500 объектов перенос на 2026'!A3:AB502""),14,0)"),"#REF!")</f>
        <v>#REF!</v>
      </c>
      <c r="AA469" s="85" t="s">
        <v>175</v>
      </c>
      <c r="AB469" s="43"/>
    </row>
    <row r="470">
      <c r="A470" s="62" t="s">
        <v>2989</v>
      </c>
      <c r="B470" s="63" t="s">
        <v>2990</v>
      </c>
      <c r="C470" s="104" t="s">
        <v>2991</v>
      </c>
      <c r="D470" s="64" t="s">
        <v>59</v>
      </c>
      <c r="E470" s="64">
        <v>4.0</v>
      </c>
      <c r="F470" s="288"/>
      <c r="G470" s="288"/>
      <c r="H470" s="64" t="s">
        <v>3512</v>
      </c>
      <c r="I470" s="64">
        <v>2025.0</v>
      </c>
      <c r="J470" s="64">
        <v>2025.0</v>
      </c>
      <c r="K470" s="287">
        <v>1.0</v>
      </c>
      <c r="L470" s="292" t="s">
        <v>3528</v>
      </c>
      <c r="M470" s="285" t="s">
        <v>4502</v>
      </c>
      <c r="N470" s="35">
        <v>0.0</v>
      </c>
      <c r="O470" s="35" t="s">
        <v>4502</v>
      </c>
      <c r="P470" s="35" t="s">
        <v>113</v>
      </c>
      <c r="Q470" s="38"/>
      <c r="R470" s="38" t="s">
        <v>115</v>
      </c>
      <c r="S470" s="38"/>
      <c r="T470" s="39">
        <v>63914.72</v>
      </c>
      <c r="U470" s="39">
        <v>63914.71806</v>
      </c>
      <c r="V470" s="39">
        <v>0.00194</v>
      </c>
      <c r="W470" s="57" t="s">
        <v>2993</v>
      </c>
      <c r="X470" s="42" t="s">
        <v>2994</v>
      </c>
      <c r="Y470" s="42" t="str">
        <f>IFERROR(__xludf.DUMMYFUNCTION("vLOOKUP(A470,IMPORTRANGE(""https://docs.google.com/spreadsheets/d/1Rawwwdh8wntXGy8isdYNHxsNQS4n_rC8JSdPfj6vEq4"",""'500 объектов перенос на 2026'!A3:AB502""),13,0)"),"#REF!")</f>
        <v>#REF!</v>
      </c>
      <c r="Z470" s="42" t="str">
        <f>IFERROR(__xludf.DUMMYFUNCTION("vLOOKUP(A470,IMPORTRANGE(""https://docs.google.com/spreadsheets/d/1Rawwwdh8wntXGy8isdYNHxsNQS4n_rC8JSdPfj6vEq4"",""'500 объектов перенос на 2026'!A3:AB502""),14,0)"),"#REF!")</f>
        <v>#REF!</v>
      </c>
      <c r="AA470" s="85" t="s">
        <v>175</v>
      </c>
      <c r="AB470" s="43"/>
    </row>
    <row r="471">
      <c r="A471" s="62" t="s">
        <v>2995</v>
      </c>
      <c r="B471" s="63" t="s">
        <v>2990</v>
      </c>
      <c r="C471" s="90" t="s">
        <v>2996</v>
      </c>
      <c r="D471" s="90" t="s">
        <v>85</v>
      </c>
      <c r="E471" s="288"/>
      <c r="F471" s="64">
        <v>200.0</v>
      </c>
      <c r="G471" s="64">
        <v>300.0</v>
      </c>
      <c r="H471" s="64" t="s">
        <v>3593</v>
      </c>
      <c r="I471" s="64">
        <v>2024.0</v>
      </c>
      <c r="J471" s="64">
        <v>2025.0</v>
      </c>
      <c r="K471" s="287">
        <v>1.0</v>
      </c>
      <c r="L471" s="292" t="s">
        <v>60</v>
      </c>
      <c r="M471" s="285" t="s">
        <v>4503</v>
      </c>
      <c r="N471" s="35" t="s">
        <v>4504</v>
      </c>
      <c r="O471" s="35" t="s">
        <v>4505</v>
      </c>
      <c r="P471" s="35" t="s">
        <v>113</v>
      </c>
      <c r="Q471" s="38"/>
      <c r="R471" s="38" t="s">
        <v>115</v>
      </c>
      <c r="S471" s="38"/>
      <c r="T471" s="39">
        <v>20181.0</v>
      </c>
      <c r="U471" s="39">
        <v>19550.20168</v>
      </c>
      <c r="V471" s="39">
        <v>630.79832</v>
      </c>
      <c r="W471" s="57" t="s">
        <v>2998</v>
      </c>
      <c r="X471" s="42" t="s">
        <v>362</v>
      </c>
      <c r="Y471" s="42" t="str">
        <f>IFERROR(__xludf.DUMMYFUNCTION("vLOOKUP(A471,IMPORTRANGE(""https://docs.google.com/spreadsheets/d/1Rawwwdh8wntXGy8isdYNHxsNQS4n_rC8JSdPfj6vEq4"",""'500 объектов перенос на 2026'!A3:AB502""),13,0)"),"#REF!")</f>
        <v>#REF!</v>
      </c>
      <c r="Z471" s="42" t="str">
        <f>IFERROR(__xludf.DUMMYFUNCTION("vLOOKUP(A471,IMPORTRANGE(""https://docs.google.com/spreadsheets/d/1Rawwwdh8wntXGy8isdYNHxsNQS4n_rC8JSdPfj6vEq4"",""'500 объектов перенос на 2026'!A3:AB502""),14,0)"),"#REF!")</f>
        <v>#REF!</v>
      </c>
      <c r="AA471" s="85" t="s">
        <v>175</v>
      </c>
      <c r="AB471" s="43"/>
    </row>
    <row r="472">
      <c r="A472" s="62" t="s">
        <v>2999</v>
      </c>
      <c r="B472" s="63" t="s">
        <v>2990</v>
      </c>
      <c r="C472" s="104" t="s">
        <v>3000</v>
      </c>
      <c r="D472" s="64" t="s">
        <v>39</v>
      </c>
      <c r="E472" s="64">
        <v>3.0</v>
      </c>
      <c r="F472" s="288"/>
      <c r="G472" s="288"/>
      <c r="H472" s="64" t="s">
        <v>3527</v>
      </c>
      <c r="I472" s="64">
        <v>2024.0</v>
      </c>
      <c r="J472" s="64">
        <v>2025.0</v>
      </c>
      <c r="K472" s="287">
        <v>1.0</v>
      </c>
      <c r="L472" s="292" t="s">
        <v>3528</v>
      </c>
      <c r="M472" s="285" t="s">
        <v>4506</v>
      </c>
      <c r="N472" s="35">
        <v>0.0</v>
      </c>
      <c r="O472" s="35" t="s">
        <v>4506</v>
      </c>
      <c r="P472" s="35" t="s">
        <v>113</v>
      </c>
      <c r="Q472" s="38"/>
      <c r="R472" s="38" t="s">
        <v>115</v>
      </c>
      <c r="S472" s="38"/>
      <c r="T472" s="39">
        <v>91160.62</v>
      </c>
      <c r="U472" s="39">
        <v>78326.41379</v>
      </c>
      <c r="V472" s="39">
        <v>12834.20621</v>
      </c>
      <c r="W472" s="57" t="s">
        <v>3002</v>
      </c>
      <c r="X472" s="42" t="s">
        <v>362</v>
      </c>
      <c r="Y472" s="42" t="str">
        <f>IFERROR(__xludf.DUMMYFUNCTION("vLOOKUP(A472,IMPORTRANGE(""https://docs.google.com/spreadsheets/d/1Rawwwdh8wntXGy8isdYNHxsNQS4n_rC8JSdPfj6vEq4"",""'500 объектов перенос на 2026'!A3:AB502""),13,0)"),"#REF!")</f>
        <v>#REF!</v>
      </c>
      <c r="Z472" s="42" t="str">
        <f>IFERROR(__xludf.DUMMYFUNCTION("vLOOKUP(A472,IMPORTRANGE(""https://docs.google.com/spreadsheets/d/1Rawwwdh8wntXGy8isdYNHxsNQS4n_rC8JSdPfj6vEq4"",""'500 объектов перенос на 2026'!A3:AB502""),14,0)"),"#REF!")</f>
        <v>#REF!</v>
      </c>
      <c r="AA472" s="85" t="s">
        <v>175</v>
      </c>
      <c r="AB472" s="43"/>
    </row>
    <row r="473">
      <c r="A473" s="62" t="s">
        <v>3003</v>
      </c>
      <c r="B473" s="63" t="s">
        <v>2990</v>
      </c>
      <c r="C473" s="104" t="s">
        <v>3004</v>
      </c>
      <c r="D473" s="64" t="s">
        <v>39</v>
      </c>
      <c r="E473" s="64">
        <v>3.0</v>
      </c>
      <c r="F473" s="288"/>
      <c r="G473" s="288"/>
      <c r="H473" s="64" t="s">
        <v>3527</v>
      </c>
      <c r="I473" s="64">
        <v>2024.0</v>
      </c>
      <c r="J473" s="64">
        <v>2025.0</v>
      </c>
      <c r="K473" s="287">
        <v>1.0</v>
      </c>
      <c r="L473" s="292" t="s">
        <v>60</v>
      </c>
      <c r="M473" s="285" t="s">
        <v>4507</v>
      </c>
      <c r="N473" s="35">
        <v>0.0</v>
      </c>
      <c r="O473" s="35" t="s">
        <v>4507</v>
      </c>
      <c r="P473" s="35" t="s">
        <v>113</v>
      </c>
      <c r="Q473" s="38"/>
      <c r="R473" s="38" t="s">
        <v>115</v>
      </c>
      <c r="S473" s="38"/>
      <c r="T473" s="39">
        <v>79842.23</v>
      </c>
      <c r="U473" s="39">
        <v>69601.12907</v>
      </c>
      <c r="V473" s="39">
        <v>10241.10093</v>
      </c>
      <c r="W473" s="57" t="s">
        <v>3005</v>
      </c>
      <c r="X473" s="42" t="s">
        <v>362</v>
      </c>
      <c r="Y473" s="42" t="str">
        <f>IFERROR(__xludf.DUMMYFUNCTION("vLOOKUP(A473,IMPORTRANGE(""https://docs.google.com/spreadsheets/d/1Rawwwdh8wntXGy8isdYNHxsNQS4n_rC8JSdPfj6vEq4"",""'500 объектов перенос на 2026'!A3:AB502""),13,0)"),"#REF!")</f>
        <v>#REF!</v>
      </c>
      <c r="Z473" s="42" t="str">
        <f>IFERROR(__xludf.DUMMYFUNCTION("vLOOKUP(A473,IMPORTRANGE(""https://docs.google.com/spreadsheets/d/1Rawwwdh8wntXGy8isdYNHxsNQS4n_rC8JSdPfj6vEq4"",""'500 объектов перенос на 2026'!A3:AB502""),14,0)"),"#REF!")</f>
        <v>#REF!</v>
      </c>
      <c r="AA473" s="85" t="s">
        <v>175</v>
      </c>
      <c r="AB473" s="43"/>
    </row>
    <row r="474">
      <c r="A474" s="62" t="s">
        <v>3006</v>
      </c>
      <c r="B474" s="63" t="s">
        <v>2990</v>
      </c>
      <c r="C474" s="64" t="s">
        <v>3007</v>
      </c>
      <c r="D474" s="64" t="s">
        <v>59</v>
      </c>
      <c r="E474" s="64">
        <v>2.0</v>
      </c>
      <c r="F474" s="288"/>
      <c r="G474" s="288"/>
      <c r="H474" s="64" t="s">
        <v>3512</v>
      </c>
      <c r="I474" s="64">
        <v>2025.0</v>
      </c>
      <c r="J474" s="64">
        <v>2025.0</v>
      </c>
      <c r="K474" s="287">
        <v>1.0</v>
      </c>
      <c r="L474" s="292" t="s">
        <v>3528</v>
      </c>
      <c r="M474" s="289" t="s">
        <v>4508</v>
      </c>
      <c r="N474" s="35">
        <v>0.0</v>
      </c>
      <c r="O474" s="35" t="s">
        <v>3520</v>
      </c>
      <c r="P474" s="35" t="s">
        <v>113</v>
      </c>
      <c r="Q474" s="38"/>
      <c r="R474" s="38" t="s">
        <v>115</v>
      </c>
      <c r="S474" s="38"/>
      <c r="T474" s="39">
        <v>28107.24</v>
      </c>
      <c r="U474" s="39">
        <v>31494.13286</v>
      </c>
      <c r="V474" s="39">
        <v>-3386.89286</v>
      </c>
      <c r="W474" s="57" t="s">
        <v>2993</v>
      </c>
      <c r="X474" s="42" t="s">
        <v>2994</v>
      </c>
      <c r="Y474" s="42" t="str">
        <f>IFERROR(__xludf.DUMMYFUNCTION("vLOOKUP(A474,IMPORTRANGE(""https://docs.google.com/spreadsheets/d/1Rawwwdh8wntXGy8isdYNHxsNQS4n_rC8JSdPfj6vEq4"",""'500 объектов перенос на 2026'!A3:AB502""),13,0)"),"#REF!")</f>
        <v>#REF!</v>
      </c>
      <c r="Z474" s="42" t="str">
        <f>IFERROR(__xludf.DUMMYFUNCTION("vLOOKUP(A474,IMPORTRANGE(""https://docs.google.com/spreadsheets/d/1Rawwwdh8wntXGy8isdYNHxsNQS4n_rC8JSdPfj6vEq4"",""'500 объектов перенос на 2026'!A3:AB502""),14,0)"),"#REF!")</f>
        <v>#REF!</v>
      </c>
      <c r="AA474" s="85" t="s">
        <v>175</v>
      </c>
      <c r="AB474" s="43"/>
    </row>
    <row r="475">
      <c r="A475" s="62" t="s">
        <v>3008</v>
      </c>
      <c r="B475" s="63" t="s">
        <v>2990</v>
      </c>
      <c r="C475" s="64" t="s">
        <v>3009</v>
      </c>
      <c r="D475" s="90" t="s">
        <v>85</v>
      </c>
      <c r="E475" s="288"/>
      <c r="F475" s="64">
        <v>100.0</v>
      </c>
      <c r="G475" s="64">
        <v>496.0</v>
      </c>
      <c r="H475" s="64" t="s">
        <v>3593</v>
      </c>
      <c r="I475" s="64">
        <v>2024.0</v>
      </c>
      <c r="J475" s="64">
        <v>2025.0</v>
      </c>
      <c r="K475" s="287">
        <v>1.0</v>
      </c>
      <c r="L475" s="292" t="s">
        <v>60</v>
      </c>
      <c r="M475" s="285" t="s">
        <v>4509</v>
      </c>
      <c r="N475" s="35">
        <v>0.0</v>
      </c>
      <c r="O475" s="35" t="s">
        <v>4509</v>
      </c>
      <c r="P475" s="35" t="s">
        <v>113</v>
      </c>
      <c r="Q475" s="38"/>
      <c r="R475" s="38" t="s">
        <v>115</v>
      </c>
      <c r="S475" s="38"/>
      <c r="T475" s="39">
        <v>36962.74</v>
      </c>
      <c r="U475" s="39">
        <v>25615.98365</v>
      </c>
      <c r="V475" s="39">
        <v>11346.75635</v>
      </c>
      <c r="W475" s="57" t="s">
        <v>3010</v>
      </c>
      <c r="X475" s="42" t="s">
        <v>362</v>
      </c>
      <c r="Y475" s="42" t="str">
        <f>IFERROR(__xludf.DUMMYFUNCTION("vLOOKUP(A475,IMPORTRANGE(""https://docs.google.com/spreadsheets/d/1Rawwwdh8wntXGy8isdYNHxsNQS4n_rC8JSdPfj6vEq4"",""'500 объектов перенос на 2026'!A3:AB502""),13,0)"),"#REF!")</f>
        <v>#REF!</v>
      </c>
      <c r="Z475" s="42" t="str">
        <f>IFERROR(__xludf.DUMMYFUNCTION("vLOOKUP(A475,IMPORTRANGE(""https://docs.google.com/spreadsheets/d/1Rawwwdh8wntXGy8isdYNHxsNQS4n_rC8JSdPfj6vEq4"",""'500 объектов перенос на 2026'!A3:AB502""),14,0)"),"#REF!")</f>
        <v>#REF!</v>
      </c>
      <c r="AA475" s="85" t="s">
        <v>175</v>
      </c>
      <c r="AB475" s="43"/>
    </row>
    <row r="476">
      <c r="A476" s="62" t="s">
        <v>3011</v>
      </c>
      <c r="B476" s="63" t="s">
        <v>736</v>
      </c>
      <c r="C476" s="64" t="s">
        <v>3012</v>
      </c>
      <c r="D476" s="64" t="s">
        <v>39</v>
      </c>
      <c r="E476" s="64">
        <v>1.2</v>
      </c>
      <c r="F476" s="288"/>
      <c r="G476" s="288"/>
      <c r="H476" s="64" t="s">
        <v>3527</v>
      </c>
      <c r="I476" s="64">
        <v>2024.0</v>
      </c>
      <c r="J476" s="294">
        <v>2025.0</v>
      </c>
      <c r="K476" s="287">
        <v>1.0</v>
      </c>
      <c r="L476" s="288"/>
      <c r="M476" s="285" t="s">
        <v>4510</v>
      </c>
      <c r="N476" s="35">
        <v>0.0</v>
      </c>
      <c r="O476" s="35" t="s">
        <v>4510</v>
      </c>
      <c r="P476" s="35" t="s">
        <v>507</v>
      </c>
      <c r="Q476" s="37">
        <v>46157.0</v>
      </c>
      <c r="R476" s="38" t="s">
        <v>115</v>
      </c>
      <c r="S476" s="38"/>
      <c r="T476" s="39">
        <v>39216.06</v>
      </c>
      <c r="U476" s="39">
        <v>49978.55704</v>
      </c>
      <c r="V476" s="40">
        <v>-10762.49704</v>
      </c>
      <c r="W476" s="57" t="s">
        <v>3013</v>
      </c>
      <c r="X476" s="42" t="s">
        <v>1262</v>
      </c>
      <c r="Y476" s="42" t="str">
        <f>IFERROR(__xludf.DUMMYFUNCTION("vLOOKUP(A476,IMPORTRANGE(""https://docs.google.com/spreadsheets/d/1Rawwwdh8wntXGy8isdYNHxsNQS4n_rC8JSdPfj6vEq4"",""'500 объектов перенос на 2026'!A3:AB502""),13,0)"),"#REF!")</f>
        <v>#REF!</v>
      </c>
      <c r="Z476" s="42" t="str">
        <f>IFERROR(__xludf.DUMMYFUNCTION("vLOOKUP(A476,IMPORTRANGE(""https://docs.google.com/spreadsheets/d/1Rawwwdh8wntXGy8isdYNHxsNQS4n_rC8JSdPfj6vEq4"",""'500 объектов перенос на 2026'!A3:AB502""),14,0)"),"#REF!")</f>
        <v>#REF!</v>
      </c>
      <c r="AA476" s="85" t="s">
        <v>175</v>
      </c>
      <c r="AB476" s="43"/>
    </row>
    <row r="477">
      <c r="A477" s="114" t="s">
        <v>1773</v>
      </c>
      <c r="B477" s="63" t="s">
        <v>736</v>
      </c>
      <c r="C477" s="64" t="s">
        <v>1774</v>
      </c>
      <c r="D477" s="64" t="s">
        <v>85</v>
      </c>
      <c r="E477" s="288"/>
      <c r="F477" s="64" t="s">
        <v>4313</v>
      </c>
      <c r="G477" s="291" t="s">
        <v>4511</v>
      </c>
      <c r="H477" s="64" t="s">
        <v>3512</v>
      </c>
      <c r="I477" s="64">
        <v>2024.0</v>
      </c>
      <c r="J477" s="64">
        <v>2026.0</v>
      </c>
      <c r="K477" s="287">
        <v>1.0</v>
      </c>
      <c r="L477" s="288"/>
      <c r="M477" s="285" t="s">
        <v>4512</v>
      </c>
      <c r="N477" s="35">
        <v>0.0</v>
      </c>
      <c r="O477" s="35" t="s">
        <v>4512</v>
      </c>
      <c r="P477" s="35" t="s">
        <v>507</v>
      </c>
      <c r="Q477" s="37">
        <v>46157.0</v>
      </c>
      <c r="R477" s="56"/>
      <c r="S477" s="38"/>
      <c r="T477" s="39">
        <v>241958.13</v>
      </c>
      <c r="U477" s="39">
        <v>120979.0649</v>
      </c>
      <c r="V477" s="40">
        <v>120979.0651</v>
      </c>
      <c r="W477" s="99" t="s">
        <v>1780</v>
      </c>
      <c r="X477" s="42" t="s">
        <v>1262</v>
      </c>
      <c r="Y477" s="42" t="str">
        <f>IFERROR(__xludf.DUMMYFUNCTION("vLOOKUP(A477,IMPORTRANGE(""https://docs.google.com/spreadsheets/d/1Rawwwdh8wntXGy8isdYNHxsNQS4n_rC8JSdPfj6vEq4"",""'500 объектов перенос на 2026'!A3:AB502""),13,0)"),"#REF!")</f>
        <v>#REF!</v>
      </c>
      <c r="Z477" s="42" t="str">
        <f>IFERROR(__xludf.DUMMYFUNCTION("vLOOKUP(A477,IMPORTRANGE(""https://docs.google.com/spreadsheets/d/1Rawwwdh8wntXGy8isdYNHxsNQS4n_rC8JSdPfj6vEq4"",""'500 объектов перенос на 2026'!A3:AB502""),14,0)"),"#REF!")</f>
        <v>#REF!</v>
      </c>
      <c r="AA477" s="85" t="s">
        <v>175</v>
      </c>
      <c r="AB477" s="43"/>
    </row>
    <row r="478">
      <c r="A478" s="62" t="s">
        <v>3021</v>
      </c>
      <c r="B478" s="63" t="s">
        <v>736</v>
      </c>
      <c r="C478" s="64" t="s">
        <v>3022</v>
      </c>
      <c r="D478" s="64" t="s">
        <v>85</v>
      </c>
      <c r="E478" s="288"/>
      <c r="F478" s="64" t="s">
        <v>3795</v>
      </c>
      <c r="G478" s="64">
        <v>335.0</v>
      </c>
      <c r="H478" s="64" t="s">
        <v>3512</v>
      </c>
      <c r="I478" s="64">
        <v>2024.0</v>
      </c>
      <c r="J478" s="64">
        <v>2025.0</v>
      </c>
      <c r="K478" s="287">
        <v>1.0</v>
      </c>
      <c r="L478" s="292" t="s">
        <v>3528</v>
      </c>
      <c r="M478" s="285" t="s">
        <v>4513</v>
      </c>
      <c r="N478" s="35" t="s">
        <v>4514</v>
      </c>
      <c r="O478" s="35" t="s">
        <v>4515</v>
      </c>
      <c r="P478" s="35" t="s">
        <v>113</v>
      </c>
      <c r="Q478" s="38"/>
      <c r="R478" s="38" t="s">
        <v>115</v>
      </c>
      <c r="S478" s="38"/>
      <c r="T478" s="39">
        <v>28221.2</v>
      </c>
      <c r="U478" s="39">
        <v>22694.31596</v>
      </c>
      <c r="V478" s="39">
        <v>5526.88404</v>
      </c>
      <c r="W478" s="57" t="s">
        <v>3023</v>
      </c>
      <c r="X478" s="42" t="s">
        <v>1385</v>
      </c>
      <c r="Y478" s="42" t="str">
        <f>IFERROR(__xludf.DUMMYFUNCTION("vLOOKUP(A478,IMPORTRANGE(""https://docs.google.com/spreadsheets/d/1Rawwwdh8wntXGy8isdYNHxsNQS4n_rC8JSdPfj6vEq4"",""'500 объектов перенос на 2026'!A3:AB502""),13,0)"),"#REF!")</f>
        <v>#REF!</v>
      </c>
      <c r="Z478" s="42" t="str">
        <f>IFERROR(__xludf.DUMMYFUNCTION("vLOOKUP(A478,IMPORTRANGE(""https://docs.google.com/spreadsheets/d/1Rawwwdh8wntXGy8isdYNHxsNQS4n_rC8JSdPfj6vEq4"",""'500 объектов перенос на 2026'!A3:AB502""),14,0)"),"#REF!")</f>
        <v>#REF!</v>
      </c>
      <c r="AA478" s="85" t="s">
        <v>175</v>
      </c>
      <c r="AB478" s="43"/>
    </row>
    <row r="479">
      <c r="A479" s="62" t="s">
        <v>3024</v>
      </c>
      <c r="B479" s="63" t="s">
        <v>736</v>
      </c>
      <c r="C479" s="64" t="s">
        <v>3025</v>
      </c>
      <c r="D479" s="64" t="s">
        <v>39</v>
      </c>
      <c r="E479" s="64">
        <v>0.3</v>
      </c>
      <c r="F479" s="288"/>
      <c r="G479" s="288"/>
      <c r="H479" s="64" t="s">
        <v>3527</v>
      </c>
      <c r="I479" s="64">
        <v>2024.0</v>
      </c>
      <c r="J479" s="294">
        <v>2025.0</v>
      </c>
      <c r="K479" s="287">
        <v>1.0</v>
      </c>
      <c r="L479" s="288"/>
      <c r="M479" s="285" t="s">
        <v>4516</v>
      </c>
      <c r="N479" s="35">
        <v>0.0</v>
      </c>
      <c r="O479" s="35" t="s">
        <v>4516</v>
      </c>
      <c r="P479" s="35" t="s">
        <v>507</v>
      </c>
      <c r="Q479" s="37">
        <v>46157.0</v>
      </c>
      <c r="R479" s="38" t="s">
        <v>115</v>
      </c>
      <c r="S479" s="38"/>
      <c r="T479" s="39">
        <v>21122.0</v>
      </c>
      <c r="U479" s="39">
        <v>22896.67556</v>
      </c>
      <c r="V479" s="40">
        <v>-1774.67556</v>
      </c>
      <c r="W479" s="57" t="s">
        <v>3026</v>
      </c>
      <c r="X479" s="42" t="s">
        <v>1262</v>
      </c>
      <c r="Y479" s="42" t="str">
        <f>IFERROR(__xludf.DUMMYFUNCTION("vLOOKUP(A479,IMPORTRANGE(""https://docs.google.com/spreadsheets/d/1Rawwwdh8wntXGy8isdYNHxsNQS4n_rC8JSdPfj6vEq4"",""'500 объектов перенос на 2026'!A3:AB502""),13,0)"),"#REF!")</f>
        <v>#REF!</v>
      </c>
      <c r="Z479" s="42" t="str">
        <f>IFERROR(__xludf.DUMMYFUNCTION("vLOOKUP(A479,IMPORTRANGE(""https://docs.google.com/spreadsheets/d/1Rawwwdh8wntXGy8isdYNHxsNQS4n_rC8JSdPfj6vEq4"",""'500 объектов перенос на 2026'!A3:AB502""),14,0)"),"#REF!")</f>
        <v>#REF!</v>
      </c>
      <c r="AA479" s="85" t="s">
        <v>175</v>
      </c>
      <c r="AB479" s="43"/>
    </row>
    <row r="480">
      <c r="A480" s="62" t="s">
        <v>3027</v>
      </c>
      <c r="B480" s="63" t="s">
        <v>736</v>
      </c>
      <c r="C480" s="64" t="s">
        <v>3028</v>
      </c>
      <c r="D480" s="64" t="s">
        <v>59</v>
      </c>
      <c r="E480" s="64">
        <v>14.0</v>
      </c>
      <c r="F480" s="288"/>
      <c r="G480" s="288"/>
      <c r="H480" s="64" t="s">
        <v>3512</v>
      </c>
      <c r="I480" s="64">
        <v>2024.0</v>
      </c>
      <c r="J480" s="64">
        <v>2026.0</v>
      </c>
      <c r="K480" s="287">
        <v>1.0</v>
      </c>
      <c r="L480" s="292" t="s">
        <v>3528</v>
      </c>
      <c r="M480" s="285" t="s">
        <v>4517</v>
      </c>
      <c r="N480" s="35">
        <v>0.0</v>
      </c>
      <c r="O480" s="35" t="s">
        <v>4517</v>
      </c>
      <c r="P480" s="35" t="s">
        <v>113</v>
      </c>
      <c r="Q480" s="38"/>
      <c r="R480" s="38" t="s">
        <v>115</v>
      </c>
      <c r="S480" s="38"/>
      <c r="T480" s="39">
        <v>164276.09</v>
      </c>
      <c r="U480" s="39">
        <v>107186.1812</v>
      </c>
      <c r="V480" s="39">
        <v>57089.90878</v>
      </c>
      <c r="W480" s="57" t="s">
        <v>3030</v>
      </c>
      <c r="X480" s="42" t="s">
        <v>1262</v>
      </c>
      <c r="Y480" s="42" t="str">
        <f>IFERROR(__xludf.DUMMYFUNCTION("vLOOKUP(A480,IMPORTRANGE(""https://docs.google.com/spreadsheets/d/1Rawwwdh8wntXGy8isdYNHxsNQS4n_rC8JSdPfj6vEq4"",""'500 объектов перенос на 2026'!A3:AB502""),13,0)"),"#REF!")</f>
        <v>#REF!</v>
      </c>
      <c r="Z480" s="42" t="str">
        <f>IFERROR(__xludf.DUMMYFUNCTION("vLOOKUP(A480,IMPORTRANGE(""https://docs.google.com/spreadsheets/d/1Rawwwdh8wntXGy8isdYNHxsNQS4n_rC8JSdPfj6vEq4"",""'500 объектов перенос на 2026'!A3:AB502""),14,0)"),"#REF!")</f>
        <v>#REF!</v>
      </c>
      <c r="AA480" s="85" t="s">
        <v>175</v>
      </c>
      <c r="AB480" s="43"/>
    </row>
    <row r="481">
      <c r="A481" s="62" t="s">
        <v>3031</v>
      </c>
      <c r="B481" s="63" t="s">
        <v>736</v>
      </c>
      <c r="C481" s="64" t="s">
        <v>3032</v>
      </c>
      <c r="D481" s="64" t="s">
        <v>85</v>
      </c>
      <c r="E481" s="288"/>
      <c r="F481" s="64" t="s">
        <v>3550</v>
      </c>
      <c r="G481" s="64">
        <v>845.0</v>
      </c>
      <c r="H481" s="64" t="s">
        <v>3512</v>
      </c>
      <c r="I481" s="64">
        <v>2024.0</v>
      </c>
      <c r="J481" s="64">
        <v>2025.0</v>
      </c>
      <c r="K481" s="287">
        <v>1.0</v>
      </c>
      <c r="L481" s="292" t="s">
        <v>3528</v>
      </c>
      <c r="M481" s="285" t="s">
        <v>4518</v>
      </c>
      <c r="N481" s="35" t="s">
        <v>4519</v>
      </c>
      <c r="O481" s="35" t="s">
        <v>4520</v>
      </c>
      <c r="P481" s="35" t="s">
        <v>113</v>
      </c>
      <c r="Q481" s="38"/>
      <c r="R481" s="38" t="s">
        <v>115</v>
      </c>
      <c r="S481" s="38"/>
      <c r="T481" s="39">
        <v>57527.6</v>
      </c>
      <c r="U481" s="39">
        <v>24785.0025</v>
      </c>
      <c r="V481" s="39">
        <v>32742.5975</v>
      </c>
      <c r="W481" s="57" t="s">
        <v>3033</v>
      </c>
      <c r="X481" s="42" t="s">
        <v>1385</v>
      </c>
      <c r="Y481" s="42" t="str">
        <f>IFERROR(__xludf.DUMMYFUNCTION("vLOOKUP(A481,IMPORTRANGE(""https://docs.google.com/spreadsheets/d/1Rawwwdh8wntXGy8isdYNHxsNQS4n_rC8JSdPfj6vEq4"",""'500 объектов перенос на 2026'!A3:AB502""),13,0)"),"#REF!")</f>
        <v>#REF!</v>
      </c>
      <c r="Z481" s="42" t="str">
        <f>IFERROR(__xludf.DUMMYFUNCTION("vLOOKUP(A481,IMPORTRANGE(""https://docs.google.com/spreadsheets/d/1Rawwwdh8wntXGy8isdYNHxsNQS4n_rC8JSdPfj6vEq4"",""'500 объектов перенос на 2026'!A3:AB502""),14,0)"),"#REF!")</f>
        <v>#REF!</v>
      </c>
      <c r="AA481" s="85" t="s">
        <v>175</v>
      </c>
      <c r="AB481" s="43"/>
    </row>
    <row r="482">
      <c r="A482" s="62" t="s">
        <v>3034</v>
      </c>
      <c r="B482" s="63" t="s">
        <v>736</v>
      </c>
      <c r="C482" s="64" t="s">
        <v>3035</v>
      </c>
      <c r="D482" s="64" t="s">
        <v>85</v>
      </c>
      <c r="E482" s="288"/>
      <c r="F482" s="64" t="s">
        <v>3550</v>
      </c>
      <c r="G482" s="64">
        <v>450.0</v>
      </c>
      <c r="H482" s="64" t="s">
        <v>3512</v>
      </c>
      <c r="I482" s="64">
        <v>2024.0</v>
      </c>
      <c r="J482" s="64">
        <v>2025.0</v>
      </c>
      <c r="K482" s="287">
        <v>1.0</v>
      </c>
      <c r="L482" s="292" t="s">
        <v>3528</v>
      </c>
      <c r="M482" s="285" t="s">
        <v>4521</v>
      </c>
      <c r="N482" s="295" t="s">
        <v>4522</v>
      </c>
      <c r="O482" s="35" t="s">
        <v>3520</v>
      </c>
      <c r="P482" s="35" t="s">
        <v>113</v>
      </c>
      <c r="Q482" s="38"/>
      <c r="R482" s="38" t="s">
        <v>115</v>
      </c>
      <c r="S482" s="38"/>
      <c r="T482" s="39">
        <v>30636.0</v>
      </c>
      <c r="U482" s="39">
        <v>11533.39572</v>
      </c>
      <c r="V482" s="39">
        <v>19102.60428</v>
      </c>
      <c r="W482" s="57" t="s">
        <v>3036</v>
      </c>
      <c r="X482" s="42" t="s">
        <v>1385</v>
      </c>
      <c r="Y482" s="42" t="str">
        <f>IFERROR(__xludf.DUMMYFUNCTION("vLOOKUP(A482,IMPORTRANGE(""https://docs.google.com/spreadsheets/d/1Rawwwdh8wntXGy8isdYNHxsNQS4n_rC8JSdPfj6vEq4"",""'500 объектов перенос на 2026'!A3:AB502""),13,0)"),"#REF!")</f>
        <v>#REF!</v>
      </c>
      <c r="Z482" s="42" t="str">
        <f>IFERROR(__xludf.DUMMYFUNCTION("vLOOKUP(A482,IMPORTRANGE(""https://docs.google.com/spreadsheets/d/1Rawwwdh8wntXGy8isdYNHxsNQS4n_rC8JSdPfj6vEq4"",""'500 объектов перенос на 2026'!A3:AB502""),14,0)"),"#REF!")</f>
        <v>#REF!</v>
      </c>
      <c r="AA482" s="85" t="s">
        <v>175</v>
      </c>
      <c r="AB482" s="43"/>
    </row>
    <row r="483">
      <c r="A483" s="62" t="s">
        <v>3037</v>
      </c>
      <c r="B483" s="63" t="s">
        <v>736</v>
      </c>
      <c r="C483" s="64" t="s">
        <v>3038</v>
      </c>
      <c r="D483" s="64" t="s">
        <v>85</v>
      </c>
      <c r="E483" s="288"/>
      <c r="F483" s="64" t="s">
        <v>3550</v>
      </c>
      <c r="G483" s="291" t="s">
        <v>3580</v>
      </c>
      <c r="H483" s="64" t="s">
        <v>3512</v>
      </c>
      <c r="I483" s="64">
        <v>2024.0</v>
      </c>
      <c r="J483" s="64">
        <v>2025.0</v>
      </c>
      <c r="K483" s="287">
        <v>1.0</v>
      </c>
      <c r="L483" s="292" t="s">
        <v>3528</v>
      </c>
      <c r="M483" s="285" t="s">
        <v>4523</v>
      </c>
      <c r="N483" s="295" t="s">
        <v>4524</v>
      </c>
      <c r="O483" s="35" t="s">
        <v>3520</v>
      </c>
      <c r="P483" s="35" t="s">
        <v>113</v>
      </c>
      <c r="Q483" s="38"/>
      <c r="R483" s="38" t="s">
        <v>115</v>
      </c>
      <c r="S483" s="38"/>
      <c r="T483" s="39">
        <v>115472.0</v>
      </c>
      <c r="U483" s="39">
        <v>42591.36335</v>
      </c>
      <c r="V483" s="39">
        <v>72880.63665</v>
      </c>
      <c r="W483" s="57" t="s">
        <v>3039</v>
      </c>
      <c r="X483" s="42" t="s">
        <v>1385</v>
      </c>
      <c r="Y483" s="42" t="str">
        <f>IFERROR(__xludf.DUMMYFUNCTION("vLOOKUP(A483,IMPORTRANGE(""https://docs.google.com/spreadsheets/d/1Rawwwdh8wntXGy8isdYNHxsNQS4n_rC8JSdPfj6vEq4"",""'500 объектов перенос на 2026'!A3:AB502""),13,0)"),"#REF!")</f>
        <v>#REF!</v>
      </c>
      <c r="Z483" s="42" t="str">
        <f>IFERROR(__xludf.DUMMYFUNCTION("vLOOKUP(A483,IMPORTRANGE(""https://docs.google.com/spreadsheets/d/1Rawwwdh8wntXGy8isdYNHxsNQS4n_rC8JSdPfj6vEq4"",""'500 объектов перенос на 2026'!A3:AB502""),14,0)"),"#REF!")</f>
        <v>#REF!</v>
      </c>
      <c r="AA483" s="85" t="s">
        <v>175</v>
      </c>
      <c r="AB483" s="43"/>
    </row>
    <row r="484">
      <c r="A484" s="62" t="s">
        <v>3040</v>
      </c>
      <c r="B484" s="63" t="s">
        <v>736</v>
      </c>
      <c r="C484" s="64" t="s">
        <v>3041</v>
      </c>
      <c r="D484" s="64" t="s">
        <v>59</v>
      </c>
      <c r="E484" s="64">
        <v>1.0</v>
      </c>
      <c r="F484" s="288"/>
      <c r="G484" s="288"/>
      <c r="H484" s="64" t="s">
        <v>3512</v>
      </c>
      <c r="I484" s="64">
        <v>2024.0</v>
      </c>
      <c r="J484" s="64">
        <v>2025.0</v>
      </c>
      <c r="K484" s="287">
        <v>1.0</v>
      </c>
      <c r="L484" s="292" t="s">
        <v>3528</v>
      </c>
      <c r="M484" s="285" t="s">
        <v>4525</v>
      </c>
      <c r="N484" s="295" t="s">
        <v>4526</v>
      </c>
      <c r="O484" s="35" t="s">
        <v>3520</v>
      </c>
      <c r="P484" s="35" t="s">
        <v>113</v>
      </c>
      <c r="Q484" s="38"/>
      <c r="R484" s="38" t="s">
        <v>115</v>
      </c>
      <c r="S484" s="38"/>
      <c r="T484" s="39">
        <v>37141.8</v>
      </c>
      <c r="U484" s="39">
        <v>32493.88308</v>
      </c>
      <c r="V484" s="39">
        <v>4647.91692</v>
      </c>
      <c r="W484" s="57" t="s">
        <v>3042</v>
      </c>
      <c r="X484" s="42" t="s">
        <v>1385</v>
      </c>
      <c r="Y484" s="42" t="str">
        <f>IFERROR(__xludf.DUMMYFUNCTION("vLOOKUP(A484,IMPORTRANGE(""https://docs.google.com/spreadsheets/d/1Rawwwdh8wntXGy8isdYNHxsNQS4n_rC8JSdPfj6vEq4"",""'500 объектов перенос на 2026'!A3:AB502""),13,0)"),"#REF!")</f>
        <v>#REF!</v>
      </c>
      <c r="Z484" s="42" t="str">
        <f>IFERROR(__xludf.DUMMYFUNCTION("vLOOKUP(A484,IMPORTRANGE(""https://docs.google.com/spreadsheets/d/1Rawwwdh8wntXGy8isdYNHxsNQS4n_rC8JSdPfj6vEq4"",""'500 объектов перенос на 2026'!A3:AB502""),14,0)"),"#REF!")</f>
        <v>#REF!</v>
      </c>
      <c r="AA484" s="85" t="s">
        <v>175</v>
      </c>
      <c r="AB484" s="43"/>
    </row>
    <row r="485">
      <c r="A485" s="62" t="s">
        <v>1255</v>
      </c>
      <c r="B485" s="63" t="s">
        <v>736</v>
      </c>
      <c r="C485" s="64" t="s">
        <v>1256</v>
      </c>
      <c r="D485" s="64" t="s">
        <v>59</v>
      </c>
      <c r="E485" s="64">
        <v>46.8</v>
      </c>
      <c r="F485" s="288"/>
      <c r="G485" s="288"/>
      <c r="H485" s="64" t="s">
        <v>3512</v>
      </c>
      <c r="I485" s="64">
        <v>2024.0</v>
      </c>
      <c r="J485" s="64">
        <v>2026.0</v>
      </c>
      <c r="K485" s="287">
        <v>0.88</v>
      </c>
      <c r="L485" s="288"/>
      <c r="M485" s="285" t="s">
        <v>4527</v>
      </c>
      <c r="N485" s="35" t="s">
        <v>4528</v>
      </c>
      <c r="O485" s="35" t="s">
        <v>4529</v>
      </c>
      <c r="P485" s="35" t="s">
        <v>3747</v>
      </c>
      <c r="Q485" s="290">
        <v>46174.0</v>
      </c>
      <c r="R485" s="56"/>
      <c r="S485" s="38"/>
      <c r="T485" s="39">
        <v>303726.38</v>
      </c>
      <c r="U485" s="39">
        <v>151863.0</v>
      </c>
      <c r="V485" s="40">
        <v>151863.38</v>
      </c>
      <c r="W485" s="57" t="s">
        <v>1261</v>
      </c>
      <c r="X485" s="42" t="s">
        <v>1262</v>
      </c>
      <c r="Y485" s="42" t="str">
        <f>IFERROR(__xludf.DUMMYFUNCTION("vLOOKUP(A485,IMPORTRANGE(""https://docs.google.com/spreadsheets/d/1Rawwwdh8wntXGy8isdYNHxsNQS4n_rC8JSdPfj6vEq4"",""'500 объектов перенос на 2026'!A3:AB502""),13,0)"),"#REF!")</f>
        <v>#REF!</v>
      </c>
      <c r="Z485" s="42" t="str">
        <f>IFERROR(__xludf.DUMMYFUNCTION("vLOOKUP(A485,IMPORTRANGE(""https://docs.google.com/spreadsheets/d/1Rawwwdh8wntXGy8isdYNHxsNQS4n_rC8JSdPfj6vEq4"",""'500 объектов перенос на 2026'!A3:AB502""),14,0)"),"#REF!")</f>
        <v>#REF!</v>
      </c>
      <c r="AA485" s="85" t="s">
        <v>4530</v>
      </c>
      <c r="AB485" s="43"/>
    </row>
    <row r="486">
      <c r="A486" s="62" t="s">
        <v>982</v>
      </c>
      <c r="B486" s="63" t="s">
        <v>736</v>
      </c>
      <c r="C486" s="64" t="s">
        <v>983</v>
      </c>
      <c r="D486" s="64" t="s">
        <v>59</v>
      </c>
      <c r="E486" s="64">
        <v>8.6</v>
      </c>
      <c r="F486" s="288"/>
      <c r="G486" s="288"/>
      <c r="H486" s="64" t="s">
        <v>3512</v>
      </c>
      <c r="I486" s="64">
        <v>2024.0</v>
      </c>
      <c r="J486" s="64">
        <v>2026.0</v>
      </c>
      <c r="K486" s="287">
        <v>0.89</v>
      </c>
      <c r="L486" s="288"/>
      <c r="M486" s="285" t="s">
        <v>4531</v>
      </c>
      <c r="N486" s="35" t="s">
        <v>4532</v>
      </c>
      <c r="O486" s="35" t="s">
        <v>4533</v>
      </c>
      <c r="P486" s="35" t="s">
        <v>507</v>
      </c>
      <c r="Q486" s="37">
        <v>46157.0</v>
      </c>
      <c r="R486" s="56"/>
      <c r="S486" s="38"/>
      <c r="T486" s="39">
        <v>75419.38</v>
      </c>
      <c r="U486" s="39">
        <v>39719.07122</v>
      </c>
      <c r="V486" s="40">
        <v>35700.30878</v>
      </c>
      <c r="W486" s="57" t="s">
        <v>988</v>
      </c>
      <c r="X486" s="42" t="s">
        <v>776</v>
      </c>
      <c r="Y486" s="42" t="str">
        <f>IFERROR(__xludf.DUMMYFUNCTION("vLOOKUP(A486,IMPORTRANGE(""https://docs.google.com/spreadsheets/d/1Rawwwdh8wntXGy8isdYNHxsNQS4n_rC8JSdPfj6vEq4"",""'500 объектов перенос на 2026'!A3:AB502""),13,0)"),"#REF!")</f>
        <v>#REF!</v>
      </c>
      <c r="Z486" s="42" t="str">
        <f>IFERROR(__xludf.DUMMYFUNCTION("vLOOKUP(A486,IMPORTRANGE(""https://docs.google.com/spreadsheets/d/1Rawwwdh8wntXGy8isdYNHxsNQS4n_rC8JSdPfj6vEq4"",""'500 объектов перенос на 2026'!A3:AB502""),14,0)"),"#REF!")</f>
        <v>#REF!</v>
      </c>
      <c r="AA486" s="85" t="s">
        <v>4530</v>
      </c>
      <c r="AB486" s="43"/>
    </row>
    <row r="487">
      <c r="A487" s="62" t="s">
        <v>769</v>
      </c>
      <c r="B487" s="63" t="s">
        <v>736</v>
      </c>
      <c r="C487" s="64" t="s">
        <v>770</v>
      </c>
      <c r="D487" s="64" t="s">
        <v>59</v>
      </c>
      <c r="E487" s="64">
        <v>5.8</v>
      </c>
      <c r="F487" s="288"/>
      <c r="G487" s="288"/>
      <c r="H487" s="64" t="s">
        <v>3512</v>
      </c>
      <c r="I487" s="64">
        <v>2024.0</v>
      </c>
      <c r="J487" s="64">
        <v>2026.0</v>
      </c>
      <c r="K487" s="287">
        <v>0.95</v>
      </c>
      <c r="L487" s="288"/>
      <c r="M487" s="285" t="s">
        <v>4534</v>
      </c>
      <c r="N487" s="35" t="s">
        <v>4535</v>
      </c>
      <c r="O487" s="35" t="s">
        <v>4536</v>
      </c>
      <c r="P487" s="35" t="s">
        <v>507</v>
      </c>
      <c r="Q487" s="37">
        <v>46157.0</v>
      </c>
      <c r="R487" s="56"/>
      <c r="S487" s="38"/>
      <c r="T487" s="39">
        <v>53941.16</v>
      </c>
      <c r="U487" s="39">
        <v>18848.15947</v>
      </c>
      <c r="V487" s="40">
        <v>35093.00053</v>
      </c>
      <c r="W487" s="57" t="s">
        <v>775</v>
      </c>
      <c r="X487" s="42" t="s">
        <v>776</v>
      </c>
      <c r="Y487" s="42" t="str">
        <f>IFERROR(__xludf.DUMMYFUNCTION("vLOOKUP(A487,IMPORTRANGE(""https://docs.google.com/spreadsheets/d/1Rawwwdh8wntXGy8isdYNHxsNQS4n_rC8JSdPfj6vEq4"",""'500 объектов перенос на 2026'!A3:AB502""),13,0)"),"#REF!")</f>
        <v>#REF!</v>
      </c>
      <c r="Z487" s="42" t="str">
        <f>IFERROR(__xludf.DUMMYFUNCTION("vLOOKUP(A487,IMPORTRANGE(""https://docs.google.com/spreadsheets/d/1Rawwwdh8wntXGy8isdYNHxsNQS4n_rC8JSdPfj6vEq4"",""'500 объектов перенос на 2026'!A3:AB502""),14,0)"),"#REF!")</f>
        <v>#REF!</v>
      </c>
      <c r="AA487" s="85" t="s">
        <v>4537</v>
      </c>
      <c r="AB487" s="43"/>
    </row>
    <row r="488">
      <c r="A488" s="62" t="s">
        <v>3063</v>
      </c>
      <c r="B488" s="63" t="s">
        <v>736</v>
      </c>
      <c r="C488" s="64" t="s">
        <v>3064</v>
      </c>
      <c r="D488" s="90" t="s">
        <v>85</v>
      </c>
      <c r="E488" s="286"/>
      <c r="F488" s="90" t="s">
        <v>3550</v>
      </c>
      <c r="G488" s="90">
        <v>147.0</v>
      </c>
      <c r="H488" s="90" t="s">
        <v>3512</v>
      </c>
      <c r="I488" s="90">
        <v>2025.0</v>
      </c>
      <c r="J488" s="294">
        <v>2025.0</v>
      </c>
      <c r="K488" s="287">
        <v>1.0</v>
      </c>
      <c r="L488" s="288"/>
      <c r="M488" s="285" t="s">
        <v>4538</v>
      </c>
      <c r="N488" s="35">
        <v>0.0</v>
      </c>
      <c r="O488" s="35" t="s">
        <v>4538</v>
      </c>
      <c r="P488" s="35" t="s">
        <v>3747</v>
      </c>
      <c r="Q488" s="37">
        <v>46157.0</v>
      </c>
      <c r="R488" s="38" t="s">
        <v>115</v>
      </c>
      <c r="S488" s="38"/>
      <c r="T488" s="39">
        <v>4202.91</v>
      </c>
      <c r="U488" s="39">
        <v>3962.39031</v>
      </c>
      <c r="V488" s="40">
        <v>240.51969</v>
      </c>
      <c r="W488" s="57" t="s">
        <v>3065</v>
      </c>
      <c r="X488" s="42" t="s">
        <v>1262</v>
      </c>
      <c r="Y488" s="42" t="str">
        <f>IFERROR(__xludf.DUMMYFUNCTION("vLOOKUP(A488,IMPORTRANGE(""https://docs.google.com/spreadsheets/d/1Rawwwdh8wntXGy8isdYNHxsNQS4n_rC8JSdPfj6vEq4"",""'500 объектов перенос на 2026'!A3:AB502""),13,0)"),"#REF!")</f>
        <v>#REF!</v>
      </c>
      <c r="Z488" s="42" t="str">
        <f>IFERROR(__xludf.DUMMYFUNCTION("vLOOKUP(A488,IMPORTRANGE(""https://docs.google.com/spreadsheets/d/1Rawwwdh8wntXGy8isdYNHxsNQS4n_rC8JSdPfj6vEq4"",""'500 объектов перенос на 2026'!A3:AB502""),14,0)"),"#REF!")</f>
        <v>#REF!</v>
      </c>
      <c r="AA488" s="85" t="s">
        <v>175</v>
      </c>
      <c r="AB488" s="43"/>
    </row>
    <row r="489">
      <c r="A489" s="62" t="s">
        <v>3066</v>
      </c>
      <c r="B489" s="63" t="s">
        <v>736</v>
      </c>
      <c r="C489" s="64" t="s">
        <v>3067</v>
      </c>
      <c r="D489" s="64" t="s">
        <v>39</v>
      </c>
      <c r="E489" s="64">
        <v>16.0</v>
      </c>
      <c r="F489" s="288"/>
      <c r="G489" s="288"/>
      <c r="H489" s="64" t="s">
        <v>3527</v>
      </c>
      <c r="I489" s="64">
        <v>2024.0</v>
      </c>
      <c r="J489" s="64">
        <v>2026.0</v>
      </c>
      <c r="K489" s="287">
        <v>1.0</v>
      </c>
      <c r="L489" s="292" t="s">
        <v>3528</v>
      </c>
      <c r="M489" s="289" t="s">
        <v>4539</v>
      </c>
      <c r="N489" s="35">
        <v>0.0</v>
      </c>
      <c r="O489" s="35" t="s">
        <v>3520</v>
      </c>
      <c r="P489" s="35" t="s">
        <v>113</v>
      </c>
      <c r="Q489" s="38"/>
      <c r="R489" s="38" t="s">
        <v>115</v>
      </c>
      <c r="S489" s="38"/>
      <c r="T489" s="39">
        <v>248576.9</v>
      </c>
      <c r="U489" s="39">
        <v>253257.6853</v>
      </c>
      <c r="V489" s="39">
        <v>-4680.78534</v>
      </c>
      <c r="W489" s="57" t="s">
        <v>3069</v>
      </c>
      <c r="X489" s="42" t="s">
        <v>1385</v>
      </c>
      <c r="Y489" s="42" t="str">
        <f>IFERROR(__xludf.DUMMYFUNCTION("vLOOKUP(A489,IMPORTRANGE(""https://docs.google.com/spreadsheets/d/1Rawwwdh8wntXGy8isdYNHxsNQS4n_rC8JSdPfj6vEq4"",""'500 объектов перенос на 2026'!A3:AB502""),13,0)"),"#REF!")</f>
        <v>#REF!</v>
      </c>
      <c r="Z489" s="42" t="str">
        <f>IFERROR(__xludf.DUMMYFUNCTION("vLOOKUP(A489,IMPORTRANGE(""https://docs.google.com/spreadsheets/d/1Rawwwdh8wntXGy8isdYNHxsNQS4n_rC8JSdPfj6vEq4"",""'500 объектов перенос на 2026'!A3:AB502""),14,0)"),"#REF!")</f>
        <v>#REF!</v>
      </c>
      <c r="AA489" s="85" t="s">
        <v>175</v>
      </c>
      <c r="AB489" s="43"/>
    </row>
    <row r="490">
      <c r="A490" s="62" t="s">
        <v>735</v>
      </c>
      <c r="B490" s="63" t="s">
        <v>736</v>
      </c>
      <c r="C490" s="64" t="s">
        <v>737</v>
      </c>
      <c r="D490" s="64" t="s">
        <v>39</v>
      </c>
      <c r="E490" s="64">
        <v>12.0</v>
      </c>
      <c r="F490" s="288"/>
      <c r="G490" s="288"/>
      <c r="H490" s="64" t="s">
        <v>3527</v>
      </c>
      <c r="I490" s="64">
        <v>2024.0</v>
      </c>
      <c r="J490" s="64">
        <v>2026.0</v>
      </c>
      <c r="K490" s="287">
        <v>1.0</v>
      </c>
      <c r="L490" s="288"/>
      <c r="M490" s="285" t="s">
        <v>4540</v>
      </c>
      <c r="N490" s="35" t="s">
        <v>4541</v>
      </c>
      <c r="O490" s="35" t="s">
        <v>4542</v>
      </c>
      <c r="P490" s="35" t="s">
        <v>3747</v>
      </c>
      <c r="Q490" s="37">
        <v>46157.0</v>
      </c>
      <c r="R490" s="56"/>
      <c r="S490" s="38"/>
      <c r="T490" s="39">
        <v>103744.37</v>
      </c>
      <c r="U490" s="39">
        <v>72442.33592</v>
      </c>
      <c r="V490" s="40">
        <v>31302.03408</v>
      </c>
      <c r="W490" s="57" t="s">
        <v>744</v>
      </c>
      <c r="X490" s="42" t="s">
        <v>745</v>
      </c>
      <c r="Y490" s="42" t="str">
        <f>IFERROR(__xludf.DUMMYFUNCTION("vLOOKUP(A490,IMPORTRANGE(""https://docs.google.com/spreadsheets/d/1Rawwwdh8wntXGy8isdYNHxsNQS4n_rC8JSdPfj6vEq4"",""'500 объектов перенос на 2026'!A3:AB502""),13,0)"),"#REF!")</f>
        <v>#REF!</v>
      </c>
      <c r="Z490" s="42" t="str">
        <f>IFERROR(__xludf.DUMMYFUNCTION("vLOOKUP(A490,IMPORTRANGE(""https://docs.google.com/spreadsheets/d/1Rawwwdh8wntXGy8isdYNHxsNQS4n_rC8JSdPfj6vEq4"",""'500 объектов перенос на 2026'!A3:AB502""),14,0)"),"#REF!")</f>
        <v>#REF!</v>
      </c>
      <c r="AA490" s="85" t="s">
        <v>4543</v>
      </c>
      <c r="AB490" s="43"/>
    </row>
    <row r="491">
      <c r="A491" s="62" t="s">
        <v>1721</v>
      </c>
      <c r="B491" s="63" t="s">
        <v>736</v>
      </c>
      <c r="C491" s="64" t="s">
        <v>1722</v>
      </c>
      <c r="D491" s="64" t="s">
        <v>39</v>
      </c>
      <c r="E491" s="64">
        <v>2.5</v>
      </c>
      <c r="F491" s="288"/>
      <c r="G491" s="288"/>
      <c r="H491" s="64" t="s">
        <v>3527</v>
      </c>
      <c r="I491" s="64">
        <v>2024.0</v>
      </c>
      <c r="J491" s="64">
        <v>2026.0</v>
      </c>
      <c r="K491" s="287">
        <v>0.84</v>
      </c>
      <c r="L491" s="288"/>
      <c r="M491" s="285" t="s">
        <v>4544</v>
      </c>
      <c r="N491" s="35" t="s">
        <v>4545</v>
      </c>
      <c r="O491" s="35" t="s">
        <v>4546</v>
      </c>
      <c r="P491" s="35" t="s">
        <v>507</v>
      </c>
      <c r="Q491" s="37">
        <v>46157.0</v>
      </c>
      <c r="R491" s="56"/>
      <c r="S491" s="38"/>
      <c r="T491" s="39">
        <v>37641.44</v>
      </c>
      <c r="U491" s="39">
        <v>36813.58413</v>
      </c>
      <c r="V491" s="40">
        <v>827.85587</v>
      </c>
      <c r="W491" s="57" t="s">
        <v>1727</v>
      </c>
      <c r="X491" s="42" t="s">
        <v>1338</v>
      </c>
      <c r="Y491" s="42" t="str">
        <f>IFERROR(__xludf.DUMMYFUNCTION("vLOOKUP(A491,IMPORTRANGE(""https://docs.google.com/spreadsheets/d/1Rawwwdh8wntXGy8isdYNHxsNQS4n_rC8JSdPfj6vEq4"",""'500 объектов перенос на 2026'!A3:AB502""),13,0)"),"#REF!")</f>
        <v>#REF!</v>
      </c>
      <c r="Z491" s="42" t="str">
        <f>IFERROR(__xludf.DUMMYFUNCTION("vLOOKUP(A491,IMPORTRANGE(""https://docs.google.com/spreadsheets/d/1Rawwwdh8wntXGy8isdYNHxsNQS4n_rC8JSdPfj6vEq4"",""'500 объектов перенос на 2026'!A3:AB502""),14,0)"),"#REF!")</f>
        <v>#REF!</v>
      </c>
      <c r="AA491" s="85" t="s">
        <v>4543</v>
      </c>
      <c r="AB491" s="43"/>
    </row>
    <row r="492">
      <c r="A492" s="62" t="s">
        <v>3081</v>
      </c>
      <c r="B492" s="63" t="s">
        <v>1329</v>
      </c>
      <c r="C492" s="64" t="s">
        <v>3082</v>
      </c>
      <c r="D492" s="64" t="s">
        <v>85</v>
      </c>
      <c r="E492" s="288"/>
      <c r="F492" s="64">
        <v>500.0</v>
      </c>
      <c r="G492" s="64">
        <v>541.3</v>
      </c>
      <c r="H492" s="64" t="s">
        <v>3512</v>
      </c>
      <c r="I492" s="64">
        <v>2024.0</v>
      </c>
      <c r="J492" s="64">
        <v>2025.0</v>
      </c>
      <c r="K492" s="287">
        <v>1.0</v>
      </c>
      <c r="L492" s="292" t="s">
        <v>3528</v>
      </c>
      <c r="M492" s="285" t="s">
        <v>4547</v>
      </c>
      <c r="N492" s="35" t="s">
        <v>4548</v>
      </c>
      <c r="O492" s="35" t="s">
        <v>4549</v>
      </c>
      <c r="P492" s="35" t="s">
        <v>113</v>
      </c>
      <c r="Q492" s="37">
        <v>46198.0</v>
      </c>
      <c r="R492" s="38" t="s">
        <v>115</v>
      </c>
      <c r="S492" s="38"/>
      <c r="T492" s="39">
        <v>95317.52</v>
      </c>
      <c r="U492" s="39">
        <v>63597.70517</v>
      </c>
      <c r="V492" s="39">
        <v>31719.81483</v>
      </c>
      <c r="W492" s="57" t="s">
        <v>3087</v>
      </c>
      <c r="X492" s="42" t="s">
        <v>745</v>
      </c>
      <c r="Y492" s="42" t="str">
        <f>IFERROR(__xludf.DUMMYFUNCTION("vLOOKUP(A492,IMPORTRANGE(""https://docs.google.com/spreadsheets/d/1Rawwwdh8wntXGy8isdYNHxsNQS4n_rC8JSdPfj6vEq4"",""'500 объектов перенос на 2026'!A3:AB502""),13,0)"),"#REF!")</f>
        <v>#REF!</v>
      </c>
      <c r="Z492" s="42" t="str">
        <f>IFERROR(__xludf.DUMMYFUNCTION("vLOOKUP(A492,IMPORTRANGE(""https://docs.google.com/spreadsheets/d/1Rawwwdh8wntXGy8isdYNHxsNQS4n_rC8JSdPfj6vEq4"",""'500 объектов перенос на 2026'!A3:AB502""),14,0)"),"#REF!")</f>
        <v>#REF!</v>
      </c>
      <c r="AA492" s="85" t="s">
        <v>175</v>
      </c>
      <c r="AB492" s="43"/>
    </row>
    <row r="493">
      <c r="A493" s="62" t="s">
        <v>3088</v>
      </c>
      <c r="B493" s="63" t="s">
        <v>1329</v>
      </c>
      <c r="C493" s="64" t="s">
        <v>3089</v>
      </c>
      <c r="D493" s="64" t="s">
        <v>85</v>
      </c>
      <c r="E493" s="288"/>
      <c r="F493" s="288"/>
      <c r="G493" s="291" t="s">
        <v>4550</v>
      </c>
      <c r="H493" s="64" t="s">
        <v>3512</v>
      </c>
      <c r="I493" s="64">
        <v>2025.0</v>
      </c>
      <c r="J493" s="64">
        <v>2025.0</v>
      </c>
      <c r="K493" s="287">
        <v>1.0</v>
      </c>
      <c r="L493" s="292" t="s">
        <v>3528</v>
      </c>
      <c r="M493" s="285" t="s">
        <v>4551</v>
      </c>
      <c r="N493" s="35">
        <v>0.0</v>
      </c>
      <c r="O493" s="35" t="s">
        <v>4551</v>
      </c>
      <c r="P493" s="35" t="s">
        <v>113</v>
      </c>
      <c r="Q493" s="38"/>
      <c r="R493" s="38" t="s">
        <v>115</v>
      </c>
      <c r="S493" s="38"/>
      <c r="T493" s="39">
        <v>241027.03</v>
      </c>
      <c r="U493" s="39">
        <v>220769.3566</v>
      </c>
      <c r="V493" s="39">
        <v>20257.67342</v>
      </c>
      <c r="W493" s="57" t="s">
        <v>3091</v>
      </c>
      <c r="X493" s="42" t="s">
        <v>1385</v>
      </c>
      <c r="Y493" s="42" t="str">
        <f>IFERROR(__xludf.DUMMYFUNCTION("vLOOKUP(A493,IMPORTRANGE(""https://docs.google.com/spreadsheets/d/1Rawwwdh8wntXGy8isdYNHxsNQS4n_rC8JSdPfj6vEq4"",""'500 объектов перенос на 2026'!A3:AB502""),13,0)"),"#REF!")</f>
        <v>#REF!</v>
      </c>
      <c r="Z493" s="42" t="str">
        <f>IFERROR(__xludf.DUMMYFUNCTION("vLOOKUP(A493,IMPORTRANGE(""https://docs.google.com/spreadsheets/d/1Rawwwdh8wntXGy8isdYNHxsNQS4n_rC8JSdPfj6vEq4"",""'500 объектов перенос на 2026'!A3:AB502""),14,0)"),"#REF!")</f>
        <v>#REF!</v>
      </c>
      <c r="AA493" s="85" t="s">
        <v>175</v>
      </c>
      <c r="AB493" s="43"/>
    </row>
    <row r="494">
      <c r="A494" s="62" t="s">
        <v>3092</v>
      </c>
      <c r="B494" s="63" t="s">
        <v>1329</v>
      </c>
      <c r="C494" s="64" t="s">
        <v>3093</v>
      </c>
      <c r="D494" s="64" t="s">
        <v>85</v>
      </c>
      <c r="E494" s="288"/>
      <c r="F494" s="64" t="s">
        <v>3795</v>
      </c>
      <c r="G494" s="291" t="s">
        <v>4552</v>
      </c>
      <c r="H494" s="64" t="s">
        <v>3512</v>
      </c>
      <c r="I494" s="64">
        <v>2024.0</v>
      </c>
      <c r="J494" s="64">
        <v>2025.0</v>
      </c>
      <c r="K494" s="287">
        <v>1.0</v>
      </c>
      <c r="L494" s="292" t="s">
        <v>3528</v>
      </c>
      <c r="M494" s="285" t="s">
        <v>4553</v>
      </c>
      <c r="N494" s="35" t="s">
        <v>4554</v>
      </c>
      <c r="O494" s="35" t="s">
        <v>4555</v>
      </c>
      <c r="P494" s="35" t="s">
        <v>113</v>
      </c>
      <c r="Q494" s="38"/>
      <c r="R494" s="38" t="s">
        <v>115</v>
      </c>
      <c r="S494" s="38"/>
      <c r="T494" s="39">
        <v>286938.65</v>
      </c>
      <c r="U494" s="39">
        <v>234532.1193</v>
      </c>
      <c r="V494" s="39">
        <v>52406.53069</v>
      </c>
      <c r="W494" s="57" t="s">
        <v>3095</v>
      </c>
      <c r="X494" s="42" t="s">
        <v>745</v>
      </c>
      <c r="Y494" s="42" t="str">
        <f>IFERROR(__xludf.DUMMYFUNCTION("vLOOKUP(A494,IMPORTRANGE(""https://docs.google.com/spreadsheets/d/1Rawwwdh8wntXGy8isdYNHxsNQS4n_rC8JSdPfj6vEq4"",""'500 объектов перенос на 2026'!A3:AB502""),13,0)"),"#REF!")</f>
        <v>#REF!</v>
      </c>
      <c r="Z494" s="42" t="str">
        <f>IFERROR(__xludf.DUMMYFUNCTION("vLOOKUP(A494,IMPORTRANGE(""https://docs.google.com/spreadsheets/d/1Rawwwdh8wntXGy8isdYNHxsNQS4n_rC8JSdPfj6vEq4"",""'500 объектов перенос на 2026'!A3:AB502""),14,0)"),"#REF!")</f>
        <v>#REF!</v>
      </c>
      <c r="AA494" s="85" t="s">
        <v>175</v>
      </c>
      <c r="AB494" s="43"/>
    </row>
    <row r="495">
      <c r="A495" s="62" t="s">
        <v>3096</v>
      </c>
      <c r="B495" s="63" t="s">
        <v>1329</v>
      </c>
      <c r="C495" s="64" t="s">
        <v>3097</v>
      </c>
      <c r="D495" s="64" t="s">
        <v>85</v>
      </c>
      <c r="E495" s="288"/>
      <c r="F495" s="288"/>
      <c r="G495" s="291" t="s">
        <v>3580</v>
      </c>
      <c r="H495" s="64" t="s">
        <v>3512</v>
      </c>
      <c r="I495" s="64">
        <v>2025.0</v>
      </c>
      <c r="J495" s="64">
        <v>2025.0</v>
      </c>
      <c r="K495" s="287">
        <v>1.0</v>
      </c>
      <c r="L495" s="292" t="s">
        <v>3528</v>
      </c>
      <c r="M495" s="285" t="s">
        <v>4556</v>
      </c>
      <c r="N495" s="35" t="s">
        <v>4557</v>
      </c>
      <c r="O495" s="35" t="s">
        <v>4558</v>
      </c>
      <c r="P495" s="35" t="s">
        <v>113</v>
      </c>
      <c r="Q495" s="38"/>
      <c r="R495" s="38" t="s">
        <v>115</v>
      </c>
      <c r="S495" s="38"/>
      <c r="T495" s="39">
        <v>32907.74</v>
      </c>
      <c r="U495" s="39">
        <v>29302.11874</v>
      </c>
      <c r="V495" s="39">
        <v>3605.62126</v>
      </c>
      <c r="W495" s="57" t="s">
        <v>3098</v>
      </c>
      <c r="X495" s="42" t="s">
        <v>1385</v>
      </c>
      <c r="Y495" s="42" t="str">
        <f>IFERROR(__xludf.DUMMYFUNCTION("vLOOKUP(A495,IMPORTRANGE(""https://docs.google.com/spreadsheets/d/1Rawwwdh8wntXGy8isdYNHxsNQS4n_rC8JSdPfj6vEq4"",""'500 объектов перенос на 2026'!A3:AB502""),13,0)"),"#REF!")</f>
        <v>#REF!</v>
      </c>
      <c r="Z495" s="42" t="str">
        <f>IFERROR(__xludf.DUMMYFUNCTION("vLOOKUP(A495,IMPORTRANGE(""https://docs.google.com/spreadsheets/d/1Rawwwdh8wntXGy8isdYNHxsNQS4n_rC8JSdPfj6vEq4"",""'500 объектов перенос на 2026'!A3:AB502""),14,0)"),"#REF!")</f>
        <v>#REF!</v>
      </c>
      <c r="AA495" s="85" t="s">
        <v>175</v>
      </c>
      <c r="AB495" s="43"/>
    </row>
    <row r="496">
      <c r="A496" s="62" t="s">
        <v>3099</v>
      </c>
      <c r="B496" s="63" t="s">
        <v>1329</v>
      </c>
      <c r="C496" s="64" t="s">
        <v>3100</v>
      </c>
      <c r="D496" s="64" t="s">
        <v>85</v>
      </c>
      <c r="E496" s="288"/>
      <c r="F496" s="288"/>
      <c r="G496" s="291" t="s">
        <v>4559</v>
      </c>
      <c r="H496" s="64" t="s">
        <v>3512</v>
      </c>
      <c r="I496" s="64">
        <v>2025.0</v>
      </c>
      <c r="J496" s="64">
        <v>2025.0</v>
      </c>
      <c r="K496" s="287">
        <v>1.0</v>
      </c>
      <c r="L496" s="292" t="s">
        <v>3528</v>
      </c>
      <c r="M496" s="285" t="s">
        <v>4560</v>
      </c>
      <c r="N496" s="35" t="s">
        <v>4561</v>
      </c>
      <c r="O496" s="35" t="s">
        <v>4562</v>
      </c>
      <c r="P496" s="35" t="s">
        <v>113</v>
      </c>
      <c r="Q496" s="38"/>
      <c r="R496" s="38" t="s">
        <v>115</v>
      </c>
      <c r="S496" s="38"/>
      <c r="T496" s="39">
        <v>52482.18</v>
      </c>
      <c r="U496" s="39">
        <v>52485.18166</v>
      </c>
      <c r="V496" s="39">
        <v>-3.00166</v>
      </c>
      <c r="W496" s="57" t="s">
        <v>3101</v>
      </c>
      <c r="X496" s="42" t="s">
        <v>3102</v>
      </c>
      <c r="Y496" s="42" t="str">
        <f>IFERROR(__xludf.DUMMYFUNCTION("vLOOKUP(A496,IMPORTRANGE(""https://docs.google.com/spreadsheets/d/1Rawwwdh8wntXGy8isdYNHxsNQS4n_rC8JSdPfj6vEq4"",""'500 объектов перенос на 2026'!A3:AB502""),13,0)"),"#REF!")</f>
        <v>#REF!</v>
      </c>
      <c r="Z496" s="42" t="str">
        <f>IFERROR(__xludf.DUMMYFUNCTION("vLOOKUP(A496,IMPORTRANGE(""https://docs.google.com/spreadsheets/d/1Rawwwdh8wntXGy8isdYNHxsNQS4n_rC8JSdPfj6vEq4"",""'500 объектов перенос на 2026'!A3:AB502""),14,0)"),"#REF!")</f>
        <v>#REF!</v>
      </c>
      <c r="AA496" s="85" t="s">
        <v>175</v>
      </c>
      <c r="AB496" s="43"/>
    </row>
    <row r="497">
      <c r="A497" s="62" t="s">
        <v>1328</v>
      </c>
      <c r="B497" s="63" t="s">
        <v>1329</v>
      </c>
      <c r="C497" s="64" t="s">
        <v>1330</v>
      </c>
      <c r="D497" s="64" t="s">
        <v>39</v>
      </c>
      <c r="E497" s="64">
        <v>5.0</v>
      </c>
      <c r="F497" s="288"/>
      <c r="G497" s="288"/>
      <c r="H497" s="64" t="s">
        <v>3527</v>
      </c>
      <c r="I497" s="64">
        <v>2024.0</v>
      </c>
      <c r="J497" s="64">
        <v>2026.0</v>
      </c>
      <c r="K497" s="287">
        <v>0.81</v>
      </c>
      <c r="L497" s="288"/>
      <c r="M497" s="285" t="s">
        <v>4563</v>
      </c>
      <c r="N497" s="35">
        <v>0.0</v>
      </c>
      <c r="O497" s="35" t="s">
        <v>4563</v>
      </c>
      <c r="P497" s="35" t="s">
        <v>507</v>
      </c>
      <c r="Q497" s="37">
        <v>46198.0</v>
      </c>
      <c r="R497" s="56"/>
      <c r="S497" s="38"/>
      <c r="T497" s="39">
        <v>73326.25</v>
      </c>
      <c r="U497" s="39">
        <v>35736.66844</v>
      </c>
      <c r="V497" s="40">
        <v>37589.58156</v>
      </c>
      <c r="W497" s="57" t="s">
        <v>1337</v>
      </c>
      <c r="X497" s="42" t="s">
        <v>1338</v>
      </c>
      <c r="Y497" s="42" t="str">
        <f>IFERROR(__xludf.DUMMYFUNCTION("vLOOKUP(A497,IMPORTRANGE(""https://docs.google.com/spreadsheets/d/1Rawwwdh8wntXGy8isdYNHxsNQS4n_rC8JSdPfj6vEq4"",""'500 объектов перенос на 2026'!A3:AB502""),13,0)"),"#REF!")</f>
        <v>#REF!</v>
      </c>
      <c r="Z497" s="42" t="str">
        <f>IFERROR(__xludf.DUMMYFUNCTION("vLOOKUP(A497,IMPORTRANGE(""https://docs.google.com/spreadsheets/d/1Rawwwdh8wntXGy8isdYNHxsNQS4n_rC8JSdPfj6vEq4"",""'500 объектов перенос на 2026'!A3:AB502""),14,0)"),"#REF!")</f>
        <v>#REF!</v>
      </c>
      <c r="AA497" s="85" t="s">
        <v>4564</v>
      </c>
      <c r="AB497" s="43"/>
    </row>
    <row r="498">
      <c r="A498" s="62" t="s">
        <v>2813</v>
      </c>
      <c r="B498" s="63" t="s">
        <v>1329</v>
      </c>
      <c r="C498" s="64" t="s">
        <v>2814</v>
      </c>
      <c r="D498" s="64" t="s">
        <v>39</v>
      </c>
      <c r="E498" s="64">
        <v>2.1</v>
      </c>
      <c r="F498" s="288"/>
      <c r="G498" s="288"/>
      <c r="H498" s="64" t="s">
        <v>3527</v>
      </c>
      <c r="I498" s="64">
        <v>2024.0</v>
      </c>
      <c r="J498" s="64">
        <v>2026.0</v>
      </c>
      <c r="K498" s="287">
        <v>0.81</v>
      </c>
      <c r="L498" s="292" t="s">
        <v>3528</v>
      </c>
      <c r="M498" s="285" t="s">
        <v>4565</v>
      </c>
      <c r="N498" s="295" t="s">
        <v>4566</v>
      </c>
      <c r="O498" s="35" t="s">
        <v>3520</v>
      </c>
      <c r="P498" s="35" t="s">
        <v>113</v>
      </c>
      <c r="Q498" s="38"/>
      <c r="R498" s="56"/>
      <c r="S498" s="38"/>
      <c r="T498" s="39">
        <v>69153.96</v>
      </c>
      <c r="U498" s="39">
        <v>64417.23858</v>
      </c>
      <c r="V498" s="39">
        <v>4736.72142</v>
      </c>
      <c r="W498" s="57" t="s">
        <v>2818</v>
      </c>
      <c r="X498" s="42" t="s">
        <v>1338</v>
      </c>
      <c r="Y498" s="42" t="str">
        <f>IFERROR(__xludf.DUMMYFUNCTION("vLOOKUP(A498,IMPORTRANGE(""https://docs.google.com/spreadsheets/d/1Rawwwdh8wntXGy8isdYNHxsNQS4n_rC8JSdPfj6vEq4"",""'500 объектов перенос на 2026'!A3:AB502""),13,0)"),"#REF!")</f>
        <v>#REF!</v>
      </c>
      <c r="Z498" s="42" t="str">
        <f>IFERROR(__xludf.DUMMYFUNCTION("vLOOKUP(A498,IMPORTRANGE(""https://docs.google.com/spreadsheets/d/1Rawwwdh8wntXGy8isdYNHxsNQS4n_rC8JSdPfj6vEq4"",""'500 объектов перенос на 2026'!A3:AB502""),14,0)"),"#REF!")</f>
        <v>#REF!</v>
      </c>
      <c r="AA498" s="85" t="s">
        <v>4567</v>
      </c>
      <c r="AB498" s="43"/>
    </row>
    <row r="499">
      <c r="A499" s="62" t="s">
        <v>1526</v>
      </c>
      <c r="B499" s="63" t="s">
        <v>1329</v>
      </c>
      <c r="C499" s="64" t="s">
        <v>1527</v>
      </c>
      <c r="D499" s="64" t="s">
        <v>39</v>
      </c>
      <c r="E499" s="64">
        <v>3.0</v>
      </c>
      <c r="F499" s="288"/>
      <c r="G499" s="288"/>
      <c r="H499" s="64" t="s">
        <v>3527</v>
      </c>
      <c r="I499" s="64">
        <v>2024.0</v>
      </c>
      <c r="J499" s="64">
        <v>2026.0</v>
      </c>
      <c r="K499" s="287">
        <v>0.66</v>
      </c>
      <c r="L499" s="288"/>
      <c r="M499" s="285" t="s">
        <v>4568</v>
      </c>
      <c r="N499" s="35">
        <v>0.0</v>
      </c>
      <c r="O499" s="35" t="s">
        <v>4568</v>
      </c>
      <c r="P499" s="35" t="s">
        <v>507</v>
      </c>
      <c r="Q499" s="37">
        <v>46198.0</v>
      </c>
      <c r="R499" s="56"/>
      <c r="S499" s="38"/>
      <c r="T499" s="39">
        <v>53679.03167</v>
      </c>
      <c r="U499" s="39">
        <v>24355.21638</v>
      </c>
      <c r="V499" s="40">
        <v>29323.81529</v>
      </c>
      <c r="W499" s="57" t="s">
        <v>1533</v>
      </c>
      <c r="X499" s="42" t="s">
        <v>1338</v>
      </c>
      <c r="Y499" s="42" t="str">
        <f>IFERROR(__xludf.DUMMYFUNCTION("vLOOKUP(A499,IMPORTRANGE(""https://docs.google.com/spreadsheets/d/1Rawwwdh8wntXGy8isdYNHxsNQS4n_rC8JSdPfj6vEq4"",""'500 объектов перенос на 2026'!A3:AB502""),13,0)"),"#REF!")</f>
        <v>#REF!</v>
      </c>
      <c r="Z499" s="42" t="str">
        <f>IFERROR(__xludf.DUMMYFUNCTION("vLOOKUP(A499,IMPORTRANGE(""https://docs.google.com/spreadsheets/d/1Rawwwdh8wntXGy8isdYNHxsNQS4n_rC8JSdPfj6vEq4"",""'500 объектов перенос на 2026'!A3:AB502""),14,0)"),"#REF!")</f>
        <v>#REF!</v>
      </c>
      <c r="AA499" s="85" t="s">
        <v>4569</v>
      </c>
      <c r="AB499" s="43"/>
    </row>
    <row r="500">
      <c r="A500" s="62" t="s">
        <v>1638</v>
      </c>
      <c r="B500" s="63" t="s">
        <v>1329</v>
      </c>
      <c r="C500" s="64" t="s">
        <v>1639</v>
      </c>
      <c r="D500" s="64" t="s">
        <v>39</v>
      </c>
      <c r="E500" s="64">
        <v>15.0</v>
      </c>
      <c r="F500" s="288"/>
      <c r="G500" s="288"/>
      <c r="H500" s="64" t="s">
        <v>3527</v>
      </c>
      <c r="I500" s="64">
        <v>2024.0</v>
      </c>
      <c r="J500" s="64">
        <v>2026.0</v>
      </c>
      <c r="K500" s="287">
        <v>0.83</v>
      </c>
      <c r="L500" s="288"/>
      <c r="M500" s="289" t="s">
        <v>4570</v>
      </c>
      <c r="N500" s="35">
        <v>0.0</v>
      </c>
      <c r="O500" s="35" t="s">
        <v>3520</v>
      </c>
      <c r="P500" s="35" t="s">
        <v>507</v>
      </c>
      <c r="Q500" s="37">
        <v>46198.0</v>
      </c>
      <c r="R500" s="56"/>
      <c r="S500" s="38"/>
      <c r="T500" s="39">
        <v>177118.55</v>
      </c>
      <c r="U500" s="39">
        <v>26481.33545</v>
      </c>
      <c r="V500" s="40">
        <v>150637.2146</v>
      </c>
      <c r="W500" s="99" t="s">
        <v>1647</v>
      </c>
      <c r="X500" s="42" t="s">
        <v>1338</v>
      </c>
      <c r="Y500" s="42" t="str">
        <f>IFERROR(__xludf.DUMMYFUNCTION("vLOOKUP(A500,IMPORTRANGE(""https://docs.google.com/spreadsheets/d/1Rawwwdh8wntXGy8isdYNHxsNQS4n_rC8JSdPfj6vEq4"",""'500 объектов перенос на 2026'!A3:AB502""),13,0)"),"#REF!")</f>
        <v>#REF!</v>
      </c>
      <c r="Z500" s="42" t="str">
        <f>IFERROR(__xludf.DUMMYFUNCTION("vLOOKUP(A500,IMPORTRANGE(""https://docs.google.com/spreadsheets/d/1Rawwwdh8wntXGy8isdYNHxsNQS4n_rC8JSdPfj6vEq4"",""'500 объектов перенос на 2026'!A3:AB502""),14,0)"),"#REF!")</f>
        <v>#REF!</v>
      </c>
      <c r="AA500" s="85" t="s">
        <v>4567</v>
      </c>
      <c r="AB500" s="43"/>
    </row>
    <row r="501">
      <c r="A501" s="62" t="s">
        <v>3119</v>
      </c>
      <c r="B501" s="63" t="s">
        <v>99</v>
      </c>
      <c r="C501" s="90" t="s">
        <v>3120</v>
      </c>
      <c r="D501" s="90" t="s">
        <v>155</v>
      </c>
      <c r="E501" s="286"/>
      <c r="F501" s="286"/>
      <c r="G501" s="286"/>
      <c r="H501" s="90" t="s">
        <v>3512</v>
      </c>
      <c r="I501" s="64">
        <v>2025.0</v>
      </c>
      <c r="J501" s="64">
        <v>2025.0</v>
      </c>
      <c r="K501" s="287">
        <v>1.0</v>
      </c>
      <c r="L501" s="292" t="s">
        <v>3528</v>
      </c>
      <c r="M501" s="285" t="s">
        <v>4571</v>
      </c>
      <c r="N501" s="35" t="s">
        <v>4572</v>
      </c>
      <c r="O501" s="35" t="s">
        <v>4573</v>
      </c>
      <c r="P501" s="35" t="s">
        <v>113</v>
      </c>
      <c r="Q501" s="38" t="s">
        <v>11</v>
      </c>
      <c r="R501" s="38" t="s">
        <v>115</v>
      </c>
      <c r="S501" s="38"/>
      <c r="T501" s="39">
        <v>88988.51</v>
      </c>
      <c r="U501" s="39">
        <v>88043.75</v>
      </c>
      <c r="V501" s="39">
        <v>944.76</v>
      </c>
      <c r="W501" s="57" t="s">
        <v>3121</v>
      </c>
      <c r="X501" s="42" t="s">
        <v>253</v>
      </c>
      <c r="Y501" s="42" t="str">
        <f>IFERROR(__xludf.DUMMYFUNCTION("vLOOKUP(A501,IMPORTRANGE(""https://docs.google.com/spreadsheets/d/1Rawwwdh8wntXGy8isdYNHxsNQS4n_rC8JSdPfj6vEq4"",""'500 объектов перенос на 2026'!A3:AB502""),13,0)"),"#REF!")</f>
        <v>#REF!</v>
      </c>
      <c r="Z501" s="42" t="str">
        <f>IFERROR(__xludf.DUMMYFUNCTION("vLOOKUP(A501,IMPORTRANGE(""https://docs.google.com/spreadsheets/d/1Rawwwdh8wntXGy8isdYNHxsNQS4n_rC8JSdPfj6vEq4"",""'500 объектов перенос на 2026'!A3:AB502""),14,0)"),"#REF!")</f>
        <v>#REF!</v>
      </c>
      <c r="AA501" s="85" t="s">
        <v>175</v>
      </c>
      <c r="AB501" s="43"/>
    </row>
    <row r="502">
      <c r="A502" s="62" t="s">
        <v>153</v>
      </c>
      <c r="B502" s="63" t="s">
        <v>99</v>
      </c>
      <c r="C502" s="90" t="s">
        <v>154</v>
      </c>
      <c r="D502" s="90" t="s">
        <v>155</v>
      </c>
      <c r="E502" s="286"/>
      <c r="F502" s="286"/>
      <c r="G502" s="286"/>
      <c r="H502" s="90" t="s">
        <v>3512</v>
      </c>
      <c r="I502" s="90">
        <v>2025.0</v>
      </c>
      <c r="J502" s="64">
        <v>2026.0</v>
      </c>
      <c r="K502" s="287">
        <v>0.5</v>
      </c>
      <c r="L502" s="288"/>
      <c r="M502" s="285" t="s">
        <v>3568</v>
      </c>
      <c r="N502" s="35" t="s">
        <v>3568</v>
      </c>
      <c r="O502" s="35" t="s">
        <v>3568</v>
      </c>
      <c r="P502" s="35" t="s">
        <v>46</v>
      </c>
      <c r="Q502" s="37">
        <v>46296.0</v>
      </c>
      <c r="R502" s="56"/>
      <c r="S502" s="38"/>
      <c r="T502" s="39">
        <v>274226.25</v>
      </c>
      <c r="U502" s="39">
        <v>82267.875</v>
      </c>
      <c r="V502" s="40">
        <v>191958.375</v>
      </c>
      <c r="W502" s="57" t="s">
        <v>161</v>
      </c>
      <c r="X502" s="42" t="s">
        <v>105</v>
      </c>
      <c r="Y502" s="42" t="str">
        <f>IFERROR(__xludf.DUMMYFUNCTION("vLOOKUP(A502,IMPORTRANGE(""https://docs.google.com/spreadsheets/d/1Rawwwdh8wntXGy8isdYNHxsNQS4n_rC8JSdPfj6vEq4"",""'500 объектов перенос на 2026'!A3:AB502""),13,0)"),"#REF!")</f>
        <v>#REF!</v>
      </c>
      <c r="Z502" s="42" t="str">
        <f>IFERROR(__xludf.DUMMYFUNCTION("vLOOKUP(A502,IMPORTRANGE(""https://docs.google.com/spreadsheets/d/1Rawwwdh8wntXGy8isdYNHxsNQS4n_rC8JSdPfj6vEq4"",""'500 объектов перенос на 2026'!A3:AB502""),14,0)"),"#REF!")</f>
        <v>#REF!</v>
      </c>
      <c r="AA502" s="85" t="s">
        <v>49</v>
      </c>
      <c r="AB502" s="43"/>
    </row>
    <row r="503">
      <c r="A503" s="116"/>
      <c r="B503" s="116"/>
      <c r="C503" s="116"/>
      <c r="D503" s="116"/>
      <c r="E503" s="116"/>
      <c r="F503" s="116"/>
      <c r="G503" s="116"/>
      <c r="H503" s="116"/>
      <c r="I503" s="116"/>
      <c r="J503" s="116"/>
      <c r="K503" s="116"/>
      <c r="L503" s="116"/>
      <c r="M503" s="116"/>
      <c r="N503" s="116"/>
      <c r="O503" s="116"/>
      <c r="P503" s="116"/>
      <c r="Q503" s="312"/>
      <c r="R503" s="116"/>
      <c r="S503" s="116"/>
      <c r="T503" s="116"/>
      <c r="U503" s="116"/>
      <c r="V503" s="313"/>
      <c r="W503" s="314"/>
      <c r="X503" s="43"/>
      <c r="Y503" s="43"/>
      <c r="Z503" s="43"/>
      <c r="AA503" s="43"/>
      <c r="AB503" s="43"/>
    </row>
    <row r="504">
      <c r="A504" s="116"/>
      <c r="B504" s="116"/>
      <c r="C504" s="116"/>
      <c r="D504" s="116"/>
      <c r="E504" s="116"/>
      <c r="F504" s="116"/>
      <c r="G504" s="116"/>
      <c r="H504" s="116"/>
      <c r="I504" s="116"/>
      <c r="J504" s="116"/>
      <c r="K504" s="116"/>
      <c r="L504" s="116"/>
      <c r="M504" s="116"/>
      <c r="N504" s="116"/>
      <c r="O504" s="116"/>
      <c r="P504" s="116"/>
      <c r="Q504" s="312"/>
      <c r="R504" s="116"/>
      <c r="S504" s="116"/>
      <c r="T504" s="116"/>
      <c r="U504" s="116"/>
      <c r="V504" s="313"/>
      <c r="W504" s="314"/>
      <c r="X504" s="43"/>
      <c r="Y504" s="43"/>
      <c r="Z504" s="43"/>
      <c r="AA504" s="43"/>
      <c r="AB504" s="43"/>
    </row>
    <row r="505">
      <c r="A505" s="116"/>
      <c r="B505" s="116"/>
      <c r="C505" s="116"/>
      <c r="D505" s="116"/>
      <c r="E505" s="116"/>
      <c r="F505" s="116"/>
      <c r="G505" s="116"/>
      <c r="H505" s="116"/>
      <c r="I505" s="116"/>
      <c r="J505" s="116"/>
      <c r="K505" s="116"/>
      <c r="L505" s="116"/>
      <c r="M505" s="116"/>
      <c r="N505" s="116"/>
      <c r="O505" s="116"/>
      <c r="P505" s="116"/>
      <c r="Q505" s="312"/>
      <c r="R505" s="116"/>
      <c r="S505" s="116"/>
      <c r="T505" s="116"/>
      <c r="U505" s="116"/>
      <c r="V505" s="313"/>
      <c r="W505" s="314"/>
      <c r="X505" s="43"/>
      <c r="Y505" s="43"/>
      <c r="Z505" s="43"/>
      <c r="AA505" s="43"/>
      <c r="AB505" s="43"/>
    </row>
    <row r="506">
      <c r="A506" s="116"/>
      <c r="B506" s="116"/>
      <c r="C506" s="116"/>
      <c r="D506" s="116"/>
      <c r="E506" s="116"/>
      <c r="F506" s="116"/>
      <c r="G506" s="116"/>
      <c r="H506" s="116"/>
      <c r="I506" s="116"/>
      <c r="J506" s="116"/>
      <c r="K506" s="116"/>
      <c r="L506" s="116"/>
      <c r="M506" s="116"/>
      <c r="N506" s="116"/>
      <c r="O506" s="116"/>
      <c r="P506" s="116"/>
      <c r="Q506" s="312"/>
      <c r="R506" s="116"/>
      <c r="S506" s="116"/>
      <c r="T506" s="116"/>
      <c r="U506" s="116"/>
      <c r="V506" s="313"/>
      <c r="W506" s="314"/>
      <c r="X506" s="43"/>
      <c r="Y506" s="43"/>
      <c r="Z506" s="43"/>
      <c r="AA506" s="43"/>
      <c r="AB506" s="43"/>
    </row>
    <row r="507">
      <c r="A507" s="116"/>
      <c r="B507" s="116"/>
      <c r="C507" s="116"/>
      <c r="D507" s="116"/>
      <c r="E507" s="116"/>
      <c r="F507" s="116"/>
      <c r="G507" s="116"/>
      <c r="H507" s="116"/>
      <c r="I507" s="116"/>
      <c r="J507" s="116"/>
      <c r="K507" s="116"/>
      <c r="L507" s="116"/>
      <c r="M507" s="116"/>
      <c r="N507" s="116"/>
      <c r="O507" s="116"/>
      <c r="P507" s="116"/>
      <c r="Q507" s="312"/>
      <c r="R507" s="116"/>
      <c r="S507" s="116"/>
      <c r="T507" s="116"/>
      <c r="U507" s="116"/>
      <c r="V507" s="313"/>
      <c r="W507" s="314"/>
      <c r="X507" s="43"/>
      <c r="Y507" s="43"/>
      <c r="Z507" s="43"/>
      <c r="AA507" s="43"/>
      <c r="AB507" s="43"/>
    </row>
    <row r="508">
      <c r="A508" s="116"/>
      <c r="B508" s="116"/>
      <c r="C508" s="116"/>
      <c r="D508" s="116"/>
      <c r="E508" s="116"/>
      <c r="F508" s="116"/>
      <c r="G508" s="116"/>
      <c r="H508" s="116"/>
      <c r="I508" s="116"/>
      <c r="J508" s="116"/>
      <c r="K508" s="116"/>
      <c r="L508" s="116"/>
      <c r="M508" s="116"/>
      <c r="N508" s="116"/>
      <c r="O508" s="116"/>
      <c r="P508" s="116"/>
      <c r="Q508" s="312"/>
      <c r="R508" s="116"/>
      <c r="S508" s="116"/>
      <c r="T508" s="116"/>
      <c r="U508" s="116"/>
      <c r="V508" s="313"/>
      <c r="W508" s="314"/>
      <c r="X508" s="43"/>
      <c r="Y508" s="43"/>
      <c r="Z508" s="43"/>
      <c r="AA508" s="43"/>
      <c r="AB508" s="43"/>
    </row>
    <row r="509">
      <c r="A509" s="116"/>
      <c r="B509" s="116"/>
      <c r="C509" s="116"/>
      <c r="D509" s="116"/>
      <c r="E509" s="116"/>
      <c r="F509" s="116"/>
      <c r="G509" s="116"/>
      <c r="H509" s="116"/>
      <c r="I509" s="116"/>
      <c r="J509" s="116"/>
      <c r="K509" s="116"/>
      <c r="L509" s="116"/>
      <c r="M509" s="116"/>
      <c r="N509" s="116"/>
      <c r="O509" s="116"/>
      <c r="P509" s="116"/>
      <c r="Q509" s="312"/>
      <c r="R509" s="116"/>
      <c r="S509" s="116"/>
      <c r="T509" s="116"/>
      <c r="U509" s="116"/>
      <c r="V509" s="313"/>
      <c r="W509" s="314"/>
      <c r="X509" s="43"/>
      <c r="Y509" s="43"/>
      <c r="Z509" s="43"/>
      <c r="AA509" s="43"/>
      <c r="AB509" s="43"/>
    </row>
    <row r="510">
      <c r="A510" s="116"/>
      <c r="B510" s="116"/>
      <c r="C510" s="116"/>
      <c r="D510" s="116"/>
      <c r="E510" s="116"/>
      <c r="F510" s="116"/>
      <c r="G510" s="116"/>
      <c r="H510" s="116"/>
      <c r="I510" s="116"/>
      <c r="J510" s="116"/>
      <c r="K510" s="116"/>
      <c r="L510" s="116"/>
      <c r="M510" s="116"/>
      <c r="N510" s="116"/>
      <c r="O510" s="116"/>
      <c r="P510" s="116"/>
      <c r="Q510" s="312"/>
      <c r="R510" s="116"/>
      <c r="S510" s="116"/>
      <c r="T510" s="116"/>
      <c r="U510" s="116"/>
      <c r="V510" s="313"/>
      <c r="W510" s="314"/>
      <c r="X510" s="43"/>
      <c r="Y510" s="43"/>
      <c r="Z510" s="43"/>
      <c r="AA510" s="43"/>
      <c r="AB510" s="43"/>
    </row>
    <row r="511">
      <c r="A511" s="116"/>
      <c r="B511" s="116"/>
      <c r="C511" s="116"/>
      <c r="D511" s="116"/>
      <c r="E511" s="116"/>
      <c r="F511" s="116"/>
      <c r="G511" s="116"/>
      <c r="H511" s="116"/>
      <c r="I511" s="116"/>
      <c r="J511" s="116"/>
      <c r="K511" s="116"/>
      <c r="L511" s="116"/>
      <c r="M511" s="116"/>
      <c r="N511" s="116"/>
      <c r="O511" s="116"/>
      <c r="P511" s="116"/>
      <c r="Q511" s="312"/>
      <c r="R511" s="116"/>
      <c r="S511" s="116"/>
      <c r="T511" s="116"/>
      <c r="U511" s="116"/>
      <c r="V511" s="313"/>
      <c r="W511" s="314"/>
      <c r="X511" s="43"/>
      <c r="Y511" s="43"/>
      <c r="Z511" s="43"/>
      <c r="AA511" s="43"/>
      <c r="AB511" s="43"/>
    </row>
    <row r="512">
      <c r="A512" s="116"/>
      <c r="B512" s="116"/>
      <c r="C512" s="116"/>
      <c r="D512" s="116"/>
      <c r="E512" s="116"/>
      <c r="F512" s="116"/>
      <c r="G512" s="116"/>
      <c r="H512" s="116"/>
      <c r="I512" s="116"/>
      <c r="J512" s="116"/>
      <c r="K512" s="116"/>
      <c r="L512" s="116"/>
      <c r="M512" s="116"/>
      <c r="N512" s="116"/>
      <c r="O512" s="116"/>
      <c r="P512" s="116"/>
      <c r="Q512" s="312"/>
      <c r="R512" s="116"/>
      <c r="S512" s="116"/>
      <c r="T512" s="116"/>
      <c r="U512" s="116"/>
      <c r="V512" s="313"/>
      <c r="W512" s="314"/>
      <c r="X512" s="43"/>
      <c r="Y512" s="43"/>
      <c r="Z512" s="43"/>
      <c r="AA512" s="43"/>
      <c r="AB512" s="43"/>
    </row>
    <row r="513">
      <c r="A513" s="116"/>
      <c r="B513" s="116"/>
      <c r="C513" s="116"/>
      <c r="D513" s="116"/>
      <c r="E513" s="116"/>
      <c r="F513" s="116"/>
      <c r="G513" s="116"/>
      <c r="H513" s="116"/>
      <c r="I513" s="116"/>
      <c r="J513" s="116"/>
      <c r="K513" s="116"/>
      <c r="L513" s="116"/>
      <c r="M513" s="116"/>
      <c r="N513" s="116"/>
      <c r="O513" s="116"/>
      <c r="P513" s="116"/>
      <c r="Q513" s="312"/>
      <c r="R513" s="116"/>
      <c r="S513" s="116"/>
      <c r="T513" s="116"/>
      <c r="U513" s="116"/>
      <c r="V513" s="313"/>
      <c r="W513" s="314"/>
      <c r="X513" s="43"/>
      <c r="Y513" s="43"/>
      <c r="Z513" s="43"/>
      <c r="AA513" s="43"/>
      <c r="AB513" s="43"/>
    </row>
    <row r="514">
      <c r="A514" s="116"/>
      <c r="B514" s="116"/>
      <c r="C514" s="116"/>
      <c r="D514" s="116"/>
      <c r="E514" s="116"/>
      <c r="F514" s="116"/>
      <c r="G514" s="116"/>
      <c r="H514" s="116"/>
      <c r="I514" s="116"/>
      <c r="J514" s="116"/>
      <c r="K514" s="116"/>
      <c r="L514" s="116"/>
      <c r="M514" s="116"/>
      <c r="N514" s="116"/>
      <c r="O514" s="116"/>
      <c r="P514" s="116"/>
      <c r="Q514" s="312"/>
      <c r="R514" s="116"/>
      <c r="S514" s="116"/>
      <c r="T514" s="116"/>
      <c r="U514" s="116"/>
      <c r="V514" s="313"/>
      <c r="W514" s="314"/>
      <c r="X514" s="43"/>
      <c r="Y514" s="43"/>
      <c r="Z514" s="43"/>
      <c r="AA514" s="43"/>
      <c r="AB514" s="43"/>
    </row>
    <row r="515">
      <c r="A515" s="116"/>
      <c r="B515" s="116"/>
      <c r="C515" s="116"/>
      <c r="D515" s="116"/>
      <c r="E515" s="116"/>
      <c r="F515" s="116"/>
      <c r="G515" s="116"/>
      <c r="H515" s="116"/>
      <c r="I515" s="116"/>
      <c r="J515" s="116"/>
      <c r="K515" s="116"/>
      <c r="L515" s="116"/>
      <c r="M515" s="116"/>
      <c r="N515" s="116"/>
      <c r="O515" s="116"/>
      <c r="P515" s="116"/>
      <c r="Q515" s="312"/>
      <c r="R515" s="116"/>
      <c r="S515" s="116"/>
      <c r="T515" s="116"/>
      <c r="U515" s="116"/>
      <c r="V515" s="313"/>
      <c r="W515" s="314"/>
      <c r="X515" s="43"/>
      <c r="Y515" s="43"/>
      <c r="Z515" s="43"/>
      <c r="AA515" s="43"/>
      <c r="AB515" s="43"/>
    </row>
    <row r="516">
      <c r="A516" s="116"/>
      <c r="B516" s="116"/>
      <c r="C516" s="116"/>
      <c r="D516" s="116"/>
      <c r="E516" s="116"/>
      <c r="F516" s="116"/>
      <c r="G516" s="116"/>
      <c r="H516" s="116"/>
      <c r="I516" s="116"/>
      <c r="J516" s="116"/>
      <c r="K516" s="116"/>
      <c r="L516" s="116"/>
      <c r="M516" s="116"/>
      <c r="N516" s="116"/>
      <c r="O516" s="116"/>
      <c r="P516" s="116"/>
      <c r="Q516" s="312"/>
      <c r="R516" s="116"/>
      <c r="S516" s="116"/>
      <c r="T516" s="116"/>
      <c r="U516" s="116"/>
      <c r="V516" s="313"/>
      <c r="W516" s="314"/>
      <c r="X516" s="43"/>
      <c r="Y516" s="43"/>
      <c r="Z516" s="43"/>
      <c r="AA516" s="43"/>
      <c r="AB516" s="43"/>
    </row>
    <row r="517">
      <c r="A517" s="116"/>
      <c r="B517" s="116"/>
      <c r="C517" s="116"/>
      <c r="D517" s="116"/>
      <c r="E517" s="116"/>
      <c r="F517" s="116"/>
      <c r="G517" s="116"/>
      <c r="H517" s="116"/>
      <c r="I517" s="116"/>
      <c r="J517" s="116"/>
      <c r="K517" s="116"/>
      <c r="L517" s="116"/>
      <c r="M517" s="116"/>
      <c r="N517" s="116"/>
      <c r="O517" s="116"/>
      <c r="P517" s="116"/>
      <c r="Q517" s="312"/>
      <c r="R517" s="116"/>
      <c r="S517" s="116"/>
      <c r="T517" s="116"/>
      <c r="U517" s="116"/>
      <c r="V517" s="313"/>
      <c r="W517" s="314"/>
      <c r="X517" s="43"/>
      <c r="Y517" s="43"/>
      <c r="Z517" s="43"/>
      <c r="AA517" s="43"/>
      <c r="AB517" s="43"/>
    </row>
    <row r="518">
      <c r="A518" s="116"/>
      <c r="B518" s="116"/>
      <c r="C518" s="116"/>
      <c r="D518" s="116"/>
      <c r="E518" s="116"/>
      <c r="F518" s="116"/>
      <c r="G518" s="116"/>
      <c r="H518" s="116"/>
      <c r="I518" s="116"/>
      <c r="J518" s="116"/>
      <c r="K518" s="116"/>
      <c r="L518" s="116"/>
      <c r="M518" s="116"/>
      <c r="N518" s="116"/>
      <c r="O518" s="116"/>
      <c r="P518" s="116"/>
      <c r="Q518" s="312"/>
      <c r="R518" s="116"/>
      <c r="S518" s="116"/>
      <c r="T518" s="116"/>
      <c r="U518" s="116"/>
      <c r="V518" s="313"/>
      <c r="W518" s="314"/>
      <c r="X518" s="43"/>
      <c r="Y518" s="43"/>
      <c r="Z518" s="43"/>
      <c r="AA518" s="43"/>
      <c r="AB518" s="43"/>
    </row>
    <row r="519">
      <c r="A519" s="116"/>
      <c r="B519" s="116"/>
      <c r="C519" s="116"/>
      <c r="D519" s="116"/>
      <c r="E519" s="116"/>
      <c r="F519" s="116"/>
      <c r="G519" s="116"/>
      <c r="H519" s="116"/>
      <c r="I519" s="116"/>
      <c r="J519" s="116"/>
      <c r="K519" s="116"/>
      <c r="L519" s="116"/>
      <c r="M519" s="116"/>
      <c r="N519" s="116"/>
      <c r="O519" s="116"/>
      <c r="P519" s="116"/>
      <c r="Q519" s="312"/>
      <c r="R519" s="116"/>
      <c r="S519" s="116"/>
      <c r="T519" s="116"/>
      <c r="U519" s="116"/>
      <c r="V519" s="313"/>
      <c r="W519" s="314"/>
      <c r="X519" s="43"/>
      <c r="Y519" s="43"/>
      <c r="Z519" s="43"/>
      <c r="AA519" s="43"/>
      <c r="AB519" s="43"/>
    </row>
    <row r="520">
      <c r="A520" s="116"/>
      <c r="B520" s="116"/>
      <c r="C520" s="116"/>
      <c r="D520" s="116"/>
      <c r="E520" s="116"/>
      <c r="F520" s="116"/>
      <c r="G520" s="116"/>
      <c r="H520" s="116"/>
      <c r="I520" s="116"/>
      <c r="J520" s="116"/>
      <c r="K520" s="116"/>
      <c r="L520" s="116"/>
      <c r="M520" s="116"/>
      <c r="N520" s="116"/>
      <c r="O520" s="116"/>
      <c r="P520" s="116"/>
      <c r="Q520" s="312"/>
      <c r="R520" s="116"/>
      <c r="S520" s="116"/>
      <c r="T520" s="116"/>
      <c r="U520" s="116"/>
      <c r="V520" s="313"/>
      <c r="W520" s="314"/>
      <c r="X520" s="43"/>
      <c r="Y520" s="43"/>
      <c r="Z520" s="43"/>
      <c r="AA520" s="43"/>
      <c r="AB520" s="43"/>
    </row>
    <row r="521">
      <c r="A521" s="116"/>
      <c r="B521" s="116"/>
      <c r="C521" s="116"/>
      <c r="D521" s="116"/>
      <c r="E521" s="116"/>
      <c r="F521" s="116"/>
      <c r="G521" s="116"/>
      <c r="H521" s="116"/>
      <c r="I521" s="116"/>
      <c r="J521" s="116"/>
      <c r="K521" s="116"/>
      <c r="L521" s="116"/>
      <c r="M521" s="116"/>
      <c r="N521" s="116"/>
      <c r="O521" s="116"/>
      <c r="P521" s="116"/>
      <c r="Q521" s="312"/>
      <c r="R521" s="116"/>
      <c r="S521" s="116"/>
      <c r="T521" s="116"/>
      <c r="U521" s="116"/>
      <c r="V521" s="313"/>
      <c r="W521" s="314"/>
      <c r="X521" s="43"/>
      <c r="Y521" s="43"/>
      <c r="Z521" s="43"/>
      <c r="AA521" s="43"/>
      <c r="AB521" s="43"/>
    </row>
    <row r="522">
      <c r="A522" s="116"/>
      <c r="B522" s="116"/>
      <c r="C522" s="116"/>
      <c r="D522" s="116"/>
      <c r="E522" s="116"/>
      <c r="F522" s="116"/>
      <c r="G522" s="116"/>
      <c r="H522" s="116"/>
      <c r="I522" s="116"/>
      <c r="J522" s="116"/>
      <c r="K522" s="116"/>
      <c r="L522" s="116"/>
      <c r="M522" s="116"/>
      <c r="N522" s="116"/>
      <c r="O522" s="116"/>
      <c r="P522" s="116"/>
      <c r="Q522" s="312"/>
      <c r="R522" s="116"/>
      <c r="S522" s="116"/>
      <c r="T522" s="116"/>
      <c r="U522" s="116"/>
      <c r="V522" s="313"/>
      <c r="W522" s="314"/>
      <c r="X522" s="43"/>
      <c r="Y522" s="43"/>
      <c r="Z522" s="43"/>
      <c r="AA522" s="43"/>
      <c r="AB522" s="43"/>
    </row>
    <row r="523">
      <c r="A523" s="116"/>
      <c r="B523" s="116"/>
      <c r="C523" s="116"/>
      <c r="D523" s="116"/>
      <c r="E523" s="116"/>
      <c r="F523" s="116"/>
      <c r="G523" s="116"/>
      <c r="H523" s="116"/>
      <c r="I523" s="116"/>
      <c r="J523" s="116"/>
      <c r="K523" s="116"/>
      <c r="L523" s="116"/>
      <c r="M523" s="116"/>
      <c r="N523" s="116"/>
      <c r="O523" s="116"/>
      <c r="P523" s="116"/>
      <c r="Q523" s="312"/>
      <c r="R523" s="116"/>
      <c r="S523" s="116"/>
      <c r="T523" s="116"/>
      <c r="U523" s="116"/>
      <c r="V523" s="313"/>
      <c r="W523" s="314"/>
      <c r="X523" s="43"/>
      <c r="Y523" s="43"/>
      <c r="Z523" s="43"/>
      <c r="AA523" s="43"/>
      <c r="AB523" s="43"/>
    </row>
    <row r="524">
      <c r="A524" s="116"/>
      <c r="B524" s="116"/>
      <c r="C524" s="116"/>
      <c r="D524" s="116"/>
      <c r="E524" s="116"/>
      <c r="F524" s="116"/>
      <c r="G524" s="116"/>
      <c r="H524" s="116"/>
      <c r="I524" s="116"/>
      <c r="J524" s="116"/>
      <c r="K524" s="116"/>
      <c r="L524" s="116"/>
      <c r="M524" s="116"/>
      <c r="N524" s="116"/>
      <c r="O524" s="116"/>
      <c r="P524" s="116"/>
      <c r="Q524" s="312"/>
      <c r="R524" s="116"/>
      <c r="S524" s="116"/>
      <c r="T524" s="116"/>
      <c r="U524" s="116"/>
      <c r="V524" s="313"/>
      <c r="W524" s="314"/>
      <c r="X524" s="43"/>
      <c r="Y524" s="43"/>
      <c r="Z524" s="43"/>
      <c r="AA524" s="43"/>
      <c r="AB524" s="43"/>
    </row>
    <row r="525">
      <c r="A525" s="116"/>
      <c r="B525" s="116"/>
      <c r="C525" s="116"/>
      <c r="D525" s="116"/>
      <c r="E525" s="116"/>
      <c r="F525" s="116"/>
      <c r="G525" s="116"/>
      <c r="H525" s="116"/>
      <c r="I525" s="116"/>
      <c r="J525" s="116"/>
      <c r="K525" s="116"/>
      <c r="L525" s="116"/>
      <c r="M525" s="116"/>
      <c r="N525" s="116"/>
      <c r="O525" s="116"/>
      <c r="P525" s="116"/>
      <c r="Q525" s="312"/>
      <c r="R525" s="116"/>
      <c r="S525" s="116"/>
      <c r="T525" s="116"/>
      <c r="U525" s="116"/>
      <c r="V525" s="313"/>
      <c r="W525" s="314"/>
      <c r="X525" s="43"/>
      <c r="Y525" s="43"/>
      <c r="Z525" s="43"/>
      <c r="AA525" s="43"/>
      <c r="AB525" s="43"/>
    </row>
    <row r="526">
      <c r="A526" s="116"/>
      <c r="B526" s="116"/>
      <c r="C526" s="116"/>
      <c r="D526" s="116"/>
      <c r="E526" s="116"/>
      <c r="F526" s="116"/>
      <c r="G526" s="116"/>
      <c r="H526" s="116"/>
      <c r="I526" s="116"/>
      <c r="J526" s="116"/>
      <c r="K526" s="116"/>
      <c r="L526" s="116"/>
      <c r="M526" s="116"/>
      <c r="N526" s="116"/>
      <c r="O526" s="116"/>
      <c r="P526" s="116"/>
      <c r="Q526" s="312"/>
      <c r="R526" s="116"/>
      <c r="S526" s="116"/>
      <c r="T526" s="116"/>
      <c r="U526" s="116"/>
      <c r="V526" s="313"/>
      <c r="W526" s="314"/>
      <c r="X526" s="43"/>
      <c r="Y526" s="43"/>
      <c r="Z526" s="43"/>
      <c r="AA526" s="43"/>
      <c r="AB526" s="43"/>
    </row>
    <row r="527">
      <c r="A527" s="116"/>
      <c r="B527" s="116"/>
      <c r="C527" s="116"/>
      <c r="D527" s="116"/>
      <c r="E527" s="116"/>
      <c r="F527" s="116"/>
      <c r="G527" s="116"/>
      <c r="H527" s="116"/>
      <c r="I527" s="116"/>
      <c r="J527" s="116"/>
      <c r="K527" s="116"/>
      <c r="L527" s="116"/>
      <c r="M527" s="116"/>
      <c r="N527" s="116"/>
      <c r="O527" s="116"/>
      <c r="P527" s="116"/>
      <c r="Q527" s="312"/>
      <c r="R527" s="116"/>
      <c r="S527" s="116"/>
      <c r="T527" s="116"/>
      <c r="U527" s="116"/>
      <c r="V527" s="313"/>
      <c r="W527" s="314"/>
      <c r="X527" s="43"/>
      <c r="Y527" s="43"/>
      <c r="Z527" s="43"/>
      <c r="AA527" s="43"/>
      <c r="AB527" s="43"/>
    </row>
    <row r="528">
      <c r="A528" s="116"/>
      <c r="B528" s="116"/>
      <c r="C528" s="116"/>
      <c r="D528" s="116"/>
      <c r="E528" s="116"/>
      <c r="F528" s="116"/>
      <c r="G528" s="116"/>
      <c r="H528" s="116"/>
      <c r="I528" s="116"/>
      <c r="J528" s="116"/>
      <c r="K528" s="116"/>
      <c r="L528" s="116"/>
      <c r="M528" s="116"/>
      <c r="N528" s="116"/>
      <c r="O528" s="116"/>
      <c r="P528" s="116"/>
      <c r="Q528" s="312"/>
      <c r="R528" s="116"/>
      <c r="S528" s="116"/>
      <c r="T528" s="116"/>
      <c r="U528" s="116"/>
      <c r="V528" s="313"/>
      <c r="W528" s="314"/>
      <c r="X528" s="43"/>
      <c r="Y528" s="43"/>
      <c r="Z528" s="43"/>
      <c r="AA528" s="43"/>
      <c r="AB528" s="43"/>
    </row>
    <row r="529">
      <c r="A529" s="116"/>
      <c r="B529" s="116"/>
      <c r="C529" s="116"/>
      <c r="D529" s="116"/>
      <c r="E529" s="116"/>
      <c r="F529" s="116"/>
      <c r="G529" s="116"/>
      <c r="H529" s="116"/>
      <c r="I529" s="116"/>
      <c r="J529" s="116"/>
      <c r="K529" s="116"/>
      <c r="L529" s="116"/>
      <c r="M529" s="116"/>
      <c r="N529" s="116"/>
      <c r="O529" s="116"/>
      <c r="P529" s="116"/>
      <c r="Q529" s="312"/>
      <c r="R529" s="116"/>
      <c r="S529" s="116"/>
      <c r="T529" s="116"/>
      <c r="U529" s="116"/>
      <c r="V529" s="313"/>
      <c r="W529" s="314"/>
      <c r="X529" s="43"/>
      <c r="Y529" s="43"/>
      <c r="Z529" s="43"/>
      <c r="AA529" s="43"/>
      <c r="AB529" s="43"/>
    </row>
    <row r="530">
      <c r="A530" s="116"/>
      <c r="B530" s="116"/>
      <c r="C530" s="116"/>
      <c r="D530" s="116"/>
      <c r="E530" s="116"/>
      <c r="F530" s="116"/>
      <c r="G530" s="116"/>
      <c r="H530" s="116"/>
      <c r="I530" s="116"/>
      <c r="J530" s="116"/>
      <c r="K530" s="116"/>
      <c r="L530" s="116"/>
      <c r="M530" s="116"/>
      <c r="N530" s="116"/>
      <c r="O530" s="116"/>
      <c r="P530" s="116"/>
      <c r="Q530" s="312"/>
      <c r="R530" s="116"/>
      <c r="S530" s="116"/>
      <c r="T530" s="116"/>
      <c r="U530" s="116"/>
      <c r="V530" s="313"/>
      <c r="W530" s="314"/>
      <c r="X530" s="43"/>
      <c r="Y530" s="43"/>
      <c r="Z530" s="43"/>
      <c r="AA530" s="43"/>
      <c r="AB530" s="43"/>
    </row>
    <row r="531">
      <c r="A531" s="116"/>
      <c r="B531" s="116"/>
      <c r="C531" s="116"/>
      <c r="D531" s="116"/>
      <c r="E531" s="116"/>
      <c r="F531" s="116"/>
      <c r="G531" s="116"/>
      <c r="H531" s="116"/>
      <c r="I531" s="116"/>
      <c r="J531" s="116"/>
      <c r="K531" s="116"/>
      <c r="L531" s="116"/>
      <c r="M531" s="116"/>
      <c r="N531" s="116"/>
      <c r="O531" s="116"/>
      <c r="P531" s="116"/>
      <c r="Q531" s="312"/>
      <c r="R531" s="116"/>
      <c r="S531" s="116"/>
      <c r="T531" s="116"/>
      <c r="U531" s="116"/>
      <c r="V531" s="313"/>
      <c r="W531" s="314"/>
      <c r="X531" s="43"/>
      <c r="Y531" s="43"/>
      <c r="Z531" s="43"/>
      <c r="AA531" s="43"/>
      <c r="AB531" s="43"/>
    </row>
    <row r="532">
      <c r="A532" s="116"/>
      <c r="B532" s="116"/>
      <c r="C532" s="116"/>
      <c r="D532" s="116"/>
      <c r="E532" s="116"/>
      <c r="F532" s="116"/>
      <c r="G532" s="116"/>
      <c r="H532" s="116"/>
      <c r="I532" s="116"/>
      <c r="J532" s="116"/>
      <c r="K532" s="116"/>
      <c r="L532" s="116"/>
      <c r="M532" s="116"/>
      <c r="N532" s="116"/>
      <c r="O532" s="116"/>
      <c r="P532" s="116"/>
      <c r="Q532" s="312"/>
      <c r="R532" s="116"/>
      <c r="S532" s="116"/>
      <c r="T532" s="116"/>
      <c r="U532" s="116"/>
      <c r="V532" s="313"/>
      <c r="W532" s="314"/>
      <c r="X532" s="43"/>
      <c r="Y532" s="43"/>
      <c r="Z532" s="43"/>
      <c r="AA532" s="43"/>
      <c r="AB532" s="43"/>
    </row>
    <row r="533">
      <c r="A533" s="116"/>
      <c r="B533" s="116"/>
      <c r="C533" s="116"/>
      <c r="D533" s="116"/>
      <c r="E533" s="116"/>
      <c r="F533" s="116"/>
      <c r="G533" s="116"/>
      <c r="H533" s="116"/>
      <c r="I533" s="116"/>
      <c r="J533" s="116"/>
      <c r="K533" s="116"/>
      <c r="L533" s="116"/>
      <c r="M533" s="116"/>
      <c r="N533" s="116"/>
      <c r="O533" s="116"/>
      <c r="P533" s="116"/>
      <c r="Q533" s="312"/>
      <c r="R533" s="116"/>
      <c r="S533" s="116"/>
      <c r="T533" s="116"/>
      <c r="U533" s="116"/>
      <c r="V533" s="313"/>
      <c r="W533" s="314"/>
      <c r="X533" s="43"/>
      <c r="Y533" s="43"/>
      <c r="Z533" s="43"/>
      <c r="AA533" s="43"/>
      <c r="AB533" s="43"/>
    </row>
    <row r="534">
      <c r="A534" s="116"/>
      <c r="B534" s="116"/>
      <c r="C534" s="116"/>
      <c r="D534" s="116"/>
      <c r="E534" s="116"/>
      <c r="F534" s="116"/>
      <c r="G534" s="116"/>
      <c r="H534" s="116"/>
      <c r="I534" s="116"/>
      <c r="J534" s="116"/>
      <c r="K534" s="116"/>
      <c r="L534" s="116"/>
      <c r="M534" s="116"/>
      <c r="N534" s="116"/>
      <c r="O534" s="116"/>
      <c r="P534" s="116"/>
      <c r="Q534" s="312"/>
      <c r="R534" s="116"/>
      <c r="S534" s="116"/>
      <c r="T534" s="116"/>
      <c r="U534" s="116"/>
      <c r="V534" s="313"/>
      <c r="W534" s="314"/>
      <c r="X534" s="43"/>
      <c r="Y534" s="43"/>
      <c r="Z534" s="43"/>
      <c r="AA534" s="43"/>
      <c r="AB534" s="43"/>
    </row>
    <row r="535">
      <c r="A535" s="116"/>
      <c r="B535" s="116"/>
      <c r="C535" s="116"/>
      <c r="D535" s="116"/>
      <c r="E535" s="116"/>
      <c r="F535" s="116"/>
      <c r="G535" s="116"/>
      <c r="H535" s="116"/>
      <c r="I535" s="116"/>
      <c r="J535" s="116"/>
      <c r="K535" s="116"/>
      <c r="L535" s="116"/>
      <c r="M535" s="116"/>
      <c r="N535" s="116"/>
      <c r="O535" s="116"/>
      <c r="P535" s="116"/>
      <c r="Q535" s="312"/>
      <c r="R535" s="116"/>
      <c r="S535" s="116"/>
      <c r="T535" s="116"/>
      <c r="U535" s="116"/>
      <c r="V535" s="313"/>
      <c r="W535" s="314"/>
      <c r="X535" s="43"/>
      <c r="Y535" s="43"/>
      <c r="Z535" s="43"/>
      <c r="AA535" s="43"/>
      <c r="AB535" s="43"/>
    </row>
    <row r="536">
      <c r="A536" s="116"/>
      <c r="B536" s="116"/>
      <c r="C536" s="116"/>
      <c r="D536" s="116"/>
      <c r="E536" s="116"/>
      <c r="F536" s="116"/>
      <c r="G536" s="116"/>
      <c r="H536" s="116"/>
      <c r="I536" s="116"/>
      <c r="J536" s="116"/>
      <c r="K536" s="116"/>
      <c r="L536" s="116"/>
      <c r="M536" s="116"/>
      <c r="N536" s="116"/>
      <c r="O536" s="116"/>
      <c r="P536" s="116"/>
      <c r="Q536" s="312"/>
      <c r="R536" s="116"/>
      <c r="S536" s="116"/>
      <c r="T536" s="116"/>
      <c r="U536" s="116"/>
      <c r="V536" s="313"/>
      <c r="W536" s="314"/>
      <c r="X536" s="43"/>
      <c r="Y536" s="43"/>
      <c r="Z536" s="43"/>
      <c r="AA536" s="43"/>
      <c r="AB536" s="43"/>
    </row>
    <row r="537">
      <c r="A537" s="116"/>
      <c r="B537" s="116"/>
      <c r="C537" s="116"/>
      <c r="D537" s="116"/>
      <c r="E537" s="116"/>
      <c r="F537" s="116"/>
      <c r="G537" s="116"/>
      <c r="H537" s="116"/>
      <c r="I537" s="116"/>
      <c r="J537" s="116"/>
      <c r="K537" s="116"/>
      <c r="L537" s="116"/>
      <c r="M537" s="116"/>
      <c r="N537" s="116"/>
      <c r="O537" s="116"/>
      <c r="P537" s="116"/>
      <c r="Q537" s="312"/>
      <c r="R537" s="116"/>
      <c r="S537" s="116"/>
      <c r="T537" s="116"/>
      <c r="U537" s="116"/>
      <c r="V537" s="313"/>
      <c r="W537" s="314"/>
      <c r="X537" s="43"/>
      <c r="Y537" s="43"/>
      <c r="Z537" s="43"/>
      <c r="AA537" s="43"/>
      <c r="AB537" s="43"/>
    </row>
    <row r="538">
      <c r="A538" s="116"/>
      <c r="B538" s="116"/>
      <c r="C538" s="116"/>
      <c r="D538" s="116"/>
      <c r="E538" s="116"/>
      <c r="F538" s="116"/>
      <c r="G538" s="116"/>
      <c r="H538" s="116"/>
      <c r="I538" s="116"/>
      <c r="J538" s="116"/>
      <c r="K538" s="116"/>
      <c r="L538" s="116"/>
      <c r="M538" s="116"/>
      <c r="N538" s="116"/>
      <c r="O538" s="116"/>
      <c r="P538" s="116"/>
      <c r="Q538" s="312"/>
      <c r="R538" s="116"/>
      <c r="S538" s="116"/>
      <c r="T538" s="116"/>
      <c r="U538" s="116"/>
      <c r="V538" s="313"/>
      <c r="W538" s="314"/>
      <c r="X538" s="43"/>
      <c r="Y538" s="43"/>
      <c r="Z538" s="43"/>
      <c r="AA538" s="43"/>
      <c r="AB538" s="43"/>
    </row>
    <row r="539">
      <c r="A539" s="116"/>
      <c r="B539" s="116"/>
      <c r="C539" s="116"/>
      <c r="D539" s="116"/>
      <c r="E539" s="116"/>
      <c r="F539" s="116"/>
      <c r="G539" s="116"/>
      <c r="H539" s="116"/>
      <c r="I539" s="116"/>
      <c r="J539" s="116"/>
      <c r="K539" s="116"/>
      <c r="L539" s="116"/>
      <c r="M539" s="116"/>
      <c r="N539" s="116"/>
      <c r="O539" s="116"/>
      <c r="P539" s="116"/>
      <c r="Q539" s="312"/>
      <c r="R539" s="116"/>
      <c r="S539" s="116"/>
      <c r="T539" s="116"/>
      <c r="U539" s="116"/>
      <c r="V539" s="313"/>
      <c r="W539" s="314"/>
      <c r="X539" s="43"/>
      <c r="Y539" s="43"/>
      <c r="Z539" s="43"/>
      <c r="AA539" s="43"/>
      <c r="AB539" s="43"/>
    </row>
    <row r="540">
      <c r="A540" s="116"/>
      <c r="B540" s="116"/>
      <c r="C540" s="116"/>
      <c r="D540" s="116"/>
      <c r="E540" s="116"/>
      <c r="F540" s="116"/>
      <c r="G540" s="116"/>
      <c r="H540" s="116"/>
      <c r="I540" s="116"/>
      <c r="J540" s="116"/>
      <c r="K540" s="116"/>
      <c r="L540" s="116"/>
      <c r="M540" s="116"/>
      <c r="N540" s="116"/>
      <c r="O540" s="116"/>
      <c r="P540" s="116"/>
      <c r="Q540" s="312"/>
      <c r="R540" s="116"/>
      <c r="S540" s="116"/>
      <c r="T540" s="116"/>
      <c r="U540" s="116"/>
      <c r="V540" s="313"/>
      <c r="W540" s="314"/>
      <c r="X540" s="43"/>
      <c r="Y540" s="43"/>
      <c r="Z540" s="43"/>
      <c r="AA540" s="43"/>
      <c r="AB540" s="43"/>
    </row>
    <row r="541">
      <c r="A541" s="116"/>
      <c r="B541" s="116"/>
      <c r="C541" s="116"/>
      <c r="D541" s="116"/>
      <c r="E541" s="116"/>
      <c r="F541" s="116"/>
      <c r="G541" s="116"/>
      <c r="H541" s="116"/>
      <c r="I541" s="116"/>
      <c r="J541" s="116"/>
      <c r="K541" s="116"/>
      <c r="L541" s="116"/>
      <c r="M541" s="116"/>
      <c r="N541" s="116"/>
      <c r="O541" s="116"/>
      <c r="P541" s="116"/>
      <c r="Q541" s="312"/>
      <c r="R541" s="116"/>
      <c r="S541" s="116"/>
      <c r="T541" s="116"/>
      <c r="U541" s="116"/>
      <c r="V541" s="313"/>
      <c r="W541" s="314"/>
      <c r="X541" s="43"/>
      <c r="Y541" s="43"/>
      <c r="Z541" s="43"/>
      <c r="AA541" s="43"/>
      <c r="AB541" s="43"/>
    </row>
    <row r="542">
      <c r="A542" s="116"/>
      <c r="B542" s="116"/>
      <c r="C542" s="116"/>
      <c r="D542" s="116"/>
      <c r="E542" s="116"/>
      <c r="F542" s="116"/>
      <c r="G542" s="116"/>
      <c r="H542" s="116"/>
      <c r="I542" s="116"/>
      <c r="J542" s="116"/>
      <c r="K542" s="116"/>
      <c r="L542" s="116"/>
      <c r="M542" s="116"/>
      <c r="N542" s="116"/>
      <c r="O542" s="116"/>
      <c r="P542" s="116"/>
      <c r="Q542" s="312"/>
      <c r="R542" s="116"/>
      <c r="S542" s="116"/>
      <c r="T542" s="116"/>
      <c r="U542" s="116"/>
      <c r="V542" s="313"/>
      <c r="W542" s="314"/>
      <c r="X542" s="43"/>
      <c r="Y542" s="43"/>
      <c r="Z542" s="43"/>
      <c r="AA542" s="43"/>
      <c r="AB542" s="43"/>
    </row>
    <row r="543">
      <c r="A543" s="116"/>
      <c r="B543" s="116"/>
      <c r="C543" s="116"/>
      <c r="D543" s="116"/>
      <c r="E543" s="116"/>
      <c r="F543" s="116"/>
      <c r="G543" s="116"/>
      <c r="H543" s="116"/>
      <c r="I543" s="116"/>
      <c r="J543" s="116"/>
      <c r="K543" s="116"/>
      <c r="L543" s="116"/>
      <c r="M543" s="116"/>
      <c r="N543" s="116"/>
      <c r="O543" s="116"/>
      <c r="P543" s="116"/>
      <c r="Q543" s="312"/>
      <c r="R543" s="116"/>
      <c r="S543" s="116"/>
      <c r="T543" s="116"/>
      <c r="U543" s="116"/>
      <c r="V543" s="313"/>
      <c r="W543" s="314"/>
      <c r="X543" s="43"/>
      <c r="Y543" s="43"/>
      <c r="Z543" s="43"/>
      <c r="AA543" s="43"/>
      <c r="AB543" s="43"/>
    </row>
    <row r="544">
      <c r="A544" s="116"/>
      <c r="B544" s="116"/>
      <c r="C544" s="116"/>
      <c r="D544" s="116"/>
      <c r="E544" s="116"/>
      <c r="F544" s="116"/>
      <c r="G544" s="116"/>
      <c r="H544" s="116"/>
      <c r="I544" s="116"/>
      <c r="J544" s="116"/>
      <c r="K544" s="116"/>
      <c r="L544" s="116"/>
      <c r="M544" s="116"/>
      <c r="N544" s="116"/>
      <c r="O544" s="116"/>
      <c r="P544" s="116"/>
      <c r="Q544" s="312"/>
      <c r="R544" s="116"/>
      <c r="S544" s="116"/>
      <c r="T544" s="116"/>
      <c r="U544" s="116"/>
      <c r="V544" s="313"/>
      <c r="W544" s="314"/>
      <c r="X544" s="43"/>
      <c r="Y544" s="43"/>
      <c r="Z544" s="43"/>
      <c r="AA544" s="43"/>
      <c r="AB544" s="43"/>
    </row>
    <row r="545">
      <c r="A545" s="116"/>
      <c r="B545" s="116"/>
      <c r="C545" s="116"/>
      <c r="D545" s="116"/>
      <c r="E545" s="116"/>
      <c r="F545" s="116"/>
      <c r="G545" s="116"/>
      <c r="H545" s="116"/>
      <c r="I545" s="116"/>
      <c r="J545" s="116"/>
      <c r="K545" s="116"/>
      <c r="L545" s="116"/>
      <c r="M545" s="116"/>
      <c r="N545" s="116"/>
      <c r="O545" s="116"/>
      <c r="P545" s="116"/>
      <c r="Q545" s="312"/>
      <c r="R545" s="116"/>
      <c r="S545" s="116"/>
      <c r="T545" s="116"/>
      <c r="U545" s="116"/>
      <c r="V545" s="313"/>
      <c r="W545" s="314"/>
      <c r="X545" s="43"/>
      <c r="Y545" s="43"/>
      <c r="Z545" s="43"/>
      <c r="AA545" s="43"/>
      <c r="AB545" s="43"/>
    </row>
    <row r="546">
      <c r="A546" s="116"/>
      <c r="B546" s="116"/>
      <c r="C546" s="116"/>
      <c r="D546" s="116"/>
      <c r="E546" s="116"/>
      <c r="F546" s="116"/>
      <c r="G546" s="116"/>
      <c r="H546" s="116"/>
      <c r="I546" s="116"/>
      <c r="J546" s="116"/>
      <c r="K546" s="116"/>
      <c r="L546" s="116"/>
      <c r="M546" s="116"/>
      <c r="N546" s="116"/>
      <c r="O546" s="116"/>
      <c r="P546" s="116"/>
      <c r="Q546" s="312"/>
      <c r="R546" s="116"/>
      <c r="S546" s="116"/>
      <c r="T546" s="116"/>
      <c r="U546" s="116"/>
      <c r="V546" s="313"/>
      <c r="W546" s="314"/>
      <c r="X546" s="43"/>
      <c r="Y546" s="43"/>
      <c r="Z546" s="43"/>
      <c r="AA546" s="43"/>
      <c r="AB546" s="43"/>
    </row>
    <row r="547">
      <c r="A547" s="116"/>
      <c r="B547" s="116"/>
      <c r="C547" s="116"/>
      <c r="D547" s="116"/>
      <c r="E547" s="116"/>
      <c r="F547" s="116"/>
      <c r="G547" s="116"/>
      <c r="H547" s="116"/>
      <c r="I547" s="116"/>
      <c r="J547" s="116"/>
      <c r="K547" s="116"/>
      <c r="L547" s="116"/>
      <c r="M547" s="116"/>
      <c r="N547" s="116"/>
      <c r="O547" s="116"/>
      <c r="P547" s="116"/>
      <c r="Q547" s="312"/>
      <c r="R547" s="116"/>
      <c r="S547" s="116"/>
      <c r="T547" s="116"/>
      <c r="U547" s="116"/>
      <c r="V547" s="313"/>
      <c r="W547" s="314"/>
      <c r="X547" s="43"/>
      <c r="Y547" s="43"/>
      <c r="Z547" s="43"/>
      <c r="AA547" s="43"/>
      <c r="AB547" s="43"/>
    </row>
    <row r="548">
      <c r="A548" s="116"/>
      <c r="B548" s="116"/>
      <c r="C548" s="116"/>
      <c r="D548" s="116"/>
      <c r="E548" s="116"/>
      <c r="F548" s="116"/>
      <c r="G548" s="116"/>
      <c r="H548" s="116"/>
      <c r="I548" s="116"/>
      <c r="J548" s="116"/>
      <c r="K548" s="116"/>
      <c r="L548" s="116"/>
      <c r="M548" s="116"/>
      <c r="N548" s="116"/>
      <c r="O548" s="116"/>
      <c r="P548" s="116"/>
      <c r="Q548" s="312"/>
      <c r="R548" s="116"/>
      <c r="S548" s="116"/>
      <c r="T548" s="116"/>
      <c r="U548" s="116"/>
      <c r="V548" s="313"/>
      <c r="W548" s="314"/>
      <c r="X548" s="43"/>
      <c r="Y548" s="43"/>
      <c r="Z548" s="43"/>
      <c r="AA548" s="43"/>
      <c r="AB548" s="43"/>
    </row>
    <row r="549">
      <c r="A549" s="116"/>
      <c r="B549" s="116"/>
      <c r="C549" s="116"/>
      <c r="D549" s="116"/>
      <c r="E549" s="116"/>
      <c r="F549" s="116"/>
      <c r="G549" s="116"/>
      <c r="H549" s="116"/>
      <c r="I549" s="116"/>
      <c r="J549" s="116"/>
      <c r="K549" s="116"/>
      <c r="L549" s="116"/>
      <c r="M549" s="116"/>
      <c r="N549" s="116"/>
      <c r="O549" s="116"/>
      <c r="P549" s="116"/>
      <c r="Q549" s="312"/>
      <c r="R549" s="116"/>
      <c r="S549" s="116"/>
      <c r="T549" s="116"/>
      <c r="U549" s="116"/>
      <c r="V549" s="313"/>
      <c r="W549" s="314"/>
      <c r="X549" s="43"/>
      <c r="Y549" s="43"/>
      <c r="Z549" s="43"/>
      <c r="AA549" s="43"/>
      <c r="AB549" s="43"/>
    </row>
    <row r="550">
      <c r="A550" s="116"/>
      <c r="B550" s="116"/>
      <c r="C550" s="116"/>
      <c r="D550" s="116"/>
      <c r="E550" s="116"/>
      <c r="F550" s="116"/>
      <c r="G550" s="116"/>
      <c r="H550" s="116"/>
      <c r="I550" s="116"/>
      <c r="J550" s="116"/>
      <c r="K550" s="116"/>
      <c r="L550" s="116"/>
      <c r="M550" s="116"/>
      <c r="N550" s="116"/>
      <c r="O550" s="116"/>
      <c r="P550" s="116"/>
      <c r="Q550" s="312"/>
      <c r="R550" s="116"/>
      <c r="S550" s="116"/>
      <c r="T550" s="116"/>
      <c r="U550" s="116"/>
      <c r="V550" s="313"/>
      <c r="W550" s="314"/>
      <c r="X550" s="43"/>
      <c r="Y550" s="43"/>
      <c r="Z550" s="43"/>
      <c r="AA550" s="43"/>
      <c r="AB550" s="43"/>
    </row>
    <row r="551">
      <c r="A551" s="116"/>
      <c r="B551" s="116"/>
      <c r="C551" s="116"/>
      <c r="D551" s="116"/>
      <c r="E551" s="116"/>
      <c r="F551" s="116"/>
      <c r="G551" s="116"/>
      <c r="H551" s="116"/>
      <c r="I551" s="116"/>
      <c r="J551" s="116"/>
      <c r="K551" s="116"/>
      <c r="L551" s="116"/>
      <c r="M551" s="116"/>
      <c r="N551" s="116"/>
      <c r="O551" s="116"/>
      <c r="P551" s="116"/>
      <c r="Q551" s="312"/>
      <c r="R551" s="116"/>
      <c r="S551" s="116"/>
      <c r="T551" s="116"/>
      <c r="U551" s="116"/>
      <c r="V551" s="313"/>
      <c r="W551" s="314"/>
      <c r="X551" s="43"/>
      <c r="Y551" s="43"/>
      <c r="Z551" s="43"/>
      <c r="AA551" s="43"/>
      <c r="AB551" s="43"/>
    </row>
    <row r="552">
      <c r="A552" s="116"/>
      <c r="B552" s="116"/>
      <c r="C552" s="116"/>
      <c r="D552" s="116"/>
      <c r="E552" s="116"/>
      <c r="F552" s="116"/>
      <c r="G552" s="116"/>
      <c r="H552" s="116"/>
      <c r="I552" s="116"/>
      <c r="J552" s="116"/>
      <c r="K552" s="116"/>
      <c r="L552" s="116"/>
      <c r="M552" s="116"/>
      <c r="N552" s="116"/>
      <c r="O552" s="116"/>
      <c r="P552" s="116"/>
      <c r="Q552" s="312"/>
      <c r="R552" s="116"/>
      <c r="S552" s="116"/>
      <c r="T552" s="116"/>
      <c r="U552" s="116"/>
      <c r="V552" s="313"/>
      <c r="W552" s="314"/>
      <c r="X552" s="43"/>
      <c r="Y552" s="43"/>
      <c r="Z552" s="43"/>
      <c r="AA552" s="43"/>
      <c r="AB552" s="43"/>
    </row>
    <row r="553">
      <c r="A553" s="116"/>
      <c r="B553" s="116"/>
      <c r="C553" s="116"/>
      <c r="D553" s="116"/>
      <c r="E553" s="116"/>
      <c r="F553" s="116"/>
      <c r="G553" s="116"/>
      <c r="H553" s="116"/>
      <c r="I553" s="116"/>
      <c r="J553" s="116"/>
      <c r="K553" s="116"/>
      <c r="L553" s="116"/>
      <c r="M553" s="116"/>
      <c r="N553" s="116"/>
      <c r="O553" s="116"/>
      <c r="P553" s="116"/>
      <c r="Q553" s="312"/>
      <c r="R553" s="116"/>
      <c r="S553" s="116"/>
      <c r="T553" s="116"/>
      <c r="U553" s="116"/>
      <c r="V553" s="313"/>
      <c r="W553" s="314"/>
      <c r="X553" s="43"/>
      <c r="Y553" s="43"/>
      <c r="Z553" s="43"/>
      <c r="AA553" s="43"/>
      <c r="AB553" s="43"/>
    </row>
    <row r="554">
      <c r="A554" s="116"/>
      <c r="B554" s="116"/>
      <c r="C554" s="116"/>
      <c r="D554" s="116"/>
      <c r="E554" s="116"/>
      <c r="F554" s="116"/>
      <c r="G554" s="116"/>
      <c r="H554" s="116"/>
      <c r="I554" s="116"/>
      <c r="J554" s="116"/>
      <c r="K554" s="116"/>
      <c r="L554" s="116"/>
      <c r="M554" s="116"/>
      <c r="N554" s="116"/>
      <c r="O554" s="116"/>
      <c r="P554" s="116"/>
      <c r="Q554" s="312"/>
      <c r="R554" s="116"/>
      <c r="S554" s="116"/>
      <c r="T554" s="116"/>
      <c r="U554" s="116"/>
      <c r="V554" s="313"/>
      <c r="W554" s="314"/>
      <c r="X554" s="43"/>
      <c r="Y554" s="43"/>
      <c r="Z554" s="43"/>
      <c r="AA554" s="43"/>
      <c r="AB554" s="43"/>
    </row>
    <row r="555">
      <c r="A555" s="116"/>
      <c r="B555" s="116"/>
      <c r="C555" s="116"/>
      <c r="D555" s="116"/>
      <c r="E555" s="116"/>
      <c r="F555" s="116"/>
      <c r="G555" s="116"/>
      <c r="H555" s="116"/>
      <c r="I555" s="116"/>
      <c r="J555" s="116"/>
      <c r="K555" s="116"/>
      <c r="L555" s="116"/>
      <c r="M555" s="116"/>
      <c r="N555" s="116"/>
      <c r="O555" s="116"/>
      <c r="P555" s="116"/>
      <c r="Q555" s="312"/>
      <c r="R555" s="116"/>
      <c r="S555" s="116"/>
      <c r="T555" s="116"/>
      <c r="U555" s="116"/>
      <c r="V555" s="313"/>
      <c r="W555" s="314"/>
      <c r="X555" s="43"/>
      <c r="Y555" s="43"/>
      <c r="Z555" s="43"/>
      <c r="AA555" s="43"/>
      <c r="AB555" s="43"/>
    </row>
    <row r="556">
      <c r="A556" s="116"/>
      <c r="B556" s="116"/>
      <c r="C556" s="116"/>
      <c r="D556" s="116"/>
      <c r="E556" s="116"/>
      <c r="F556" s="116"/>
      <c r="G556" s="116"/>
      <c r="H556" s="116"/>
      <c r="I556" s="116"/>
      <c r="J556" s="116"/>
      <c r="K556" s="116"/>
      <c r="L556" s="116"/>
      <c r="M556" s="116"/>
      <c r="N556" s="116"/>
      <c r="O556" s="116"/>
      <c r="P556" s="116"/>
      <c r="Q556" s="312"/>
      <c r="R556" s="116"/>
      <c r="S556" s="116"/>
      <c r="T556" s="116"/>
      <c r="U556" s="116"/>
      <c r="V556" s="313"/>
      <c r="W556" s="314"/>
      <c r="X556" s="43"/>
      <c r="Y556" s="43"/>
      <c r="Z556" s="43"/>
      <c r="AA556" s="43"/>
      <c r="AB556" s="43"/>
    </row>
    <row r="557">
      <c r="A557" s="116"/>
      <c r="B557" s="116"/>
      <c r="C557" s="116"/>
      <c r="D557" s="116"/>
      <c r="E557" s="116"/>
      <c r="F557" s="116"/>
      <c r="G557" s="116"/>
      <c r="H557" s="116"/>
      <c r="I557" s="116"/>
      <c r="J557" s="116"/>
      <c r="K557" s="116"/>
      <c r="L557" s="116"/>
      <c r="M557" s="116"/>
      <c r="N557" s="116"/>
      <c r="O557" s="116"/>
      <c r="P557" s="116"/>
      <c r="Q557" s="312"/>
      <c r="R557" s="116"/>
      <c r="S557" s="116"/>
      <c r="T557" s="116"/>
      <c r="U557" s="116"/>
      <c r="V557" s="313"/>
      <c r="W557" s="314"/>
      <c r="X557" s="43"/>
      <c r="Y557" s="43"/>
      <c r="Z557" s="43"/>
      <c r="AA557" s="43"/>
      <c r="AB557" s="43"/>
    </row>
    <row r="558">
      <c r="A558" s="116"/>
      <c r="B558" s="116"/>
      <c r="C558" s="116"/>
      <c r="D558" s="116"/>
      <c r="E558" s="116"/>
      <c r="F558" s="116"/>
      <c r="G558" s="116"/>
      <c r="H558" s="116"/>
      <c r="I558" s="116"/>
      <c r="J558" s="116"/>
      <c r="K558" s="116"/>
      <c r="L558" s="116"/>
      <c r="M558" s="116"/>
      <c r="N558" s="116"/>
      <c r="O558" s="116"/>
      <c r="P558" s="116"/>
      <c r="Q558" s="312"/>
      <c r="R558" s="116"/>
      <c r="S558" s="116"/>
      <c r="T558" s="116"/>
      <c r="U558" s="116"/>
      <c r="V558" s="313"/>
      <c r="W558" s="314"/>
      <c r="X558" s="43"/>
      <c r="Y558" s="43"/>
      <c r="Z558" s="43"/>
      <c r="AA558" s="43"/>
      <c r="AB558" s="43"/>
    </row>
    <row r="559">
      <c r="A559" s="116"/>
      <c r="B559" s="116"/>
      <c r="C559" s="116"/>
      <c r="D559" s="116"/>
      <c r="E559" s="116"/>
      <c r="F559" s="116"/>
      <c r="G559" s="116"/>
      <c r="H559" s="116"/>
      <c r="I559" s="116"/>
      <c r="J559" s="116"/>
      <c r="K559" s="116"/>
      <c r="L559" s="116"/>
      <c r="M559" s="116"/>
      <c r="N559" s="116"/>
      <c r="O559" s="116"/>
      <c r="P559" s="116"/>
      <c r="Q559" s="312"/>
      <c r="R559" s="116"/>
      <c r="S559" s="116"/>
      <c r="T559" s="116"/>
      <c r="U559" s="116"/>
      <c r="V559" s="313"/>
      <c r="W559" s="314"/>
      <c r="X559" s="43"/>
      <c r="Y559" s="43"/>
      <c r="Z559" s="43"/>
      <c r="AA559" s="43"/>
      <c r="AB559" s="43"/>
    </row>
    <row r="560">
      <c r="A560" s="116"/>
      <c r="B560" s="116"/>
      <c r="C560" s="116"/>
      <c r="D560" s="116"/>
      <c r="E560" s="116"/>
      <c r="F560" s="116"/>
      <c r="G560" s="116"/>
      <c r="H560" s="116"/>
      <c r="I560" s="116"/>
      <c r="J560" s="116"/>
      <c r="K560" s="116"/>
      <c r="L560" s="116"/>
      <c r="M560" s="116"/>
      <c r="N560" s="116"/>
      <c r="O560" s="116"/>
      <c r="P560" s="116"/>
      <c r="Q560" s="312"/>
      <c r="R560" s="116"/>
      <c r="S560" s="116"/>
      <c r="T560" s="116"/>
      <c r="U560" s="116"/>
      <c r="V560" s="313"/>
      <c r="W560" s="314"/>
      <c r="X560" s="43"/>
      <c r="Y560" s="43"/>
      <c r="Z560" s="43"/>
      <c r="AA560" s="43"/>
      <c r="AB560" s="43"/>
    </row>
    <row r="561">
      <c r="A561" s="116"/>
      <c r="B561" s="116"/>
      <c r="C561" s="116"/>
      <c r="D561" s="116"/>
      <c r="E561" s="116"/>
      <c r="F561" s="116"/>
      <c r="G561" s="116"/>
      <c r="H561" s="116"/>
      <c r="I561" s="116"/>
      <c r="J561" s="116"/>
      <c r="K561" s="116"/>
      <c r="L561" s="116"/>
      <c r="M561" s="116"/>
      <c r="N561" s="116"/>
      <c r="O561" s="116"/>
      <c r="P561" s="116"/>
      <c r="Q561" s="312"/>
      <c r="R561" s="116"/>
      <c r="S561" s="116"/>
      <c r="T561" s="116"/>
      <c r="U561" s="116"/>
      <c r="V561" s="313"/>
      <c r="W561" s="314"/>
      <c r="X561" s="43"/>
      <c r="Y561" s="43"/>
      <c r="Z561" s="43"/>
      <c r="AA561" s="43"/>
      <c r="AB561" s="43"/>
    </row>
    <row r="562">
      <c r="A562" s="116"/>
      <c r="B562" s="116"/>
      <c r="C562" s="116"/>
      <c r="D562" s="116"/>
      <c r="E562" s="116"/>
      <c r="F562" s="116"/>
      <c r="G562" s="116"/>
      <c r="H562" s="116"/>
      <c r="I562" s="116"/>
      <c r="J562" s="116"/>
      <c r="K562" s="116"/>
      <c r="L562" s="116"/>
      <c r="M562" s="116"/>
      <c r="N562" s="116"/>
      <c r="O562" s="116"/>
      <c r="P562" s="116"/>
      <c r="Q562" s="312"/>
      <c r="R562" s="116"/>
      <c r="S562" s="116"/>
      <c r="T562" s="116"/>
      <c r="U562" s="116"/>
      <c r="V562" s="313"/>
      <c r="W562" s="314"/>
      <c r="X562" s="43"/>
      <c r="Y562" s="43"/>
      <c r="Z562" s="43"/>
      <c r="AA562" s="43"/>
      <c r="AB562" s="43"/>
    </row>
    <row r="563">
      <c r="A563" s="116"/>
      <c r="B563" s="116"/>
      <c r="C563" s="116"/>
      <c r="D563" s="116"/>
      <c r="E563" s="116"/>
      <c r="F563" s="116"/>
      <c r="G563" s="116"/>
      <c r="H563" s="116"/>
      <c r="I563" s="116"/>
      <c r="J563" s="116"/>
      <c r="K563" s="116"/>
      <c r="L563" s="116"/>
      <c r="M563" s="116"/>
      <c r="N563" s="116"/>
      <c r="O563" s="116"/>
      <c r="P563" s="116"/>
      <c r="Q563" s="312"/>
      <c r="R563" s="116"/>
      <c r="S563" s="116"/>
      <c r="T563" s="116"/>
      <c r="U563" s="116"/>
      <c r="V563" s="313"/>
      <c r="W563" s="314"/>
      <c r="X563" s="43"/>
      <c r="Y563" s="43"/>
      <c r="Z563" s="43"/>
      <c r="AA563" s="43"/>
      <c r="AB563" s="43"/>
    </row>
    <row r="564">
      <c r="A564" s="116"/>
      <c r="B564" s="116"/>
      <c r="C564" s="116"/>
      <c r="D564" s="116"/>
      <c r="E564" s="116"/>
      <c r="F564" s="116"/>
      <c r="G564" s="116"/>
      <c r="H564" s="116"/>
      <c r="I564" s="116"/>
      <c r="J564" s="116"/>
      <c r="K564" s="116"/>
      <c r="L564" s="116"/>
      <c r="M564" s="116"/>
      <c r="N564" s="116"/>
      <c r="O564" s="116"/>
      <c r="P564" s="116"/>
      <c r="Q564" s="312"/>
      <c r="R564" s="116"/>
      <c r="S564" s="116"/>
      <c r="T564" s="116"/>
      <c r="U564" s="116"/>
      <c r="V564" s="313"/>
      <c r="W564" s="314"/>
      <c r="X564" s="43"/>
      <c r="Y564" s="43"/>
      <c r="Z564" s="43"/>
      <c r="AA564" s="43"/>
      <c r="AB564" s="43"/>
    </row>
    <row r="565">
      <c r="A565" s="116"/>
      <c r="B565" s="116"/>
      <c r="C565" s="116"/>
      <c r="D565" s="116"/>
      <c r="E565" s="116"/>
      <c r="F565" s="116"/>
      <c r="G565" s="116"/>
      <c r="H565" s="116"/>
      <c r="I565" s="116"/>
      <c r="J565" s="116"/>
      <c r="K565" s="116"/>
      <c r="L565" s="116"/>
      <c r="M565" s="116"/>
      <c r="N565" s="116"/>
      <c r="O565" s="116"/>
      <c r="P565" s="116"/>
      <c r="Q565" s="312"/>
      <c r="R565" s="116"/>
      <c r="S565" s="116"/>
      <c r="T565" s="116"/>
      <c r="U565" s="116"/>
      <c r="V565" s="313"/>
      <c r="W565" s="314"/>
      <c r="X565" s="43"/>
      <c r="Y565" s="43"/>
      <c r="Z565" s="43"/>
      <c r="AA565" s="43"/>
      <c r="AB565" s="43"/>
    </row>
    <row r="566">
      <c r="A566" s="116"/>
      <c r="B566" s="116"/>
      <c r="C566" s="116"/>
      <c r="D566" s="116"/>
      <c r="E566" s="116"/>
      <c r="F566" s="116"/>
      <c r="G566" s="116"/>
      <c r="H566" s="116"/>
      <c r="I566" s="116"/>
      <c r="J566" s="116"/>
      <c r="K566" s="116"/>
      <c r="L566" s="116"/>
      <c r="M566" s="116"/>
      <c r="N566" s="116"/>
      <c r="O566" s="116"/>
      <c r="P566" s="116"/>
      <c r="Q566" s="312"/>
      <c r="R566" s="116"/>
      <c r="S566" s="116"/>
      <c r="T566" s="116"/>
      <c r="U566" s="116"/>
      <c r="V566" s="313"/>
      <c r="W566" s="314"/>
      <c r="X566" s="43"/>
      <c r="Y566" s="43"/>
      <c r="Z566" s="43"/>
      <c r="AA566" s="43"/>
      <c r="AB566" s="43"/>
    </row>
    <row r="567">
      <c r="A567" s="116"/>
      <c r="B567" s="116"/>
      <c r="C567" s="116"/>
      <c r="D567" s="116"/>
      <c r="E567" s="116"/>
      <c r="F567" s="116"/>
      <c r="G567" s="116"/>
      <c r="H567" s="116"/>
      <c r="I567" s="116"/>
      <c r="J567" s="116"/>
      <c r="K567" s="116"/>
      <c r="L567" s="116"/>
      <c r="M567" s="116"/>
      <c r="N567" s="116"/>
      <c r="O567" s="116"/>
      <c r="P567" s="116"/>
      <c r="Q567" s="312"/>
      <c r="R567" s="116"/>
      <c r="S567" s="116"/>
      <c r="T567" s="116"/>
      <c r="U567" s="116"/>
      <c r="V567" s="313"/>
      <c r="W567" s="314"/>
      <c r="X567" s="43"/>
      <c r="Y567" s="43"/>
      <c r="Z567" s="43"/>
      <c r="AA567" s="43"/>
      <c r="AB567" s="43"/>
    </row>
    <row r="568">
      <c r="A568" s="116"/>
      <c r="B568" s="116"/>
      <c r="C568" s="116"/>
      <c r="D568" s="116"/>
      <c r="E568" s="116"/>
      <c r="F568" s="116"/>
      <c r="G568" s="116"/>
      <c r="H568" s="116"/>
      <c r="I568" s="116"/>
      <c r="J568" s="116"/>
      <c r="K568" s="116"/>
      <c r="L568" s="116"/>
      <c r="M568" s="116"/>
      <c r="N568" s="116"/>
      <c r="O568" s="116"/>
      <c r="P568" s="116"/>
      <c r="Q568" s="312"/>
      <c r="R568" s="116"/>
      <c r="S568" s="116"/>
      <c r="T568" s="116"/>
      <c r="U568" s="116"/>
      <c r="V568" s="313"/>
      <c r="W568" s="314"/>
      <c r="X568" s="43"/>
      <c r="Y568" s="43"/>
      <c r="Z568" s="43"/>
      <c r="AA568" s="43"/>
      <c r="AB568" s="43"/>
    </row>
    <row r="569">
      <c r="A569" s="116"/>
      <c r="B569" s="116"/>
      <c r="C569" s="116"/>
      <c r="D569" s="116"/>
      <c r="E569" s="116"/>
      <c r="F569" s="116"/>
      <c r="G569" s="116"/>
      <c r="H569" s="116"/>
      <c r="I569" s="116"/>
      <c r="J569" s="116"/>
      <c r="K569" s="116"/>
      <c r="L569" s="116"/>
      <c r="M569" s="116"/>
      <c r="N569" s="116"/>
      <c r="O569" s="116"/>
      <c r="P569" s="116"/>
      <c r="Q569" s="312"/>
      <c r="R569" s="116"/>
      <c r="S569" s="116"/>
      <c r="T569" s="116"/>
      <c r="U569" s="116"/>
      <c r="V569" s="313"/>
      <c r="W569" s="314"/>
      <c r="X569" s="43"/>
      <c r="Y569" s="43"/>
      <c r="Z569" s="43"/>
      <c r="AA569" s="43"/>
      <c r="AB569" s="43"/>
    </row>
    <row r="570">
      <c r="A570" s="116"/>
      <c r="B570" s="116"/>
      <c r="C570" s="116"/>
      <c r="D570" s="116"/>
      <c r="E570" s="116"/>
      <c r="F570" s="116"/>
      <c r="G570" s="116"/>
      <c r="H570" s="116"/>
      <c r="I570" s="116"/>
      <c r="J570" s="116"/>
      <c r="K570" s="116"/>
      <c r="L570" s="116"/>
      <c r="M570" s="116"/>
      <c r="N570" s="116"/>
      <c r="O570" s="116"/>
      <c r="P570" s="116"/>
      <c r="Q570" s="312"/>
      <c r="R570" s="116"/>
      <c r="S570" s="116"/>
      <c r="T570" s="116"/>
      <c r="U570" s="116"/>
      <c r="V570" s="313"/>
      <c r="W570" s="314"/>
      <c r="X570" s="43"/>
      <c r="Y570" s="43"/>
      <c r="Z570" s="43"/>
      <c r="AA570" s="43"/>
      <c r="AB570" s="43"/>
    </row>
    <row r="571">
      <c r="A571" s="116"/>
      <c r="B571" s="116"/>
      <c r="C571" s="116"/>
      <c r="D571" s="116"/>
      <c r="E571" s="116"/>
      <c r="F571" s="116"/>
      <c r="G571" s="116"/>
      <c r="H571" s="116"/>
      <c r="I571" s="116"/>
      <c r="J571" s="116"/>
      <c r="K571" s="116"/>
      <c r="L571" s="116"/>
      <c r="M571" s="116"/>
      <c r="N571" s="116"/>
      <c r="O571" s="116"/>
      <c r="P571" s="116"/>
      <c r="Q571" s="312"/>
      <c r="R571" s="116"/>
      <c r="S571" s="116"/>
      <c r="T571" s="116"/>
      <c r="U571" s="116"/>
      <c r="V571" s="313"/>
      <c r="W571" s="314"/>
      <c r="X571" s="43"/>
      <c r="Y571" s="43"/>
      <c r="Z571" s="43"/>
      <c r="AA571" s="43"/>
      <c r="AB571" s="43"/>
    </row>
    <row r="572">
      <c r="A572" s="116"/>
      <c r="B572" s="116"/>
      <c r="C572" s="116"/>
      <c r="D572" s="116"/>
      <c r="E572" s="116"/>
      <c r="F572" s="116"/>
      <c r="G572" s="116"/>
      <c r="H572" s="116"/>
      <c r="I572" s="116"/>
      <c r="J572" s="116"/>
      <c r="K572" s="116"/>
      <c r="L572" s="116"/>
      <c r="M572" s="116"/>
      <c r="N572" s="116"/>
      <c r="O572" s="116"/>
      <c r="P572" s="116"/>
      <c r="Q572" s="312"/>
      <c r="R572" s="116"/>
      <c r="S572" s="116"/>
      <c r="T572" s="116"/>
      <c r="U572" s="116"/>
      <c r="V572" s="313"/>
      <c r="W572" s="314"/>
      <c r="X572" s="43"/>
      <c r="Y572" s="43"/>
      <c r="Z572" s="43"/>
      <c r="AA572" s="43"/>
      <c r="AB572" s="43"/>
    </row>
    <row r="573">
      <c r="A573" s="116"/>
      <c r="B573" s="116"/>
      <c r="C573" s="116"/>
      <c r="D573" s="116"/>
      <c r="E573" s="116"/>
      <c r="F573" s="116"/>
      <c r="G573" s="116"/>
      <c r="H573" s="116"/>
      <c r="I573" s="116"/>
      <c r="J573" s="116"/>
      <c r="K573" s="116"/>
      <c r="L573" s="116"/>
      <c r="M573" s="116"/>
      <c r="N573" s="116"/>
      <c r="O573" s="116"/>
      <c r="P573" s="116"/>
      <c r="Q573" s="312"/>
      <c r="R573" s="116"/>
      <c r="S573" s="116"/>
      <c r="T573" s="116"/>
      <c r="U573" s="116"/>
      <c r="V573" s="313"/>
      <c r="W573" s="314"/>
      <c r="X573" s="43"/>
      <c r="Y573" s="43"/>
      <c r="Z573" s="43"/>
      <c r="AA573" s="43"/>
      <c r="AB573" s="43"/>
    </row>
    <row r="574">
      <c r="A574" s="116"/>
      <c r="B574" s="116"/>
      <c r="C574" s="116"/>
      <c r="D574" s="116"/>
      <c r="E574" s="116"/>
      <c r="F574" s="116"/>
      <c r="G574" s="116"/>
      <c r="H574" s="116"/>
      <c r="I574" s="116"/>
      <c r="J574" s="116"/>
      <c r="K574" s="116"/>
      <c r="L574" s="116"/>
      <c r="M574" s="116"/>
      <c r="N574" s="116"/>
      <c r="O574" s="116"/>
      <c r="P574" s="116"/>
      <c r="Q574" s="312"/>
      <c r="R574" s="116"/>
      <c r="S574" s="116"/>
      <c r="T574" s="116"/>
      <c r="U574" s="116"/>
      <c r="V574" s="313"/>
      <c r="W574" s="314"/>
      <c r="X574" s="43"/>
      <c r="Y574" s="43"/>
      <c r="Z574" s="43"/>
      <c r="AA574" s="43"/>
      <c r="AB574" s="43"/>
    </row>
    <row r="575">
      <c r="A575" s="116"/>
      <c r="B575" s="116"/>
      <c r="C575" s="116"/>
      <c r="D575" s="116"/>
      <c r="E575" s="116"/>
      <c r="F575" s="116"/>
      <c r="G575" s="116"/>
      <c r="H575" s="116"/>
      <c r="I575" s="116"/>
      <c r="J575" s="116"/>
      <c r="K575" s="116"/>
      <c r="L575" s="116"/>
      <c r="M575" s="116"/>
      <c r="N575" s="116"/>
      <c r="O575" s="116"/>
      <c r="P575" s="116"/>
      <c r="Q575" s="312"/>
      <c r="R575" s="116"/>
      <c r="S575" s="116"/>
      <c r="T575" s="116"/>
      <c r="U575" s="116"/>
      <c r="V575" s="313"/>
      <c r="W575" s="314"/>
      <c r="X575" s="43"/>
      <c r="Y575" s="43"/>
      <c r="Z575" s="43"/>
      <c r="AA575" s="43"/>
      <c r="AB575" s="43"/>
    </row>
    <row r="576">
      <c r="A576" s="116"/>
      <c r="B576" s="116"/>
      <c r="C576" s="116"/>
      <c r="D576" s="116"/>
      <c r="E576" s="116"/>
      <c r="F576" s="116"/>
      <c r="G576" s="116"/>
      <c r="H576" s="116"/>
      <c r="I576" s="116"/>
      <c r="J576" s="116"/>
      <c r="K576" s="116"/>
      <c r="L576" s="116"/>
      <c r="M576" s="116"/>
      <c r="N576" s="116"/>
      <c r="O576" s="116"/>
      <c r="P576" s="116"/>
      <c r="Q576" s="312"/>
      <c r="R576" s="116"/>
      <c r="S576" s="116"/>
      <c r="T576" s="116"/>
      <c r="U576" s="116"/>
      <c r="V576" s="313"/>
      <c r="W576" s="314"/>
      <c r="X576" s="43"/>
      <c r="Y576" s="43"/>
      <c r="Z576" s="43"/>
      <c r="AA576" s="43"/>
      <c r="AB576" s="43"/>
    </row>
    <row r="577">
      <c r="A577" s="116"/>
      <c r="B577" s="116"/>
      <c r="C577" s="116"/>
      <c r="D577" s="116"/>
      <c r="E577" s="116"/>
      <c r="F577" s="116"/>
      <c r="G577" s="116"/>
      <c r="H577" s="116"/>
      <c r="I577" s="116"/>
      <c r="J577" s="116"/>
      <c r="K577" s="116"/>
      <c r="L577" s="116"/>
      <c r="M577" s="116"/>
      <c r="N577" s="116"/>
      <c r="O577" s="116"/>
      <c r="P577" s="116"/>
      <c r="Q577" s="312"/>
      <c r="R577" s="116"/>
      <c r="S577" s="116"/>
      <c r="T577" s="116"/>
      <c r="U577" s="116"/>
      <c r="V577" s="313"/>
      <c r="W577" s="314"/>
      <c r="X577" s="43"/>
      <c r="Y577" s="43"/>
      <c r="Z577" s="43"/>
      <c r="AA577" s="43"/>
      <c r="AB577" s="43"/>
    </row>
    <row r="578">
      <c r="A578" s="116"/>
      <c r="B578" s="116"/>
      <c r="C578" s="116"/>
      <c r="D578" s="116"/>
      <c r="E578" s="116"/>
      <c r="F578" s="116"/>
      <c r="G578" s="116"/>
      <c r="H578" s="116"/>
      <c r="I578" s="116"/>
      <c r="J578" s="116"/>
      <c r="K578" s="116"/>
      <c r="L578" s="116"/>
      <c r="M578" s="116"/>
      <c r="N578" s="116"/>
      <c r="O578" s="116"/>
      <c r="P578" s="116"/>
      <c r="Q578" s="312"/>
      <c r="R578" s="116"/>
      <c r="S578" s="116"/>
      <c r="T578" s="116"/>
      <c r="U578" s="116"/>
      <c r="V578" s="313"/>
      <c r="W578" s="314"/>
      <c r="X578" s="43"/>
      <c r="Y578" s="43"/>
      <c r="Z578" s="43"/>
      <c r="AA578" s="43"/>
      <c r="AB578" s="43"/>
    </row>
    <row r="579">
      <c r="A579" s="116"/>
      <c r="B579" s="116"/>
      <c r="C579" s="116"/>
      <c r="D579" s="116"/>
      <c r="E579" s="116"/>
      <c r="F579" s="116"/>
      <c r="G579" s="116"/>
      <c r="H579" s="116"/>
      <c r="I579" s="116"/>
      <c r="J579" s="116"/>
      <c r="K579" s="116"/>
      <c r="L579" s="116"/>
      <c r="M579" s="116"/>
      <c r="N579" s="116"/>
      <c r="O579" s="116"/>
      <c r="P579" s="116"/>
      <c r="Q579" s="312"/>
      <c r="R579" s="116"/>
      <c r="S579" s="116"/>
      <c r="T579" s="116"/>
      <c r="U579" s="116"/>
      <c r="V579" s="313"/>
      <c r="W579" s="314"/>
      <c r="X579" s="43"/>
      <c r="Y579" s="43"/>
      <c r="Z579" s="43"/>
      <c r="AA579" s="43"/>
      <c r="AB579" s="43"/>
    </row>
    <row r="580">
      <c r="A580" s="116"/>
      <c r="B580" s="116"/>
      <c r="C580" s="116"/>
      <c r="D580" s="116"/>
      <c r="E580" s="116"/>
      <c r="F580" s="116"/>
      <c r="G580" s="116"/>
      <c r="H580" s="116"/>
      <c r="I580" s="116"/>
      <c r="J580" s="116"/>
      <c r="K580" s="116"/>
      <c r="L580" s="116"/>
      <c r="M580" s="116"/>
      <c r="N580" s="116"/>
      <c r="O580" s="116"/>
      <c r="P580" s="116"/>
      <c r="Q580" s="312"/>
      <c r="R580" s="116"/>
      <c r="S580" s="116"/>
      <c r="T580" s="116"/>
      <c r="U580" s="116"/>
      <c r="V580" s="313"/>
      <c r="W580" s="314"/>
      <c r="X580" s="43"/>
      <c r="Y580" s="43"/>
      <c r="Z580" s="43"/>
      <c r="AA580" s="43"/>
      <c r="AB580" s="43"/>
    </row>
    <row r="581">
      <c r="A581" s="116"/>
      <c r="B581" s="116"/>
      <c r="C581" s="116"/>
      <c r="D581" s="116"/>
      <c r="E581" s="116"/>
      <c r="F581" s="116"/>
      <c r="G581" s="116"/>
      <c r="H581" s="116"/>
      <c r="I581" s="116"/>
      <c r="J581" s="116"/>
      <c r="K581" s="116"/>
      <c r="L581" s="116"/>
      <c r="M581" s="116"/>
      <c r="N581" s="116"/>
      <c r="O581" s="116"/>
      <c r="P581" s="116"/>
      <c r="Q581" s="312"/>
      <c r="R581" s="116"/>
      <c r="S581" s="116"/>
      <c r="T581" s="116"/>
      <c r="U581" s="116"/>
      <c r="V581" s="313"/>
      <c r="W581" s="314"/>
      <c r="X581" s="43"/>
      <c r="Y581" s="43"/>
      <c r="Z581" s="43"/>
      <c r="AA581" s="43"/>
      <c r="AB581" s="43"/>
    </row>
    <row r="582">
      <c r="A582" s="116"/>
      <c r="B582" s="116"/>
      <c r="C582" s="116"/>
      <c r="D582" s="116"/>
      <c r="E582" s="116"/>
      <c r="F582" s="116"/>
      <c r="G582" s="116"/>
      <c r="H582" s="116"/>
      <c r="I582" s="116"/>
      <c r="J582" s="116"/>
      <c r="K582" s="116"/>
      <c r="L582" s="116"/>
      <c r="M582" s="116"/>
      <c r="N582" s="116"/>
      <c r="O582" s="116"/>
      <c r="P582" s="116"/>
      <c r="Q582" s="312"/>
      <c r="R582" s="116"/>
      <c r="S582" s="116"/>
      <c r="T582" s="116"/>
      <c r="U582" s="116"/>
      <c r="V582" s="313"/>
      <c r="W582" s="314"/>
      <c r="X582" s="43"/>
      <c r="Y582" s="43"/>
      <c r="Z582" s="43"/>
      <c r="AA582" s="43"/>
      <c r="AB582" s="43"/>
    </row>
    <row r="583">
      <c r="A583" s="116"/>
      <c r="B583" s="116"/>
      <c r="C583" s="116"/>
      <c r="D583" s="116"/>
      <c r="E583" s="116"/>
      <c r="F583" s="116"/>
      <c r="G583" s="116"/>
      <c r="H583" s="116"/>
      <c r="I583" s="116"/>
      <c r="J583" s="116"/>
      <c r="K583" s="116"/>
      <c r="L583" s="116"/>
      <c r="M583" s="116"/>
      <c r="N583" s="116"/>
      <c r="O583" s="116"/>
      <c r="P583" s="116"/>
      <c r="Q583" s="312"/>
      <c r="R583" s="116"/>
      <c r="S583" s="116"/>
      <c r="T583" s="116"/>
      <c r="U583" s="116"/>
      <c r="V583" s="313"/>
      <c r="W583" s="314"/>
      <c r="X583" s="43"/>
      <c r="Y583" s="43"/>
      <c r="Z583" s="43"/>
      <c r="AA583" s="43"/>
      <c r="AB583" s="43"/>
    </row>
    <row r="584">
      <c r="A584" s="116"/>
      <c r="B584" s="116"/>
      <c r="C584" s="116"/>
      <c r="D584" s="116"/>
      <c r="E584" s="116"/>
      <c r="F584" s="116"/>
      <c r="G584" s="116"/>
      <c r="H584" s="116"/>
      <c r="I584" s="116"/>
      <c r="J584" s="116"/>
      <c r="K584" s="116"/>
      <c r="L584" s="116"/>
      <c r="M584" s="116"/>
      <c r="N584" s="116"/>
      <c r="O584" s="116"/>
      <c r="P584" s="116"/>
      <c r="Q584" s="312"/>
      <c r="R584" s="116"/>
      <c r="S584" s="116"/>
      <c r="T584" s="116"/>
      <c r="U584" s="116"/>
      <c r="V584" s="313"/>
      <c r="W584" s="314"/>
      <c r="X584" s="43"/>
      <c r="Y584" s="43"/>
      <c r="Z584" s="43"/>
      <c r="AA584" s="43"/>
      <c r="AB584" s="43"/>
    </row>
    <row r="585">
      <c r="A585" s="116"/>
      <c r="B585" s="116"/>
      <c r="C585" s="116"/>
      <c r="D585" s="116"/>
      <c r="E585" s="116"/>
      <c r="F585" s="116"/>
      <c r="G585" s="116"/>
      <c r="H585" s="116"/>
      <c r="I585" s="116"/>
      <c r="J585" s="116"/>
      <c r="K585" s="116"/>
      <c r="L585" s="116"/>
      <c r="M585" s="116"/>
      <c r="N585" s="116"/>
      <c r="O585" s="116"/>
      <c r="P585" s="116"/>
      <c r="Q585" s="312"/>
      <c r="R585" s="116"/>
      <c r="S585" s="116"/>
      <c r="T585" s="116"/>
      <c r="U585" s="116"/>
      <c r="V585" s="313"/>
      <c r="W585" s="314"/>
      <c r="X585" s="43"/>
      <c r="Y585" s="43"/>
      <c r="Z585" s="43"/>
      <c r="AA585" s="43"/>
      <c r="AB585" s="43"/>
    </row>
    <row r="586">
      <c r="A586" s="116"/>
      <c r="B586" s="116"/>
      <c r="C586" s="116"/>
      <c r="D586" s="116"/>
      <c r="E586" s="116"/>
      <c r="F586" s="116"/>
      <c r="G586" s="116"/>
      <c r="H586" s="116"/>
      <c r="I586" s="116"/>
      <c r="J586" s="116"/>
      <c r="K586" s="116"/>
      <c r="L586" s="116"/>
      <c r="M586" s="116"/>
      <c r="N586" s="116"/>
      <c r="O586" s="116"/>
      <c r="P586" s="116"/>
      <c r="Q586" s="312"/>
      <c r="R586" s="116"/>
      <c r="S586" s="116"/>
      <c r="T586" s="116"/>
      <c r="U586" s="116"/>
      <c r="V586" s="313"/>
      <c r="W586" s="314"/>
      <c r="X586" s="43"/>
      <c r="Y586" s="43"/>
      <c r="Z586" s="43"/>
      <c r="AA586" s="43"/>
      <c r="AB586" s="43"/>
    </row>
    <row r="587">
      <c r="A587" s="116"/>
      <c r="B587" s="116"/>
      <c r="C587" s="116"/>
      <c r="D587" s="116"/>
      <c r="E587" s="116"/>
      <c r="F587" s="116"/>
      <c r="G587" s="116"/>
      <c r="H587" s="116"/>
      <c r="I587" s="116"/>
      <c r="J587" s="116"/>
      <c r="K587" s="116"/>
      <c r="L587" s="116"/>
      <c r="M587" s="116"/>
      <c r="N587" s="116"/>
      <c r="O587" s="116"/>
      <c r="P587" s="116"/>
      <c r="Q587" s="312"/>
      <c r="R587" s="116"/>
      <c r="S587" s="116"/>
      <c r="T587" s="116"/>
      <c r="U587" s="116"/>
      <c r="V587" s="313"/>
      <c r="W587" s="314"/>
      <c r="X587" s="43"/>
      <c r="Y587" s="43"/>
      <c r="Z587" s="43"/>
      <c r="AA587" s="43"/>
      <c r="AB587" s="43"/>
    </row>
    <row r="588">
      <c r="A588" s="116"/>
      <c r="B588" s="116"/>
      <c r="C588" s="116"/>
      <c r="D588" s="116"/>
      <c r="E588" s="116"/>
      <c r="F588" s="116"/>
      <c r="G588" s="116"/>
      <c r="H588" s="116"/>
      <c r="I588" s="116"/>
      <c r="J588" s="116"/>
      <c r="K588" s="116"/>
      <c r="L588" s="116"/>
      <c r="M588" s="116"/>
      <c r="N588" s="116"/>
      <c r="O588" s="116"/>
      <c r="P588" s="116"/>
      <c r="Q588" s="312"/>
      <c r="R588" s="116"/>
      <c r="S588" s="116"/>
      <c r="T588" s="116"/>
      <c r="U588" s="116"/>
      <c r="V588" s="313"/>
      <c r="W588" s="314"/>
      <c r="X588" s="43"/>
      <c r="Y588" s="43"/>
      <c r="Z588" s="43"/>
      <c r="AA588" s="43"/>
      <c r="AB588" s="43"/>
    </row>
    <row r="589">
      <c r="A589" s="116"/>
      <c r="B589" s="116"/>
      <c r="C589" s="116"/>
      <c r="D589" s="116"/>
      <c r="E589" s="116"/>
      <c r="F589" s="116"/>
      <c r="G589" s="116"/>
      <c r="H589" s="116"/>
      <c r="I589" s="116"/>
      <c r="J589" s="116"/>
      <c r="K589" s="116"/>
      <c r="L589" s="116"/>
      <c r="M589" s="116"/>
      <c r="N589" s="116"/>
      <c r="O589" s="116"/>
      <c r="P589" s="116"/>
      <c r="Q589" s="312"/>
      <c r="R589" s="116"/>
      <c r="S589" s="116"/>
      <c r="T589" s="116"/>
      <c r="U589" s="116"/>
      <c r="V589" s="313"/>
      <c r="W589" s="314"/>
      <c r="X589" s="43"/>
      <c r="Y589" s="43"/>
      <c r="Z589" s="43"/>
      <c r="AA589" s="43"/>
      <c r="AB589" s="43"/>
    </row>
    <row r="590">
      <c r="A590" s="116"/>
      <c r="B590" s="116"/>
      <c r="C590" s="116"/>
      <c r="D590" s="116"/>
      <c r="E590" s="116"/>
      <c r="F590" s="116"/>
      <c r="G590" s="116"/>
      <c r="H590" s="116"/>
      <c r="I590" s="116"/>
      <c r="J590" s="116"/>
      <c r="K590" s="116"/>
      <c r="L590" s="116"/>
      <c r="M590" s="116"/>
      <c r="N590" s="116"/>
      <c r="O590" s="116"/>
      <c r="P590" s="116"/>
      <c r="Q590" s="312"/>
      <c r="R590" s="116"/>
      <c r="S590" s="116"/>
      <c r="T590" s="116"/>
      <c r="U590" s="116"/>
      <c r="V590" s="313"/>
      <c r="W590" s="314"/>
      <c r="X590" s="43"/>
      <c r="Y590" s="43"/>
      <c r="Z590" s="43"/>
      <c r="AA590" s="43"/>
      <c r="AB590" s="43"/>
    </row>
    <row r="591">
      <c r="A591" s="116"/>
      <c r="B591" s="116"/>
      <c r="C591" s="116"/>
      <c r="D591" s="116"/>
      <c r="E591" s="116"/>
      <c r="F591" s="116"/>
      <c r="G591" s="116"/>
      <c r="H591" s="116"/>
      <c r="I591" s="116"/>
      <c r="J591" s="116"/>
      <c r="K591" s="116"/>
      <c r="L591" s="116"/>
      <c r="M591" s="116"/>
      <c r="N591" s="116"/>
      <c r="O591" s="116"/>
      <c r="P591" s="116"/>
      <c r="Q591" s="312"/>
      <c r="R591" s="116"/>
      <c r="S591" s="116"/>
      <c r="T591" s="116"/>
      <c r="U591" s="116"/>
      <c r="V591" s="313"/>
      <c r="W591" s="314"/>
      <c r="X591" s="43"/>
      <c r="Y591" s="43"/>
      <c r="Z591" s="43"/>
      <c r="AA591" s="43"/>
      <c r="AB591" s="43"/>
    </row>
    <row r="592">
      <c r="A592" s="116"/>
      <c r="B592" s="116"/>
      <c r="C592" s="116"/>
      <c r="D592" s="116"/>
      <c r="E592" s="116"/>
      <c r="F592" s="116"/>
      <c r="G592" s="116"/>
      <c r="H592" s="116"/>
      <c r="I592" s="116"/>
      <c r="J592" s="116"/>
      <c r="K592" s="116"/>
      <c r="L592" s="116"/>
      <c r="M592" s="116"/>
      <c r="N592" s="116"/>
      <c r="O592" s="116"/>
      <c r="P592" s="116"/>
      <c r="Q592" s="312"/>
      <c r="R592" s="116"/>
      <c r="S592" s="116"/>
      <c r="T592" s="116"/>
      <c r="U592" s="116"/>
      <c r="V592" s="313"/>
      <c r="W592" s="314"/>
      <c r="X592" s="43"/>
      <c r="Y592" s="43"/>
      <c r="Z592" s="43"/>
      <c r="AA592" s="43"/>
      <c r="AB592" s="43"/>
    </row>
    <row r="593">
      <c r="A593" s="116"/>
      <c r="B593" s="116"/>
      <c r="C593" s="116"/>
      <c r="D593" s="116"/>
      <c r="E593" s="116"/>
      <c r="F593" s="116"/>
      <c r="G593" s="116"/>
      <c r="H593" s="116"/>
      <c r="I593" s="116"/>
      <c r="J593" s="116"/>
      <c r="K593" s="116"/>
      <c r="L593" s="116"/>
      <c r="M593" s="116"/>
      <c r="N593" s="116"/>
      <c r="O593" s="116"/>
      <c r="P593" s="116"/>
      <c r="Q593" s="312"/>
      <c r="R593" s="116"/>
      <c r="S593" s="116"/>
      <c r="T593" s="116"/>
      <c r="U593" s="116"/>
      <c r="V593" s="313"/>
      <c r="W593" s="314"/>
      <c r="X593" s="43"/>
      <c r="Y593" s="43"/>
      <c r="Z593" s="43"/>
      <c r="AA593" s="43"/>
      <c r="AB593" s="43"/>
    </row>
    <row r="594">
      <c r="A594" s="116"/>
      <c r="B594" s="116"/>
      <c r="C594" s="116"/>
      <c r="D594" s="116"/>
      <c r="E594" s="116"/>
      <c r="F594" s="116"/>
      <c r="G594" s="116"/>
      <c r="H594" s="116"/>
      <c r="I594" s="116"/>
      <c r="J594" s="116"/>
      <c r="K594" s="116"/>
      <c r="L594" s="116"/>
      <c r="M594" s="116"/>
      <c r="N594" s="116"/>
      <c r="O594" s="116"/>
      <c r="P594" s="116"/>
      <c r="Q594" s="312"/>
      <c r="R594" s="116"/>
      <c r="S594" s="116"/>
      <c r="T594" s="116"/>
      <c r="U594" s="116"/>
      <c r="V594" s="313"/>
      <c r="W594" s="314"/>
      <c r="X594" s="43"/>
      <c r="Y594" s="43"/>
      <c r="Z594" s="43"/>
      <c r="AA594" s="43"/>
      <c r="AB594" s="43"/>
    </row>
    <row r="595">
      <c r="A595" s="116"/>
      <c r="B595" s="116"/>
      <c r="C595" s="116"/>
      <c r="D595" s="116"/>
      <c r="E595" s="116"/>
      <c r="F595" s="116"/>
      <c r="G595" s="116"/>
      <c r="H595" s="116"/>
      <c r="I595" s="116"/>
      <c r="J595" s="116"/>
      <c r="K595" s="116"/>
      <c r="L595" s="116"/>
      <c r="M595" s="116"/>
      <c r="N595" s="116"/>
      <c r="O595" s="116"/>
      <c r="P595" s="116"/>
      <c r="Q595" s="312"/>
      <c r="R595" s="116"/>
      <c r="S595" s="116"/>
      <c r="T595" s="116"/>
      <c r="U595" s="116"/>
      <c r="V595" s="313"/>
      <c r="W595" s="314"/>
      <c r="X595" s="43"/>
      <c r="Y595" s="43"/>
      <c r="Z595" s="43"/>
      <c r="AA595" s="43"/>
      <c r="AB595" s="43"/>
    </row>
    <row r="596">
      <c r="A596" s="116"/>
      <c r="B596" s="116"/>
      <c r="C596" s="116"/>
      <c r="D596" s="116"/>
      <c r="E596" s="116"/>
      <c r="F596" s="116"/>
      <c r="G596" s="116"/>
      <c r="H596" s="116"/>
      <c r="I596" s="116"/>
      <c r="J596" s="116"/>
      <c r="K596" s="116"/>
      <c r="L596" s="116"/>
      <c r="M596" s="116"/>
      <c r="N596" s="116"/>
      <c r="O596" s="116"/>
      <c r="P596" s="116"/>
      <c r="Q596" s="312"/>
      <c r="R596" s="116"/>
      <c r="S596" s="116"/>
      <c r="T596" s="116"/>
      <c r="U596" s="116"/>
      <c r="V596" s="313"/>
      <c r="W596" s="314"/>
      <c r="X596" s="43"/>
      <c r="Y596" s="43"/>
      <c r="Z596" s="43"/>
      <c r="AA596" s="43"/>
      <c r="AB596" s="43"/>
    </row>
    <row r="597">
      <c r="A597" s="116"/>
      <c r="B597" s="116"/>
      <c r="C597" s="116"/>
      <c r="D597" s="116"/>
      <c r="E597" s="116"/>
      <c r="F597" s="116"/>
      <c r="G597" s="116"/>
      <c r="H597" s="116"/>
      <c r="I597" s="116"/>
      <c r="J597" s="116"/>
      <c r="K597" s="116"/>
      <c r="L597" s="116"/>
      <c r="M597" s="116"/>
      <c r="N597" s="116"/>
      <c r="O597" s="116"/>
      <c r="P597" s="116"/>
      <c r="Q597" s="312"/>
      <c r="R597" s="116"/>
      <c r="S597" s="116"/>
      <c r="T597" s="116"/>
      <c r="U597" s="116"/>
      <c r="V597" s="313"/>
      <c r="W597" s="314"/>
      <c r="X597" s="43"/>
      <c r="Y597" s="43"/>
      <c r="Z597" s="43"/>
      <c r="AA597" s="43"/>
      <c r="AB597" s="43"/>
    </row>
    <row r="598">
      <c r="A598" s="116"/>
      <c r="B598" s="116"/>
      <c r="C598" s="116"/>
      <c r="D598" s="116"/>
      <c r="E598" s="116"/>
      <c r="F598" s="116"/>
      <c r="G598" s="116"/>
      <c r="H598" s="116"/>
      <c r="I598" s="116"/>
      <c r="J598" s="116"/>
      <c r="K598" s="116"/>
      <c r="L598" s="116"/>
      <c r="M598" s="116"/>
      <c r="N598" s="116"/>
      <c r="O598" s="116"/>
      <c r="P598" s="116"/>
      <c r="Q598" s="312"/>
      <c r="R598" s="116"/>
      <c r="S598" s="116"/>
      <c r="T598" s="116"/>
      <c r="U598" s="116"/>
      <c r="V598" s="313"/>
      <c r="W598" s="314"/>
      <c r="X598" s="43"/>
      <c r="Y598" s="43"/>
      <c r="Z598" s="43"/>
      <c r="AA598" s="43"/>
      <c r="AB598" s="43"/>
    </row>
    <row r="599">
      <c r="A599" s="116"/>
      <c r="B599" s="116"/>
      <c r="C599" s="116"/>
      <c r="D599" s="116"/>
      <c r="E599" s="116"/>
      <c r="F599" s="116"/>
      <c r="G599" s="116"/>
      <c r="H599" s="116"/>
      <c r="I599" s="116"/>
      <c r="J599" s="116"/>
      <c r="K599" s="116"/>
      <c r="L599" s="116"/>
      <c r="M599" s="116"/>
      <c r="N599" s="116"/>
      <c r="O599" s="116"/>
      <c r="P599" s="116"/>
      <c r="Q599" s="312"/>
      <c r="R599" s="116"/>
      <c r="S599" s="116"/>
      <c r="T599" s="116"/>
      <c r="U599" s="116"/>
      <c r="V599" s="313"/>
      <c r="W599" s="314"/>
      <c r="X599" s="43"/>
      <c r="Y599" s="43"/>
      <c r="Z599" s="43"/>
      <c r="AA599" s="43"/>
      <c r="AB599" s="43"/>
    </row>
    <row r="600">
      <c r="A600" s="116"/>
      <c r="B600" s="116"/>
      <c r="C600" s="116"/>
      <c r="D600" s="116"/>
      <c r="E600" s="116"/>
      <c r="F600" s="116"/>
      <c r="G600" s="116"/>
      <c r="H600" s="116"/>
      <c r="I600" s="116"/>
      <c r="J600" s="116"/>
      <c r="K600" s="116"/>
      <c r="L600" s="116"/>
      <c r="M600" s="116"/>
      <c r="N600" s="116"/>
      <c r="O600" s="116"/>
      <c r="P600" s="116"/>
      <c r="Q600" s="312"/>
      <c r="R600" s="116"/>
      <c r="S600" s="116"/>
      <c r="T600" s="116"/>
      <c r="U600" s="116"/>
      <c r="V600" s="313"/>
      <c r="W600" s="314"/>
      <c r="X600" s="43"/>
      <c r="Y600" s="43"/>
      <c r="Z600" s="43"/>
      <c r="AA600" s="43"/>
      <c r="AB600" s="43"/>
    </row>
    <row r="601">
      <c r="A601" s="116"/>
      <c r="B601" s="116"/>
      <c r="C601" s="116"/>
      <c r="D601" s="116"/>
      <c r="E601" s="116"/>
      <c r="F601" s="116"/>
      <c r="G601" s="116"/>
      <c r="H601" s="116"/>
      <c r="I601" s="116"/>
      <c r="J601" s="116"/>
      <c r="K601" s="116"/>
      <c r="L601" s="116"/>
      <c r="M601" s="116"/>
      <c r="N601" s="116"/>
      <c r="O601" s="116"/>
      <c r="P601" s="116"/>
      <c r="Q601" s="312"/>
      <c r="R601" s="116"/>
      <c r="S601" s="116"/>
      <c r="T601" s="116"/>
      <c r="U601" s="116"/>
      <c r="V601" s="313"/>
      <c r="W601" s="314"/>
      <c r="X601" s="43"/>
      <c r="Y601" s="43"/>
      <c r="Z601" s="43"/>
      <c r="AA601" s="43"/>
      <c r="AB601" s="43"/>
    </row>
    <row r="602">
      <c r="A602" s="116"/>
      <c r="B602" s="116"/>
      <c r="C602" s="116"/>
      <c r="D602" s="116"/>
      <c r="E602" s="116"/>
      <c r="F602" s="116"/>
      <c r="G602" s="116"/>
      <c r="H602" s="116"/>
      <c r="I602" s="116"/>
      <c r="J602" s="116"/>
      <c r="K602" s="116"/>
      <c r="L602" s="116"/>
      <c r="M602" s="116"/>
      <c r="N602" s="116"/>
      <c r="O602" s="116"/>
      <c r="P602" s="116"/>
      <c r="Q602" s="312"/>
      <c r="R602" s="116"/>
      <c r="S602" s="116"/>
      <c r="T602" s="116"/>
      <c r="U602" s="116"/>
      <c r="V602" s="313"/>
      <c r="W602" s="314"/>
      <c r="X602" s="43"/>
      <c r="Y602" s="43"/>
      <c r="Z602" s="43"/>
      <c r="AA602" s="43"/>
      <c r="AB602" s="43"/>
    </row>
    <row r="603">
      <c r="A603" s="116"/>
      <c r="B603" s="116"/>
      <c r="C603" s="116"/>
      <c r="D603" s="116"/>
      <c r="E603" s="116"/>
      <c r="F603" s="116"/>
      <c r="G603" s="116"/>
      <c r="H603" s="116"/>
      <c r="I603" s="116"/>
      <c r="J603" s="116"/>
      <c r="K603" s="116"/>
      <c r="L603" s="116"/>
      <c r="M603" s="116"/>
      <c r="N603" s="116"/>
      <c r="O603" s="116"/>
      <c r="P603" s="116"/>
      <c r="Q603" s="312"/>
      <c r="R603" s="116"/>
      <c r="S603" s="116"/>
      <c r="T603" s="116"/>
      <c r="U603" s="116"/>
      <c r="V603" s="313"/>
      <c r="W603" s="314"/>
      <c r="X603" s="43"/>
      <c r="Y603" s="43"/>
      <c r="Z603" s="43"/>
      <c r="AA603" s="43"/>
      <c r="AB603" s="43"/>
    </row>
    <row r="604">
      <c r="A604" s="116"/>
      <c r="B604" s="116"/>
      <c r="C604" s="116"/>
      <c r="D604" s="116"/>
      <c r="E604" s="116"/>
      <c r="F604" s="116"/>
      <c r="G604" s="116"/>
      <c r="H604" s="116"/>
      <c r="I604" s="116"/>
      <c r="J604" s="116"/>
      <c r="K604" s="116"/>
      <c r="L604" s="116"/>
      <c r="M604" s="116"/>
      <c r="N604" s="116"/>
      <c r="O604" s="116"/>
      <c r="P604" s="116"/>
      <c r="Q604" s="312"/>
      <c r="R604" s="116"/>
      <c r="S604" s="116"/>
      <c r="T604" s="116"/>
      <c r="U604" s="116"/>
      <c r="V604" s="313"/>
      <c r="W604" s="314"/>
      <c r="X604" s="43"/>
      <c r="Y604" s="43"/>
      <c r="Z604" s="43"/>
      <c r="AA604" s="43"/>
      <c r="AB604" s="43"/>
    </row>
    <row r="605">
      <c r="A605" s="116"/>
      <c r="B605" s="116"/>
      <c r="C605" s="116"/>
      <c r="D605" s="116"/>
      <c r="E605" s="116"/>
      <c r="F605" s="116"/>
      <c r="G605" s="116"/>
      <c r="H605" s="116"/>
      <c r="I605" s="116"/>
      <c r="J605" s="116"/>
      <c r="K605" s="116"/>
      <c r="L605" s="116"/>
      <c r="M605" s="116"/>
      <c r="N605" s="116"/>
      <c r="O605" s="116"/>
      <c r="P605" s="116"/>
      <c r="Q605" s="312"/>
      <c r="R605" s="116"/>
      <c r="S605" s="116"/>
      <c r="T605" s="116"/>
      <c r="U605" s="116"/>
      <c r="V605" s="313"/>
      <c r="W605" s="314"/>
      <c r="X605" s="43"/>
      <c r="Y605" s="43"/>
      <c r="Z605" s="43"/>
      <c r="AA605" s="43"/>
      <c r="AB605" s="43"/>
    </row>
    <row r="606">
      <c r="A606" s="116"/>
      <c r="B606" s="116"/>
      <c r="C606" s="116"/>
      <c r="D606" s="116"/>
      <c r="E606" s="116"/>
      <c r="F606" s="116"/>
      <c r="G606" s="116"/>
      <c r="H606" s="116"/>
      <c r="I606" s="116"/>
      <c r="J606" s="116"/>
      <c r="K606" s="116"/>
      <c r="L606" s="116"/>
      <c r="M606" s="116"/>
      <c r="N606" s="116"/>
      <c r="O606" s="116"/>
      <c r="P606" s="116"/>
      <c r="Q606" s="312"/>
      <c r="R606" s="116"/>
      <c r="S606" s="116"/>
      <c r="T606" s="116"/>
      <c r="U606" s="116"/>
      <c r="V606" s="313"/>
      <c r="W606" s="314"/>
      <c r="X606" s="43"/>
      <c r="Y606" s="43"/>
      <c r="Z606" s="43"/>
      <c r="AA606" s="43"/>
      <c r="AB606" s="43"/>
    </row>
    <row r="607">
      <c r="A607" s="116"/>
      <c r="B607" s="116"/>
      <c r="C607" s="116"/>
      <c r="D607" s="116"/>
      <c r="E607" s="116"/>
      <c r="F607" s="116"/>
      <c r="G607" s="116"/>
      <c r="H607" s="116"/>
      <c r="I607" s="116"/>
      <c r="J607" s="116"/>
      <c r="K607" s="116"/>
      <c r="L607" s="116"/>
      <c r="M607" s="116"/>
      <c r="N607" s="116"/>
      <c r="O607" s="116"/>
      <c r="P607" s="116"/>
      <c r="Q607" s="312"/>
      <c r="R607" s="116"/>
      <c r="S607" s="116"/>
      <c r="T607" s="116"/>
      <c r="U607" s="116"/>
      <c r="V607" s="313"/>
      <c r="W607" s="314"/>
      <c r="X607" s="43"/>
      <c r="Y607" s="43"/>
      <c r="Z607" s="43"/>
      <c r="AA607" s="43"/>
      <c r="AB607" s="43"/>
    </row>
    <row r="608">
      <c r="A608" s="116"/>
      <c r="B608" s="116"/>
      <c r="C608" s="116"/>
      <c r="D608" s="116"/>
      <c r="E608" s="116"/>
      <c r="F608" s="116"/>
      <c r="G608" s="116"/>
      <c r="H608" s="116"/>
      <c r="I608" s="116"/>
      <c r="J608" s="116"/>
      <c r="K608" s="116"/>
      <c r="L608" s="116"/>
      <c r="M608" s="116"/>
      <c r="N608" s="116"/>
      <c r="O608" s="116"/>
      <c r="P608" s="116"/>
      <c r="Q608" s="312"/>
      <c r="R608" s="116"/>
      <c r="S608" s="116"/>
      <c r="T608" s="116"/>
      <c r="U608" s="116"/>
      <c r="V608" s="313"/>
      <c r="W608" s="314"/>
      <c r="X608" s="43"/>
      <c r="Y608" s="43"/>
      <c r="Z608" s="43"/>
      <c r="AA608" s="43"/>
      <c r="AB608" s="43"/>
    </row>
    <row r="609">
      <c r="A609" s="116"/>
      <c r="B609" s="116"/>
      <c r="C609" s="116"/>
      <c r="D609" s="116"/>
      <c r="E609" s="116"/>
      <c r="F609" s="116"/>
      <c r="G609" s="116"/>
      <c r="H609" s="116"/>
      <c r="I609" s="116"/>
      <c r="J609" s="116"/>
      <c r="K609" s="116"/>
      <c r="L609" s="116"/>
      <c r="M609" s="116"/>
      <c r="N609" s="116"/>
      <c r="O609" s="116"/>
      <c r="P609" s="116"/>
      <c r="Q609" s="312"/>
      <c r="R609" s="116"/>
      <c r="S609" s="116"/>
      <c r="T609" s="116"/>
      <c r="U609" s="116"/>
      <c r="V609" s="313"/>
      <c r="W609" s="314"/>
      <c r="X609" s="43"/>
      <c r="Y609" s="43"/>
      <c r="Z609" s="43"/>
      <c r="AA609" s="43"/>
      <c r="AB609" s="43"/>
    </row>
    <row r="610">
      <c r="A610" s="116"/>
      <c r="B610" s="116"/>
      <c r="C610" s="116"/>
      <c r="D610" s="116"/>
      <c r="E610" s="116"/>
      <c r="F610" s="116"/>
      <c r="G610" s="116"/>
      <c r="H610" s="116"/>
      <c r="I610" s="116"/>
      <c r="J610" s="116"/>
      <c r="K610" s="116"/>
      <c r="L610" s="116"/>
      <c r="M610" s="116"/>
      <c r="N610" s="116"/>
      <c r="O610" s="116"/>
      <c r="P610" s="116"/>
      <c r="Q610" s="312"/>
      <c r="R610" s="116"/>
      <c r="S610" s="116"/>
      <c r="T610" s="116"/>
      <c r="U610" s="116"/>
      <c r="V610" s="313"/>
      <c r="W610" s="314"/>
      <c r="X610" s="43"/>
      <c r="Y610" s="43"/>
      <c r="Z610" s="43"/>
      <c r="AA610" s="43"/>
      <c r="AB610" s="43"/>
    </row>
    <row r="611">
      <c r="A611" s="116"/>
      <c r="B611" s="116"/>
      <c r="C611" s="116"/>
      <c r="D611" s="116"/>
      <c r="E611" s="116"/>
      <c r="F611" s="116"/>
      <c r="G611" s="116"/>
      <c r="H611" s="116"/>
      <c r="I611" s="116"/>
      <c r="J611" s="116"/>
      <c r="K611" s="116"/>
      <c r="L611" s="116"/>
      <c r="M611" s="116"/>
      <c r="N611" s="116"/>
      <c r="O611" s="116"/>
      <c r="P611" s="116"/>
      <c r="Q611" s="312"/>
      <c r="R611" s="116"/>
      <c r="S611" s="116"/>
      <c r="T611" s="116"/>
      <c r="U611" s="116"/>
      <c r="V611" s="313"/>
      <c r="W611" s="314"/>
      <c r="X611" s="43"/>
      <c r="Y611" s="43"/>
      <c r="Z611" s="43"/>
      <c r="AA611" s="43"/>
      <c r="AB611" s="43"/>
    </row>
    <row r="612">
      <c r="A612" s="116"/>
      <c r="B612" s="116"/>
      <c r="C612" s="116"/>
      <c r="D612" s="116"/>
      <c r="E612" s="116"/>
      <c r="F612" s="116"/>
      <c r="G612" s="116"/>
      <c r="H612" s="116"/>
      <c r="I612" s="116"/>
      <c r="J612" s="116"/>
      <c r="K612" s="116"/>
      <c r="L612" s="116"/>
      <c r="M612" s="116"/>
      <c r="N612" s="116"/>
      <c r="O612" s="116"/>
      <c r="P612" s="116"/>
      <c r="Q612" s="312"/>
      <c r="R612" s="116"/>
      <c r="S612" s="116"/>
      <c r="T612" s="116"/>
      <c r="U612" s="116"/>
      <c r="V612" s="313"/>
      <c r="W612" s="314"/>
      <c r="X612" s="43"/>
      <c r="Y612" s="43"/>
      <c r="Z612" s="43"/>
      <c r="AA612" s="43"/>
      <c r="AB612" s="43"/>
    </row>
    <row r="613">
      <c r="A613" s="116"/>
      <c r="B613" s="116"/>
      <c r="C613" s="116"/>
      <c r="D613" s="116"/>
      <c r="E613" s="116"/>
      <c r="F613" s="116"/>
      <c r="G613" s="116"/>
      <c r="H613" s="116"/>
      <c r="I613" s="116"/>
      <c r="J613" s="116"/>
      <c r="K613" s="116"/>
      <c r="L613" s="116"/>
      <c r="M613" s="116"/>
      <c r="N613" s="116"/>
      <c r="O613" s="116"/>
      <c r="P613" s="116"/>
      <c r="Q613" s="312"/>
      <c r="R613" s="116"/>
      <c r="S613" s="116"/>
      <c r="T613" s="116"/>
      <c r="U613" s="116"/>
      <c r="V613" s="313"/>
      <c r="W613" s="314"/>
      <c r="X613" s="43"/>
      <c r="Y613" s="43"/>
      <c r="Z613" s="43"/>
      <c r="AA613" s="43"/>
      <c r="AB613" s="43"/>
    </row>
    <row r="614">
      <c r="A614" s="116"/>
      <c r="B614" s="116"/>
      <c r="C614" s="116"/>
      <c r="D614" s="116"/>
      <c r="E614" s="116"/>
      <c r="F614" s="116"/>
      <c r="G614" s="116"/>
      <c r="H614" s="116"/>
      <c r="I614" s="116"/>
      <c r="J614" s="116"/>
      <c r="K614" s="116"/>
      <c r="L614" s="116"/>
      <c r="M614" s="116"/>
      <c r="N614" s="116"/>
      <c r="O614" s="116"/>
      <c r="P614" s="116"/>
      <c r="Q614" s="312"/>
      <c r="R614" s="116"/>
      <c r="S614" s="116"/>
      <c r="T614" s="116"/>
      <c r="U614" s="116"/>
      <c r="V614" s="313"/>
      <c r="W614" s="314"/>
      <c r="X614" s="43"/>
      <c r="Y614" s="43"/>
      <c r="Z614" s="43"/>
      <c r="AA614" s="43"/>
      <c r="AB614" s="43"/>
    </row>
    <row r="615">
      <c r="A615" s="116"/>
      <c r="B615" s="116"/>
      <c r="C615" s="116"/>
      <c r="D615" s="116"/>
      <c r="E615" s="116"/>
      <c r="F615" s="116"/>
      <c r="G615" s="116"/>
      <c r="H615" s="116"/>
      <c r="I615" s="116"/>
      <c r="J615" s="116"/>
      <c r="K615" s="116"/>
      <c r="L615" s="116"/>
      <c r="M615" s="116"/>
      <c r="N615" s="116"/>
      <c r="O615" s="116"/>
      <c r="P615" s="116"/>
      <c r="Q615" s="312"/>
      <c r="R615" s="116"/>
      <c r="S615" s="116"/>
      <c r="T615" s="116"/>
      <c r="U615" s="116"/>
      <c r="V615" s="313"/>
      <c r="W615" s="314"/>
      <c r="X615" s="43"/>
      <c r="Y615" s="43"/>
      <c r="Z615" s="43"/>
      <c r="AA615" s="43"/>
      <c r="AB615" s="43"/>
    </row>
    <row r="616">
      <c r="A616" s="116"/>
      <c r="B616" s="116"/>
      <c r="C616" s="116"/>
      <c r="D616" s="116"/>
      <c r="E616" s="116"/>
      <c r="F616" s="116"/>
      <c r="G616" s="116"/>
      <c r="H616" s="116"/>
      <c r="I616" s="116"/>
      <c r="J616" s="116"/>
      <c r="K616" s="116"/>
      <c r="L616" s="116"/>
      <c r="M616" s="116"/>
      <c r="N616" s="116"/>
      <c r="O616" s="116"/>
      <c r="P616" s="116"/>
      <c r="Q616" s="312"/>
      <c r="R616" s="116"/>
      <c r="S616" s="116"/>
      <c r="T616" s="116"/>
      <c r="U616" s="116"/>
      <c r="V616" s="313"/>
      <c r="W616" s="314"/>
      <c r="X616" s="43"/>
      <c r="Y616" s="43"/>
      <c r="Z616" s="43"/>
      <c r="AA616" s="43"/>
      <c r="AB616" s="43"/>
    </row>
    <row r="617">
      <c r="A617" s="116"/>
      <c r="B617" s="116"/>
      <c r="C617" s="116"/>
      <c r="D617" s="116"/>
      <c r="E617" s="116"/>
      <c r="F617" s="116"/>
      <c r="G617" s="116"/>
      <c r="H617" s="116"/>
      <c r="I617" s="116"/>
      <c r="J617" s="116"/>
      <c r="K617" s="116"/>
      <c r="L617" s="116"/>
      <c r="M617" s="116"/>
      <c r="N617" s="116"/>
      <c r="O617" s="116"/>
      <c r="P617" s="116"/>
      <c r="Q617" s="312"/>
      <c r="R617" s="116"/>
      <c r="S617" s="116"/>
      <c r="T617" s="116"/>
      <c r="U617" s="116"/>
      <c r="V617" s="313"/>
      <c r="W617" s="314"/>
      <c r="X617" s="43"/>
      <c r="Y617" s="43"/>
      <c r="Z617" s="43"/>
      <c r="AA617" s="43"/>
      <c r="AB617" s="43"/>
    </row>
    <row r="618">
      <c r="A618" s="116"/>
      <c r="B618" s="116"/>
      <c r="C618" s="116"/>
      <c r="D618" s="116"/>
      <c r="E618" s="116"/>
      <c r="F618" s="116"/>
      <c r="G618" s="116"/>
      <c r="H618" s="116"/>
      <c r="I618" s="116"/>
      <c r="J618" s="116"/>
      <c r="K618" s="116"/>
      <c r="L618" s="116"/>
      <c r="M618" s="116"/>
      <c r="N618" s="116"/>
      <c r="O618" s="116"/>
      <c r="P618" s="116"/>
      <c r="Q618" s="312"/>
      <c r="R618" s="116"/>
      <c r="S618" s="116"/>
      <c r="T618" s="116"/>
      <c r="U618" s="116"/>
      <c r="V618" s="313"/>
      <c r="W618" s="314"/>
      <c r="X618" s="43"/>
      <c r="Y618" s="43"/>
      <c r="Z618" s="43"/>
      <c r="AA618" s="43"/>
      <c r="AB618" s="43"/>
    </row>
    <row r="619">
      <c r="A619" s="116"/>
      <c r="B619" s="116"/>
      <c r="C619" s="116"/>
      <c r="D619" s="116"/>
      <c r="E619" s="116"/>
      <c r="F619" s="116"/>
      <c r="G619" s="116"/>
      <c r="H619" s="116"/>
      <c r="I619" s="116"/>
      <c r="J619" s="116"/>
      <c r="K619" s="116"/>
      <c r="L619" s="116"/>
      <c r="M619" s="116"/>
      <c r="N619" s="116"/>
      <c r="O619" s="116"/>
      <c r="P619" s="116"/>
      <c r="Q619" s="312"/>
      <c r="R619" s="116"/>
      <c r="S619" s="116"/>
      <c r="T619" s="116"/>
      <c r="U619" s="116"/>
      <c r="V619" s="313"/>
      <c r="W619" s="314"/>
      <c r="X619" s="43"/>
      <c r="Y619" s="43"/>
      <c r="Z619" s="43"/>
      <c r="AA619" s="43"/>
      <c r="AB619" s="43"/>
    </row>
    <row r="620">
      <c r="A620" s="116"/>
      <c r="B620" s="116"/>
      <c r="C620" s="116"/>
      <c r="D620" s="116"/>
      <c r="E620" s="116"/>
      <c r="F620" s="116"/>
      <c r="G620" s="116"/>
      <c r="H620" s="116"/>
      <c r="I620" s="116"/>
      <c r="J620" s="116"/>
      <c r="K620" s="116"/>
      <c r="L620" s="116"/>
      <c r="M620" s="116"/>
      <c r="N620" s="116"/>
      <c r="O620" s="116"/>
      <c r="P620" s="116"/>
      <c r="Q620" s="312"/>
      <c r="R620" s="116"/>
      <c r="S620" s="116"/>
      <c r="T620" s="116"/>
      <c r="U620" s="116"/>
      <c r="V620" s="313"/>
      <c r="W620" s="314"/>
      <c r="X620" s="43"/>
      <c r="Y620" s="43"/>
      <c r="Z620" s="43"/>
      <c r="AA620" s="43"/>
      <c r="AB620" s="43"/>
    </row>
    <row r="621">
      <c r="A621" s="116"/>
      <c r="B621" s="116"/>
      <c r="C621" s="116"/>
      <c r="D621" s="116"/>
      <c r="E621" s="116"/>
      <c r="F621" s="116"/>
      <c r="G621" s="116"/>
      <c r="H621" s="116"/>
      <c r="I621" s="116"/>
      <c r="J621" s="116"/>
      <c r="K621" s="116"/>
      <c r="L621" s="116"/>
      <c r="M621" s="116"/>
      <c r="N621" s="116"/>
      <c r="O621" s="116"/>
      <c r="P621" s="116"/>
      <c r="Q621" s="312"/>
      <c r="R621" s="116"/>
      <c r="S621" s="116"/>
      <c r="T621" s="116"/>
      <c r="U621" s="116"/>
      <c r="V621" s="313"/>
      <c r="W621" s="314"/>
      <c r="X621" s="43"/>
      <c r="Y621" s="43"/>
      <c r="Z621" s="43"/>
      <c r="AA621" s="43"/>
      <c r="AB621" s="43"/>
    </row>
    <row r="622">
      <c r="A622" s="116"/>
      <c r="B622" s="116"/>
      <c r="C622" s="116"/>
      <c r="D622" s="116"/>
      <c r="E622" s="116"/>
      <c r="F622" s="116"/>
      <c r="G622" s="116"/>
      <c r="H622" s="116"/>
      <c r="I622" s="116"/>
      <c r="J622" s="116"/>
      <c r="K622" s="116"/>
      <c r="L622" s="116"/>
      <c r="M622" s="116"/>
      <c r="N622" s="116"/>
      <c r="O622" s="116"/>
      <c r="P622" s="116"/>
      <c r="Q622" s="312"/>
      <c r="R622" s="116"/>
      <c r="S622" s="116"/>
      <c r="T622" s="116"/>
      <c r="U622" s="116"/>
      <c r="V622" s="313"/>
      <c r="W622" s="314"/>
      <c r="X622" s="43"/>
      <c r="Y622" s="43"/>
      <c r="Z622" s="43"/>
      <c r="AA622" s="43"/>
      <c r="AB622" s="43"/>
    </row>
    <row r="623">
      <c r="A623" s="116"/>
      <c r="B623" s="116"/>
      <c r="C623" s="116"/>
      <c r="D623" s="116"/>
      <c r="E623" s="116"/>
      <c r="F623" s="116"/>
      <c r="G623" s="116"/>
      <c r="H623" s="116"/>
      <c r="I623" s="116"/>
      <c r="J623" s="116"/>
      <c r="K623" s="116"/>
      <c r="L623" s="116"/>
      <c r="M623" s="116"/>
      <c r="N623" s="116"/>
      <c r="O623" s="116"/>
      <c r="P623" s="116"/>
      <c r="Q623" s="312"/>
      <c r="R623" s="116"/>
      <c r="S623" s="116"/>
      <c r="T623" s="116"/>
      <c r="U623" s="116"/>
      <c r="V623" s="313"/>
      <c r="W623" s="314"/>
      <c r="X623" s="43"/>
      <c r="Y623" s="43"/>
      <c r="Z623" s="43"/>
      <c r="AA623" s="43"/>
      <c r="AB623" s="43"/>
    </row>
    <row r="624">
      <c r="A624" s="116"/>
      <c r="B624" s="116"/>
      <c r="C624" s="116"/>
      <c r="D624" s="116"/>
      <c r="E624" s="116"/>
      <c r="F624" s="116"/>
      <c r="G624" s="116"/>
      <c r="H624" s="116"/>
      <c r="I624" s="116"/>
      <c r="J624" s="116"/>
      <c r="K624" s="116"/>
      <c r="L624" s="116"/>
      <c r="M624" s="116"/>
      <c r="N624" s="116"/>
      <c r="O624" s="116"/>
      <c r="P624" s="116"/>
      <c r="Q624" s="312"/>
      <c r="R624" s="116"/>
      <c r="S624" s="116"/>
      <c r="T624" s="116"/>
      <c r="U624" s="116"/>
      <c r="V624" s="313"/>
      <c r="W624" s="314"/>
      <c r="X624" s="43"/>
      <c r="Y624" s="43"/>
      <c r="Z624" s="43"/>
      <c r="AA624" s="43"/>
      <c r="AB624" s="43"/>
    </row>
    <row r="625">
      <c r="A625" s="116"/>
      <c r="B625" s="116"/>
      <c r="C625" s="116"/>
      <c r="D625" s="116"/>
      <c r="E625" s="116"/>
      <c r="F625" s="116"/>
      <c r="G625" s="116"/>
      <c r="H625" s="116"/>
      <c r="I625" s="116"/>
      <c r="J625" s="116"/>
      <c r="K625" s="116"/>
      <c r="L625" s="116"/>
      <c r="M625" s="116"/>
      <c r="N625" s="116"/>
      <c r="O625" s="116"/>
      <c r="P625" s="116"/>
      <c r="Q625" s="312"/>
      <c r="R625" s="116"/>
      <c r="S625" s="116"/>
      <c r="T625" s="116"/>
      <c r="U625" s="116"/>
      <c r="V625" s="313"/>
      <c r="W625" s="314"/>
      <c r="X625" s="43"/>
      <c r="Y625" s="43"/>
      <c r="Z625" s="43"/>
      <c r="AA625" s="43"/>
      <c r="AB625" s="43"/>
    </row>
    <row r="626">
      <c r="A626" s="116"/>
      <c r="B626" s="116"/>
      <c r="C626" s="116"/>
      <c r="D626" s="116"/>
      <c r="E626" s="116"/>
      <c r="F626" s="116"/>
      <c r="G626" s="116"/>
      <c r="H626" s="116"/>
      <c r="I626" s="116"/>
      <c r="J626" s="116"/>
      <c r="K626" s="116"/>
      <c r="L626" s="116"/>
      <c r="M626" s="116"/>
      <c r="N626" s="116"/>
      <c r="O626" s="116"/>
      <c r="P626" s="116"/>
      <c r="Q626" s="312"/>
      <c r="R626" s="116"/>
      <c r="S626" s="116"/>
      <c r="T626" s="116"/>
      <c r="U626" s="116"/>
      <c r="V626" s="313"/>
      <c r="W626" s="314"/>
      <c r="X626" s="43"/>
      <c r="Y626" s="43"/>
      <c r="Z626" s="43"/>
      <c r="AA626" s="43"/>
      <c r="AB626" s="43"/>
    </row>
    <row r="627">
      <c r="A627" s="116"/>
      <c r="B627" s="116"/>
      <c r="C627" s="116"/>
      <c r="D627" s="116"/>
      <c r="E627" s="116"/>
      <c r="F627" s="116"/>
      <c r="G627" s="116"/>
      <c r="H627" s="116"/>
      <c r="I627" s="116"/>
      <c r="J627" s="116"/>
      <c r="K627" s="116"/>
      <c r="L627" s="116"/>
      <c r="M627" s="116"/>
      <c r="N627" s="116"/>
      <c r="O627" s="116"/>
      <c r="P627" s="116"/>
      <c r="Q627" s="312"/>
      <c r="R627" s="116"/>
      <c r="S627" s="116"/>
      <c r="T627" s="116"/>
      <c r="U627" s="116"/>
      <c r="V627" s="313"/>
      <c r="W627" s="314"/>
      <c r="X627" s="43"/>
      <c r="Y627" s="43"/>
      <c r="Z627" s="43"/>
      <c r="AA627" s="43"/>
      <c r="AB627" s="43"/>
    </row>
    <row r="628">
      <c r="A628" s="116"/>
      <c r="B628" s="116"/>
      <c r="C628" s="116"/>
      <c r="D628" s="116"/>
      <c r="E628" s="116"/>
      <c r="F628" s="116"/>
      <c r="G628" s="116"/>
      <c r="H628" s="116"/>
      <c r="I628" s="116"/>
      <c r="J628" s="116"/>
      <c r="K628" s="116"/>
      <c r="L628" s="116"/>
      <c r="M628" s="116"/>
      <c r="N628" s="116"/>
      <c r="O628" s="116"/>
      <c r="P628" s="116"/>
      <c r="Q628" s="312"/>
      <c r="R628" s="116"/>
      <c r="S628" s="116"/>
      <c r="T628" s="116"/>
      <c r="U628" s="116"/>
      <c r="V628" s="313"/>
      <c r="W628" s="314"/>
      <c r="X628" s="43"/>
      <c r="Y628" s="43"/>
      <c r="Z628" s="43"/>
      <c r="AA628" s="43"/>
      <c r="AB628" s="43"/>
    </row>
    <row r="629">
      <c r="A629" s="116"/>
      <c r="B629" s="116"/>
      <c r="C629" s="116"/>
      <c r="D629" s="116"/>
      <c r="E629" s="116"/>
      <c r="F629" s="116"/>
      <c r="G629" s="116"/>
      <c r="H629" s="116"/>
      <c r="I629" s="116"/>
      <c r="J629" s="116"/>
      <c r="K629" s="116"/>
      <c r="L629" s="116"/>
      <c r="M629" s="116"/>
      <c r="N629" s="116"/>
      <c r="O629" s="116"/>
      <c r="P629" s="116"/>
      <c r="Q629" s="312"/>
      <c r="R629" s="116"/>
      <c r="S629" s="116"/>
      <c r="T629" s="116"/>
      <c r="U629" s="116"/>
      <c r="V629" s="313"/>
      <c r="W629" s="314"/>
      <c r="X629" s="43"/>
      <c r="Y629" s="43"/>
      <c r="Z629" s="43"/>
      <c r="AA629" s="43"/>
      <c r="AB629" s="43"/>
    </row>
    <row r="630">
      <c r="A630" s="116"/>
      <c r="B630" s="116"/>
      <c r="C630" s="116"/>
      <c r="D630" s="116"/>
      <c r="E630" s="116"/>
      <c r="F630" s="116"/>
      <c r="G630" s="116"/>
      <c r="H630" s="116"/>
      <c r="I630" s="116"/>
      <c r="J630" s="116"/>
      <c r="K630" s="116"/>
      <c r="L630" s="116"/>
      <c r="M630" s="116"/>
      <c r="N630" s="116"/>
      <c r="O630" s="116"/>
      <c r="P630" s="116"/>
      <c r="Q630" s="312"/>
      <c r="R630" s="116"/>
      <c r="S630" s="116"/>
      <c r="T630" s="116"/>
      <c r="U630" s="116"/>
      <c r="V630" s="313"/>
      <c r="W630" s="314"/>
      <c r="X630" s="43"/>
      <c r="Y630" s="43"/>
      <c r="Z630" s="43"/>
      <c r="AA630" s="43"/>
      <c r="AB630" s="43"/>
    </row>
    <row r="631">
      <c r="A631" s="116"/>
      <c r="B631" s="116"/>
      <c r="C631" s="116"/>
      <c r="D631" s="116"/>
      <c r="E631" s="116"/>
      <c r="F631" s="116"/>
      <c r="G631" s="116"/>
      <c r="H631" s="116"/>
      <c r="I631" s="116"/>
      <c r="J631" s="116"/>
      <c r="K631" s="116"/>
      <c r="L631" s="116"/>
      <c r="M631" s="116"/>
      <c r="N631" s="116"/>
      <c r="O631" s="116"/>
      <c r="P631" s="116"/>
      <c r="Q631" s="312"/>
      <c r="R631" s="116"/>
      <c r="S631" s="116"/>
      <c r="T631" s="116"/>
      <c r="U631" s="116"/>
      <c r="V631" s="313"/>
      <c r="W631" s="314"/>
      <c r="X631" s="43"/>
      <c r="Y631" s="43"/>
      <c r="Z631" s="43"/>
      <c r="AA631" s="43"/>
      <c r="AB631" s="43"/>
    </row>
    <row r="632">
      <c r="A632" s="116"/>
      <c r="B632" s="116"/>
      <c r="C632" s="116"/>
      <c r="D632" s="116"/>
      <c r="E632" s="116"/>
      <c r="F632" s="116"/>
      <c r="G632" s="116"/>
      <c r="H632" s="116"/>
      <c r="I632" s="116"/>
      <c r="J632" s="116"/>
      <c r="K632" s="116"/>
      <c r="L632" s="116"/>
      <c r="M632" s="116"/>
      <c r="N632" s="116"/>
      <c r="O632" s="116"/>
      <c r="P632" s="116"/>
      <c r="Q632" s="312"/>
      <c r="R632" s="116"/>
      <c r="S632" s="116"/>
      <c r="T632" s="116"/>
      <c r="U632" s="116"/>
      <c r="V632" s="313"/>
      <c r="W632" s="314"/>
      <c r="X632" s="43"/>
      <c r="Y632" s="43"/>
      <c r="Z632" s="43"/>
      <c r="AA632" s="43"/>
      <c r="AB632" s="43"/>
    </row>
    <row r="633">
      <c r="A633" s="116"/>
      <c r="B633" s="116"/>
      <c r="C633" s="116"/>
      <c r="D633" s="116"/>
      <c r="E633" s="116"/>
      <c r="F633" s="116"/>
      <c r="G633" s="116"/>
      <c r="H633" s="116"/>
      <c r="I633" s="116"/>
      <c r="J633" s="116"/>
      <c r="K633" s="116"/>
      <c r="L633" s="116"/>
      <c r="M633" s="116"/>
      <c r="N633" s="116"/>
      <c r="O633" s="116"/>
      <c r="P633" s="116"/>
      <c r="Q633" s="312"/>
      <c r="R633" s="116"/>
      <c r="S633" s="116"/>
      <c r="T633" s="116"/>
      <c r="U633" s="116"/>
      <c r="V633" s="313"/>
      <c r="W633" s="314"/>
      <c r="X633" s="43"/>
      <c r="Y633" s="43"/>
      <c r="Z633" s="43"/>
      <c r="AA633" s="43"/>
      <c r="AB633" s="43"/>
    </row>
    <row r="634">
      <c r="A634" s="116"/>
      <c r="B634" s="116"/>
      <c r="C634" s="116"/>
      <c r="D634" s="116"/>
      <c r="E634" s="116"/>
      <c r="F634" s="116"/>
      <c r="G634" s="116"/>
      <c r="H634" s="116"/>
      <c r="I634" s="116"/>
      <c r="J634" s="116"/>
      <c r="K634" s="116"/>
      <c r="L634" s="116"/>
      <c r="M634" s="116"/>
      <c r="N634" s="116"/>
      <c r="O634" s="116"/>
      <c r="P634" s="116"/>
      <c r="Q634" s="312"/>
      <c r="R634" s="116"/>
      <c r="S634" s="116"/>
      <c r="T634" s="116"/>
      <c r="U634" s="116"/>
      <c r="V634" s="313"/>
      <c r="W634" s="314"/>
      <c r="X634" s="43"/>
      <c r="Y634" s="43"/>
      <c r="Z634" s="43"/>
      <c r="AA634" s="43"/>
      <c r="AB634" s="43"/>
    </row>
    <row r="635">
      <c r="A635" s="116"/>
      <c r="B635" s="116"/>
      <c r="C635" s="116"/>
      <c r="D635" s="116"/>
      <c r="E635" s="116"/>
      <c r="F635" s="116"/>
      <c r="G635" s="116"/>
      <c r="H635" s="116"/>
      <c r="I635" s="116"/>
      <c r="J635" s="116"/>
      <c r="K635" s="116"/>
      <c r="L635" s="116"/>
      <c r="M635" s="116"/>
      <c r="N635" s="116"/>
      <c r="O635" s="116"/>
      <c r="P635" s="116"/>
      <c r="Q635" s="312"/>
      <c r="R635" s="116"/>
      <c r="S635" s="116"/>
      <c r="T635" s="116"/>
      <c r="U635" s="116"/>
      <c r="V635" s="313"/>
      <c r="W635" s="314"/>
      <c r="X635" s="43"/>
      <c r="Y635" s="43"/>
      <c r="Z635" s="43"/>
      <c r="AA635" s="43"/>
      <c r="AB635" s="43"/>
    </row>
    <row r="636">
      <c r="A636" s="116"/>
      <c r="B636" s="116"/>
      <c r="C636" s="116"/>
      <c r="D636" s="116"/>
      <c r="E636" s="116"/>
      <c r="F636" s="116"/>
      <c r="G636" s="116"/>
      <c r="H636" s="116"/>
      <c r="I636" s="116"/>
      <c r="J636" s="116"/>
      <c r="K636" s="116"/>
      <c r="L636" s="116"/>
      <c r="M636" s="116"/>
      <c r="N636" s="116"/>
      <c r="O636" s="116"/>
      <c r="P636" s="116"/>
      <c r="Q636" s="312"/>
      <c r="R636" s="116"/>
      <c r="S636" s="116"/>
      <c r="T636" s="116"/>
      <c r="U636" s="116"/>
      <c r="V636" s="313"/>
      <c r="W636" s="314"/>
      <c r="X636" s="43"/>
      <c r="Y636" s="43"/>
      <c r="Z636" s="43"/>
      <c r="AA636" s="43"/>
      <c r="AB636" s="43"/>
    </row>
    <row r="637">
      <c r="A637" s="116"/>
      <c r="B637" s="116"/>
      <c r="C637" s="116"/>
      <c r="D637" s="116"/>
      <c r="E637" s="116"/>
      <c r="F637" s="116"/>
      <c r="G637" s="116"/>
      <c r="H637" s="116"/>
      <c r="I637" s="116"/>
      <c r="J637" s="116"/>
      <c r="K637" s="116"/>
      <c r="L637" s="116"/>
      <c r="M637" s="116"/>
      <c r="N637" s="116"/>
      <c r="O637" s="116"/>
      <c r="P637" s="116"/>
      <c r="Q637" s="312"/>
      <c r="R637" s="116"/>
      <c r="S637" s="116"/>
      <c r="T637" s="116"/>
      <c r="U637" s="116"/>
      <c r="V637" s="313"/>
      <c r="W637" s="314"/>
      <c r="X637" s="43"/>
      <c r="Y637" s="43"/>
      <c r="Z637" s="43"/>
      <c r="AA637" s="43"/>
      <c r="AB637" s="43"/>
    </row>
    <row r="638">
      <c r="A638" s="116"/>
      <c r="B638" s="116"/>
      <c r="C638" s="116"/>
      <c r="D638" s="116"/>
      <c r="E638" s="116"/>
      <c r="F638" s="116"/>
      <c r="G638" s="116"/>
      <c r="H638" s="116"/>
      <c r="I638" s="116"/>
      <c r="J638" s="116"/>
      <c r="K638" s="116"/>
      <c r="L638" s="116"/>
      <c r="M638" s="116"/>
      <c r="N638" s="116"/>
      <c r="O638" s="116"/>
      <c r="P638" s="116"/>
      <c r="Q638" s="312"/>
      <c r="R638" s="116"/>
      <c r="S638" s="116"/>
      <c r="T638" s="116"/>
      <c r="U638" s="116"/>
      <c r="V638" s="313"/>
      <c r="W638" s="314"/>
      <c r="X638" s="43"/>
      <c r="Y638" s="43"/>
      <c r="Z638" s="43"/>
      <c r="AA638" s="43"/>
      <c r="AB638" s="43"/>
    </row>
    <row r="639">
      <c r="A639" s="116"/>
      <c r="B639" s="116"/>
      <c r="C639" s="116"/>
      <c r="D639" s="116"/>
      <c r="E639" s="116"/>
      <c r="F639" s="116"/>
      <c r="G639" s="116"/>
      <c r="H639" s="116"/>
      <c r="I639" s="116"/>
      <c r="J639" s="116"/>
      <c r="K639" s="116"/>
      <c r="L639" s="116"/>
      <c r="M639" s="116"/>
      <c r="N639" s="116"/>
      <c r="O639" s="116"/>
      <c r="P639" s="116"/>
      <c r="Q639" s="312"/>
      <c r="R639" s="116"/>
      <c r="S639" s="116"/>
      <c r="T639" s="116"/>
      <c r="U639" s="116"/>
      <c r="V639" s="313"/>
      <c r="W639" s="314"/>
      <c r="X639" s="43"/>
      <c r="Y639" s="43"/>
      <c r="Z639" s="43"/>
      <c r="AA639" s="43"/>
      <c r="AB639" s="43"/>
    </row>
    <row r="640">
      <c r="A640" s="116"/>
      <c r="B640" s="116"/>
      <c r="C640" s="116"/>
      <c r="D640" s="116"/>
      <c r="E640" s="116"/>
      <c r="F640" s="116"/>
      <c r="G640" s="116"/>
      <c r="H640" s="116"/>
      <c r="I640" s="116"/>
      <c r="J640" s="116"/>
      <c r="K640" s="116"/>
      <c r="L640" s="116"/>
      <c r="M640" s="116"/>
      <c r="N640" s="116"/>
      <c r="O640" s="116"/>
      <c r="P640" s="116"/>
      <c r="Q640" s="312"/>
      <c r="R640" s="116"/>
      <c r="S640" s="116"/>
      <c r="T640" s="116"/>
      <c r="U640" s="116"/>
      <c r="V640" s="313"/>
      <c r="W640" s="314"/>
      <c r="X640" s="43"/>
      <c r="Y640" s="43"/>
      <c r="Z640" s="43"/>
      <c r="AA640" s="43"/>
      <c r="AB640" s="43"/>
    </row>
    <row r="641">
      <c r="A641" s="116"/>
      <c r="B641" s="116"/>
      <c r="C641" s="116"/>
      <c r="D641" s="116"/>
      <c r="E641" s="116"/>
      <c r="F641" s="116"/>
      <c r="G641" s="116"/>
      <c r="H641" s="116"/>
      <c r="I641" s="116"/>
      <c r="J641" s="116"/>
      <c r="K641" s="116"/>
      <c r="L641" s="116"/>
      <c r="M641" s="116"/>
      <c r="N641" s="116"/>
      <c r="O641" s="116"/>
      <c r="P641" s="116"/>
      <c r="Q641" s="312"/>
      <c r="R641" s="116"/>
      <c r="S641" s="116"/>
      <c r="T641" s="116"/>
      <c r="U641" s="116"/>
      <c r="V641" s="313"/>
      <c r="W641" s="314"/>
      <c r="X641" s="43"/>
      <c r="Y641" s="43"/>
      <c r="Z641" s="43"/>
      <c r="AA641" s="43"/>
      <c r="AB641" s="43"/>
    </row>
    <row r="642">
      <c r="A642" s="116"/>
      <c r="B642" s="116"/>
      <c r="C642" s="116"/>
      <c r="D642" s="116"/>
      <c r="E642" s="116"/>
      <c r="F642" s="116"/>
      <c r="G642" s="116"/>
      <c r="H642" s="116"/>
      <c r="I642" s="116"/>
      <c r="J642" s="116"/>
      <c r="K642" s="116"/>
      <c r="L642" s="116"/>
      <c r="M642" s="116"/>
      <c r="N642" s="116"/>
      <c r="O642" s="116"/>
      <c r="P642" s="116"/>
      <c r="Q642" s="312"/>
      <c r="R642" s="116"/>
      <c r="S642" s="116"/>
      <c r="T642" s="116"/>
      <c r="U642" s="116"/>
      <c r="V642" s="313"/>
      <c r="W642" s="314"/>
      <c r="X642" s="43"/>
      <c r="Y642" s="43"/>
      <c r="Z642" s="43"/>
      <c r="AA642" s="43"/>
      <c r="AB642" s="43"/>
    </row>
    <row r="643">
      <c r="A643" s="116"/>
      <c r="B643" s="116"/>
      <c r="C643" s="116"/>
      <c r="D643" s="116"/>
      <c r="E643" s="116"/>
      <c r="F643" s="116"/>
      <c r="G643" s="116"/>
      <c r="H643" s="116"/>
      <c r="I643" s="116"/>
      <c r="J643" s="116"/>
      <c r="K643" s="116"/>
      <c r="L643" s="116"/>
      <c r="M643" s="116"/>
      <c r="N643" s="116"/>
      <c r="O643" s="116"/>
      <c r="P643" s="116"/>
      <c r="Q643" s="312"/>
      <c r="R643" s="116"/>
      <c r="S643" s="116"/>
      <c r="T643" s="116"/>
      <c r="U643" s="116"/>
      <c r="V643" s="313"/>
      <c r="W643" s="314"/>
      <c r="X643" s="43"/>
      <c r="Y643" s="43"/>
      <c r="Z643" s="43"/>
      <c r="AA643" s="43"/>
      <c r="AB643" s="43"/>
    </row>
    <row r="644">
      <c r="A644" s="116"/>
      <c r="B644" s="116"/>
      <c r="C644" s="116"/>
      <c r="D644" s="116"/>
      <c r="E644" s="116"/>
      <c r="F644" s="116"/>
      <c r="G644" s="116"/>
      <c r="H644" s="116"/>
      <c r="I644" s="116"/>
      <c r="J644" s="116"/>
      <c r="K644" s="116"/>
      <c r="L644" s="116"/>
      <c r="M644" s="116"/>
      <c r="N644" s="116"/>
      <c r="O644" s="116"/>
      <c r="P644" s="116"/>
      <c r="Q644" s="312"/>
      <c r="R644" s="116"/>
      <c r="S644" s="116"/>
      <c r="T644" s="116"/>
      <c r="U644" s="116"/>
      <c r="V644" s="313"/>
      <c r="W644" s="314"/>
      <c r="X644" s="43"/>
      <c r="Y644" s="43"/>
      <c r="Z644" s="43"/>
      <c r="AA644" s="43"/>
      <c r="AB644" s="43"/>
    </row>
    <row r="645">
      <c r="A645" s="116"/>
      <c r="B645" s="116"/>
      <c r="C645" s="116"/>
      <c r="D645" s="116"/>
      <c r="E645" s="116"/>
      <c r="F645" s="116"/>
      <c r="G645" s="116"/>
      <c r="H645" s="116"/>
      <c r="I645" s="116"/>
      <c r="J645" s="116"/>
      <c r="K645" s="116"/>
      <c r="L645" s="116"/>
      <c r="M645" s="116"/>
      <c r="N645" s="116"/>
      <c r="O645" s="116"/>
      <c r="P645" s="116"/>
      <c r="Q645" s="312"/>
      <c r="R645" s="116"/>
      <c r="S645" s="116"/>
      <c r="T645" s="116"/>
      <c r="U645" s="116"/>
      <c r="V645" s="313"/>
      <c r="W645" s="314"/>
      <c r="X645" s="43"/>
      <c r="Y645" s="43"/>
      <c r="Z645" s="43"/>
      <c r="AA645" s="43"/>
      <c r="AB645" s="43"/>
    </row>
    <row r="646">
      <c r="A646" s="116"/>
      <c r="B646" s="116"/>
      <c r="C646" s="116"/>
      <c r="D646" s="116"/>
      <c r="E646" s="116"/>
      <c r="F646" s="116"/>
      <c r="G646" s="116"/>
      <c r="H646" s="116"/>
      <c r="I646" s="116"/>
      <c r="J646" s="116"/>
      <c r="K646" s="116"/>
      <c r="L646" s="116"/>
      <c r="M646" s="116"/>
      <c r="N646" s="116"/>
      <c r="O646" s="116"/>
      <c r="P646" s="116"/>
      <c r="Q646" s="312"/>
      <c r="R646" s="116"/>
      <c r="S646" s="116"/>
      <c r="T646" s="116"/>
      <c r="U646" s="116"/>
      <c r="V646" s="313"/>
      <c r="W646" s="314"/>
      <c r="X646" s="43"/>
      <c r="Y646" s="43"/>
      <c r="Z646" s="43"/>
      <c r="AA646" s="43"/>
      <c r="AB646" s="43"/>
    </row>
    <row r="647">
      <c r="A647" s="116"/>
      <c r="B647" s="116"/>
      <c r="C647" s="116"/>
      <c r="D647" s="116"/>
      <c r="E647" s="116"/>
      <c r="F647" s="116"/>
      <c r="G647" s="116"/>
      <c r="H647" s="116"/>
      <c r="I647" s="116"/>
      <c r="J647" s="116"/>
      <c r="K647" s="116"/>
      <c r="L647" s="116"/>
      <c r="M647" s="116"/>
      <c r="N647" s="116"/>
      <c r="O647" s="116"/>
      <c r="P647" s="116"/>
      <c r="Q647" s="312"/>
      <c r="R647" s="116"/>
      <c r="S647" s="116"/>
      <c r="T647" s="116"/>
      <c r="U647" s="116"/>
      <c r="V647" s="313"/>
      <c r="W647" s="314"/>
      <c r="X647" s="43"/>
      <c r="Y647" s="43"/>
      <c r="Z647" s="43"/>
      <c r="AA647" s="43"/>
      <c r="AB647" s="43"/>
    </row>
    <row r="648">
      <c r="A648" s="116"/>
      <c r="B648" s="116"/>
      <c r="C648" s="116"/>
      <c r="D648" s="116"/>
      <c r="E648" s="116"/>
      <c r="F648" s="116"/>
      <c r="G648" s="116"/>
      <c r="H648" s="116"/>
      <c r="I648" s="116"/>
      <c r="J648" s="116"/>
      <c r="K648" s="116"/>
      <c r="L648" s="116"/>
      <c r="M648" s="116"/>
      <c r="N648" s="116"/>
      <c r="O648" s="116"/>
      <c r="P648" s="116"/>
      <c r="Q648" s="312"/>
      <c r="R648" s="116"/>
      <c r="S648" s="116"/>
      <c r="T648" s="116"/>
      <c r="U648" s="116"/>
      <c r="V648" s="313"/>
      <c r="W648" s="314"/>
      <c r="X648" s="43"/>
      <c r="Y648" s="43"/>
      <c r="Z648" s="43"/>
      <c r="AA648" s="43"/>
      <c r="AB648" s="43"/>
    </row>
    <row r="649">
      <c r="A649" s="116"/>
      <c r="B649" s="116"/>
      <c r="C649" s="116"/>
      <c r="D649" s="116"/>
      <c r="E649" s="116"/>
      <c r="F649" s="116"/>
      <c r="G649" s="116"/>
      <c r="H649" s="116"/>
      <c r="I649" s="116"/>
      <c r="J649" s="116"/>
      <c r="K649" s="116"/>
      <c r="L649" s="116"/>
      <c r="M649" s="116"/>
      <c r="N649" s="116"/>
      <c r="O649" s="116"/>
      <c r="P649" s="116"/>
      <c r="Q649" s="312"/>
      <c r="R649" s="116"/>
      <c r="S649" s="116"/>
      <c r="T649" s="116"/>
      <c r="U649" s="116"/>
      <c r="V649" s="313"/>
      <c r="W649" s="314"/>
      <c r="X649" s="43"/>
      <c r="Y649" s="43"/>
      <c r="Z649" s="43"/>
      <c r="AA649" s="43"/>
      <c r="AB649" s="43"/>
    </row>
    <row r="650">
      <c r="A650" s="116"/>
      <c r="B650" s="116"/>
      <c r="C650" s="116"/>
      <c r="D650" s="116"/>
      <c r="E650" s="116"/>
      <c r="F650" s="116"/>
      <c r="G650" s="116"/>
      <c r="H650" s="116"/>
      <c r="I650" s="116"/>
      <c r="J650" s="116"/>
      <c r="K650" s="116"/>
      <c r="L650" s="116"/>
      <c r="M650" s="116"/>
      <c r="N650" s="116"/>
      <c r="O650" s="116"/>
      <c r="P650" s="116"/>
      <c r="Q650" s="312"/>
      <c r="R650" s="116"/>
      <c r="S650" s="116"/>
      <c r="T650" s="116"/>
      <c r="U650" s="116"/>
      <c r="V650" s="313"/>
      <c r="W650" s="314"/>
      <c r="X650" s="43"/>
      <c r="Y650" s="43"/>
      <c r="Z650" s="43"/>
      <c r="AA650" s="43"/>
      <c r="AB650" s="43"/>
    </row>
    <row r="651">
      <c r="A651" s="116"/>
      <c r="B651" s="116"/>
      <c r="C651" s="116"/>
      <c r="D651" s="116"/>
      <c r="E651" s="116"/>
      <c r="F651" s="116"/>
      <c r="G651" s="116"/>
      <c r="H651" s="116"/>
      <c r="I651" s="116"/>
      <c r="J651" s="116"/>
      <c r="K651" s="116"/>
      <c r="L651" s="116"/>
      <c r="M651" s="116"/>
      <c r="N651" s="116"/>
      <c r="O651" s="116"/>
      <c r="P651" s="116"/>
      <c r="Q651" s="312"/>
      <c r="R651" s="116"/>
      <c r="S651" s="116"/>
      <c r="T651" s="116"/>
      <c r="U651" s="116"/>
      <c r="V651" s="313"/>
      <c r="W651" s="314"/>
      <c r="X651" s="43"/>
      <c r="Y651" s="43"/>
      <c r="Z651" s="43"/>
      <c r="AA651" s="43"/>
      <c r="AB651" s="43"/>
    </row>
    <row r="652">
      <c r="A652" s="116"/>
      <c r="B652" s="116"/>
      <c r="C652" s="116"/>
      <c r="D652" s="116"/>
      <c r="E652" s="116"/>
      <c r="F652" s="116"/>
      <c r="G652" s="116"/>
      <c r="H652" s="116"/>
      <c r="I652" s="116"/>
      <c r="J652" s="116"/>
      <c r="K652" s="116"/>
      <c r="L652" s="116"/>
      <c r="M652" s="116"/>
      <c r="N652" s="116"/>
      <c r="O652" s="116"/>
      <c r="P652" s="116"/>
      <c r="Q652" s="312"/>
      <c r="R652" s="116"/>
      <c r="S652" s="116"/>
      <c r="T652" s="116"/>
      <c r="U652" s="116"/>
      <c r="V652" s="313"/>
      <c r="W652" s="314"/>
      <c r="X652" s="43"/>
      <c r="Y652" s="43"/>
      <c r="Z652" s="43"/>
      <c r="AA652" s="43"/>
      <c r="AB652" s="43"/>
    </row>
    <row r="653">
      <c r="A653" s="116"/>
      <c r="B653" s="116"/>
      <c r="C653" s="116"/>
      <c r="D653" s="116"/>
      <c r="E653" s="116"/>
      <c r="F653" s="116"/>
      <c r="G653" s="116"/>
      <c r="H653" s="116"/>
      <c r="I653" s="116"/>
      <c r="J653" s="116"/>
      <c r="K653" s="116"/>
      <c r="L653" s="116"/>
      <c r="M653" s="116"/>
      <c r="N653" s="116"/>
      <c r="O653" s="116"/>
      <c r="P653" s="116"/>
      <c r="Q653" s="312"/>
      <c r="R653" s="116"/>
      <c r="S653" s="116"/>
      <c r="T653" s="116"/>
      <c r="U653" s="116"/>
      <c r="V653" s="313"/>
      <c r="W653" s="314"/>
      <c r="X653" s="43"/>
      <c r="Y653" s="43"/>
      <c r="Z653" s="43"/>
      <c r="AA653" s="43"/>
      <c r="AB653" s="43"/>
    </row>
    <row r="654">
      <c r="A654" s="116"/>
      <c r="B654" s="116"/>
      <c r="C654" s="116"/>
      <c r="D654" s="116"/>
      <c r="E654" s="116"/>
      <c r="F654" s="116"/>
      <c r="G654" s="116"/>
      <c r="H654" s="116"/>
      <c r="I654" s="116"/>
      <c r="J654" s="116"/>
      <c r="K654" s="116"/>
      <c r="L654" s="116"/>
      <c r="M654" s="116"/>
      <c r="N654" s="116"/>
      <c r="O654" s="116"/>
      <c r="P654" s="116"/>
      <c r="Q654" s="312"/>
      <c r="R654" s="116"/>
      <c r="S654" s="116"/>
      <c r="T654" s="116"/>
      <c r="U654" s="116"/>
      <c r="V654" s="313"/>
      <c r="W654" s="314"/>
      <c r="X654" s="43"/>
      <c r="Y654" s="43"/>
      <c r="Z654" s="43"/>
      <c r="AA654" s="43"/>
      <c r="AB654" s="43"/>
    </row>
    <row r="655">
      <c r="A655" s="116"/>
      <c r="B655" s="116"/>
      <c r="C655" s="116"/>
      <c r="D655" s="116"/>
      <c r="E655" s="116"/>
      <c r="F655" s="116"/>
      <c r="G655" s="116"/>
      <c r="H655" s="116"/>
      <c r="I655" s="116"/>
      <c r="J655" s="116"/>
      <c r="K655" s="116"/>
      <c r="L655" s="116"/>
      <c r="M655" s="116"/>
      <c r="N655" s="116"/>
      <c r="O655" s="116"/>
      <c r="P655" s="116"/>
      <c r="Q655" s="312"/>
      <c r="R655" s="116"/>
      <c r="S655" s="116"/>
      <c r="T655" s="116"/>
      <c r="U655" s="116"/>
      <c r="V655" s="313"/>
      <c r="W655" s="314"/>
      <c r="X655" s="43"/>
      <c r="Y655" s="43"/>
      <c r="Z655" s="43"/>
      <c r="AA655" s="43"/>
      <c r="AB655" s="43"/>
    </row>
    <row r="656">
      <c r="A656" s="116"/>
      <c r="B656" s="116"/>
      <c r="C656" s="116"/>
      <c r="D656" s="116"/>
      <c r="E656" s="116"/>
      <c r="F656" s="116"/>
      <c r="G656" s="116"/>
      <c r="H656" s="116"/>
      <c r="I656" s="116"/>
      <c r="J656" s="116"/>
      <c r="K656" s="116"/>
      <c r="L656" s="116"/>
      <c r="M656" s="116"/>
      <c r="N656" s="116"/>
      <c r="O656" s="116"/>
      <c r="P656" s="116"/>
      <c r="Q656" s="312"/>
      <c r="R656" s="116"/>
      <c r="S656" s="116"/>
      <c r="T656" s="116"/>
      <c r="U656" s="116"/>
      <c r="V656" s="313"/>
      <c r="W656" s="314"/>
      <c r="X656" s="43"/>
      <c r="Y656" s="43"/>
      <c r="Z656" s="43"/>
      <c r="AA656" s="43"/>
      <c r="AB656" s="43"/>
    </row>
    <row r="657">
      <c r="A657" s="116"/>
      <c r="B657" s="116"/>
      <c r="C657" s="116"/>
      <c r="D657" s="116"/>
      <c r="E657" s="116"/>
      <c r="F657" s="116"/>
      <c r="G657" s="116"/>
      <c r="H657" s="116"/>
      <c r="I657" s="116"/>
      <c r="J657" s="116"/>
      <c r="K657" s="116"/>
      <c r="L657" s="116"/>
      <c r="M657" s="116"/>
      <c r="N657" s="116"/>
      <c r="O657" s="116"/>
      <c r="P657" s="116"/>
      <c r="Q657" s="312"/>
      <c r="R657" s="116"/>
      <c r="S657" s="116"/>
      <c r="T657" s="116"/>
      <c r="U657" s="116"/>
      <c r="V657" s="313"/>
      <c r="W657" s="314"/>
      <c r="X657" s="43"/>
      <c r="Y657" s="43"/>
      <c r="Z657" s="43"/>
      <c r="AA657" s="43"/>
      <c r="AB657" s="43"/>
    </row>
    <row r="658">
      <c r="A658" s="116"/>
      <c r="B658" s="116"/>
      <c r="C658" s="116"/>
      <c r="D658" s="116"/>
      <c r="E658" s="116"/>
      <c r="F658" s="116"/>
      <c r="G658" s="116"/>
      <c r="H658" s="116"/>
      <c r="I658" s="116"/>
      <c r="J658" s="116"/>
      <c r="K658" s="116"/>
      <c r="L658" s="116"/>
      <c r="M658" s="116"/>
      <c r="N658" s="116"/>
      <c r="O658" s="116"/>
      <c r="P658" s="116"/>
      <c r="Q658" s="312"/>
      <c r="R658" s="116"/>
      <c r="S658" s="116"/>
      <c r="T658" s="116"/>
      <c r="U658" s="116"/>
      <c r="V658" s="313"/>
      <c r="W658" s="314"/>
      <c r="X658" s="43"/>
      <c r="Y658" s="43"/>
      <c r="Z658" s="43"/>
      <c r="AA658" s="43"/>
      <c r="AB658" s="43"/>
    </row>
    <row r="659">
      <c r="A659" s="116"/>
      <c r="B659" s="116"/>
      <c r="C659" s="116"/>
      <c r="D659" s="116"/>
      <c r="E659" s="116"/>
      <c r="F659" s="116"/>
      <c r="G659" s="116"/>
      <c r="H659" s="116"/>
      <c r="I659" s="116"/>
      <c r="J659" s="116"/>
      <c r="K659" s="116"/>
      <c r="L659" s="116"/>
      <c r="M659" s="116"/>
      <c r="N659" s="116"/>
      <c r="O659" s="116"/>
      <c r="P659" s="116"/>
      <c r="Q659" s="312"/>
      <c r="R659" s="116"/>
      <c r="S659" s="116"/>
      <c r="T659" s="116"/>
      <c r="U659" s="116"/>
      <c r="V659" s="313"/>
      <c r="W659" s="314"/>
      <c r="X659" s="43"/>
      <c r="Y659" s="43"/>
      <c r="Z659" s="43"/>
      <c r="AA659" s="43"/>
      <c r="AB659" s="43"/>
    </row>
    <row r="660">
      <c r="A660" s="116"/>
      <c r="B660" s="116"/>
      <c r="C660" s="116"/>
      <c r="D660" s="116"/>
      <c r="E660" s="116"/>
      <c r="F660" s="116"/>
      <c r="G660" s="116"/>
      <c r="H660" s="116"/>
      <c r="I660" s="116"/>
      <c r="J660" s="116"/>
      <c r="K660" s="116"/>
      <c r="L660" s="116"/>
      <c r="M660" s="116"/>
      <c r="N660" s="116"/>
      <c r="O660" s="116"/>
      <c r="P660" s="116"/>
      <c r="Q660" s="312"/>
      <c r="R660" s="116"/>
      <c r="S660" s="116"/>
      <c r="T660" s="116"/>
      <c r="U660" s="116"/>
      <c r="V660" s="313"/>
      <c r="W660" s="314"/>
      <c r="X660" s="43"/>
      <c r="Y660" s="43"/>
      <c r="Z660" s="43"/>
      <c r="AA660" s="43"/>
      <c r="AB660" s="43"/>
    </row>
    <row r="661">
      <c r="A661" s="116"/>
      <c r="B661" s="116"/>
      <c r="C661" s="116"/>
      <c r="D661" s="116"/>
      <c r="E661" s="116"/>
      <c r="F661" s="116"/>
      <c r="G661" s="116"/>
      <c r="H661" s="116"/>
      <c r="I661" s="116"/>
      <c r="J661" s="116"/>
      <c r="K661" s="116"/>
      <c r="L661" s="116"/>
      <c r="M661" s="116"/>
      <c r="N661" s="116"/>
      <c r="O661" s="116"/>
      <c r="P661" s="116"/>
      <c r="Q661" s="312"/>
      <c r="R661" s="116"/>
      <c r="S661" s="116"/>
      <c r="T661" s="116"/>
      <c r="U661" s="116"/>
      <c r="V661" s="313"/>
      <c r="W661" s="314"/>
      <c r="X661" s="43"/>
      <c r="Y661" s="43"/>
      <c r="Z661" s="43"/>
      <c r="AA661" s="43"/>
      <c r="AB661" s="43"/>
    </row>
    <row r="662">
      <c r="A662" s="116"/>
      <c r="B662" s="116"/>
      <c r="C662" s="116"/>
      <c r="D662" s="116"/>
      <c r="E662" s="116"/>
      <c r="F662" s="116"/>
      <c r="G662" s="116"/>
      <c r="H662" s="116"/>
      <c r="I662" s="116"/>
      <c r="J662" s="116"/>
      <c r="K662" s="116"/>
      <c r="L662" s="116"/>
      <c r="M662" s="116"/>
      <c r="N662" s="116"/>
      <c r="O662" s="116"/>
      <c r="P662" s="116"/>
      <c r="Q662" s="312"/>
      <c r="R662" s="116"/>
      <c r="S662" s="116"/>
      <c r="T662" s="116"/>
      <c r="U662" s="116"/>
      <c r="V662" s="313"/>
      <c r="W662" s="314"/>
      <c r="X662" s="43"/>
      <c r="Y662" s="43"/>
      <c r="Z662" s="43"/>
      <c r="AA662" s="43"/>
      <c r="AB662" s="43"/>
    </row>
    <row r="663">
      <c r="A663" s="116"/>
      <c r="B663" s="116"/>
      <c r="C663" s="116"/>
      <c r="D663" s="116"/>
      <c r="E663" s="116"/>
      <c r="F663" s="116"/>
      <c r="G663" s="116"/>
      <c r="H663" s="116"/>
      <c r="I663" s="116"/>
      <c r="J663" s="116"/>
      <c r="K663" s="116"/>
      <c r="L663" s="116"/>
      <c r="M663" s="116"/>
      <c r="N663" s="116"/>
      <c r="O663" s="116"/>
      <c r="P663" s="116"/>
      <c r="Q663" s="312"/>
      <c r="R663" s="116"/>
      <c r="S663" s="116"/>
      <c r="T663" s="116"/>
      <c r="U663" s="116"/>
      <c r="V663" s="313"/>
      <c r="W663" s="314"/>
      <c r="X663" s="43"/>
      <c r="Y663" s="43"/>
      <c r="Z663" s="43"/>
      <c r="AA663" s="43"/>
      <c r="AB663" s="43"/>
    </row>
    <row r="664">
      <c r="A664" s="116"/>
      <c r="B664" s="116"/>
      <c r="C664" s="116"/>
      <c r="D664" s="116"/>
      <c r="E664" s="116"/>
      <c r="F664" s="116"/>
      <c r="G664" s="116"/>
      <c r="H664" s="116"/>
      <c r="I664" s="116"/>
      <c r="J664" s="116"/>
      <c r="K664" s="116"/>
      <c r="L664" s="116"/>
      <c r="M664" s="116"/>
      <c r="N664" s="116"/>
      <c r="O664" s="116"/>
      <c r="P664" s="116"/>
      <c r="Q664" s="312"/>
      <c r="R664" s="116"/>
      <c r="S664" s="116"/>
      <c r="T664" s="116"/>
      <c r="U664" s="116"/>
      <c r="V664" s="313"/>
      <c r="W664" s="314"/>
      <c r="X664" s="43"/>
      <c r="Y664" s="43"/>
      <c r="Z664" s="43"/>
      <c r="AA664" s="43"/>
      <c r="AB664" s="43"/>
    </row>
    <row r="665">
      <c r="A665" s="116"/>
      <c r="B665" s="116"/>
      <c r="C665" s="116"/>
      <c r="D665" s="116"/>
      <c r="E665" s="116"/>
      <c r="F665" s="116"/>
      <c r="G665" s="116"/>
      <c r="H665" s="116"/>
      <c r="I665" s="116"/>
      <c r="J665" s="116"/>
      <c r="K665" s="116"/>
      <c r="L665" s="116"/>
      <c r="M665" s="116"/>
      <c r="N665" s="116"/>
      <c r="O665" s="116"/>
      <c r="P665" s="116"/>
      <c r="Q665" s="312"/>
      <c r="R665" s="116"/>
      <c r="S665" s="116"/>
      <c r="T665" s="116"/>
      <c r="U665" s="116"/>
      <c r="V665" s="313"/>
      <c r="W665" s="314"/>
      <c r="X665" s="43"/>
      <c r="Y665" s="43"/>
      <c r="Z665" s="43"/>
      <c r="AA665" s="43"/>
      <c r="AB665" s="43"/>
    </row>
    <row r="666">
      <c r="A666" s="116"/>
      <c r="B666" s="116"/>
      <c r="C666" s="116"/>
      <c r="D666" s="116"/>
      <c r="E666" s="116"/>
      <c r="F666" s="116"/>
      <c r="G666" s="116"/>
      <c r="H666" s="116"/>
      <c r="I666" s="116"/>
      <c r="J666" s="116"/>
      <c r="K666" s="116"/>
      <c r="L666" s="116"/>
      <c r="M666" s="116"/>
      <c r="N666" s="116"/>
      <c r="O666" s="116"/>
      <c r="P666" s="116"/>
      <c r="Q666" s="312"/>
      <c r="R666" s="116"/>
      <c r="S666" s="116"/>
      <c r="T666" s="116"/>
      <c r="U666" s="116"/>
      <c r="V666" s="313"/>
      <c r="W666" s="314"/>
      <c r="X666" s="43"/>
      <c r="Y666" s="43"/>
      <c r="Z666" s="43"/>
      <c r="AA666" s="43"/>
      <c r="AB666" s="43"/>
    </row>
    <row r="667">
      <c r="A667" s="116"/>
      <c r="B667" s="116"/>
      <c r="C667" s="116"/>
      <c r="D667" s="116"/>
      <c r="E667" s="116"/>
      <c r="F667" s="116"/>
      <c r="G667" s="116"/>
      <c r="H667" s="116"/>
      <c r="I667" s="116"/>
      <c r="J667" s="116"/>
      <c r="K667" s="116"/>
      <c r="L667" s="116"/>
      <c r="M667" s="116"/>
      <c r="N667" s="116"/>
      <c r="O667" s="116"/>
      <c r="P667" s="116"/>
      <c r="Q667" s="312"/>
      <c r="R667" s="116"/>
      <c r="S667" s="116"/>
      <c r="T667" s="116"/>
      <c r="U667" s="116"/>
      <c r="V667" s="313"/>
      <c r="W667" s="314"/>
      <c r="X667" s="43"/>
      <c r="Y667" s="43"/>
      <c r="Z667" s="43"/>
      <c r="AA667" s="43"/>
      <c r="AB667" s="43"/>
    </row>
    <row r="668">
      <c r="A668" s="116"/>
      <c r="B668" s="116"/>
      <c r="C668" s="116"/>
      <c r="D668" s="116"/>
      <c r="E668" s="116"/>
      <c r="F668" s="116"/>
      <c r="G668" s="116"/>
      <c r="H668" s="116"/>
      <c r="I668" s="116"/>
      <c r="J668" s="116"/>
      <c r="K668" s="116"/>
      <c r="L668" s="116"/>
      <c r="M668" s="116"/>
      <c r="N668" s="116"/>
      <c r="O668" s="116"/>
      <c r="P668" s="116"/>
      <c r="Q668" s="312"/>
      <c r="R668" s="116"/>
      <c r="S668" s="116"/>
      <c r="T668" s="116"/>
      <c r="U668" s="116"/>
      <c r="V668" s="313"/>
      <c r="W668" s="314"/>
      <c r="X668" s="43"/>
      <c r="Y668" s="43"/>
      <c r="Z668" s="43"/>
      <c r="AA668" s="43"/>
      <c r="AB668" s="43"/>
    </row>
    <row r="669">
      <c r="A669" s="116"/>
      <c r="B669" s="116"/>
      <c r="C669" s="116"/>
      <c r="D669" s="116"/>
      <c r="E669" s="116"/>
      <c r="F669" s="116"/>
      <c r="G669" s="116"/>
      <c r="H669" s="116"/>
      <c r="I669" s="116"/>
      <c r="J669" s="116"/>
      <c r="K669" s="116"/>
      <c r="L669" s="116"/>
      <c r="M669" s="116"/>
      <c r="N669" s="116"/>
      <c r="O669" s="116"/>
      <c r="P669" s="116"/>
      <c r="Q669" s="312"/>
      <c r="R669" s="116"/>
      <c r="S669" s="116"/>
      <c r="T669" s="116"/>
      <c r="U669" s="116"/>
      <c r="V669" s="313"/>
      <c r="W669" s="314"/>
      <c r="X669" s="43"/>
      <c r="Y669" s="43"/>
      <c r="Z669" s="43"/>
      <c r="AA669" s="43"/>
      <c r="AB669" s="43"/>
    </row>
    <row r="670">
      <c r="A670" s="116"/>
      <c r="B670" s="116"/>
      <c r="C670" s="116"/>
      <c r="D670" s="116"/>
      <c r="E670" s="116"/>
      <c r="F670" s="116"/>
      <c r="G670" s="116"/>
      <c r="H670" s="116"/>
      <c r="I670" s="116"/>
      <c r="J670" s="116"/>
      <c r="K670" s="116"/>
      <c r="L670" s="116"/>
      <c r="M670" s="116"/>
      <c r="N670" s="116"/>
      <c r="O670" s="116"/>
      <c r="P670" s="116"/>
      <c r="Q670" s="312"/>
      <c r="R670" s="116"/>
      <c r="S670" s="116"/>
      <c r="T670" s="116"/>
      <c r="U670" s="116"/>
      <c r="V670" s="313"/>
      <c r="W670" s="314"/>
      <c r="X670" s="43"/>
      <c r="Y670" s="43"/>
      <c r="Z670" s="43"/>
      <c r="AA670" s="43"/>
      <c r="AB670" s="43"/>
    </row>
    <row r="671">
      <c r="A671" s="116"/>
      <c r="B671" s="116"/>
      <c r="C671" s="116"/>
      <c r="D671" s="116"/>
      <c r="E671" s="116"/>
      <c r="F671" s="116"/>
      <c r="G671" s="116"/>
      <c r="H671" s="116"/>
      <c r="I671" s="116"/>
      <c r="J671" s="116"/>
      <c r="K671" s="116"/>
      <c r="L671" s="116"/>
      <c r="M671" s="116"/>
      <c r="N671" s="116"/>
      <c r="O671" s="116"/>
      <c r="P671" s="116"/>
      <c r="Q671" s="312"/>
      <c r="R671" s="116"/>
      <c r="S671" s="116"/>
      <c r="T671" s="116"/>
      <c r="U671" s="116"/>
      <c r="V671" s="313"/>
      <c r="W671" s="314"/>
      <c r="X671" s="43"/>
      <c r="Y671" s="43"/>
      <c r="Z671" s="43"/>
      <c r="AA671" s="43"/>
      <c r="AB671" s="43"/>
    </row>
    <row r="672">
      <c r="A672" s="116"/>
      <c r="B672" s="116"/>
      <c r="C672" s="116"/>
      <c r="D672" s="116"/>
      <c r="E672" s="116"/>
      <c r="F672" s="116"/>
      <c r="G672" s="116"/>
      <c r="H672" s="116"/>
      <c r="I672" s="116"/>
      <c r="J672" s="116"/>
      <c r="K672" s="116"/>
      <c r="L672" s="116"/>
      <c r="M672" s="116"/>
      <c r="N672" s="116"/>
      <c r="O672" s="116"/>
      <c r="P672" s="116"/>
      <c r="Q672" s="312"/>
      <c r="R672" s="116"/>
      <c r="S672" s="116"/>
      <c r="T672" s="116"/>
      <c r="U672" s="116"/>
      <c r="V672" s="313"/>
      <c r="W672" s="314"/>
      <c r="X672" s="43"/>
      <c r="Y672" s="43"/>
      <c r="Z672" s="43"/>
      <c r="AA672" s="43"/>
      <c r="AB672" s="43"/>
    </row>
    <row r="673">
      <c r="A673" s="116"/>
      <c r="B673" s="116"/>
      <c r="C673" s="116"/>
      <c r="D673" s="116"/>
      <c r="E673" s="116"/>
      <c r="F673" s="116"/>
      <c r="G673" s="116"/>
      <c r="H673" s="116"/>
      <c r="I673" s="116"/>
      <c r="J673" s="116"/>
      <c r="K673" s="116"/>
      <c r="L673" s="116"/>
      <c r="M673" s="116"/>
      <c r="N673" s="116"/>
      <c r="O673" s="116"/>
      <c r="P673" s="116"/>
      <c r="Q673" s="312"/>
      <c r="R673" s="116"/>
      <c r="S673" s="116"/>
      <c r="T673" s="116"/>
      <c r="U673" s="116"/>
      <c r="V673" s="313"/>
      <c r="W673" s="314"/>
      <c r="X673" s="43"/>
      <c r="Y673" s="43"/>
      <c r="Z673" s="43"/>
      <c r="AA673" s="43"/>
      <c r="AB673" s="43"/>
    </row>
    <row r="674">
      <c r="A674" s="116"/>
      <c r="B674" s="116"/>
      <c r="C674" s="116"/>
      <c r="D674" s="116"/>
      <c r="E674" s="116"/>
      <c r="F674" s="116"/>
      <c r="G674" s="116"/>
      <c r="H674" s="116"/>
      <c r="I674" s="116"/>
      <c r="J674" s="116"/>
      <c r="K674" s="116"/>
      <c r="L674" s="116"/>
      <c r="M674" s="116"/>
      <c r="N674" s="116"/>
      <c r="O674" s="116"/>
      <c r="P674" s="116"/>
      <c r="Q674" s="312"/>
      <c r="R674" s="116"/>
      <c r="S674" s="116"/>
      <c r="T674" s="116"/>
      <c r="U674" s="116"/>
      <c r="V674" s="313"/>
      <c r="W674" s="314"/>
      <c r="X674" s="43"/>
      <c r="Y674" s="43"/>
      <c r="Z674" s="43"/>
      <c r="AA674" s="43"/>
      <c r="AB674" s="43"/>
    </row>
    <row r="675">
      <c r="A675" s="116"/>
      <c r="B675" s="116"/>
      <c r="C675" s="116"/>
      <c r="D675" s="116"/>
      <c r="E675" s="116"/>
      <c r="F675" s="116"/>
      <c r="G675" s="116"/>
      <c r="H675" s="116"/>
      <c r="I675" s="116"/>
      <c r="J675" s="116"/>
      <c r="K675" s="116"/>
      <c r="L675" s="116"/>
      <c r="M675" s="116"/>
      <c r="N675" s="116"/>
      <c r="O675" s="116"/>
      <c r="P675" s="116"/>
      <c r="Q675" s="312"/>
      <c r="R675" s="116"/>
      <c r="S675" s="116"/>
      <c r="T675" s="116"/>
      <c r="U675" s="116"/>
      <c r="V675" s="313"/>
      <c r="W675" s="314"/>
      <c r="X675" s="43"/>
      <c r="Y675" s="43"/>
      <c r="Z675" s="43"/>
      <c r="AA675" s="43"/>
      <c r="AB675" s="43"/>
    </row>
    <row r="676">
      <c r="A676" s="116"/>
      <c r="B676" s="116"/>
      <c r="C676" s="116"/>
      <c r="D676" s="116"/>
      <c r="E676" s="116"/>
      <c r="F676" s="116"/>
      <c r="G676" s="116"/>
      <c r="H676" s="116"/>
      <c r="I676" s="116"/>
      <c r="J676" s="116"/>
      <c r="K676" s="116"/>
      <c r="L676" s="116"/>
      <c r="M676" s="116"/>
      <c r="N676" s="116"/>
      <c r="O676" s="116"/>
      <c r="P676" s="116"/>
      <c r="Q676" s="312"/>
      <c r="R676" s="116"/>
      <c r="S676" s="116"/>
      <c r="T676" s="116"/>
      <c r="U676" s="116"/>
      <c r="V676" s="313"/>
      <c r="W676" s="314"/>
      <c r="X676" s="43"/>
      <c r="Y676" s="43"/>
      <c r="Z676" s="43"/>
      <c r="AA676" s="43"/>
      <c r="AB676" s="43"/>
    </row>
    <row r="677">
      <c r="A677" s="116"/>
      <c r="B677" s="116"/>
      <c r="C677" s="116"/>
      <c r="D677" s="116"/>
      <c r="E677" s="116"/>
      <c r="F677" s="116"/>
      <c r="G677" s="116"/>
      <c r="H677" s="116"/>
      <c r="I677" s="116"/>
      <c r="J677" s="116"/>
      <c r="K677" s="116"/>
      <c r="L677" s="116"/>
      <c r="M677" s="116"/>
      <c r="N677" s="116"/>
      <c r="O677" s="116"/>
      <c r="P677" s="116"/>
      <c r="Q677" s="312"/>
      <c r="R677" s="116"/>
      <c r="S677" s="116"/>
      <c r="T677" s="116"/>
      <c r="U677" s="116"/>
      <c r="V677" s="313"/>
      <c r="W677" s="314"/>
      <c r="X677" s="43"/>
      <c r="Y677" s="43"/>
      <c r="Z677" s="43"/>
      <c r="AA677" s="43"/>
      <c r="AB677" s="43"/>
    </row>
    <row r="678">
      <c r="A678" s="116"/>
      <c r="B678" s="116"/>
      <c r="C678" s="116"/>
      <c r="D678" s="116"/>
      <c r="E678" s="116"/>
      <c r="F678" s="116"/>
      <c r="G678" s="116"/>
      <c r="H678" s="116"/>
      <c r="I678" s="116"/>
      <c r="J678" s="116"/>
      <c r="K678" s="116"/>
      <c r="L678" s="116"/>
      <c r="M678" s="116"/>
      <c r="N678" s="116"/>
      <c r="O678" s="116"/>
      <c r="P678" s="116"/>
      <c r="Q678" s="312"/>
      <c r="R678" s="116"/>
      <c r="S678" s="116"/>
      <c r="T678" s="116"/>
      <c r="U678" s="116"/>
      <c r="V678" s="313"/>
      <c r="W678" s="314"/>
      <c r="X678" s="43"/>
      <c r="Y678" s="43"/>
      <c r="Z678" s="43"/>
      <c r="AA678" s="43"/>
      <c r="AB678" s="43"/>
    </row>
    <row r="679">
      <c r="A679" s="116"/>
      <c r="B679" s="116"/>
      <c r="C679" s="116"/>
      <c r="D679" s="116"/>
      <c r="E679" s="116"/>
      <c r="F679" s="116"/>
      <c r="G679" s="116"/>
      <c r="H679" s="116"/>
      <c r="I679" s="116"/>
      <c r="J679" s="116"/>
      <c r="K679" s="116"/>
      <c r="L679" s="116"/>
      <c r="M679" s="116"/>
      <c r="N679" s="116"/>
      <c r="O679" s="116"/>
      <c r="P679" s="116"/>
      <c r="Q679" s="312"/>
      <c r="R679" s="116"/>
      <c r="S679" s="116"/>
      <c r="T679" s="116"/>
      <c r="U679" s="116"/>
      <c r="V679" s="313"/>
      <c r="W679" s="314"/>
      <c r="X679" s="43"/>
      <c r="Y679" s="43"/>
      <c r="Z679" s="43"/>
      <c r="AA679" s="43"/>
      <c r="AB679" s="43"/>
    </row>
    <row r="680">
      <c r="A680" s="116"/>
      <c r="B680" s="116"/>
      <c r="C680" s="116"/>
      <c r="D680" s="116"/>
      <c r="E680" s="116"/>
      <c r="F680" s="116"/>
      <c r="G680" s="116"/>
      <c r="H680" s="116"/>
      <c r="I680" s="116"/>
      <c r="J680" s="116"/>
      <c r="K680" s="116"/>
      <c r="L680" s="116"/>
      <c r="M680" s="116"/>
      <c r="N680" s="116"/>
      <c r="O680" s="116"/>
      <c r="P680" s="116"/>
      <c r="Q680" s="312"/>
      <c r="R680" s="116"/>
      <c r="S680" s="116"/>
      <c r="T680" s="116"/>
      <c r="U680" s="116"/>
      <c r="V680" s="313"/>
      <c r="W680" s="314"/>
      <c r="X680" s="43"/>
      <c r="Y680" s="43"/>
      <c r="Z680" s="43"/>
      <c r="AA680" s="43"/>
      <c r="AB680" s="43"/>
    </row>
    <row r="681">
      <c r="A681" s="116"/>
      <c r="B681" s="116"/>
      <c r="C681" s="116"/>
      <c r="D681" s="116"/>
      <c r="E681" s="116"/>
      <c r="F681" s="116"/>
      <c r="G681" s="116"/>
      <c r="H681" s="116"/>
      <c r="I681" s="116"/>
      <c r="J681" s="116"/>
      <c r="K681" s="116"/>
      <c r="L681" s="116"/>
      <c r="M681" s="116"/>
      <c r="N681" s="116"/>
      <c r="O681" s="116"/>
      <c r="P681" s="116"/>
      <c r="Q681" s="312"/>
      <c r="R681" s="116"/>
      <c r="S681" s="116"/>
      <c r="T681" s="116"/>
      <c r="U681" s="116"/>
      <c r="V681" s="313"/>
      <c r="W681" s="314"/>
      <c r="X681" s="43"/>
      <c r="Y681" s="43"/>
      <c r="Z681" s="43"/>
      <c r="AA681" s="43"/>
      <c r="AB681" s="43"/>
    </row>
    <row r="682">
      <c r="A682" s="116"/>
      <c r="B682" s="116"/>
      <c r="C682" s="116"/>
      <c r="D682" s="116"/>
      <c r="E682" s="116"/>
      <c r="F682" s="116"/>
      <c r="G682" s="116"/>
      <c r="H682" s="116"/>
      <c r="I682" s="116"/>
      <c r="J682" s="116"/>
      <c r="K682" s="116"/>
      <c r="L682" s="116"/>
      <c r="M682" s="116"/>
      <c r="N682" s="116"/>
      <c r="O682" s="116"/>
      <c r="P682" s="116"/>
      <c r="Q682" s="312"/>
      <c r="R682" s="116"/>
      <c r="S682" s="116"/>
      <c r="T682" s="116"/>
      <c r="U682" s="116"/>
      <c r="V682" s="313"/>
      <c r="W682" s="314"/>
      <c r="X682" s="43"/>
      <c r="Y682" s="43"/>
      <c r="Z682" s="43"/>
      <c r="AA682" s="43"/>
      <c r="AB682" s="43"/>
    </row>
    <row r="683">
      <c r="A683" s="116"/>
      <c r="B683" s="116"/>
      <c r="C683" s="116"/>
      <c r="D683" s="116"/>
      <c r="E683" s="116"/>
      <c r="F683" s="116"/>
      <c r="G683" s="116"/>
      <c r="H683" s="116"/>
      <c r="I683" s="116"/>
      <c r="J683" s="116"/>
      <c r="K683" s="116"/>
      <c r="L683" s="116"/>
      <c r="M683" s="116"/>
      <c r="N683" s="116"/>
      <c r="O683" s="116"/>
      <c r="P683" s="116"/>
      <c r="Q683" s="312"/>
      <c r="R683" s="116"/>
      <c r="S683" s="116"/>
      <c r="T683" s="116"/>
      <c r="U683" s="116"/>
      <c r="V683" s="313"/>
      <c r="W683" s="314"/>
      <c r="X683" s="43"/>
      <c r="Y683" s="43"/>
      <c r="Z683" s="43"/>
      <c r="AA683" s="43"/>
      <c r="AB683" s="43"/>
    </row>
    <row r="684">
      <c r="A684" s="116"/>
      <c r="B684" s="116"/>
      <c r="C684" s="116"/>
      <c r="D684" s="116"/>
      <c r="E684" s="116"/>
      <c r="F684" s="116"/>
      <c r="G684" s="116"/>
      <c r="H684" s="116"/>
      <c r="I684" s="116"/>
      <c r="J684" s="116"/>
      <c r="K684" s="116"/>
      <c r="L684" s="116"/>
      <c r="M684" s="116"/>
      <c r="N684" s="116"/>
      <c r="O684" s="116"/>
      <c r="P684" s="116"/>
      <c r="Q684" s="312"/>
      <c r="R684" s="116"/>
      <c r="S684" s="116"/>
      <c r="T684" s="116"/>
      <c r="U684" s="116"/>
      <c r="V684" s="313"/>
      <c r="W684" s="314"/>
      <c r="X684" s="43"/>
      <c r="Y684" s="43"/>
      <c r="Z684" s="43"/>
      <c r="AA684" s="43"/>
      <c r="AB684" s="43"/>
    </row>
    <row r="685">
      <c r="A685" s="116"/>
      <c r="B685" s="116"/>
      <c r="C685" s="116"/>
      <c r="D685" s="116"/>
      <c r="E685" s="116"/>
      <c r="F685" s="116"/>
      <c r="G685" s="116"/>
      <c r="H685" s="116"/>
      <c r="I685" s="116"/>
      <c r="J685" s="116"/>
      <c r="K685" s="116"/>
      <c r="L685" s="116"/>
      <c r="M685" s="116"/>
      <c r="N685" s="116"/>
      <c r="O685" s="116"/>
      <c r="P685" s="116"/>
      <c r="Q685" s="312"/>
      <c r="R685" s="116"/>
      <c r="S685" s="116"/>
      <c r="T685" s="116"/>
      <c r="U685" s="116"/>
      <c r="V685" s="313"/>
      <c r="W685" s="314"/>
      <c r="X685" s="43"/>
      <c r="Y685" s="43"/>
      <c r="Z685" s="43"/>
      <c r="AA685" s="43"/>
      <c r="AB685" s="43"/>
    </row>
    <row r="686">
      <c r="A686" s="116"/>
      <c r="B686" s="116"/>
      <c r="C686" s="116"/>
      <c r="D686" s="116"/>
      <c r="E686" s="116"/>
      <c r="F686" s="116"/>
      <c r="G686" s="116"/>
      <c r="H686" s="116"/>
      <c r="I686" s="116"/>
      <c r="J686" s="116"/>
      <c r="K686" s="116"/>
      <c r="L686" s="116"/>
      <c r="M686" s="116"/>
      <c r="N686" s="116"/>
      <c r="O686" s="116"/>
      <c r="P686" s="116"/>
      <c r="Q686" s="312"/>
      <c r="R686" s="116"/>
      <c r="S686" s="116"/>
      <c r="T686" s="116"/>
      <c r="U686" s="116"/>
      <c r="V686" s="313"/>
      <c r="W686" s="314"/>
      <c r="X686" s="43"/>
      <c r="Y686" s="43"/>
      <c r="Z686" s="43"/>
      <c r="AA686" s="43"/>
      <c r="AB686" s="43"/>
    </row>
    <row r="687">
      <c r="A687" s="116"/>
      <c r="B687" s="116"/>
      <c r="C687" s="116"/>
      <c r="D687" s="116"/>
      <c r="E687" s="116"/>
      <c r="F687" s="116"/>
      <c r="G687" s="116"/>
      <c r="H687" s="116"/>
      <c r="I687" s="116"/>
      <c r="J687" s="116"/>
      <c r="K687" s="116"/>
      <c r="L687" s="116"/>
      <c r="M687" s="116"/>
      <c r="N687" s="116"/>
      <c r="O687" s="116"/>
      <c r="P687" s="116"/>
      <c r="Q687" s="312"/>
      <c r="R687" s="116"/>
      <c r="S687" s="116"/>
      <c r="T687" s="116"/>
      <c r="U687" s="116"/>
      <c r="V687" s="313"/>
      <c r="W687" s="314"/>
      <c r="X687" s="43"/>
      <c r="Y687" s="43"/>
      <c r="Z687" s="43"/>
      <c r="AA687" s="43"/>
      <c r="AB687" s="43"/>
    </row>
    <row r="688">
      <c r="A688" s="116"/>
      <c r="B688" s="116"/>
      <c r="C688" s="116"/>
      <c r="D688" s="116"/>
      <c r="E688" s="116"/>
      <c r="F688" s="116"/>
      <c r="G688" s="116"/>
      <c r="H688" s="116"/>
      <c r="I688" s="116"/>
      <c r="J688" s="116"/>
      <c r="K688" s="116"/>
      <c r="L688" s="116"/>
      <c r="M688" s="116"/>
      <c r="N688" s="116"/>
      <c r="O688" s="116"/>
      <c r="P688" s="116"/>
      <c r="Q688" s="312"/>
      <c r="R688" s="116"/>
      <c r="S688" s="116"/>
      <c r="T688" s="116"/>
      <c r="U688" s="116"/>
      <c r="V688" s="313"/>
      <c r="W688" s="314"/>
      <c r="X688" s="43"/>
      <c r="Y688" s="43"/>
      <c r="Z688" s="43"/>
      <c r="AA688" s="43"/>
      <c r="AB688" s="43"/>
    </row>
    <row r="689">
      <c r="A689" s="116"/>
      <c r="B689" s="116"/>
      <c r="C689" s="116"/>
      <c r="D689" s="116"/>
      <c r="E689" s="116"/>
      <c r="F689" s="116"/>
      <c r="G689" s="116"/>
      <c r="H689" s="116"/>
      <c r="I689" s="116"/>
      <c r="J689" s="116"/>
      <c r="K689" s="116"/>
      <c r="L689" s="116"/>
      <c r="M689" s="116"/>
      <c r="N689" s="116"/>
      <c r="O689" s="116"/>
      <c r="P689" s="116"/>
      <c r="Q689" s="312"/>
      <c r="R689" s="116"/>
      <c r="S689" s="116"/>
      <c r="T689" s="116"/>
      <c r="U689" s="116"/>
      <c r="V689" s="313"/>
      <c r="W689" s="314"/>
      <c r="X689" s="43"/>
      <c r="Y689" s="43"/>
      <c r="Z689" s="43"/>
      <c r="AA689" s="43"/>
      <c r="AB689" s="43"/>
    </row>
    <row r="690">
      <c r="A690" s="116"/>
      <c r="B690" s="116"/>
      <c r="C690" s="116"/>
      <c r="D690" s="116"/>
      <c r="E690" s="116"/>
      <c r="F690" s="116"/>
      <c r="G690" s="116"/>
      <c r="H690" s="116"/>
      <c r="I690" s="116"/>
      <c r="J690" s="116"/>
      <c r="K690" s="116"/>
      <c r="L690" s="116"/>
      <c r="M690" s="116"/>
      <c r="N690" s="116"/>
      <c r="O690" s="116"/>
      <c r="P690" s="116"/>
      <c r="Q690" s="312"/>
      <c r="R690" s="116"/>
      <c r="S690" s="116"/>
      <c r="T690" s="116"/>
      <c r="U690" s="116"/>
      <c r="V690" s="313"/>
      <c r="W690" s="314"/>
      <c r="X690" s="43"/>
      <c r="Y690" s="43"/>
      <c r="Z690" s="43"/>
      <c r="AA690" s="43"/>
      <c r="AB690" s="43"/>
    </row>
    <row r="691">
      <c r="A691" s="116"/>
      <c r="B691" s="116"/>
      <c r="C691" s="116"/>
      <c r="D691" s="116"/>
      <c r="E691" s="116"/>
      <c r="F691" s="116"/>
      <c r="G691" s="116"/>
      <c r="H691" s="116"/>
      <c r="I691" s="116"/>
      <c r="J691" s="116"/>
      <c r="K691" s="116"/>
      <c r="L691" s="116"/>
      <c r="M691" s="116"/>
      <c r="N691" s="116"/>
      <c r="O691" s="116"/>
      <c r="P691" s="116"/>
      <c r="Q691" s="312"/>
      <c r="R691" s="116"/>
      <c r="S691" s="116"/>
      <c r="T691" s="116"/>
      <c r="U691" s="116"/>
      <c r="V691" s="313"/>
      <c r="W691" s="314"/>
      <c r="X691" s="43"/>
      <c r="Y691" s="43"/>
      <c r="Z691" s="43"/>
      <c r="AA691" s="43"/>
      <c r="AB691" s="43"/>
    </row>
    <row r="692">
      <c r="A692" s="116"/>
      <c r="B692" s="116"/>
      <c r="C692" s="116"/>
      <c r="D692" s="116"/>
      <c r="E692" s="116"/>
      <c r="F692" s="116"/>
      <c r="G692" s="116"/>
      <c r="H692" s="116"/>
      <c r="I692" s="116"/>
      <c r="J692" s="116"/>
      <c r="K692" s="116"/>
      <c r="L692" s="116"/>
      <c r="M692" s="116"/>
      <c r="N692" s="116"/>
      <c r="O692" s="116"/>
      <c r="P692" s="116"/>
      <c r="Q692" s="312"/>
      <c r="R692" s="116"/>
      <c r="S692" s="116"/>
      <c r="T692" s="116"/>
      <c r="U692" s="116"/>
      <c r="V692" s="313"/>
      <c r="W692" s="314"/>
      <c r="X692" s="43"/>
      <c r="Y692" s="43"/>
      <c r="Z692" s="43"/>
      <c r="AA692" s="43"/>
      <c r="AB692" s="43"/>
    </row>
    <row r="693">
      <c r="A693" s="116"/>
      <c r="B693" s="116"/>
      <c r="C693" s="116"/>
      <c r="D693" s="116"/>
      <c r="E693" s="116"/>
      <c r="F693" s="116"/>
      <c r="G693" s="116"/>
      <c r="H693" s="116"/>
      <c r="I693" s="116"/>
      <c r="J693" s="116"/>
      <c r="K693" s="116"/>
      <c r="L693" s="116"/>
      <c r="M693" s="116"/>
      <c r="N693" s="116"/>
      <c r="O693" s="116"/>
      <c r="P693" s="116"/>
      <c r="Q693" s="312"/>
      <c r="R693" s="116"/>
      <c r="S693" s="116"/>
      <c r="T693" s="116"/>
      <c r="U693" s="116"/>
      <c r="V693" s="313"/>
      <c r="W693" s="314"/>
      <c r="X693" s="43"/>
      <c r="Y693" s="43"/>
      <c r="Z693" s="43"/>
      <c r="AA693" s="43"/>
      <c r="AB693" s="43"/>
    </row>
    <row r="694">
      <c r="A694" s="116"/>
      <c r="B694" s="116"/>
      <c r="C694" s="116"/>
      <c r="D694" s="116"/>
      <c r="E694" s="116"/>
      <c r="F694" s="116"/>
      <c r="G694" s="116"/>
      <c r="H694" s="116"/>
      <c r="I694" s="116"/>
      <c r="J694" s="116"/>
      <c r="K694" s="116"/>
      <c r="L694" s="116"/>
      <c r="M694" s="116"/>
      <c r="N694" s="116"/>
      <c r="O694" s="116"/>
      <c r="P694" s="116"/>
      <c r="Q694" s="312"/>
      <c r="R694" s="116"/>
      <c r="S694" s="116"/>
      <c r="T694" s="116"/>
      <c r="U694" s="116"/>
      <c r="V694" s="313"/>
      <c r="W694" s="314"/>
      <c r="X694" s="43"/>
      <c r="Y694" s="43"/>
      <c r="Z694" s="43"/>
      <c r="AA694" s="43"/>
      <c r="AB694" s="43"/>
    </row>
    <row r="695">
      <c r="A695" s="116"/>
      <c r="B695" s="116"/>
      <c r="C695" s="116"/>
      <c r="D695" s="116"/>
      <c r="E695" s="116"/>
      <c r="F695" s="116"/>
      <c r="G695" s="116"/>
      <c r="H695" s="116"/>
      <c r="I695" s="116"/>
      <c r="J695" s="116"/>
      <c r="K695" s="116"/>
      <c r="L695" s="116"/>
      <c r="M695" s="116"/>
      <c r="N695" s="116"/>
      <c r="O695" s="116"/>
      <c r="P695" s="116"/>
      <c r="Q695" s="312"/>
      <c r="R695" s="116"/>
      <c r="S695" s="116"/>
      <c r="T695" s="116"/>
      <c r="U695" s="116"/>
      <c r="V695" s="313"/>
      <c r="W695" s="314"/>
      <c r="X695" s="43"/>
      <c r="Y695" s="43"/>
      <c r="Z695" s="43"/>
      <c r="AA695" s="43"/>
      <c r="AB695" s="43"/>
    </row>
    <row r="696">
      <c r="A696" s="116"/>
      <c r="B696" s="116"/>
      <c r="C696" s="116"/>
      <c r="D696" s="116"/>
      <c r="E696" s="116"/>
      <c r="F696" s="116"/>
      <c r="G696" s="116"/>
      <c r="H696" s="116"/>
      <c r="I696" s="116"/>
      <c r="J696" s="116"/>
      <c r="K696" s="116"/>
      <c r="L696" s="116"/>
      <c r="M696" s="116"/>
      <c r="N696" s="116"/>
      <c r="O696" s="116"/>
      <c r="P696" s="116"/>
      <c r="Q696" s="312"/>
      <c r="R696" s="116"/>
      <c r="S696" s="116"/>
      <c r="T696" s="116"/>
      <c r="U696" s="116"/>
      <c r="V696" s="313"/>
      <c r="W696" s="314"/>
      <c r="X696" s="43"/>
      <c r="Y696" s="43"/>
      <c r="Z696" s="43"/>
      <c r="AA696" s="43"/>
      <c r="AB696" s="43"/>
    </row>
    <row r="697">
      <c r="A697" s="116"/>
      <c r="B697" s="116"/>
      <c r="C697" s="116"/>
      <c r="D697" s="116"/>
      <c r="E697" s="116"/>
      <c r="F697" s="116"/>
      <c r="G697" s="116"/>
      <c r="H697" s="116"/>
      <c r="I697" s="116"/>
      <c r="J697" s="116"/>
      <c r="K697" s="116"/>
      <c r="L697" s="116"/>
      <c r="M697" s="116"/>
      <c r="N697" s="116"/>
      <c r="O697" s="116"/>
      <c r="P697" s="116"/>
      <c r="Q697" s="312"/>
      <c r="R697" s="116"/>
      <c r="S697" s="116"/>
      <c r="T697" s="116"/>
      <c r="U697" s="116"/>
      <c r="V697" s="313"/>
      <c r="W697" s="314"/>
      <c r="X697" s="43"/>
      <c r="Y697" s="43"/>
      <c r="Z697" s="43"/>
      <c r="AA697" s="43"/>
      <c r="AB697" s="43"/>
    </row>
    <row r="698">
      <c r="A698" s="116"/>
      <c r="B698" s="116"/>
      <c r="C698" s="116"/>
      <c r="D698" s="116"/>
      <c r="E698" s="116"/>
      <c r="F698" s="116"/>
      <c r="G698" s="116"/>
      <c r="H698" s="116"/>
      <c r="I698" s="116"/>
      <c r="J698" s="116"/>
      <c r="K698" s="116"/>
      <c r="L698" s="116"/>
      <c r="M698" s="116"/>
      <c r="N698" s="116"/>
      <c r="O698" s="116"/>
      <c r="P698" s="116"/>
      <c r="Q698" s="312"/>
      <c r="R698" s="116"/>
      <c r="S698" s="116"/>
      <c r="T698" s="116"/>
      <c r="U698" s="116"/>
      <c r="V698" s="313"/>
      <c r="W698" s="314"/>
      <c r="X698" s="43"/>
      <c r="Y698" s="43"/>
      <c r="Z698" s="43"/>
      <c r="AA698" s="43"/>
      <c r="AB698" s="43"/>
    </row>
    <row r="699">
      <c r="A699" s="116"/>
      <c r="B699" s="116"/>
      <c r="C699" s="116"/>
      <c r="D699" s="116"/>
      <c r="E699" s="116"/>
      <c r="F699" s="116"/>
      <c r="G699" s="116"/>
      <c r="H699" s="116"/>
      <c r="I699" s="116"/>
      <c r="J699" s="116"/>
      <c r="K699" s="116"/>
      <c r="L699" s="116"/>
      <c r="M699" s="116"/>
      <c r="N699" s="116"/>
      <c r="O699" s="116"/>
      <c r="P699" s="116"/>
      <c r="Q699" s="312"/>
      <c r="R699" s="116"/>
      <c r="S699" s="116"/>
      <c r="T699" s="116"/>
      <c r="U699" s="116"/>
      <c r="V699" s="313"/>
      <c r="W699" s="314"/>
      <c r="X699" s="43"/>
      <c r="Y699" s="43"/>
      <c r="Z699" s="43"/>
      <c r="AA699" s="43"/>
      <c r="AB699" s="43"/>
    </row>
    <row r="700">
      <c r="A700" s="116"/>
      <c r="B700" s="116"/>
      <c r="C700" s="116"/>
      <c r="D700" s="116"/>
      <c r="E700" s="116"/>
      <c r="F700" s="116"/>
      <c r="G700" s="116"/>
      <c r="H700" s="116"/>
      <c r="I700" s="116"/>
      <c r="J700" s="116"/>
      <c r="K700" s="116"/>
      <c r="L700" s="116"/>
      <c r="M700" s="116"/>
      <c r="N700" s="116"/>
      <c r="O700" s="116"/>
      <c r="P700" s="116"/>
      <c r="Q700" s="312"/>
      <c r="R700" s="116"/>
      <c r="S700" s="116"/>
      <c r="T700" s="116"/>
      <c r="U700" s="116"/>
      <c r="V700" s="313"/>
      <c r="W700" s="314"/>
      <c r="X700" s="43"/>
      <c r="Y700" s="43"/>
      <c r="Z700" s="43"/>
      <c r="AA700" s="43"/>
      <c r="AB700" s="43"/>
    </row>
    <row r="701">
      <c r="A701" s="116"/>
      <c r="B701" s="116"/>
      <c r="C701" s="116"/>
      <c r="D701" s="116"/>
      <c r="E701" s="116"/>
      <c r="F701" s="116"/>
      <c r="G701" s="116"/>
      <c r="H701" s="116"/>
      <c r="I701" s="116"/>
      <c r="J701" s="116"/>
      <c r="K701" s="116"/>
      <c r="L701" s="116"/>
      <c r="M701" s="116"/>
      <c r="N701" s="116"/>
      <c r="O701" s="116"/>
      <c r="P701" s="116"/>
      <c r="Q701" s="312"/>
      <c r="R701" s="116"/>
      <c r="S701" s="116"/>
      <c r="T701" s="116"/>
      <c r="U701" s="116"/>
      <c r="V701" s="313"/>
      <c r="W701" s="314"/>
      <c r="X701" s="43"/>
      <c r="Y701" s="43"/>
      <c r="Z701" s="43"/>
      <c r="AA701" s="43"/>
      <c r="AB701" s="43"/>
    </row>
    <row r="702">
      <c r="A702" s="116"/>
      <c r="B702" s="116"/>
      <c r="C702" s="116"/>
      <c r="D702" s="116"/>
      <c r="E702" s="116"/>
      <c r="F702" s="116"/>
      <c r="G702" s="116"/>
      <c r="H702" s="116"/>
      <c r="I702" s="116"/>
      <c r="J702" s="116"/>
      <c r="K702" s="116"/>
      <c r="L702" s="116"/>
      <c r="M702" s="116"/>
      <c r="N702" s="116"/>
      <c r="O702" s="116"/>
      <c r="P702" s="116"/>
      <c r="Q702" s="312"/>
      <c r="R702" s="116"/>
      <c r="S702" s="116"/>
      <c r="T702" s="116"/>
      <c r="U702" s="116"/>
      <c r="V702" s="313"/>
      <c r="W702" s="314"/>
      <c r="X702" s="43"/>
      <c r="Y702" s="43"/>
      <c r="Z702" s="43"/>
      <c r="AA702" s="43"/>
      <c r="AB702" s="43"/>
    </row>
    <row r="703">
      <c r="A703" s="116"/>
      <c r="B703" s="116"/>
      <c r="C703" s="116"/>
      <c r="D703" s="116"/>
      <c r="E703" s="116"/>
      <c r="F703" s="116"/>
      <c r="G703" s="116"/>
      <c r="H703" s="116"/>
      <c r="I703" s="116"/>
      <c r="J703" s="116"/>
      <c r="K703" s="116"/>
      <c r="L703" s="116"/>
      <c r="M703" s="116"/>
      <c r="N703" s="116"/>
      <c r="O703" s="116"/>
      <c r="P703" s="116"/>
      <c r="Q703" s="312"/>
      <c r="R703" s="116"/>
      <c r="S703" s="116"/>
      <c r="T703" s="116"/>
      <c r="U703" s="116"/>
      <c r="V703" s="313"/>
      <c r="W703" s="314"/>
      <c r="X703" s="43"/>
      <c r="Y703" s="43"/>
      <c r="Z703" s="43"/>
      <c r="AA703" s="43"/>
      <c r="AB703" s="43"/>
    </row>
    <row r="704">
      <c r="A704" s="116"/>
      <c r="B704" s="116"/>
      <c r="C704" s="116"/>
      <c r="D704" s="116"/>
      <c r="E704" s="116"/>
      <c r="F704" s="116"/>
      <c r="G704" s="116"/>
      <c r="H704" s="116"/>
      <c r="I704" s="116"/>
      <c r="J704" s="116"/>
      <c r="K704" s="116"/>
      <c r="L704" s="116"/>
      <c r="M704" s="116"/>
      <c r="N704" s="116"/>
      <c r="O704" s="116"/>
      <c r="P704" s="116"/>
      <c r="Q704" s="312"/>
      <c r="R704" s="116"/>
      <c r="S704" s="116"/>
      <c r="T704" s="116"/>
      <c r="U704" s="116"/>
      <c r="V704" s="313"/>
      <c r="W704" s="314"/>
      <c r="X704" s="43"/>
      <c r="Y704" s="43"/>
      <c r="Z704" s="43"/>
      <c r="AA704" s="43"/>
      <c r="AB704" s="43"/>
    </row>
    <row r="705">
      <c r="A705" s="116"/>
      <c r="B705" s="116"/>
      <c r="C705" s="116"/>
      <c r="D705" s="116"/>
      <c r="E705" s="116"/>
      <c r="F705" s="116"/>
      <c r="G705" s="116"/>
      <c r="H705" s="116"/>
      <c r="I705" s="116"/>
      <c r="J705" s="116"/>
      <c r="K705" s="116"/>
      <c r="L705" s="116"/>
      <c r="M705" s="116"/>
      <c r="N705" s="116"/>
      <c r="O705" s="116"/>
      <c r="P705" s="116"/>
      <c r="Q705" s="312"/>
      <c r="R705" s="116"/>
      <c r="S705" s="116"/>
      <c r="T705" s="116"/>
      <c r="U705" s="116"/>
      <c r="V705" s="313"/>
      <c r="W705" s="314"/>
      <c r="X705" s="43"/>
      <c r="Y705" s="43"/>
      <c r="Z705" s="43"/>
      <c r="AA705" s="43"/>
      <c r="AB705" s="43"/>
    </row>
    <row r="706">
      <c r="A706" s="116"/>
      <c r="B706" s="116"/>
      <c r="C706" s="116"/>
      <c r="D706" s="116"/>
      <c r="E706" s="116"/>
      <c r="F706" s="116"/>
      <c r="G706" s="116"/>
      <c r="H706" s="116"/>
      <c r="I706" s="116"/>
      <c r="J706" s="116"/>
      <c r="K706" s="116"/>
      <c r="L706" s="116"/>
      <c r="M706" s="116"/>
      <c r="N706" s="116"/>
      <c r="O706" s="116"/>
      <c r="P706" s="116"/>
      <c r="Q706" s="312"/>
      <c r="R706" s="116"/>
      <c r="S706" s="116"/>
      <c r="T706" s="116"/>
      <c r="U706" s="116"/>
      <c r="V706" s="313"/>
      <c r="W706" s="314"/>
      <c r="X706" s="43"/>
      <c r="Y706" s="43"/>
      <c r="Z706" s="43"/>
      <c r="AA706" s="43"/>
      <c r="AB706" s="43"/>
    </row>
    <row r="707">
      <c r="A707" s="116"/>
      <c r="B707" s="116"/>
      <c r="C707" s="116"/>
      <c r="D707" s="116"/>
      <c r="E707" s="116"/>
      <c r="F707" s="116"/>
      <c r="G707" s="116"/>
      <c r="H707" s="116"/>
      <c r="I707" s="116"/>
      <c r="J707" s="116"/>
      <c r="K707" s="116"/>
      <c r="L707" s="116"/>
      <c r="M707" s="116"/>
      <c r="N707" s="116"/>
      <c r="O707" s="116"/>
      <c r="P707" s="116"/>
      <c r="Q707" s="312"/>
      <c r="R707" s="116"/>
      <c r="S707" s="116"/>
      <c r="T707" s="116"/>
      <c r="U707" s="116"/>
      <c r="V707" s="313"/>
      <c r="W707" s="314"/>
      <c r="X707" s="43"/>
      <c r="Y707" s="43"/>
      <c r="Z707" s="43"/>
      <c r="AA707" s="43"/>
      <c r="AB707" s="43"/>
    </row>
    <row r="708">
      <c r="A708" s="116"/>
      <c r="B708" s="116"/>
      <c r="C708" s="116"/>
      <c r="D708" s="116"/>
      <c r="E708" s="116"/>
      <c r="F708" s="116"/>
      <c r="G708" s="116"/>
      <c r="H708" s="116"/>
      <c r="I708" s="116"/>
      <c r="J708" s="116"/>
      <c r="K708" s="116"/>
      <c r="L708" s="116"/>
      <c r="M708" s="116"/>
      <c r="N708" s="116"/>
      <c r="O708" s="116"/>
      <c r="P708" s="116"/>
      <c r="Q708" s="312"/>
      <c r="R708" s="116"/>
      <c r="S708" s="116"/>
      <c r="T708" s="116"/>
      <c r="U708" s="116"/>
      <c r="V708" s="313"/>
      <c r="W708" s="314"/>
      <c r="X708" s="43"/>
      <c r="Y708" s="43"/>
      <c r="Z708" s="43"/>
      <c r="AA708" s="43"/>
      <c r="AB708" s="43"/>
    </row>
    <row r="709">
      <c r="A709" s="116"/>
      <c r="B709" s="116"/>
      <c r="C709" s="116"/>
      <c r="D709" s="116"/>
      <c r="E709" s="116"/>
      <c r="F709" s="116"/>
      <c r="G709" s="116"/>
      <c r="H709" s="116"/>
      <c r="I709" s="116"/>
      <c r="J709" s="116"/>
      <c r="K709" s="116"/>
      <c r="L709" s="116"/>
      <c r="M709" s="116"/>
      <c r="N709" s="116"/>
      <c r="O709" s="116"/>
      <c r="P709" s="116"/>
      <c r="Q709" s="312"/>
      <c r="R709" s="116"/>
      <c r="S709" s="116"/>
      <c r="T709" s="116"/>
      <c r="U709" s="116"/>
      <c r="V709" s="313"/>
      <c r="W709" s="314"/>
      <c r="X709" s="43"/>
      <c r="Y709" s="43"/>
      <c r="Z709" s="43"/>
      <c r="AA709" s="43"/>
      <c r="AB709" s="43"/>
    </row>
    <row r="710">
      <c r="A710" s="116"/>
      <c r="B710" s="116"/>
      <c r="C710" s="116"/>
      <c r="D710" s="116"/>
      <c r="E710" s="116"/>
      <c r="F710" s="116"/>
      <c r="G710" s="116"/>
      <c r="H710" s="116"/>
      <c r="I710" s="116"/>
      <c r="J710" s="116"/>
      <c r="K710" s="116"/>
      <c r="L710" s="116"/>
      <c r="M710" s="116"/>
      <c r="N710" s="116"/>
      <c r="O710" s="116"/>
      <c r="P710" s="116"/>
      <c r="Q710" s="312"/>
      <c r="R710" s="116"/>
      <c r="S710" s="116"/>
      <c r="T710" s="116"/>
      <c r="U710" s="116"/>
      <c r="V710" s="313"/>
      <c r="W710" s="314"/>
      <c r="X710" s="43"/>
      <c r="Y710" s="43"/>
      <c r="Z710" s="43"/>
      <c r="AA710" s="43"/>
      <c r="AB710" s="43"/>
    </row>
    <row r="711">
      <c r="A711" s="116"/>
      <c r="B711" s="116"/>
      <c r="C711" s="116"/>
      <c r="D711" s="116"/>
      <c r="E711" s="116"/>
      <c r="F711" s="116"/>
      <c r="G711" s="116"/>
      <c r="H711" s="116"/>
      <c r="I711" s="116"/>
      <c r="J711" s="116"/>
      <c r="K711" s="116"/>
      <c r="L711" s="116"/>
      <c r="M711" s="116"/>
      <c r="N711" s="116"/>
      <c r="O711" s="116"/>
      <c r="P711" s="116"/>
      <c r="Q711" s="312"/>
      <c r="R711" s="116"/>
      <c r="S711" s="116"/>
      <c r="T711" s="116"/>
      <c r="U711" s="116"/>
      <c r="V711" s="313"/>
      <c r="W711" s="314"/>
      <c r="X711" s="43"/>
      <c r="Y711" s="43"/>
      <c r="Z711" s="43"/>
      <c r="AA711" s="43"/>
      <c r="AB711" s="43"/>
    </row>
    <row r="712">
      <c r="A712" s="116"/>
      <c r="B712" s="116"/>
      <c r="C712" s="116"/>
      <c r="D712" s="116"/>
      <c r="E712" s="116"/>
      <c r="F712" s="116"/>
      <c r="G712" s="116"/>
      <c r="H712" s="116"/>
      <c r="I712" s="116"/>
      <c r="J712" s="116"/>
      <c r="K712" s="116"/>
      <c r="L712" s="116"/>
      <c r="M712" s="116"/>
      <c r="N712" s="116"/>
      <c r="O712" s="116"/>
      <c r="P712" s="116"/>
      <c r="Q712" s="312"/>
      <c r="R712" s="116"/>
      <c r="S712" s="116"/>
      <c r="T712" s="116"/>
      <c r="U712" s="116"/>
      <c r="V712" s="313"/>
      <c r="W712" s="314"/>
      <c r="X712" s="43"/>
      <c r="Y712" s="43"/>
      <c r="Z712" s="43"/>
      <c r="AA712" s="43"/>
      <c r="AB712" s="43"/>
    </row>
    <row r="713">
      <c r="A713" s="116"/>
      <c r="B713" s="116"/>
      <c r="C713" s="116"/>
      <c r="D713" s="116"/>
      <c r="E713" s="116"/>
      <c r="F713" s="116"/>
      <c r="G713" s="116"/>
      <c r="H713" s="116"/>
      <c r="I713" s="116"/>
      <c r="J713" s="116"/>
      <c r="K713" s="116"/>
      <c r="L713" s="116"/>
      <c r="M713" s="116"/>
      <c r="N713" s="116"/>
      <c r="O713" s="116"/>
      <c r="P713" s="116"/>
      <c r="Q713" s="312"/>
      <c r="R713" s="116"/>
      <c r="S713" s="116"/>
      <c r="T713" s="116"/>
      <c r="U713" s="116"/>
      <c r="V713" s="313"/>
      <c r="W713" s="314"/>
      <c r="X713" s="43"/>
      <c r="Y713" s="43"/>
      <c r="Z713" s="43"/>
      <c r="AA713" s="43"/>
      <c r="AB713" s="43"/>
    </row>
    <row r="714">
      <c r="A714" s="116"/>
      <c r="B714" s="116"/>
      <c r="C714" s="116"/>
      <c r="D714" s="116"/>
      <c r="E714" s="116"/>
      <c r="F714" s="116"/>
      <c r="G714" s="116"/>
      <c r="H714" s="116"/>
      <c r="I714" s="116"/>
      <c r="J714" s="116"/>
      <c r="K714" s="116"/>
      <c r="L714" s="116"/>
      <c r="M714" s="116"/>
      <c r="N714" s="116"/>
      <c r="O714" s="116"/>
      <c r="P714" s="116"/>
      <c r="Q714" s="312"/>
      <c r="R714" s="116"/>
      <c r="S714" s="116"/>
      <c r="T714" s="116"/>
      <c r="U714" s="116"/>
      <c r="V714" s="313"/>
      <c r="W714" s="314"/>
      <c r="X714" s="43"/>
      <c r="Y714" s="43"/>
      <c r="Z714" s="43"/>
      <c r="AA714" s="43"/>
      <c r="AB714" s="43"/>
    </row>
    <row r="715">
      <c r="A715" s="116"/>
      <c r="B715" s="116"/>
      <c r="C715" s="116"/>
      <c r="D715" s="116"/>
      <c r="E715" s="116"/>
      <c r="F715" s="116"/>
      <c r="G715" s="116"/>
      <c r="H715" s="116"/>
      <c r="I715" s="116"/>
      <c r="J715" s="116"/>
      <c r="K715" s="116"/>
      <c r="L715" s="116"/>
      <c r="M715" s="116"/>
      <c r="N715" s="116"/>
      <c r="O715" s="116"/>
      <c r="P715" s="116"/>
      <c r="Q715" s="312"/>
      <c r="R715" s="116"/>
      <c r="S715" s="116"/>
      <c r="T715" s="116"/>
      <c r="U715" s="116"/>
      <c r="V715" s="313"/>
      <c r="W715" s="314"/>
      <c r="X715" s="43"/>
      <c r="Y715" s="43"/>
      <c r="Z715" s="43"/>
      <c r="AA715" s="43"/>
      <c r="AB715" s="43"/>
    </row>
    <row r="716">
      <c r="A716" s="116"/>
      <c r="B716" s="116"/>
      <c r="C716" s="116"/>
      <c r="D716" s="116"/>
      <c r="E716" s="116"/>
      <c r="F716" s="116"/>
      <c r="G716" s="116"/>
      <c r="H716" s="116"/>
      <c r="I716" s="116"/>
      <c r="J716" s="116"/>
      <c r="K716" s="116"/>
      <c r="L716" s="116"/>
      <c r="M716" s="116"/>
      <c r="N716" s="116"/>
      <c r="O716" s="116"/>
      <c r="P716" s="116"/>
      <c r="Q716" s="312"/>
      <c r="R716" s="116"/>
      <c r="S716" s="116"/>
      <c r="T716" s="116"/>
      <c r="U716" s="116"/>
      <c r="V716" s="313"/>
      <c r="W716" s="314"/>
      <c r="X716" s="43"/>
      <c r="Y716" s="43"/>
      <c r="Z716" s="43"/>
      <c r="AA716" s="43"/>
      <c r="AB716" s="43"/>
    </row>
    <row r="717">
      <c r="A717" s="116"/>
      <c r="B717" s="116"/>
      <c r="C717" s="116"/>
      <c r="D717" s="116"/>
      <c r="E717" s="116"/>
      <c r="F717" s="116"/>
      <c r="G717" s="116"/>
      <c r="H717" s="116"/>
      <c r="I717" s="116"/>
      <c r="J717" s="116"/>
      <c r="K717" s="116"/>
      <c r="L717" s="116"/>
      <c r="M717" s="116"/>
      <c r="N717" s="116"/>
      <c r="O717" s="116"/>
      <c r="P717" s="116"/>
      <c r="Q717" s="312"/>
      <c r="R717" s="116"/>
      <c r="S717" s="116"/>
      <c r="T717" s="116"/>
      <c r="U717" s="116"/>
      <c r="V717" s="313"/>
      <c r="W717" s="314"/>
      <c r="X717" s="43"/>
      <c r="Y717" s="43"/>
      <c r="Z717" s="43"/>
      <c r="AA717" s="43"/>
      <c r="AB717" s="43"/>
    </row>
    <row r="718">
      <c r="A718" s="116"/>
      <c r="B718" s="116"/>
      <c r="C718" s="116"/>
      <c r="D718" s="116"/>
      <c r="E718" s="116"/>
      <c r="F718" s="116"/>
      <c r="G718" s="116"/>
      <c r="H718" s="116"/>
      <c r="I718" s="116"/>
      <c r="J718" s="116"/>
      <c r="K718" s="116"/>
      <c r="L718" s="116"/>
      <c r="M718" s="116"/>
      <c r="N718" s="116"/>
      <c r="O718" s="116"/>
      <c r="P718" s="116"/>
      <c r="Q718" s="312"/>
      <c r="R718" s="116"/>
      <c r="S718" s="116"/>
      <c r="T718" s="116"/>
      <c r="U718" s="116"/>
      <c r="V718" s="313"/>
      <c r="W718" s="314"/>
      <c r="X718" s="43"/>
      <c r="Y718" s="43"/>
      <c r="Z718" s="43"/>
      <c r="AA718" s="43"/>
      <c r="AB718" s="43"/>
    </row>
    <row r="719">
      <c r="A719" s="116"/>
      <c r="B719" s="116"/>
      <c r="C719" s="116"/>
      <c r="D719" s="116"/>
      <c r="E719" s="116"/>
      <c r="F719" s="116"/>
      <c r="G719" s="116"/>
      <c r="H719" s="116"/>
      <c r="I719" s="116"/>
      <c r="J719" s="116"/>
      <c r="K719" s="116"/>
      <c r="L719" s="116"/>
      <c r="M719" s="116"/>
      <c r="N719" s="116"/>
      <c r="O719" s="116"/>
      <c r="P719" s="116"/>
      <c r="Q719" s="312"/>
      <c r="R719" s="116"/>
      <c r="S719" s="116"/>
      <c r="T719" s="116"/>
      <c r="U719" s="116"/>
      <c r="V719" s="313"/>
      <c r="W719" s="314"/>
      <c r="X719" s="43"/>
      <c r="Y719" s="43"/>
      <c r="Z719" s="43"/>
      <c r="AA719" s="43"/>
      <c r="AB719" s="43"/>
    </row>
    <row r="720">
      <c r="A720" s="116"/>
      <c r="B720" s="116"/>
      <c r="C720" s="116"/>
      <c r="D720" s="116"/>
      <c r="E720" s="116"/>
      <c r="F720" s="116"/>
      <c r="G720" s="116"/>
      <c r="H720" s="116"/>
      <c r="I720" s="116"/>
      <c r="J720" s="116"/>
      <c r="K720" s="116"/>
      <c r="L720" s="116"/>
      <c r="M720" s="116"/>
      <c r="N720" s="116"/>
      <c r="O720" s="116"/>
      <c r="P720" s="116"/>
      <c r="Q720" s="312"/>
      <c r="R720" s="116"/>
      <c r="S720" s="116"/>
      <c r="T720" s="116"/>
      <c r="U720" s="116"/>
      <c r="V720" s="313"/>
      <c r="W720" s="314"/>
      <c r="X720" s="43"/>
      <c r="Y720" s="43"/>
      <c r="Z720" s="43"/>
      <c r="AA720" s="43"/>
      <c r="AB720" s="43"/>
    </row>
    <row r="721">
      <c r="A721" s="116"/>
      <c r="B721" s="116"/>
      <c r="C721" s="116"/>
      <c r="D721" s="116"/>
      <c r="E721" s="116"/>
      <c r="F721" s="116"/>
      <c r="G721" s="116"/>
      <c r="H721" s="116"/>
      <c r="I721" s="116"/>
      <c r="J721" s="116"/>
      <c r="K721" s="116"/>
      <c r="L721" s="116"/>
      <c r="M721" s="116"/>
      <c r="N721" s="116"/>
      <c r="O721" s="116"/>
      <c r="P721" s="116"/>
      <c r="Q721" s="312"/>
      <c r="R721" s="116"/>
      <c r="S721" s="116"/>
      <c r="T721" s="116"/>
      <c r="U721" s="116"/>
      <c r="V721" s="313"/>
      <c r="W721" s="314"/>
      <c r="X721" s="43"/>
      <c r="Y721" s="43"/>
      <c r="Z721" s="43"/>
      <c r="AA721" s="43"/>
      <c r="AB721" s="43"/>
    </row>
    <row r="722">
      <c r="A722" s="116"/>
      <c r="B722" s="116"/>
      <c r="C722" s="116"/>
      <c r="D722" s="116"/>
      <c r="E722" s="116"/>
      <c r="F722" s="116"/>
      <c r="G722" s="116"/>
      <c r="H722" s="116"/>
      <c r="I722" s="116"/>
      <c r="J722" s="116"/>
      <c r="K722" s="116"/>
      <c r="L722" s="116"/>
      <c r="M722" s="116"/>
      <c r="N722" s="116"/>
      <c r="O722" s="116"/>
      <c r="P722" s="116"/>
      <c r="Q722" s="312"/>
      <c r="R722" s="116"/>
      <c r="S722" s="116"/>
      <c r="T722" s="116"/>
      <c r="U722" s="116"/>
      <c r="V722" s="313"/>
      <c r="W722" s="314"/>
      <c r="X722" s="43"/>
      <c r="Y722" s="43"/>
      <c r="Z722" s="43"/>
      <c r="AA722" s="43"/>
      <c r="AB722" s="43"/>
    </row>
    <row r="723">
      <c r="A723" s="116"/>
      <c r="B723" s="116"/>
      <c r="C723" s="116"/>
      <c r="D723" s="116"/>
      <c r="E723" s="116"/>
      <c r="F723" s="116"/>
      <c r="G723" s="116"/>
      <c r="H723" s="116"/>
      <c r="I723" s="116"/>
      <c r="J723" s="116"/>
      <c r="K723" s="116"/>
      <c r="L723" s="116"/>
      <c r="M723" s="116"/>
      <c r="N723" s="116"/>
      <c r="O723" s="116"/>
      <c r="P723" s="116"/>
      <c r="Q723" s="312"/>
      <c r="R723" s="116"/>
      <c r="S723" s="116"/>
      <c r="T723" s="116"/>
      <c r="U723" s="116"/>
      <c r="V723" s="313"/>
      <c r="W723" s="314"/>
      <c r="X723" s="43"/>
      <c r="Y723" s="43"/>
      <c r="Z723" s="43"/>
      <c r="AA723" s="43"/>
      <c r="AB723" s="43"/>
    </row>
    <row r="724">
      <c r="A724" s="116"/>
      <c r="B724" s="116"/>
      <c r="C724" s="116"/>
      <c r="D724" s="116"/>
      <c r="E724" s="116"/>
      <c r="F724" s="116"/>
      <c r="G724" s="116"/>
      <c r="H724" s="116"/>
      <c r="I724" s="116"/>
      <c r="J724" s="116"/>
      <c r="K724" s="116"/>
      <c r="L724" s="116"/>
      <c r="M724" s="116"/>
      <c r="N724" s="116"/>
      <c r="O724" s="116"/>
      <c r="P724" s="116"/>
      <c r="Q724" s="312"/>
      <c r="R724" s="116"/>
      <c r="S724" s="116"/>
      <c r="T724" s="116"/>
      <c r="U724" s="116"/>
      <c r="V724" s="313"/>
      <c r="W724" s="314"/>
      <c r="X724" s="43"/>
      <c r="Y724" s="43"/>
      <c r="Z724" s="43"/>
      <c r="AA724" s="43"/>
      <c r="AB724" s="43"/>
    </row>
    <row r="725">
      <c r="A725" s="116"/>
      <c r="B725" s="116"/>
      <c r="C725" s="116"/>
      <c r="D725" s="116"/>
      <c r="E725" s="116"/>
      <c r="F725" s="116"/>
      <c r="G725" s="116"/>
      <c r="H725" s="116"/>
      <c r="I725" s="116"/>
      <c r="J725" s="116"/>
      <c r="K725" s="116"/>
      <c r="L725" s="116"/>
      <c r="M725" s="116"/>
      <c r="N725" s="116"/>
      <c r="O725" s="116"/>
      <c r="P725" s="116"/>
      <c r="Q725" s="312"/>
      <c r="R725" s="116"/>
      <c r="S725" s="116"/>
      <c r="T725" s="116"/>
      <c r="U725" s="116"/>
      <c r="V725" s="313"/>
      <c r="W725" s="314"/>
      <c r="X725" s="43"/>
      <c r="Y725" s="43"/>
      <c r="Z725" s="43"/>
      <c r="AA725" s="43"/>
      <c r="AB725" s="43"/>
    </row>
    <row r="726">
      <c r="A726" s="116"/>
      <c r="B726" s="116"/>
      <c r="C726" s="116"/>
      <c r="D726" s="116"/>
      <c r="E726" s="116"/>
      <c r="F726" s="116"/>
      <c r="G726" s="116"/>
      <c r="H726" s="116"/>
      <c r="I726" s="116"/>
      <c r="J726" s="116"/>
      <c r="K726" s="116"/>
      <c r="L726" s="116"/>
      <c r="M726" s="116"/>
      <c r="N726" s="116"/>
      <c r="O726" s="116"/>
      <c r="P726" s="116"/>
      <c r="Q726" s="312"/>
      <c r="R726" s="116"/>
      <c r="S726" s="116"/>
      <c r="T726" s="116"/>
      <c r="U726" s="116"/>
      <c r="V726" s="313"/>
      <c r="W726" s="314"/>
      <c r="X726" s="43"/>
      <c r="Y726" s="43"/>
      <c r="Z726" s="43"/>
      <c r="AA726" s="43"/>
      <c r="AB726" s="43"/>
    </row>
    <row r="727">
      <c r="A727" s="116"/>
      <c r="B727" s="116"/>
      <c r="C727" s="116"/>
      <c r="D727" s="116"/>
      <c r="E727" s="116"/>
      <c r="F727" s="116"/>
      <c r="G727" s="116"/>
      <c r="H727" s="116"/>
      <c r="I727" s="116"/>
      <c r="J727" s="116"/>
      <c r="K727" s="116"/>
      <c r="L727" s="116"/>
      <c r="M727" s="116"/>
      <c r="N727" s="116"/>
      <c r="O727" s="116"/>
      <c r="P727" s="116"/>
      <c r="Q727" s="312"/>
      <c r="R727" s="116"/>
      <c r="S727" s="116"/>
      <c r="T727" s="116"/>
      <c r="U727" s="116"/>
      <c r="V727" s="313"/>
      <c r="W727" s="314"/>
      <c r="X727" s="43"/>
      <c r="Y727" s="43"/>
      <c r="Z727" s="43"/>
      <c r="AA727" s="43"/>
      <c r="AB727" s="43"/>
    </row>
    <row r="728">
      <c r="A728" s="116"/>
      <c r="B728" s="116"/>
      <c r="C728" s="116"/>
      <c r="D728" s="116"/>
      <c r="E728" s="116"/>
      <c r="F728" s="116"/>
      <c r="G728" s="116"/>
      <c r="H728" s="116"/>
      <c r="I728" s="116"/>
      <c r="J728" s="116"/>
      <c r="K728" s="116"/>
      <c r="L728" s="116"/>
      <c r="M728" s="116"/>
      <c r="N728" s="116"/>
      <c r="O728" s="116"/>
      <c r="P728" s="116"/>
      <c r="Q728" s="312"/>
      <c r="R728" s="116"/>
      <c r="S728" s="116"/>
      <c r="T728" s="116"/>
      <c r="U728" s="116"/>
      <c r="V728" s="313"/>
      <c r="W728" s="314"/>
      <c r="X728" s="43"/>
      <c r="Y728" s="43"/>
      <c r="Z728" s="43"/>
      <c r="AA728" s="43"/>
      <c r="AB728" s="43"/>
    </row>
    <row r="729">
      <c r="A729" s="116"/>
      <c r="B729" s="116"/>
      <c r="C729" s="116"/>
      <c r="D729" s="116"/>
      <c r="E729" s="116"/>
      <c r="F729" s="116"/>
      <c r="G729" s="116"/>
      <c r="H729" s="116"/>
      <c r="I729" s="116"/>
      <c r="J729" s="116"/>
      <c r="K729" s="116"/>
      <c r="L729" s="116"/>
      <c r="M729" s="116"/>
      <c r="N729" s="116"/>
      <c r="O729" s="116"/>
      <c r="P729" s="116"/>
      <c r="Q729" s="312"/>
      <c r="R729" s="116"/>
      <c r="S729" s="116"/>
      <c r="T729" s="116"/>
      <c r="U729" s="116"/>
      <c r="V729" s="313"/>
      <c r="W729" s="314"/>
      <c r="X729" s="43"/>
      <c r="Y729" s="43"/>
      <c r="Z729" s="43"/>
      <c r="AA729" s="43"/>
      <c r="AB729" s="43"/>
    </row>
    <row r="730">
      <c r="A730" s="116"/>
      <c r="B730" s="116"/>
      <c r="C730" s="116"/>
      <c r="D730" s="116"/>
      <c r="E730" s="116"/>
      <c r="F730" s="116"/>
      <c r="G730" s="116"/>
      <c r="H730" s="116"/>
      <c r="I730" s="116"/>
      <c r="J730" s="116"/>
      <c r="K730" s="116"/>
      <c r="L730" s="116"/>
      <c r="M730" s="116"/>
      <c r="N730" s="116"/>
      <c r="O730" s="116"/>
      <c r="P730" s="116"/>
      <c r="Q730" s="312"/>
      <c r="R730" s="116"/>
      <c r="S730" s="116"/>
      <c r="T730" s="116"/>
      <c r="U730" s="116"/>
      <c r="V730" s="313"/>
      <c r="W730" s="314"/>
      <c r="X730" s="43"/>
      <c r="Y730" s="43"/>
      <c r="Z730" s="43"/>
      <c r="AA730" s="43"/>
      <c r="AB730" s="43"/>
    </row>
    <row r="731">
      <c r="A731" s="116"/>
      <c r="B731" s="116"/>
      <c r="C731" s="116"/>
      <c r="D731" s="116"/>
      <c r="E731" s="116"/>
      <c r="F731" s="116"/>
      <c r="G731" s="116"/>
      <c r="H731" s="116"/>
      <c r="I731" s="116"/>
      <c r="J731" s="116"/>
      <c r="K731" s="116"/>
      <c r="L731" s="116"/>
      <c r="M731" s="116"/>
      <c r="N731" s="116"/>
      <c r="O731" s="116"/>
      <c r="P731" s="116"/>
      <c r="Q731" s="312"/>
      <c r="R731" s="116"/>
      <c r="S731" s="116"/>
      <c r="T731" s="116"/>
      <c r="U731" s="116"/>
      <c r="V731" s="313"/>
      <c r="W731" s="314"/>
      <c r="X731" s="43"/>
      <c r="Y731" s="43"/>
      <c r="Z731" s="43"/>
      <c r="AA731" s="43"/>
      <c r="AB731" s="43"/>
    </row>
    <row r="732">
      <c r="A732" s="116"/>
      <c r="B732" s="116"/>
      <c r="C732" s="116"/>
      <c r="D732" s="116"/>
      <c r="E732" s="116"/>
      <c r="F732" s="116"/>
      <c r="G732" s="116"/>
      <c r="H732" s="116"/>
      <c r="I732" s="116"/>
      <c r="J732" s="116"/>
      <c r="K732" s="116"/>
      <c r="L732" s="116"/>
      <c r="M732" s="116"/>
      <c r="N732" s="116"/>
      <c r="O732" s="116"/>
      <c r="P732" s="116"/>
      <c r="Q732" s="312"/>
      <c r="R732" s="116"/>
      <c r="S732" s="116"/>
      <c r="T732" s="116"/>
      <c r="U732" s="116"/>
      <c r="V732" s="313"/>
      <c r="W732" s="314"/>
      <c r="X732" s="43"/>
      <c r="Y732" s="43"/>
      <c r="Z732" s="43"/>
      <c r="AA732" s="43"/>
      <c r="AB732" s="43"/>
    </row>
    <row r="733">
      <c r="A733" s="116"/>
      <c r="B733" s="116"/>
      <c r="C733" s="116"/>
      <c r="D733" s="116"/>
      <c r="E733" s="116"/>
      <c r="F733" s="116"/>
      <c r="G733" s="116"/>
      <c r="H733" s="116"/>
      <c r="I733" s="116"/>
      <c r="J733" s="116"/>
      <c r="K733" s="116"/>
      <c r="L733" s="116"/>
      <c r="M733" s="116"/>
      <c r="N733" s="116"/>
      <c r="O733" s="116"/>
      <c r="P733" s="116"/>
      <c r="Q733" s="312"/>
      <c r="R733" s="116"/>
      <c r="S733" s="116"/>
      <c r="T733" s="116"/>
      <c r="U733" s="116"/>
      <c r="V733" s="313"/>
      <c r="W733" s="314"/>
      <c r="X733" s="43"/>
      <c r="Y733" s="43"/>
      <c r="Z733" s="43"/>
      <c r="AA733" s="43"/>
      <c r="AB733" s="43"/>
    </row>
    <row r="734">
      <c r="A734" s="116"/>
      <c r="B734" s="116"/>
      <c r="C734" s="116"/>
      <c r="D734" s="116"/>
      <c r="E734" s="116"/>
      <c r="F734" s="116"/>
      <c r="G734" s="116"/>
      <c r="H734" s="116"/>
      <c r="I734" s="116"/>
      <c r="J734" s="116"/>
      <c r="K734" s="116"/>
      <c r="L734" s="116"/>
      <c r="M734" s="116"/>
      <c r="N734" s="116"/>
      <c r="O734" s="116"/>
      <c r="P734" s="116"/>
      <c r="Q734" s="312"/>
      <c r="R734" s="116"/>
      <c r="S734" s="116"/>
      <c r="T734" s="116"/>
      <c r="U734" s="116"/>
      <c r="V734" s="313"/>
      <c r="W734" s="314"/>
      <c r="X734" s="43"/>
      <c r="Y734" s="43"/>
      <c r="Z734" s="43"/>
      <c r="AA734" s="43"/>
      <c r="AB734" s="43"/>
    </row>
    <row r="735">
      <c r="A735" s="116"/>
      <c r="B735" s="116"/>
      <c r="C735" s="116"/>
      <c r="D735" s="116"/>
      <c r="E735" s="116"/>
      <c r="F735" s="116"/>
      <c r="G735" s="116"/>
      <c r="H735" s="116"/>
      <c r="I735" s="116"/>
      <c r="J735" s="116"/>
      <c r="K735" s="116"/>
      <c r="L735" s="116"/>
      <c r="M735" s="116"/>
      <c r="N735" s="116"/>
      <c r="O735" s="116"/>
      <c r="P735" s="116"/>
      <c r="Q735" s="312"/>
      <c r="R735" s="116"/>
      <c r="S735" s="116"/>
      <c r="T735" s="116"/>
      <c r="U735" s="116"/>
      <c r="V735" s="313"/>
      <c r="W735" s="314"/>
      <c r="X735" s="43"/>
      <c r="Y735" s="43"/>
      <c r="Z735" s="43"/>
      <c r="AA735" s="43"/>
      <c r="AB735" s="43"/>
    </row>
    <row r="736">
      <c r="A736" s="116"/>
      <c r="B736" s="116"/>
      <c r="C736" s="116"/>
      <c r="D736" s="116"/>
      <c r="E736" s="116"/>
      <c r="F736" s="116"/>
      <c r="G736" s="116"/>
      <c r="H736" s="116"/>
      <c r="I736" s="116"/>
      <c r="J736" s="116"/>
      <c r="K736" s="116"/>
      <c r="L736" s="116"/>
      <c r="M736" s="116"/>
      <c r="N736" s="116"/>
      <c r="O736" s="116"/>
      <c r="P736" s="116"/>
      <c r="Q736" s="312"/>
      <c r="R736" s="116"/>
      <c r="S736" s="116"/>
      <c r="T736" s="116"/>
      <c r="U736" s="116"/>
      <c r="V736" s="313"/>
      <c r="W736" s="314"/>
      <c r="X736" s="43"/>
      <c r="Y736" s="43"/>
      <c r="Z736" s="43"/>
      <c r="AA736" s="43"/>
      <c r="AB736" s="43"/>
    </row>
    <row r="737">
      <c r="A737" s="116"/>
      <c r="B737" s="116"/>
      <c r="C737" s="116"/>
      <c r="D737" s="116"/>
      <c r="E737" s="116"/>
      <c r="F737" s="116"/>
      <c r="G737" s="116"/>
      <c r="H737" s="116"/>
      <c r="I737" s="116"/>
      <c r="J737" s="116"/>
      <c r="K737" s="116"/>
      <c r="L737" s="116"/>
      <c r="M737" s="116"/>
      <c r="N737" s="116"/>
      <c r="O737" s="116"/>
      <c r="P737" s="116"/>
      <c r="Q737" s="312"/>
      <c r="R737" s="116"/>
      <c r="S737" s="116"/>
      <c r="T737" s="116"/>
      <c r="U737" s="116"/>
      <c r="V737" s="313"/>
      <c r="W737" s="314"/>
      <c r="X737" s="43"/>
      <c r="Y737" s="43"/>
      <c r="Z737" s="43"/>
      <c r="AA737" s="43"/>
      <c r="AB737" s="43"/>
    </row>
    <row r="738">
      <c r="A738" s="116"/>
      <c r="B738" s="116"/>
      <c r="C738" s="116"/>
      <c r="D738" s="116"/>
      <c r="E738" s="116"/>
      <c r="F738" s="116"/>
      <c r="G738" s="116"/>
      <c r="H738" s="116"/>
      <c r="I738" s="116"/>
      <c r="J738" s="116"/>
      <c r="K738" s="116"/>
      <c r="L738" s="116"/>
      <c r="M738" s="116"/>
      <c r="N738" s="116"/>
      <c r="O738" s="116"/>
      <c r="P738" s="116"/>
      <c r="Q738" s="312"/>
      <c r="R738" s="116"/>
      <c r="S738" s="116"/>
      <c r="T738" s="116"/>
      <c r="U738" s="116"/>
      <c r="V738" s="313"/>
      <c r="W738" s="314"/>
      <c r="X738" s="43"/>
      <c r="Y738" s="43"/>
      <c r="Z738" s="43"/>
      <c r="AA738" s="43"/>
      <c r="AB738" s="43"/>
    </row>
    <row r="739">
      <c r="A739" s="116"/>
      <c r="B739" s="116"/>
      <c r="C739" s="116"/>
      <c r="D739" s="116"/>
      <c r="E739" s="116"/>
      <c r="F739" s="116"/>
      <c r="G739" s="116"/>
      <c r="H739" s="116"/>
      <c r="I739" s="116"/>
      <c r="J739" s="116"/>
      <c r="K739" s="116"/>
      <c r="L739" s="116"/>
      <c r="M739" s="116"/>
      <c r="N739" s="116"/>
      <c r="O739" s="116"/>
      <c r="P739" s="116"/>
      <c r="Q739" s="312"/>
      <c r="R739" s="116"/>
      <c r="S739" s="116"/>
      <c r="T739" s="116"/>
      <c r="U739" s="116"/>
      <c r="V739" s="313"/>
      <c r="W739" s="314"/>
      <c r="X739" s="43"/>
      <c r="Y739" s="43"/>
      <c r="Z739" s="43"/>
      <c r="AA739" s="43"/>
      <c r="AB739" s="43"/>
    </row>
    <row r="740">
      <c r="A740" s="116"/>
      <c r="B740" s="116"/>
      <c r="C740" s="116"/>
      <c r="D740" s="116"/>
      <c r="E740" s="116"/>
      <c r="F740" s="116"/>
      <c r="G740" s="116"/>
      <c r="H740" s="116"/>
      <c r="I740" s="116"/>
      <c r="J740" s="116"/>
      <c r="K740" s="116"/>
      <c r="L740" s="116"/>
      <c r="M740" s="116"/>
      <c r="N740" s="116"/>
      <c r="O740" s="116"/>
      <c r="P740" s="116"/>
      <c r="Q740" s="312"/>
      <c r="R740" s="116"/>
      <c r="S740" s="116"/>
      <c r="T740" s="116"/>
      <c r="U740" s="116"/>
      <c r="V740" s="313"/>
      <c r="W740" s="314"/>
      <c r="X740" s="43"/>
      <c r="Y740" s="43"/>
      <c r="Z740" s="43"/>
      <c r="AA740" s="43"/>
      <c r="AB740" s="43"/>
    </row>
    <row r="741">
      <c r="A741" s="116"/>
      <c r="B741" s="116"/>
      <c r="C741" s="116"/>
      <c r="D741" s="116"/>
      <c r="E741" s="116"/>
      <c r="F741" s="116"/>
      <c r="G741" s="116"/>
      <c r="H741" s="116"/>
      <c r="I741" s="116"/>
      <c r="J741" s="116"/>
      <c r="K741" s="116"/>
      <c r="L741" s="116"/>
      <c r="M741" s="116"/>
      <c r="N741" s="116"/>
      <c r="O741" s="116"/>
      <c r="P741" s="116"/>
      <c r="Q741" s="312"/>
      <c r="R741" s="116"/>
      <c r="S741" s="116"/>
      <c r="T741" s="116"/>
      <c r="U741" s="116"/>
      <c r="V741" s="313"/>
      <c r="W741" s="314"/>
      <c r="X741" s="43"/>
      <c r="Y741" s="43"/>
      <c r="Z741" s="43"/>
      <c r="AA741" s="43"/>
      <c r="AB741" s="43"/>
    </row>
    <row r="742">
      <c r="A742" s="116"/>
      <c r="B742" s="116"/>
      <c r="C742" s="116"/>
      <c r="D742" s="116"/>
      <c r="E742" s="116"/>
      <c r="F742" s="116"/>
      <c r="G742" s="116"/>
      <c r="H742" s="116"/>
      <c r="I742" s="116"/>
      <c r="J742" s="116"/>
      <c r="K742" s="116"/>
      <c r="L742" s="116"/>
      <c r="M742" s="116"/>
      <c r="N742" s="116"/>
      <c r="O742" s="116"/>
      <c r="P742" s="116"/>
      <c r="Q742" s="312"/>
      <c r="R742" s="116"/>
      <c r="S742" s="116"/>
      <c r="T742" s="116"/>
      <c r="U742" s="116"/>
      <c r="V742" s="313"/>
      <c r="W742" s="314"/>
      <c r="X742" s="43"/>
      <c r="Y742" s="43"/>
      <c r="Z742" s="43"/>
      <c r="AA742" s="43"/>
      <c r="AB742" s="43"/>
    </row>
    <row r="743">
      <c r="A743" s="116"/>
      <c r="B743" s="116"/>
      <c r="C743" s="116"/>
      <c r="D743" s="116"/>
      <c r="E743" s="116"/>
      <c r="F743" s="116"/>
      <c r="G743" s="116"/>
      <c r="H743" s="116"/>
      <c r="I743" s="116"/>
      <c r="J743" s="116"/>
      <c r="K743" s="116"/>
      <c r="L743" s="116"/>
      <c r="M743" s="116"/>
      <c r="N743" s="116"/>
      <c r="O743" s="116"/>
      <c r="P743" s="116"/>
      <c r="Q743" s="312"/>
      <c r="R743" s="116"/>
      <c r="S743" s="116"/>
      <c r="T743" s="116"/>
      <c r="U743" s="116"/>
      <c r="V743" s="313"/>
      <c r="W743" s="314"/>
      <c r="X743" s="43"/>
      <c r="Y743" s="43"/>
      <c r="Z743" s="43"/>
      <c r="AA743" s="43"/>
      <c r="AB743" s="43"/>
    </row>
    <row r="744">
      <c r="A744" s="116"/>
      <c r="B744" s="116"/>
      <c r="C744" s="116"/>
      <c r="D744" s="116"/>
      <c r="E744" s="116"/>
      <c r="F744" s="116"/>
      <c r="G744" s="116"/>
      <c r="H744" s="116"/>
      <c r="I744" s="116"/>
      <c r="J744" s="116"/>
      <c r="K744" s="116"/>
      <c r="L744" s="116"/>
      <c r="M744" s="116"/>
      <c r="N744" s="116"/>
      <c r="O744" s="116"/>
      <c r="P744" s="116"/>
      <c r="Q744" s="312"/>
      <c r="R744" s="116"/>
      <c r="S744" s="116"/>
      <c r="T744" s="116"/>
      <c r="U744" s="116"/>
      <c r="V744" s="313"/>
      <c r="W744" s="314"/>
      <c r="X744" s="43"/>
      <c r="Y744" s="43"/>
      <c r="Z744" s="43"/>
      <c r="AA744" s="43"/>
      <c r="AB744" s="43"/>
    </row>
    <row r="745">
      <c r="A745" s="116"/>
      <c r="B745" s="116"/>
      <c r="C745" s="116"/>
      <c r="D745" s="116"/>
      <c r="E745" s="116"/>
      <c r="F745" s="116"/>
      <c r="G745" s="116"/>
      <c r="H745" s="116"/>
      <c r="I745" s="116"/>
      <c r="J745" s="116"/>
      <c r="K745" s="116"/>
      <c r="L745" s="116"/>
      <c r="M745" s="116"/>
      <c r="N745" s="116"/>
      <c r="O745" s="116"/>
      <c r="P745" s="116"/>
      <c r="Q745" s="312"/>
      <c r="R745" s="116"/>
      <c r="S745" s="116"/>
      <c r="T745" s="116"/>
      <c r="U745" s="116"/>
      <c r="V745" s="313"/>
      <c r="W745" s="314"/>
      <c r="X745" s="43"/>
      <c r="Y745" s="43"/>
      <c r="Z745" s="43"/>
      <c r="AA745" s="43"/>
      <c r="AB745" s="43"/>
    </row>
    <row r="746">
      <c r="A746" s="116"/>
      <c r="B746" s="116"/>
      <c r="C746" s="116"/>
      <c r="D746" s="116"/>
      <c r="E746" s="116"/>
      <c r="F746" s="116"/>
      <c r="G746" s="116"/>
      <c r="H746" s="116"/>
      <c r="I746" s="116"/>
      <c r="J746" s="116"/>
      <c r="K746" s="116"/>
      <c r="L746" s="116"/>
      <c r="M746" s="116"/>
      <c r="N746" s="116"/>
      <c r="O746" s="116"/>
      <c r="P746" s="116"/>
      <c r="Q746" s="312"/>
      <c r="R746" s="116"/>
      <c r="S746" s="116"/>
      <c r="T746" s="116"/>
      <c r="U746" s="116"/>
      <c r="V746" s="313"/>
      <c r="W746" s="314"/>
      <c r="X746" s="43"/>
      <c r="Y746" s="43"/>
      <c r="Z746" s="43"/>
      <c r="AA746" s="43"/>
      <c r="AB746" s="43"/>
    </row>
    <row r="747">
      <c r="A747" s="116"/>
      <c r="B747" s="116"/>
      <c r="C747" s="116"/>
      <c r="D747" s="116"/>
      <c r="E747" s="116"/>
      <c r="F747" s="116"/>
      <c r="G747" s="116"/>
      <c r="H747" s="116"/>
      <c r="I747" s="116"/>
      <c r="J747" s="116"/>
      <c r="K747" s="116"/>
      <c r="L747" s="116"/>
      <c r="M747" s="116"/>
      <c r="N747" s="116"/>
      <c r="O747" s="116"/>
      <c r="P747" s="116"/>
      <c r="Q747" s="312"/>
      <c r="R747" s="116"/>
      <c r="S747" s="116"/>
      <c r="T747" s="116"/>
      <c r="U747" s="116"/>
      <c r="V747" s="313"/>
      <c r="W747" s="314"/>
      <c r="X747" s="43"/>
      <c r="Y747" s="43"/>
      <c r="Z747" s="43"/>
      <c r="AA747" s="43"/>
      <c r="AB747" s="43"/>
    </row>
    <row r="748">
      <c r="A748" s="116"/>
      <c r="B748" s="116"/>
      <c r="C748" s="116"/>
      <c r="D748" s="116"/>
      <c r="E748" s="116"/>
      <c r="F748" s="116"/>
      <c r="G748" s="116"/>
      <c r="H748" s="116"/>
      <c r="I748" s="116"/>
      <c r="J748" s="116"/>
      <c r="K748" s="116"/>
      <c r="L748" s="116"/>
      <c r="M748" s="116"/>
      <c r="N748" s="116"/>
      <c r="O748" s="116"/>
      <c r="P748" s="116"/>
      <c r="Q748" s="312"/>
      <c r="R748" s="116"/>
      <c r="S748" s="116"/>
      <c r="T748" s="116"/>
      <c r="U748" s="116"/>
      <c r="V748" s="313"/>
      <c r="W748" s="314"/>
      <c r="X748" s="43"/>
      <c r="Y748" s="43"/>
      <c r="Z748" s="43"/>
      <c r="AA748" s="43"/>
      <c r="AB748" s="43"/>
    </row>
    <row r="749">
      <c r="A749" s="116"/>
      <c r="B749" s="116"/>
      <c r="C749" s="116"/>
      <c r="D749" s="116"/>
      <c r="E749" s="116"/>
      <c r="F749" s="116"/>
      <c r="G749" s="116"/>
      <c r="H749" s="116"/>
      <c r="I749" s="116"/>
      <c r="J749" s="116"/>
      <c r="K749" s="116"/>
      <c r="L749" s="116"/>
      <c r="M749" s="116"/>
      <c r="N749" s="116"/>
      <c r="O749" s="116"/>
      <c r="P749" s="116"/>
      <c r="Q749" s="312"/>
      <c r="R749" s="116"/>
      <c r="S749" s="116"/>
      <c r="T749" s="116"/>
      <c r="U749" s="116"/>
      <c r="V749" s="313"/>
      <c r="W749" s="314"/>
      <c r="X749" s="43"/>
      <c r="Y749" s="43"/>
      <c r="Z749" s="43"/>
      <c r="AA749" s="43"/>
      <c r="AB749" s="43"/>
    </row>
    <row r="750">
      <c r="A750" s="116"/>
      <c r="B750" s="116"/>
      <c r="C750" s="116"/>
      <c r="D750" s="116"/>
      <c r="E750" s="116"/>
      <c r="F750" s="116"/>
      <c r="G750" s="116"/>
      <c r="H750" s="116"/>
      <c r="I750" s="116"/>
      <c r="J750" s="116"/>
      <c r="K750" s="116"/>
      <c r="L750" s="116"/>
      <c r="M750" s="116"/>
      <c r="N750" s="116"/>
      <c r="O750" s="116"/>
      <c r="P750" s="116"/>
      <c r="Q750" s="312"/>
      <c r="R750" s="116"/>
      <c r="S750" s="116"/>
      <c r="T750" s="116"/>
      <c r="U750" s="116"/>
      <c r="V750" s="313"/>
      <c r="W750" s="314"/>
      <c r="X750" s="43"/>
      <c r="Y750" s="43"/>
      <c r="Z750" s="43"/>
      <c r="AA750" s="43"/>
      <c r="AB750" s="43"/>
    </row>
    <row r="751">
      <c r="A751" s="116"/>
      <c r="B751" s="116"/>
      <c r="C751" s="116"/>
      <c r="D751" s="116"/>
      <c r="E751" s="116"/>
      <c r="F751" s="116"/>
      <c r="G751" s="116"/>
      <c r="H751" s="116"/>
      <c r="I751" s="116"/>
      <c r="J751" s="116"/>
      <c r="K751" s="116"/>
      <c r="L751" s="116"/>
      <c r="M751" s="116"/>
      <c r="N751" s="116"/>
      <c r="O751" s="116"/>
      <c r="P751" s="116"/>
      <c r="Q751" s="312"/>
      <c r="R751" s="116"/>
      <c r="S751" s="116"/>
      <c r="T751" s="116"/>
      <c r="U751" s="116"/>
      <c r="V751" s="313"/>
      <c r="W751" s="314"/>
      <c r="X751" s="43"/>
      <c r="Y751" s="43"/>
      <c r="Z751" s="43"/>
      <c r="AA751" s="43"/>
      <c r="AB751" s="43"/>
    </row>
    <row r="752">
      <c r="A752" s="116"/>
      <c r="B752" s="116"/>
      <c r="C752" s="116"/>
      <c r="D752" s="116"/>
      <c r="E752" s="116"/>
      <c r="F752" s="116"/>
      <c r="G752" s="116"/>
      <c r="H752" s="116"/>
      <c r="I752" s="116"/>
      <c r="J752" s="116"/>
      <c r="K752" s="116"/>
      <c r="L752" s="116"/>
      <c r="M752" s="116"/>
      <c r="N752" s="116"/>
      <c r="O752" s="116"/>
      <c r="P752" s="116"/>
      <c r="Q752" s="312"/>
      <c r="R752" s="116"/>
      <c r="S752" s="116"/>
      <c r="T752" s="116"/>
      <c r="U752" s="116"/>
      <c r="V752" s="313"/>
      <c r="W752" s="314"/>
      <c r="X752" s="43"/>
      <c r="Y752" s="43"/>
      <c r="Z752" s="43"/>
      <c r="AA752" s="43"/>
      <c r="AB752" s="43"/>
    </row>
    <row r="753">
      <c r="A753" s="116"/>
      <c r="B753" s="116"/>
      <c r="C753" s="116"/>
      <c r="D753" s="116"/>
      <c r="E753" s="116"/>
      <c r="F753" s="116"/>
      <c r="G753" s="116"/>
      <c r="H753" s="116"/>
      <c r="I753" s="116"/>
      <c r="J753" s="116"/>
      <c r="K753" s="116"/>
      <c r="L753" s="116"/>
      <c r="M753" s="116"/>
      <c r="N753" s="116"/>
      <c r="O753" s="116"/>
      <c r="P753" s="116"/>
      <c r="Q753" s="312"/>
      <c r="R753" s="116"/>
      <c r="S753" s="116"/>
      <c r="T753" s="116"/>
      <c r="U753" s="116"/>
      <c r="V753" s="313"/>
      <c r="W753" s="314"/>
      <c r="X753" s="43"/>
      <c r="Y753" s="43"/>
      <c r="Z753" s="43"/>
      <c r="AA753" s="43"/>
      <c r="AB753" s="43"/>
    </row>
    <row r="754">
      <c r="A754" s="116"/>
      <c r="B754" s="116"/>
      <c r="C754" s="116"/>
      <c r="D754" s="116"/>
      <c r="E754" s="116"/>
      <c r="F754" s="116"/>
      <c r="G754" s="116"/>
      <c r="H754" s="116"/>
      <c r="I754" s="116"/>
      <c r="J754" s="116"/>
      <c r="K754" s="116"/>
      <c r="L754" s="116"/>
      <c r="M754" s="116"/>
      <c r="N754" s="116"/>
      <c r="O754" s="116"/>
      <c r="P754" s="116"/>
      <c r="Q754" s="312"/>
      <c r="R754" s="116"/>
      <c r="S754" s="116"/>
      <c r="T754" s="116"/>
      <c r="U754" s="116"/>
      <c r="V754" s="313"/>
      <c r="W754" s="314"/>
      <c r="X754" s="43"/>
      <c r="Y754" s="43"/>
      <c r="Z754" s="43"/>
      <c r="AA754" s="43"/>
      <c r="AB754" s="43"/>
    </row>
    <row r="755">
      <c r="A755" s="116"/>
      <c r="B755" s="116"/>
      <c r="C755" s="116"/>
      <c r="D755" s="116"/>
      <c r="E755" s="116"/>
      <c r="F755" s="116"/>
      <c r="G755" s="116"/>
      <c r="H755" s="116"/>
      <c r="I755" s="116"/>
      <c r="J755" s="116"/>
      <c r="K755" s="116"/>
      <c r="L755" s="116"/>
      <c r="M755" s="116"/>
      <c r="N755" s="116"/>
      <c r="O755" s="116"/>
      <c r="P755" s="116"/>
      <c r="Q755" s="312"/>
      <c r="R755" s="116"/>
      <c r="S755" s="116"/>
      <c r="T755" s="116"/>
      <c r="U755" s="116"/>
      <c r="V755" s="313"/>
      <c r="W755" s="314"/>
      <c r="X755" s="43"/>
      <c r="Y755" s="43"/>
      <c r="Z755" s="43"/>
      <c r="AA755" s="43"/>
      <c r="AB755" s="43"/>
    </row>
    <row r="756">
      <c r="A756" s="116"/>
      <c r="B756" s="116"/>
      <c r="C756" s="116"/>
      <c r="D756" s="116"/>
      <c r="E756" s="116"/>
      <c r="F756" s="116"/>
      <c r="G756" s="116"/>
      <c r="H756" s="116"/>
      <c r="I756" s="116"/>
      <c r="J756" s="116"/>
      <c r="K756" s="116"/>
      <c r="L756" s="116"/>
      <c r="M756" s="116"/>
      <c r="N756" s="116"/>
      <c r="O756" s="116"/>
      <c r="P756" s="116"/>
      <c r="Q756" s="312"/>
      <c r="R756" s="116"/>
      <c r="S756" s="116"/>
      <c r="T756" s="116"/>
      <c r="U756" s="116"/>
      <c r="V756" s="313"/>
      <c r="W756" s="314"/>
      <c r="X756" s="43"/>
      <c r="Y756" s="43"/>
      <c r="Z756" s="43"/>
      <c r="AA756" s="43"/>
      <c r="AB756" s="43"/>
    </row>
    <row r="757">
      <c r="A757" s="116"/>
      <c r="B757" s="116"/>
      <c r="C757" s="116"/>
      <c r="D757" s="116"/>
      <c r="E757" s="116"/>
      <c r="F757" s="116"/>
      <c r="G757" s="116"/>
      <c r="H757" s="116"/>
      <c r="I757" s="116"/>
      <c r="J757" s="116"/>
      <c r="K757" s="116"/>
      <c r="L757" s="116"/>
      <c r="M757" s="116"/>
      <c r="N757" s="116"/>
      <c r="O757" s="116"/>
      <c r="P757" s="116"/>
      <c r="Q757" s="312"/>
      <c r="R757" s="116"/>
      <c r="S757" s="116"/>
      <c r="T757" s="116"/>
      <c r="U757" s="116"/>
      <c r="V757" s="313"/>
      <c r="W757" s="314"/>
      <c r="X757" s="43"/>
      <c r="Y757" s="43"/>
      <c r="Z757" s="43"/>
      <c r="AA757" s="43"/>
      <c r="AB757" s="43"/>
    </row>
    <row r="758">
      <c r="A758" s="116"/>
      <c r="B758" s="116"/>
      <c r="C758" s="116"/>
      <c r="D758" s="116"/>
      <c r="E758" s="116"/>
      <c r="F758" s="116"/>
      <c r="G758" s="116"/>
      <c r="H758" s="116"/>
      <c r="I758" s="116"/>
      <c r="J758" s="116"/>
      <c r="K758" s="116"/>
      <c r="L758" s="116"/>
      <c r="M758" s="116"/>
      <c r="N758" s="116"/>
      <c r="O758" s="116"/>
      <c r="P758" s="116"/>
      <c r="Q758" s="312"/>
      <c r="R758" s="116"/>
      <c r="S758" s="116"/>
      <c r="T758" s="116"/>
      <c r="U758" s="116"/>
      <c r="V758" s="313"/>
      <c r="W758" s="314"/>
      <c r="X758" s="43"/>
      <c r="Y758" s="43"/>
      <c r="Z758" s="43"/>
      <c r="AA758" s="43"/>
      <c r="AB758" s="43"/>
    </row>
    <row r="759">
      <c r="A759" s="116"/>
      <c r="B759" s="116"/>
      <c r="C759" s="116"/>
      <c r="D759" s="116"/>
      <c r="E759" s="116"/>
      <c r="F759" s="116"/>
      <c r="G759" s="116"/>
      <c r="H759" s="116"/>
      <c r="I759" s="116"/>
      <c r="J759" s="116"/>
      <c r="K759" s="116"/>
      <c r="L759" s="116"/>
      <c r="M759" s="116"/>
      <c r="N759" s="116"/>
      <c r="O759" s="116"/>
      <c r="P759" s="116"/>
      <c r="Q759" s="312"/>
      <c r="R759" s="116"/>
      <c r="S759" s="116"/>
      <c r="T759" s="116"/>
      <c r="U759" s="116"/>
      <c r="V759" s="313"/>
      <c r="W759" s="314"/>
      <c r="X759" s="43"/>
      <c r="Y759" s="43"/>
      <c r="Z759" s="43"/>
      <c r="AA759" s="43"/>
      <c r="AB759" s="43"/>
    </row>
    <row r="760">
      <c r="A760" s="116"/>
      <c r="B760" s="116"/>
      <c r="C760" s="116"/>
      <c r="D760" s="116"/>
      <c r="E760" s="116"/>
      <c r="F760" s="116"/>
      <c r="G760" s="116"/>
      <c r="H760" s="116"/>
      <c r="I760" s="116"/>
      <c r="J760" s="116"/>
      <c r="K760" s="116"/>
      <c r="L760" s="116"/>
      <c r="M760" s="116"/>
      <c r="N760" s="116"/>
      <c r="O760" s="116"/>
      <c r="P760" s="116"/>
      <c r="Q760" s="312"/>
      <c r="R760" s="116"/>
      <c r="S760" s="116"/>
      <c r="T760" s="116"/>
      <c r="U760" s="116"/>
      <c r="V760" s="313"/>
      <c r="W760" s="314"/>
      <c r="X760" s="43"/>
      <c r="Y760" s="43"/>
      <c r="Z760" s="43"/>
      <c r="AA760" s="43"/>
      <c r="AB760" s="43"/>
    </row>
    <row r="761">
      <c r="A761" s="116"/>
      <c r="B761" s="116"/>
      <c r="C761" s="116"/>
      <c r="D761" s="116"/>
      <c r="E761" s="116"/>
      <c r="F761" s="116"/>
      <c r="G761" s="116"/>
      <c r="H761" s="116"/>
      <c r="I761" s="116"/>
      <c r="J761" s="116"/>
      <c r="K761" s="116"/>
      <c r="L761" s="116"/>
      <c r="M761" s="116"/>
      <c r="N761" s="116"/>
      <c r="O761" s="116"/>
      <c r="P761" s="116"/>
      <c r="Q761" s="312"/>
      <c r="R761" s="116"/>
      <c r="S761" s="116"/>
      <c r="T761" s="116"/>
      <c r="U761" s="116"/>
      <c r="V761" s="313"/>
      <c r="W761" s="314"/>
      <c r="X761" s="43"/>
      <c r="Y761" s="43"/>
      <c r="Z761" s="43"/>
      <c r="AA761" s="43"/>
      <c r="AB761" s="43"/>
    </row>
    <row r="762">
      <c r="A762" s="116"/>
      <c r="B762" s="116"/>
      <c r="C762" s="116"/>
      <c r="D762" s="116"/>
      <c r="E762" s="116"/>
      <c r="F762" s="116"/>
      <c r="G762" s="116"/>
      <c r="H762" s="116"/>
      <c r="I762" s="116"/>
      <c r="J762" s="116"/>
      <c r="K762" s="116"/>
      <c r="L762" s="116"/>
      <c r="M762" s="116"/>
      <c r="N762" s="116"/>
      <c r="O762" s="116"/>
      <c r="P762" s="116"/>
      <c r="Q762" s="312"/>
      <c r="R762" s="116"/>
      <c r="S762" s="116"/>
      <c r="T762" s="116"/>
      <c r="U762" s="116"/>
      <c r="V762" s="313"/>
      <c r="W762" s="314"/>
      <c r="X762" s="43"/>
      <c r="Y762" s="43"/>
      <c r="Z762" s="43"/>
      <c r="AA762" s="43"/>
      <c r="AB762" s="43"/>
    </row>
    <row r="763">
      <c r="A763" s="116"/>
      <c r="B763" s="116"/>
      <c r="C763" s="116"/>
      <c r="D763" s="116"/>
      <c r="E763" s="116"/>
      <c r="F763" s="116"/>
      <c r="G763" s="116"/>
      <c r="H763" s="116"/>
      <c r="I763" s="116"/>
      <c r="J763" s="116"/>
      <c r="K763" s="116"/>
      <c r="L763" s="116"/>
      <c r="M763" s="116"/>
      <c r="N763" s="116"/>
      <c r="O763" s="116"/>
      <c r="P763" s="116"/>
      <c r="Q763" s="312"/>
      <c r="R763" s="116"/>
      <c r="S763" s="116"/>
      <c r="T763" s="116"/>
      <c r="U763" s="116"/>
      <c r="V763" s="313"/>
      <c r="W763" s="314"/>
      <c r="X763" s="43"/>
      <c r="Y763" s="43"/>
      <c r="Z763" s="43"/>
      <c r="AA763" s="43"/>
      <c r="AB763" s="43"/>
    </row>
    <row r="764">
      <c r="A764" s="116"/>
      <c r="B764" s="116"/>
      <c r="C764" s="116"/>
      <c r="D764" s="116"/>
      <c r="E764" s="116"/>
      <c r="F764" s="116"/>
      <c r="G764" s="116"/>
      <c r="H764" s="116"/>
      <c r="I764" s="116"/>
      <c r="J764" s="116"/>
      <c r="K764" s="116"/>
      <c r="L764" s="116"/>
      <c r="M764" s="116"/>
      <c r="N764" s="116"/>
      <c r="O764" s="116"/>
      <c r="P764" s="116"/>
      <c r="Q764" s="312"/>
      <c r="R764" s="116"/>
      <c r="S764" s="116"/>
      <c r="T764" s="116"/>
      <c r="U764" s="116"/>
      <c r="V764" s="313"/>
      <c r="W764" s="314"/>
      <c r="X764" s="43"/>
      <c r="Y764" s="43"/>
      <c r="Z764" s="43"/>
      <c r="AA764" s="43"/>
      <c r="AB764" s="43"/>
    </row>
    <row r="765">
      <c r="A765" s="116"/>
      <c r="B765" s="116"/>
      <c r="C765" s="116"/>
      <c r="D765" s="116"/>
      <c r="E765" s="116"/>
      <c r="F765" s="116"/>
      <c r="G765" s="116"/>
      <c r="H765" s="116"/>
      <c r="I765" s="116"/>
      <c r="J765" s="116"/>
      <c r="K765" s="116"/>
      <c r="L765" s="116"/>
      <c r="M765" s="116"/>
      <c r="N765" s="116"/>
      <c r="O765" s="116"/>
      <c r="P765" s="116"/>
      <c r="Q765" s="312"/>
      <c r="R765" s="116"/>
      <c r="S765" s="116"/>
      <c r="T765" s="116"/>
      <c r="U765" s="116"/>
      <c r="V765" s="313"/>
      <c r="W765" s="314"/>
      <c r="X765" s="43"/>
      <c r="Y765" s="43"/>
      <c r="Z765" s="43"/>
      <c r="AA765" s="43"/>
      <c r="AB765" s="43"/>
    </row>
    <row r="766">
      <c r="A766" s="116"/>
      <c r="B766" s="116"/>
      <c r="C766" s="116"/>
      <c r="D766" s="116"/>
      <c r="E766" s="116"/>
      <c r="F766" s="116"/>
      <c r="G766" s="116"/>
      <c r="H766" s="116"/>
      <c r="I766" s="116"/>
      <c r="J766" s="116"/>
      <c r="K766" s="116"/>
      <c r="L766" s="116"/>
      <c r="M766" s="116"/>
      <c r="N766" s="116"/>
      <c r="O766" s="116"/>
      <c r="P766" s="116"/>
      <c r="Q766" s="312"/>
      <c r="R766" s="116"/>
      <c r="S766" s="116"/>
      <c r="T766" s="116"/>
      <c r="U766" s="116"/>
      <c r="V766" s="313"/>
      <c r="W766" s="314"/>
      <c r="X766" s="43"/>
      <c r="Y766" s="43"/>
      <c r="Z766" s="43"/>
      <c r="AA766" s="43"/>
      <c r="AB766" s="43"/>
    </row>
    <row r="767">
      <c r="A767" s="116"/>
      <c r="B767" s="116"/>
      <c r="C767" s="116"/>
      <c r="D767" s="116"/>
      <c r="E767" s="116"/>
      <c r="F767" s="116"/>
      <c r="G767" s="116"/>
      <c r="H767" s="116"/>
      <c r="I767" s="116"/>
      <c r="J767" s="116"/>
      <c r="K767" s="116"/>
      <c r="L767" s="116"/>
      <c r="M767" s="116"/>
      <c r="N767" s="116"/>
      <c r="O767" s="116"/>
      <c r="P767" s="116"/>
      <c r="Q767" s="312"/>
      <c r="R767" s="116"/>
      <c r="S767" s="116"/>
      <c r="T767" s="116"/>
      <c r="U767" s="116"/>
      <c r="V767" s="313"/>
      <c r="W767" s="314"/>
      <c r="X767" s="43"/>
      <c r="Y767" s="43"/>
      <c r="Z767" s="43"/>
      <c r="AA767" s="43"/>
      <c r="AB767" s="43"/>
    </row>
    <row r="768">
      <c r="A768" s="116"/>
      <c r="B768" s="116"/>
      <c r="C768" s="116"/>
      <c r="D768" s="116"/>
      <c r="E768" s="116"/>
      <c r="F768" s="116"/>
      <c r="G768" s="116"/>
      <c r="H768" s="116"/>
      <c r="I768" s="116"/>
      <c r="J768" s="116"/>
      <c r="K768" s="116"/>
      <c r="L768" s="116"/>
      <c r="M768" s="116"/>
      <c r="N768" s="116"/>
      <c r="O768" s="116"/>
      <c r="P768" s="116"/>
      <c r="Q768" s="312"/>
      <c r="R768" s="116"/>
      <c r="S768" s="116"/>
      <c r="T768" s="116"/>
      <c r="U768" s="116"/>
      <c r="V768" s="313"/>
      <c r="W768" s="314"/>
      <c r="X768" s="43"/>
      <c r="Y768" s="43"/>
      <c r="Z768" s="43"/>
      <c r="AA768" s="43"/>
      <c r="AB768" s="43"/>
    </row>
    <row r="769">
      <c r="A769" s="116"/>
      <c r="B769" s="116"/>
      <c r="C769" s="116"/>
      <c r="D769" s="116"/>
      <c r="E769" s="116"/>
      <c r="F769" s="116"/>
      <c r="G769" s="116"/>
      <c r="H769" s="116"/>
      <c r="I769" s="116"/>
      <c r="J769" s="116"/>
      <c r="K769" s="116"/>
      <c r="L769" s="116"/>
      <c r="M769" s="116"/>
      <c r="N769" s="116"/>
      <c r="O769" s="116"/>
      <c r="P769" s="116"/>
      <c r="Q769" s="312"/>
      <c r="R769" s="116"/>
      <c r="S769" s="116"/>
      <c r="T769" s="116"/>
      <c r="U769" s="116"/>
      <c r="V769" s="313"/>
      <c r="W769" s="314"/>
      <c r="X769" s="43"/>
      <c r="Y769" s="43"/>
      <c r="Z769" s="43"/>
      <c r="AA769" s="43"/>
      <c r="AB769" s="43"/>
    </row>
    <row r="770">
      <c r="A770" s="116"/>
      <c r="B770" s="116"/>
      <c r="C770" s="116"/>
      <c r="D770" s="116"/>
      <c r="E770" s="116"/>
      <c r="F770" s="116"/>
      <c r="G770" s="116"/>
      <c r="H770" s="116"/>
      <c r="I770" s="116"/>
      <c r="J770" s="116"/>
      <c r="K770" s="116"/>
      <c r="L770" s="116"/>
      <c r="M770" s="116"/>
      <c r="N770" s="116"/>
      <c r="O770" s="116"/>
      <c r="P770" s="116"/>
      <c r="Q770" s="312"/>
      <c r="R770" s="116"/>
      <c r="S770" s="116"/>
      <c r="T770" s="116"/>
      <c r="U770" s="116"/>
      <c r="V770" s="313"/>
      <c r="W770" s="314"/>
      <c r="X770" s="43"/>
      <c r="Y770" s="43"/>
      <c r="Z770" s="43"/>
      <c r="AA770" s="43"/>
      <c r="AB770" s="43"/>
    </row>
    <row r="771">
      <c r="A771" s="116"/>
      <c r="B771" s="116"/>
      <c r="C771" s="116"/>
      <c r="D771" s="116"/>
      <c r="E771" s="116"/>
      <c r="F771" s="116"/>
      <c r="G771" s="116"/>
      <c r="H771" s="116"/>
      <c r="I771" s="116"/>
      <c r="J771" s="116"/>
      <c r="K771" s="116"/>
      <c r="L771" s="116"/>
      <c r="M771" s="116"/>
      <c r="N771" s="116"/>
      <c r="O771" s="116"/>
      <c r="P771" s="116"/>
      <c r="Q771" s="312"/>
      <c r="R771" s="116"/>
      <c r="S771" s="116"/>
      <c r="T771" s="116"/>
      <c r="U771" s="116"/>
      <c r="V771" s="313"/>
      <c r="W771" s="314"/>
      <c r="X771" s="43"/>
      <c r="Y771" s="43"/>
      <c r="Z771" s="43"/>
      <c r="AA771" s="43"/>
      <c r="AB771" s="43"/>
    </row>
    <row r="772">
      <c r="A772" s="116"/>
      <c r="B772" s="116"/>
      <c r="C772" s="116"/>
      <c r="D772" s="116"/>
      <c r="E772" s="116"/>
      <c r="F772" s="116"/>
      <c r="G772" s="116"/>
      <c r="H772" s="116"/>
      <c r="I772" s="116"/>
      <c r="J772" s="116"/>
      <c r="K772" s="116"/>
      <c r="L772" s="116"/>
      <c r="M772" s="116"/>
      <c r="N772" s="116"/>
      <c r="O772" s="116"/>
      <c r="P772" s="116"/>
      <c r="Q772" s="312"/>
      <c r="R772" s="116"/>
      <c r="S772" s="116"/>
      <c r="T772" s="116"/>
      <c r="U772" s="116"/>
      <c r="V772" s="313"/>
      <c r="W772" s="314"/>
      <c r="X772" s="43"/>
      <c r="Y772" s="43"/>
      <c r="Z772" s="43"/>
      <c r="AA772" s="43"/>
      <c r="AB772" s="43"/>
    </row>
    <row r="773">
      <c r="A773" s="116"/>
      <c r="B773" s="116"/>
      <c r="C773" s="116"/>
      <c r="D773" s="116"/>
      <c r="E773" s="116"/>
      <c r="F773" s="116"/>
      <c r="G773" s="116"/>
      <c r="H773" s="116"/>
      <c r="I773" s="116"/>
      <c r="J773" s="116"/>
      <c r="K773" s="116"/>
      <c r="L773" s="116"/>
      <c r="M773" s="116"/>
      <c r="N773" s="116"/>
      <c r="O773" s="116"/>
      <c r="P773" s="116"/>
      <c r="Q773" s="312"/>
      <c r="R773" s="116"/>
      <c r="S773" s="116"/>
      <c r="T773" s="116"/>
      <c r="U773" s="116"/>
      <c r="V773" s="313"/>
      <c r="W773" s="314"/>
      <c r="X773" s="43"/>
      <c r="Y773" s="43"/>
      <c r="Z773" s="43"/>
      <c r="AA773" s="43"/>
      <c r="AB773" s="43"/>
    </row>
    <row r="774">
      <c r="A774" s="116"/>
      <c r="B774" s="116"/>
      <c r="C774" s="116"/>
      <c r="D774" s="116"/>
      <c r="E774" s="116"/>
      <c r="F774" s="116"/>
      <c r="G774" s="116"/>
      <c r="H774" s="116"/>
      <c r="I774" s="116"/>
      <c r="J774" s="116"/>
      <c r="K774" s="116"/>
      <c r="L774" s="116"/>
      <c r="M774" s="116"/>
      <c r="N774" s="116"/>
      <c r="O774" s="116"/>
      <c r="P774" s="116"/>
      <c r="Q774" s="312"/>
      <c r="R774" s="116"/>
      <c r="S774" s="116"/>
      <c r="T774" s="116"/>
      <c r="U774" s="116"/>
      <c r="V774" s="313"/>
      <c r="W774" s="314"/>
      <c r="X774" s="43"/>
      <c r="Y774" s="43"/>
      <c r="Z774" s="43"/>
      <c r="AA774" s="43"/>
      <c r="AB774" s="43"/>
    </row>
    <row r="775">
      <c r="A775" s="116"/>
      <c r="B775" s="116"/>
      <c r="C775" s="116"/>
      <c r="D775" s="116"/>
      <c r="E775" s="116"/>
      <c r="F775" s="116"/>
      <c r="G775" s="116"/>
      <c r="H775" s="116"/>
      <c r="I775" s="116"/>
      <c r="J775" s="116"/>
      <c r="K775" s="116"/>
      <c r="L775" s="116"/>
      <c r="M775" s="116"/>
      <c r="N775" s="116"/>
      <c r="O775" s="116"/>
      <c r="P775" s="116"/>
      <c r="Q775" s="312"/>
      <c r="R775" s="116"/>
      <c r="S775" s="116"/>
      <c r="T775" s="116"/>
      <c r="U775" s="116"/>
      <c r="V775" s="313"/>
      <c r="W775" s="314"/>
      <c r="X775" s="43"/>
      <c r="Y775" s="43"/>
      <c r="Z775" s="43"/>
      <c r="AA775" s="43"/>
      <c r="AB775" s="43"/>
    </row>
    <row r="776">
      <c r="A776" s="116"/>
      <c r="B776" s="116"/>
      <c r="C776" s="116"/>
      <c r="D776" s="116"/>
      <c r="E776" s="116"/>
      <c r="F776" s="116"/>
      <c r="G776" s="116"/>
      <c r="H776" s="116"/>
      <c r="I776" s="116"/>
      <c r="J776" s="116"/>
      <c r="K776" s="116"/>
      <c r="L776" s="116"/>
      <c r="M776" s="116"/>
      <c r="N776" s="116"/>
      <c r="O776" s="116"/>
      <c r="P776" s="116"/>
      <c r="Q776" s="312"/>
      <c r="R776" s="116"/>
      <c r="S776" s="116"/>
      <c r="T776" s="116"/>
      <c r="U776" s="116"/>
      <c r="V776" s="313"/>
      <c r="W776" s="314"/>
      <c r="X776" s="43"/>
      <c r="Y776" s="43"/>
      <c r="Z776" s="43"/>
      <c r="AA776" s="43"/>
      <c r="AB776" s="43"/>
    </row>
    <row r="777">
      <c r="A777" s="116"/>
      <c r="B777" s="116"/>
      <c r="C777" s="116"/>
      <c r="D777" s="116"/>
      <c r="E777" s="116"/>
      <c r="F777" s="116"/>
      <c r="G777" s="116"/>
      <c r="H777" s="116"/>
      <c r="I777" s="116"/>
      <c r="J777" s="116"/>
      <c r="K777" s="116"/>
      <c r="L777" s="116"/>
      <c r="M777" s="116"/>
      <c r="N777" s="116"/>
      <c r="O777" s="116"/>
      <c r="P777" s="116"/>
      <c r="Q777" s="312"/>
      <c r="R777" s="116"/>
      <c r="S777" s="116"/>
      <c r="T777" s="116"/>
      <c r="U777" s="116"/>
      <c r="V777" s="313"/>
      <c r="W777" s="314"/>
      <c r="X777" s="43"/>
      <c r="Y777" s="43"/>
      <c r="Z777" s="43"/>
      <c r="AA777" s="43"/>
      <c r="AB777" s="43"/>
    </row>
    <row r="778">
      <c r="A778" s="116"/>
      <c r="B778" s="116"/>
      <c r="C778" s="116"/>
      <c r="D778" s="116"/>
      <c r="E778" s="116"/>
      <c r="F778" s="116"/>
      <c r="G778" s="116"/>
      <c r="H778" s="116"/>
      <c r="I778" s="116"/>
      <c r="J778" s="116"/>
      <c r="K778" s="116"/>
      <c r="L778" s="116"/>
      <c r="M778" s="116"/>
      <c r="N778" s="116"/>
      <c r="O778" s="116"/>
      <c r="P778" s="116"/>
      <c r="Q778" s="312"/>
      <c r="R778" s="116"/>
      <c r="S778" s="116"/>
      <c r="T778" s="116"/>
      <c r="U778" s="116"/>
      <c r="V778" s="313"/>
      <c r="W778" s="314"/>
      <c r="X778" s="43"/>
      <c r="Y778" s="43"/>
      <c r="Z778" s="43"/>
      <c r="AA778" s="43"/>
      <c r="AB778" s="43"/>
    </row>
    <row r="779">
      <c r="A779" s="116"/>
      <c r="B779" s="116"/>
      <c r="C779" s="116"/>
      <c r="D779" s="116"/>
      <c r="E779" s="116"/>
      <c r="F779" s="116"/>
      <c r="G779" s="116"/>
      <c r="H779" s="116"/>
      <c r="I779" s="116"/>
      <c r="J779" s="116"/>
      <c r="K779" s="116"/>
      <c r="L779" s="116"/>
      <c r="M779" s="116"/>
      <c r="N779" s="116"/>
      <c r="O779" s="116"/>
      <c r="P779" s="116"/>
      <c r="Q779" s="312"/>
      <c r="R779" s="116"/>
      <c r="S779" s="116"/>
      <c r="T779" s="116"/>
      <c r="U779" s="116"/>
      <c r="V779" s="313"/>
      <c r="W779" s="314"/>
      <c r="X779" s="43"/>
      <c r="Y779" s="43"/>
      <c r="Z779" s="43"/>
      <c r="AA779" s="43"/>
      <c r="AB779" s="43"/>
    </row>
    <row r="780">
      <c r="A780" s="116"/>
      <c r="B780" s="116"/>
      <c r="C780" s="116"/>
      <c r="D780" s="116"/>
      <c r="E780" s="116"/>
      <c r="F780" s="116"/>
      <c r="G780" s="116"/>
      <c r="H780" s="116"/>
      <c r="I780" s="116"/>
      <c r="J780" s="116"/>
      <c r="K780" s="116"/>
      <c r="L780" s="116"/>
      <c r="M780" s="116"/>
      <c r="N780" s="116"/>
      <c r="O780" s="116"/>
      <c r="P780" s="116"/>
      <c r="Q780" s="312"/>
      <c r="R780" s="116"/>
      <c r="S780" s="116"/>
      <c r="T780" s="116"/>
      <c r="U780" s="116"/>
      <c r="V780" s="313"/>
      <c r="W780" s="314"/>
      <c r="X780" s="43"/>
      <c r="Y780" s="43"/>
      <c r="Z780" s="43"/>
      <c r="AA780" s="43"/>
      <c r="AB780" s="43"/>
    </row>
    <row r="781">
      <c r="A781" s="116"/>
      <c r="B781" s="116"/>
      <c r="C781" s="116"/>
      <c r="D781" s="116"/>
      <c r="E781" s="116"/>
      <c r="F781" s="116"/>
      <c r="G781" s="116"/>
      <c r="H781" s="116"/>
      <c r="I781" s="116"/>
      <c r="J781" s="116"/>
      <c r="K781" s="116"/>
      <c r="L781" s="116"/>
      <c r="M781" s="116"/>
      <c r="N781" s="116"/>
      <c r="O781" s="116"/>
      <c r="P781" s="116"/>
      <c r="Q781" s="312"/>
      <c r="R781" s="116"/>
      <c r="S781" s="116"/>
      <c r="T781" s="116"/>
      <c r="U781" s="116"/>
      <c r="V781" s="313"/>
      <c r="W781" s="314"/>
      <c r="X781" s="43"/>
      <c r="Y781" s="43"/>
      <c r="Z781" s="43"/>
      <c r="AA781" s="43"/>
      <c r="AB781" s="43"/>
    </row>
    <row r="782">
      <c r="A782" s="116"/>
      <c r="B782" s="116"/>
      <c r="C782" s="116"/>
      <c r="D782" s="116"/>
      <c r="E782" s="116"/>
      <c r="F782" s="116"/>
      <c r="G782" s="116"/>
      <c r="H782" s="116"/>
      <c r="I782" s="116"/>
      <c r="J782" s="116"/>
      <c r="K782" s="116"/>
      <c r="L782" s="116"/>
      <c r="M782" s="116"/>
      <c r="N782" s="116"/>
      <c r="O782" s="116"/>
      <c r="P782" s="116"/>
      <c r="Q782" s="312"/>
      <c r="R782" s="116"/>
      <c r="S782" s="116"/>
      <c r="T782" s="116"/>
      <c r="U782" s="116"/>
      <c r="V782" s="313"/>
      <c r="W782" s="314"/>
      <c r="X782" s="43"/>
      <c r="Y782" s="43"/>
      <c r="Z782" s="43"/>
      <c r="AA782" s="43"/>
      <c r="AB782" s="43"/>
    </row>
    <row r="783">
      <c r="A783" s="116"/>
      <c r="B783" s="116"/>
      <c r="C783" s="116"/>
      <c r="D783" s="116"/>
      <c r="E783" s="116"/>
      <c r="F783" s="116"/>
      <c r="G783" s="116"/>
      <c r="H783" s="116"/>
      <c r="I783" s="116"/>
      <c r="J783" s="116"/>
      <c r="K783" s="116"/>
      <c r="L783" s="116"/>
      <c r="M783" s="116"/>
      <c r="N783" s="116"/>
      <c r="O783" s="116"/>
      <c r="P783" s="116"/>
      <c r="Q783" s="312"/>
      <c r="R783" s="116"/>
      <c r="S783" s="116"/>
      <c r="T783" s="116"/>
      <c r="U783" s="116"/>
      <c r="V783" s="313"/>
      <c r="W783" s="314"/>
      <c r="X783" s="43"/>
      <c r="Y783" s="43"/>
      <c r="Z783" s="43"/>
      <c r="AA783" s="43"/>
      <c r="AB783" s="43"/>
    </row>
    <row r="784">
      <c r="A784" s="116"/>
      <c r="B784" s="116"/>
      <c r="C784" s="116"/>
      <c r="D784" s="116"/>
      <c r="E784" s="116"/>
      <c r="F784" s="116"/>
      <c r="G784" s="116"/>
      <c r="H784" s="116"/>
      <c r="I784" s="116"/>
      <c r="J784" s="116"/>
      <c r="K784" s="116"/>
      <c r="L784" s="116"/>
      <c r="M784" s="116"/>
      <c r="N784" s="116"/>
      <c r="O784" s="116"/>
      <c r="P784" s="116"/>
      <c r="Q784" s="312"/>
      <c r="R784" s="116"/>
      <c r="S784" s="116"/>
      <c r="T784" s="116"/>
      <c r="U784" s="116"/>
      <c r="V784" s="313"/>
      <c r="W784" s="314"/>
      <c r="X784" s="43"/>
      <c r="Y784" s="43"/>
      <c r="Z784" s="43"/>
      <c r="AA784" s="43"/>
      <c r="AB784" s="43"/>
    </row>
    <row r="785">
      <c r="A785" s="116"/>
      <c r="B785" s="116"/>
      <c r="C785" s="116"/>
      <c r="D785" s="116"/>
      <c r="E785" s="116"/>
      <c r="F785" s="116"/>
      <c r="G785" s="116"/>
      <c r="H785" s="116"/>
      <c r="I785" s="116"/>
      <c r="J785" s="116"/>
      <c r="K785" s="116"/>
      <c r="L785" s="116"/>
      <c r="M785" s="116"/>
      <c r="N785" s="116"/>
      <c r="O785" s="116"/>
      <c r="P785" s="116"/>
      <c r="Q785" s="312"/>
      <c r="R785" s="116"/>
      <c r="S785" s="116"/>
      <c r="T785" s="116"/>
      <c r="U785" s="116"/>
      <c r="V785" s="313"/>
      <c r="W785" s="314"/>
      <c r="X785" s="43"/>
      <c r="Y785" s="43"/>
      <c r="Z785" s="43"/>
      <c r="AA785" s="43"/>
      <c r="AB785" s="43"/>
    </row>
    <row r="786">
      <c r="A786" s="116"/>
      <c r="B786" s="116"/>
      <c r="C786" s="116"/>
      <c r="D786" s="116"/>
      <c r="E786" s="116"/>
      <c r="F786" s="116"/>
      <c r="G786" s="116"/>
      <c r="H786" s="116"/>
      <c r="I786" s="116"/>
      <c r="J786" s="116"/>
      <c r="K786" s="116"/>
      <c r="L786" s="116"/>
      <c r="M786" s="116"/>
      <c r="N786" s="116"/>
      <c r="O786" s="116"/>
      <c r="P786" s="116"/>
      <c r="Q786" s="312"/>
      <c r="R786" s="116"/>
      <c r="S786" s="116"/>
      <c r="T786" s="116"/>
      <c r="U786" s="116"/>
      <c r="V786" s="313"/>
      <c r="W786" s="314"/>
      <c r="X786" s="43"/>
      <c r="Y786" s="43"/>
      <c r="Z786" s="43"/>
      <c r="AA786" s="43"/>
      <c r="AB786" s="43"/>
    </row>
    <row r="787">
      <c r="A787" s="116"/>
      <c r="B787" s="116"/>
      <c r="C787" s="116"/>
      <c r="D787" s="116"/>
      <c r="E787" s="116"/>
      <c r="F787" s="116"/>
      <c r="G787" s="116"/>
      <c r="H787" s="116"/>
      <c r="I787" s="116"/>
      <c r="J787" s="116"/>
      <c r="K787" s="116"/>
      <c r="L787" s="116"/>
      <c r="M787" s="116"/>
      <c r="N787" s="116"/>
      <c r="O787" s="116"/>
      <c r="P787" s="116"/>
      <c r="Q787" s="312"/>
      <c r="R787" s="116"/>
      <c r="S787" s="116"/>
      <c r="T787" s="116"/>
      <c r="U787" s="116"/>
      <c r="V787" s="313"/>
      <c r="W787" s="314"/>
      <c r="X787" s="43"/>
      <c r="Y787" s="43"/>
      <c r="Z787" s="43"/>
      <c r="AA787" s="43"/>
      <c r="AB787" s="43"/>
    </row>
    <row r="788">
      <c r="A788" s="116"/>
      <c r="B788" s="116"/>
      <c r="C788" s="116"/>
      <c r="D788" s="116"/>
      <c r="E788" s="116"/>
      <c r="F788" s="116"/>
      <c r="G788" s="116"/>
      <c r="H788" s="116"/>
      <c r="I788" s="116"/>
      <c r="J788" s="116"/>
      <c r="K788" s="116"/>
      <c r="L788" s="116"/>
      <c r="M788" s="116"/>
      <c r="N788" s="116"/>
      <c r="O788" s="116"/>
      <c r="P788" s="116"/>
      <c r="Q788" s="312"/>
      <c r="R788" s="116"/>
      <c r="S788" s="116"/>
      <c r="T788" s="116"/>
      <c r="U788" s="116"/>
      <c r="V788" s="313"/>
      <c r="W788" s="314"/>
      <c r="X788" s="43"/>
      <c r="Y788" s="43"/>
      <c r="Z788" s="43"/>
      <c r="AA788" s="43"/>
      <c r="AB788" s="43"/>
    </row>
    <row r="789">
      <c r="A789" s="116"/>
      <c r="B789" s="116"/>
      <c r="C789" s="116"/>
      <c r="D789" s="116"/>
      <c r="E789" s="116"/>
      <c r="F789" s="116"/>
      <c r="G789" s="116"/>
      <c r="H789" s="116"/>
      <c r="I789" s="116"/>
      <c r="J789" s="116"/>
      <c r="K789" s="116"/>
      <c r="L789" s="116"/>
      <c r="M789" s="116"/>
      <c r="N789" s="116"/>
      <c r="O789" s="116"/>
      <c r="P789" s="116"/>
      <c r="Q789" s="312"/>
      <c r="R789" s="116"/>
      <c r="S789" s="116"/>
      <c r="T789" s="116"/>
      <c r="U789" s="116"/>
      <c r="V789" s="313"/>
      <c r="W789" s="314"/>
      <c r="X789" s="43"/>
      <c r="Y789" s="43"/>
      <c r="Z789" s="43"/>
      <c r="AA789" s="43"/>
      <c r="AB789" s="43"/>
    </row>
    <row r="790">
      <c r="A790" s="116"/>
      <c r="B790" s="116"/>
      <c r="C790" s="116"/>
      <c r="D790" s="116"/>
      <c r="E790" s="116"/>
      <c r="F790" s="116"/>
      <c r="G790" s="116"/>
      <c r="H790" s="116"/>
      <c r="I790" s="116"/>
      <c r="J790" s="116"/>
      <c r="K790" s="116"/>
      <c r="L790" s="116"/>
      <c r="M790" s="116"/>
      <c r="N790" s="116"/>
      <c r="O790" s="116"/>
      <c r="P790" s="116"/>
      <c r="Q790" s="312"/>
      <c r="R790" s="116"/>
      <c r="S790" s="116"/>
      <c r="T790" s="116"/>
      <c r="U790" s="116"/>
      <c r="V790" s="313"/>
      <c r="W790" s="314"/>
      <c r="X790" s="43"/>
      <c r="Y790" s="43"/>
      <c r="Z790" s="43"/>
      <c r="AA790" s="43"/>
      <c r="AB790" s="43"/>
    </row>
    <row r="791">
      <c r="A791" s="116"/>
      <c r="B791" s="116"/>
      <c r="C791" s="116"/>
      <c r="D791" s="116"/>
      <c r="E791" s="116"/>
      <c r="F791" s="116"/>
      <c r="G791" s="116"/>
      <c r="H791" s="116"/>
      <c r="I791" s="116"/>
      <c r="J791" s="116"/>
      <c r="K791" s="116"/>
      <c r="L791" s="116"/>
      <c r="M791" s="116"/>
      <c r="N791" s="116"/>
      <c r="O791" s="116"/>
      <c r="P791" s="116"/>
      <c r="Q791" s="312"/>
      <c r="R791" s="116"/>
      <c r="S791" s="116"/>
      <c r="T791" s="116"/>
      <c r="U791" s="116"/>
      <c r="V791" s="313"/>
      <c r="W791" s="314"/>
      <c r="X791" s="43"/>
      <c r="Y791" s="43"/>
      <c r="Z791" s="43"/>
      <c r="AA791" s="43"/>
      <c r="AB791" s="43"/>
    </row>
    <row r="792">
      <c r="A792" s="116"/>
      <c r="B792" s="116"/>
      <c r="C792" s="116"/>
      <c r="D792" s="116"/>
      <c r="E792" s="116"/>
      <c r="F792" s="116"/>
      <c r="G792" s="116"/>
      <c r="H792" s="116"/>
      <c r="I792" s="116"/>
      <c r="J792" s="116"/>
      <c r="K792" s="116"/>
      <c r="L792" s="116"/>
      <c r="M792" s="116"/>
      <c r="N792" s="116"/>
      <c r="O792" s="116"/>
      <c r="P792" s="116"/>
      <c r="Q792" s="312"/>
      <c r="R792" s="116"/>
      <c r="S792" s="116"/>
      <c r="T792" s="116"/>
      <c r="U792" s="116"/>
      <c r="V792" s="313"/>
      <c r="W792" s="314"/>
      <c r="X792" s="43"/>
      <c r="Y792" s="43"/>
      <c r="Z792" s="43"/>
      <c r="AA792" s="43"/>
      <c r="AB792" s="43"/>
    </row>
    <row r="793">
      <c r="A793" s="116"/>
      <c r="B793" s="116"/>
      <c r="C793" s="116"/>
      <c r="D793" s="116"/>
      <c r="E793" s="116"/>
      <c r="F793" s="116"/>
      <c r="G793" s="116"/>
      <c r="H793" s="116"/>
      <c r="I793" s="116"/>
      <c r="J793" s="116"/>
      <c r="K793" s="116"/>
      <c r="L793" s="116"/>
      <c r="M793" s="116"/>
      <c r="N793" s="116"/>
      <c r="O793" s="116"/>
      <c r="P793" s="116"/>
      <c r="Q793" s="312"/>
      <c r="R793" s="116"/>
      <c r="S793" s="116"/>
      <c r="T793" s="116"/>
      <c r="U793" s="116"/>
      <c r="V793" s="313"/>
      <c r="W793" s="314"/>
      <c r="X793" s="43"/>
      <c r="Y793" s="43"/>
      <c r="Z793" s="43"/>
      <c r="AA793" s="43"/>
      <c r="AB793" s="43"/>
    </row>
    <row r="794">
      <c r="A794" s="116"/>
      <c r="B794" s="116"/>
      <c r="C794" s="116"/>
      <c r="D794" s="116"/>
      <c r="E794" s="116"/>
      <c r="F794" s="116"/>
      <c r="G794" s="116"/>
      <c r="H794" s="116"/>
      <c r="I794" s="116"/>
      <c r="J794" s="116"/>
      <c r="K794" s="116"/>
      <c r="L794" s="116"/>
      <c r="M794" s="116"/>
      <c r="N794" s="116"/>
      <c r="O794" s="116"/>
      <c r="P794" s="116"/>
      <c r="Q794" s="312"/>
      <c r="R794" s="116"/>
      <c r="S794" s="116"/>
      <c r="T794" s="116"/>
      <c r="U794" s="116"/>
      <c r="V794" s="313"/>
      <c r="W794" s="314"/>
      <c r="X794" s="43"/>
      <c r="Y794" s="43"/>
      <c r="Z794" s="43"/>
      <c r="AA794" s="43"/>
      <c r="AB794" s="43"/>
    </row>
    <row r="795">
      <c r="A795" s="116"/>
      <c r="B795" s="116"/>
      <c r="C795" s="116"/>
      <c r="D795" s="116"/>
      <c r="E795" s="116"/>
      <c r="F795" s="116"/>
      <c r="G795" s="116"/>
      <c r="H795" s="116"/>
      <c r="I795" s="116"/>
      <c r="J795" s="116"/>
      <c r="K795" s="116"/>
      <c r="L795" s="116"/>
      <c r="M795" s="116"/>
      <c r="N795" s="116"/>
      <c r="O795" s="116"/>
      <c r="P795" s="116"/>
      <c r="Q795" s="312"/>
      <c r="R795" s="116"/>
      <c r="S795" s="116"/>
      <c r="T795" s="116"/>
      <c r="U795" s="116"/>
      <c r="V795" s="313"/>
      <c r="W795" s="314"/>
      <c r="X795" s="43"/>
      <c r="Y795" s="43"/>
      <c r="Z795" s="43"/>
      <c r="AA795" s="43"/>
      <c r="AB795" s="43"/>
    </row>
    <row r="796">
      <c r="A796" s="116"/>
      <c r="B796" s="116"/>
      <c r="C796" s="116"/>
      <c r="D796" s="116"/>
      <c r="E796" s="116"/>
      <c r="F796" s="116"/>
      <c r="G796" s="116"/>
      <c r="H796" s="116"/>
      <c r="I796" s="116"/>
      <c r="J796" s="116"/>
      <c r="K796" s="116"/>
      <c r="L796" s="116"/>
      <c r="M796" s="116"/>
      <c r="N796" s="116"/>
      <c r="O796" s="116"/>
      <c r="P796" s="116"/>
      <c r="Q796" s="312"/>
      <c r="R796" s="116"/>
      <c r="S796" s="116"/>
      <c r="T796" s="116"/>
      <c r="U796" s="116"/>
      <c r="V796" s="313"/>
      <c r="W796" s="314"/>
      <c r="X796" s="43"/>
      <c r="Y796" s="43"/>
      <c r="Z796" s="43"/>
      <c r="AA796" s="43"/>
      <c r="AB796" s="43"/>
    </row>
    <row r="797">
      <c r="A797" s="116"/>
      <c r="B797" s="116"/>
      <c r="C797" s="116"/>
      <c r="D797" s="116"/>
      <c r="E797" s="116"/>
      <c r="F797" s="116"/>
      <c r="G797" s="116"/>
      <c r="H797" s="116"/>
      <c r="I797" s="116"/>
      <c r="J797" s="116"/>
      <c r="K797" s="116"/>
      <c r="L797" s="116"/>
      <c r="M797" s="116"/>
      <c r="N797" s="116"/>
      <c r="O797" s="116"/>
      <c r="P797" s="116"/>
      <c r="Q797" s="312"/>
      <c r="R797" s="116"/>
      <c r="S797" s="116"/>
      <c r="T797" s="116"/>
      <c r="U797" s="116"/>
      <c r="V797" s="313"/>
      <c r="W797" s="314"/>
      <c r="X797" s="43"/>
      <c r="Y797" s="43"/>
      <c r="Z797" s="43"/>
      <c r="AA797" s="43"/>
      <c r="AB797" s="43"/>
    </row>
    <row r="798">
      <c r="A798" s="116"/>
      <c r="B798" s="116"/>
      <c r="C798" s="116"/>
      <c r="D798" s="116"/>
      <c r="E798" s="116"/>
      <c r="F798" s="116"/>
      <c r="G798" s="116"/>
      <c r="H798" s="116"/>
      <c r="I798" s="116"/>
      <c r="J798" s="116"/>
      <c r="K798" s="116"/>
      <c r="L798" s="116"/>
      <c r="M798" s="116"/>
      <c r="N798" s="116"/>
      <c r="O798" s="116"/>
      <c r="P798" s="116"/>
      <c r="Q798" s="312"/>
      <c r="R798" s="116"/>
      <c r="S798" s="116"/>
      <c r="T798" s="116"/>
      <c r="U798" s="116"/>
      <c r="V798" s="313"/>
      <c r="W798" s="314"/>
      <c r="X798" s="43"/>
      <c r="Y798" s="43"/>
      <c r="Z798" s="43"/>
      <c r="AA798" s="43"/>
      <c r="AB798" s="43"/>
    </row>
    <row r="799">
      <c r="A799" s="116"/>
      <c r="B799" s="116"/>
      <c r="C799" s="116"/>
      <c r="D799" s="116"/>
      <c r="E799" s="116"/>
      <c r="F799" s="116"/>
      <c r="G799" s="116"/>
      <c r="H799" s="116"/>
      <c r="I799" s="116"/>
      <c r="J799" s="116"/>
      <c r="K799" s="116"/>
      <c r="L799" s="116"/>
      <c r="M799" s="116"/>
      <c r="N799" s="116"/>
      <c r="O799" s="116"/>
      <c r="P799" s="116"/>
      <c r="Q799" s="312"/>
      <c r="R799" s="116"/>
      <c r="S799" s="116"/>
      <c r="T799" s="116"/>
      <c r="U799" s="116"/>
      <c r="V799" s="313"/>
      <c r="W799" s="314"/>
      <c r="X799" s="43"/>
      <c r="Y799" s="43"/>
      <c r="Z799" s="43"/>
      <c r="AA799" s="43"/>
      <c r="AB799" s="43"/>
    </row>
    <row r="800">
      <c r="A800" s="116"/>
      <c r="B800" s="116"/>
      <c r="C800" s="116"/>
      <c r="D800" s="116"/>
      <c r="E800" s="116"/>
      <c r="F800" s="116"/>
      <c r="G800" s="116"/>
      <c r="H800" s="116"/>
      <c r="I800" s="116"/>
      <c r="J800" s="116"/>
      <c r="K800" s="116"/>
      <c r="L800" s="116"/>
      <c r="M800" s="116"/>
      <c r="N800" s="116"/>
      <c r="O800" s="116"/>
      <c r="P800" s="116"/>
      <c r="Q800" s="312"/>
      <c r="R800" s="116"/>
      <c r="S800" s="116"/>
      <c r="T800" s="116"/>
      <c r="U800" s="116"/>
      <c r="V800" s="313"/>
      <c r="W800" s="314"/>
      <c r="X800" s="43"/>
      <c r="Y800" s="43"/>
      <c r="Z800" s="43"/>
      <c r="AA800" s="43"/>
      <c r="AB800" s="43"/>
    </row>
    <row r="801">
      <c r="A801" s="116"/>
      <c r="B801" s="116"/>
      <c r="C801" s="116"/>
      <c r="D801" s="116"/>
      <c r="E801" s="116"/>
      <c r="F801" s="116"/>
      <c r="G801" s="116"/>
      <c r="H801" s="116"/>
      <c r="I801" s="116"/>
      <c r="J801" s="116"/>
      <c r="K801" s="116"/>
      <c r="L801" s="116"/>
      <c r="M801" s="116"/>
      <c r="N801" s="116"/>
      <c r="O801" s="116"/>
      <c r="P801" s="116"/>
      <c r="Q801" s="312"/>
      <c r="R801" s="116"/>
      <c r="S801" s="116"/>
      <c r="T801" s="116"/>
      <c r="U801" s="116"/>
      <c r="V801" s="313"/>
      <c r="W801" s="314"/>
      <c r="X801" s="43"/>
      <c r="Y801" s="43"/>
      <c r="Z801" s="43"/>
      <c r="AA801" s="43"/>
      <c r="AB801" s="43"/>
    </row>
    <row r="802">
      <c r="A802" s="116"/>
      <c r="B802" s="116"/>
      <c r="C802" s="116"/>
      <c r="D802" s="116"/>
      <c r="E802" s="116"/>
      <c r="F802" s="116"/>
      <c r="G802" s="116"/>
      <c r="H802" s="116"/>
      <c r="I802" s="116"/>
      <c r="J802" s="116"/>
      <c r="K802" s="116"/>
      <c r="L802" s="116"/>
      <c r="M802" s="116"/>
      <c r="N802" s="116"/>
      <c r="O802" s="116"/>
      <c r="P802" s="116"/>
      <c r="Q802" s="312"/>
      <c r="R802" s="116"/>
      <c r="S802" s="116"/>
      <c r="T802" s="116"/>
      <c r="U802" s="116"/>
      <c r="V802" s="313"/>
      <c r="W802" s="314"/>
      <c r="X802" s="43"/>
      <c r="Y802" s="43"/>
      <c r="Z802" s="43"/>
      <c r="AA802" s="43"/>
      <c r="AB802" s="43"/>
    </row>
    <row r="803">
      <c r="A803" s="116"/>
      <c r="B803" s="116"/>
      <c r="C803" s="116"/>
      <c r="D803" s="116"/>
      <c r="E803" s="116"/>
      <c r="F803" s="116"/>
      <c r="G803" s="116"/>
      <c r="H803" s="116"/>
      <c r="I803" s="116"/>
      <c r="J803" s="116"/>
      <c r="K803" s="116"/>
      <c r="L803" s="116"/>
      <c r="M803" s="116"/>
      <c r="N803" s="116"/>
      <c r="O803" s="116"/>
      <c r="P803" s="116"/>
      <c r="Q803" s="312"/>
      <c r="R803" s="116"/>
      <c r="S803" s="116"/>
      <c r="T803" s="116"/>
      <c r="U803" s="116"/>
      <c r="V803" s="313"/>
      <c r="W803" s="314"/>
      <c r="X803" s="43"/>
      <c r="Y803" s="43"/>
      <c r="Z803" s="43"/>
      <c r="AA803" s="43"/>
      <c r="AB803" s="43"/>
    </row>
    <row r="804">
      <c r="A804" s="116"/>
      <c r="B804" s="116"/>
      <c r="C804" s="116"/>
      <c r="D804" s="116"/>
      <c r="E804" s="116"/>
      <c r="F804" s="116"/>
      <c r="G804" s="116"/>
      <c r="H804" s="116"/>
      <c r="I804" s="116"/>
      <c r="J804" s="116"/>
      <c r="K804" s="116"/>
      <c r="L804" s="116"/>
      <c r="M804" s="116"/>
      <c r="N804" s="116"/>
      <c r="O804" s="116"/>
      <c r="P804" s="116"/>
      <c r="Q804" s="312"/>
      <c r="R804" s="116"/>
      <c r="S804" s="116"/>
      <c r="T804" s="116"/>
      <c r="U804" s="116"/>
      <c r="V804" s="313"/>
      <c r="W804" s="314"/>
      <c r="X804" s="43"/>
      <c r="Y804" s="43"/>
      <c r="Z804" s="43"/>
      <c r="AA804" s="43"/>
      <c r="AB804" s="43"/>
    </row>
    <row r="805">
      <c r="A805" s="116"/>
      <c r="B805" s="116"/>
      <c r="C805" s="116"/>
      <c r="D805" s="116"/>
      <c r="E805" s="116"/>
      <c r="F805" s="116"/>
      <c r="G805" s="116"/>
      <c r="H805" s="116"/>
      <c r="I805" s="116"/>
      <c r="J805" s="116"/>
      <c r="K805" s="116"/>
      <c r="L805" s="116"/>
      <c r="M805" s="116"/>
      <c r="N805" s="116"/>
      <c r="O805" s="116"/>
      <c r="P805" s="116"/>
      <c r="Q805" s="312"/>
      <c r="R805" s="116"/>
      <c r="S805" s="116"/>
      <c r="T805" s="116"/>
      <c r="U805" s="116"/>
      <c r="V805" s="313"/>
      <c r="W805" s="314"/>
      <c r="X805" s="43"/>
      <c r="Y805" s="43"/>
      <c r="Z805" s="43"/>
      <c r="AA805" s="43"/>
      <c r="AB805" s="43"/>
    </row>
    <row r="806">
      <c r="A806" s="116"/>
      <c r="B806" s="116"/>
      <c r="C806" s="116"/>
      <c r="D806" s="116"/>
      <c r="E806" s="116"/>
      <c r="F806" s="116"/>
      <c r="G806" s="116"/>
      <c r="H806" s="116"/>
      <c r="I806" s="116"/>
      <c r="J806" s="116"/>
      <c r="K806" s="116"/>
      <c r="L806" s="116"/>
      <c r="M806" s="116"/>
      <c r="N806" s="116"/>
      <c r="O806" s="116"/>
      <c r="P806" s="116"/>
      <c r="Q806" s="312"/>
      <c r="R806" s="116"/>
      <c r="S806" s="116"/>
      <c r="T806" s="116"/>
      <c r="U806" s="116"/>
      <c r="V806" s="313"/>
      <c r="W806" s="314"/>
      <c r="X806" s="43"/>
      <c r="Y806" s="43"/>
      <c r="Z806" s="43"/>
      <c r="AA806" s="43"/>
      <c r="AB806" s="43"/>
    </row>
    <row r="807">
      <c r="A807" s="116"/>
      <c r="B807" s="116"/>
      <c r="C807" s="116"/>
      <c r="D807" s="116"/>
      <c r="E807" s="116"/>
      <c r="F807" s="116"/>
      <c r="G807" s="116"/>
      <c r="H807" s="116"/>
      <c r="I807" s="116"/>
      <c r="J807" s="116"/>
      <c r="K807" s="116"/>
      <c r="L807" s="116"/>
      <c r="M807" s="116"/>
      <c r="N807" s="116"/>
      <c r="O807" s="116"/>
      <c r="P807" s="116"/>
      <c r="Q807" s="312"/>
      <c r="R807" s="116"/>
      <c r="S807" s="116"/>
      <c r="T807" s="116"/>
      <c r="U807" s="116"/>
      <c r="V807" s="313"/>
      <c r="W807" s="314"/>
      <c r="X807" s="43"/>
      <c r="Y807" s="43"/>
      <c r="Z807" s="43"/>
      <c r="AA807" s="43"/>
      <c r="AB807" s="43"/>
    </row>
    <row r="808">
      <c r="A808" s="116"/>
      <c r="B808" s="116"/>
      <c r="C808" s="116"/>
      <c r="D808" s="116"/>
      <c r="E808" s="116"/>
      <c r="F808" s="116"/>
      <c r="G808" s="116"/>
      <c r="H808" s="116"/>
      <c r="I808" s="116"/>
      <c r="J808" s="116"/>
      <c r="K808" s="116"/>
      <c r="L808" s="116"/>
      <c r="M808" s="116"/>
      <c r="N808" s="116"/>
      <c r="O808" s="116"/>
      <c r="P808" s="116"/>
      <c r="Q808" s="312"/>
      <c r="R808" s="116"/>
      <c r="S808" s="116"/>
      <c r="T808" s="116"/>
      <c r="U808" s="116"/>
      <c r="V808" s="313"/>
      <c r="W808" s="314"/>
      <c r="X808" s="43"/>
      <c r="Y808" s="43"/>
      <c r="Z808" s="43"/>
      <c r="AA808" s="43"/>
      <c r="AB808" s="43"/>
    </row>
    <row r="809">
      <c r="A809" s="116"/>
      <c r="B809" s="116"/>
      <c r="C809" s="116"/>
      <c r="D809" s="116"/>
      <c r="E809" s="116"/>
      <c r="F809" s="116"/>
      <c r="G809" s="116"/>
      <c r="H809" s="116"/>
      <c r="I809" s="116"/>
      <c r="J809" s="116"/>
      <c r="K809" s="116"/>
      <c r="L809" s="116"/>
      <c r="M809" s="116"/>
      <c r="N809" s="116"/>
      <c r="O809" s="116"/>
      <c r="P809" s="116"/>
      <c r="Q809" s="312"/>
      <c r="R809" s="116"/>
      <c r="S809" s="116"/>
      <c r="T809" s="116"/>
      <c r="U809" s="116"/>
      <c r="V809" s="313"/>
      <c r="W809" s="314"/>
      <c r="X809" s="43"/>
      <c r="Y809" s="43"/>
      <c r="Z809" s="43"/>
      <c r="AA809" s="43"/>
      <c r="AB809" s="43"/>
    </row>
    <row r="810">
      <c r="A810" s="116"/>
      <c r="B810" s="116"/>
      <c r="C810" s="116"/>
      <c r="D810" s="116"/>
      <c r="E810" s="116"/>
      <c r="F810" s="116"/>
      <c r="G810" s="116"/>
      <c r="H810" s="116"/>
      <c r="I810" s="116"/>
      <c r="J810" s="116"/>
      <c r="K810" s="116"/>
      <c r="L810" s="116"/>
      <c r="M810" s="116"/>
      <c r="N810" s="116"/>
      <c r="O810" s="116"/>
      <c r="P810" s="116"/>
      <c r="Q810" s="312"/>
      <c r="R810" s="116"/>
      <c r="S810" s="116"/>
      <c r="T810" s="116"/>
      <c r="U810" s="116"/>
      <c r="V810" s="313"/>
      <c r="W810" s="314"/>
      <c r="X810" s="43"/>
      <c r="Y810" s="43"/>
      <c r="Z810" s="43"/>
      <c r="AA810" s="43"/>
      <c r="AB810" s="43"/>
    </row>
    <row r="811">
      <c r="A811" s="116"/>
      <c r="B811" s="116"/>
      <c r="C811" s="116"/>
      <c r="D811" s="116"/>
      <c r="E811" s="116"/>
      <c r="F811" s="116"/>
      <c r="G811" s="116"/>
      <c r="H811" s="116"/>
      <c r="I811" s="116"/>
      <c r="J811" s="116"/>
      <c r="K811" s="116"/>
      <c r="L811" s="116"/>
      <c r="M811" s="116"/>
      <c r="N811" s="116"/>
      <c r="O811" s="116"/>
      <c r="P811" s="116"/>
      <c r="Q811" s="312"/>
      <c r="R811" s="116"/>
      <c r="S811" s="116"/>
      <c r="T811" s="116"/>
      <c r="U811" s="116"/>
      <c r="V811" s="313"/>
      <c r="W811" s="314"/>
      <c r="X811" s="43"/>
      <c r="Y811" s="43"/>
      <c r="Z811" s="43"/>
      <c r="AA811" s="43"/>
      <c r="AB811" s="43"/>
    </row>
    <row r="812">
      <c r="A812" s="116"/>
      <c r="B812" s="116"/>
      <c r="C812" s="116"/>
      <c r="D812" s="116"/>
      <c r="E812" s="116"/>
      <c r="F812" s="116"/>
      <c r="G812" s="116"/>
      <c r="H812" s="116"/>
      <c r="I812" s="116"/>
      <c r="J812" s="116"/>
      <c r="K812" s="116"/>
      <c r="L812" s="116"/>
      <c r="M812" s="116"/>
      <c r="N812" s="116"/>
      <c r="O812" s="116"/>
      <c r="P812" s="116"/>
      <c r="Q812" s="312"/>
      <c r="R812" s="116"/>
      <c r="S812" s="116"/>
      <c r="T812" s="116"/>
      <c r="U812" s="116"/>
      <c r="V812" s="313"/>
      <c r="W812" s="314"/>
      <c r="X812" s="43"/>
      <c r="Y812" s="43"/>
      <c r="Z812" s="43"/>
      <c r="AA812" s="43"/>
      <c r="AB812" s="43"/>
    </row>
    <row r="813">
      <c r="A813" s="116"/>
      <c r="B813" s="116"/>
      <c r="C813" s="116"/>
      <c r="D813" s="116"/>
      <c r="E813" s="116"/>
      <c r="F813" s="116"/>
      <c r="G813" s="116"/>
      <c r="H813" s="116"/>
      <c r="I813" s="116"/>
      <c r="J813" s="116"/>
      <c r="K813" s="116"/>
      <c r="L813" s="116"/>
      <c r="M813" s="116"/>
      <c r="N813" s="116"/>
      <c r="O813" s="116"/>
      <c r="P813" s="116"/>
      <c r="Q813" s="312"/>
      <c r="R813" s="116"/>
      <c r="S813" s="116"/>
      <c r="T813" s="116"/>
      <c r="U813" s="116"/>
      <c r="V813" s="313"/>
      <c r="W813" s="314"/>
      <c r="X813" s="43"/>
      <c r="Y813" s="43"/>
      <c r="Z813" s="43"/>
      <c r="AA813" s="43"/>
      <c r="AB813" s="43"/>
    </row>
    <row r="814">
      <c r="A814" s="116"/>
      <c r="B814" s="116"/>
      <c r="C814" s="116"/>
      <c r="D814" s="116"/>
      <c r="E814" s="116"/>
      <c r="F814" s="116"/>
      <c r="G814" s="116"/>
      <c r="H814" s="116"/>
      <c r="I814" s="116"/>
      <c r="J814" s="116"/>
      <c r="K814" s="116"/>
      <c r="L814" s="116"/>
      <c r="M814" s="116"/>
      <c r="N814" s="116"/>
      <c r="O814" s="116"/>
      <c r="P814" s="116"/>
      <c r="Q814" s="312"/>
      <c r="R814" s="116"/>
      <c r="S814" s="116"/>
      <c r="T814" s="116"/>
      <c r="U814" s="116"/>
      <c r="V814" s="313"/>
      <c r="W814" s="314"/>
      <c r="X814" s="43"/>
      <c r="Y814" s="43"/>
      <c r="Z814" s="43"/>
      <c r="AA814" s="43"/>
      <c r="AB814" s="43"/>
    </row>
    <row r="815">
      <c r="A815" s="116"/>
      <c r="B815" s="116"/>
      <c r="C815" s="116"/>
      <c r="D815" s="116"/>
      <c r="E815" s="116"/>
      <c r="F815" s="116"/>
      <c r="G815" s="116"/>
      <c r="H815" s="116"/>
      <c r="I815" s="116"/>
      <c r="J815" s="116"/>
      <c r="K815" s="116"/>
      <c r="L815" s="116"/>
      <c r="M815" s="116"/>
      <c r="N815" s="116"/>
      <c r="O815" s="116"/>
      <c r="P815" s="116"/>
      <c r="Q815" s="312"/>
      <c r="R815" s="116"/>
      <c r="S815" s="116"/>
      <c r="T815" s="116"/>
      <c r="U815" s="116"/>
      <c r="V815" s="313"/>
      <c r="W815" s="314"/>
      <c r="X815" s="43"/>
      <c r="Y815" s="43"/>
      <c r="Z815" s="43"/>
      <c r="AA815" s="43"/>
      <c r="AB815" s="43"/>
    </row>
    <row r="816">
      <c r="A816" s="116"/>
      <c r="B816" s="116"/>
      <c r="C816" s="116"/>
      <c r="D816" s="116"/>
      <c r="E816" s="116"/>
      <c r="F816" s="116"/>
      <c r="G816" s="116"/>
      <c r="H816" s="116"/>
      <c r="I816" s="116"/>
      <c r="J816" s="116"/>
      <c r="K816" s="116"/>
      <c r="L816" s="116"/>
      <c r="M816" s="116"/>
      <c r="N816" s="116"/>
      <c r="O816" s="116"/>
      <c r="P816" s="116"/>
      <c r="Q816" s="312"/>
      <c r="R816" s="116"/>
      <c r="S816" s="116"/>
      <c r="T816" s="116"/>
      <c r="U816" s="116"/>
      <c r="V816" s="313"/>
      <c r="W816" s="314"/>
      <c r="X816" s="43"/>
      <c r="Y816" s="43"/>
      <c r="Z816" s="43"/>
      <c r="AA816" s="43"/>
      <c r="AB816" s="43"/>
    </row>
    <row r="817">
      <c r="A817" s="116"/>
      <c r="B817" s="116"/>
      <c r="C817" s="116"/>
      <c r="D817" s="116"/>
      <c r="E817" s="116"/>
      <c r="F817" s="116"/>
      <c r="G817" s="116"/>
      <c r="H817" s="116"/>
      <c r="I817" s="116"/>
      <c r="J817" s="116"/>
      <c r="K817" s="116"/>
      <c r="L817" s="116"/>
      <c r="M817" s="116"/>
      <c r="N817" s="116"/>
      <c r="O817" s="116"/>
      <c r="P817" s="116"/>
      <c r="Q817" s="312"/>
      <c r="R817" s="116"/>
      <c r="S817" s="116"/>
      <c r="T817" s="116"/>
      <c r="U817" s="116"/>
      <c r="V817" s="313"/>
      <c r="W817" s="314"/>
      <c r="X817" s="43"/>
      <c r="Y817" s="43"/>
      <c r="Z817" s="43"/>
      <c r="AA817" s="43"/>
      <c r="AB817" s="43"/>
    </row>
    <row r="818">
      <c r="A818" s="116"/>
      <c r="B818" s="116"/>
      <c r="C818" s="116"/>
      <c r="D818" s="116"/>
      <c r="E818" s="116"/>
      <c r="F818" s="116"/>
      <c r="G818" s="116"/>
      <c r="H818" s="116"/>
      <c r="I818" s="116"/>
      <c r="J818" s="116"/>
      <c r="K818" s="116"/>
      <c r="L818" s="116"/>
      <c r="M818" s="116"/>
      <c r="N818" s="116"/>
      <c r="O818" s="116"/>
      <c r="P818" s="116"/>
      <c r="Q818" s="312"/>
      <c r="R818" s="116"/>
      <c r="S818" s="116"/>
      <c r="T818" s="116"/>
      <c r="U818" s="116"/>
      <c r="V818" s="313"/>
      <c r="W818" s="314"/>
      <c r="X818" s="43"/>
      <c r="Y818" s="43"/>
      <c r="Z818" s="43"/>
      <c r="AA818" s="43"/>
      <c r="AB818" s="43"/>
    </row>
    <row r="819">
      <c r="A819" s="116"/>
      <c r="B819" s="116"/>
      <c r="C819" s="116"/>
      <c r="D819" s="116"/>
      <c r="E819" s="116"/>
      <c r="F819" s="116"/>
      <c r="G819" s="116"/>
      <c r="H819" s="116"/>
      <c r="I819" s="116"/>
      <c r="J819" s="116"/>
      <c r="K819" s="116"/>
      <c r="L819" s="116"/>
      <c r="M819" s="116"/>
      <c r="N819" s="116"/>
      <c r="O819" s="116"/>
      <c r="P819" s="116"/>
      <c r="Q819" s="312"/>
      <c r="R819" s="116"/>
      <c r="S819" s="116"/>
      <c r="T819" s="116"/>
      <c r="U819" s="116"/>
      <c r="V819" s="313"/>
      <c r="W819" s="314"/>
      <c r="X819" s="43"/>
      <c r="Y819" s="43"/>
      <c r="Z819" s="43"/>
      <c r="AA819" s="43"/>
      <c r="AB819" s="43"/>
    </row>
    <row r="820">
      <c r="A820" s="116"/>
      <c r="B820" s="116"/>
      <c r="C820" s="116"/>
      <c r="D820" s="116"/>
      <c r="E820" s="116"/>
      <c r="F820" s="116"/>
      <c r="G820" s="116"/>
      <c r="H820" s="116"/>
      <c r="I820" s="116"/>
      <c r="J820" s="116"/>
      <c r="K820" s="116"/>
      <c r="L820" s="116"/>
      <c r="M820" s="116"/>
      <c r="N820" s="116"/>
      <c r="O820" s="116"/>
      <c r="P820" s="116"/>
      <c r="Q820" s="312"/>
      <c r="R820" s="116"/>
      <c r="S820" s="116"/>
      <c r="T820" s="116"/>
      <c r="U820" s="116"/>
      <c r="V820" s="313"/>
      <c r="W820" s="314"/>
      <c r="X820" s="43"/>
      <c r="Y820" s="43"/>
      <c r="Z820" s="43"/>
      <c r="AA820" s="43"/>
      <c r="AB820" s="43"/>
    </row>
    <row r="821">
      <c r="A821" s="116"/>
      <c r="B821" s="116"/>
      <c r="C821" s="116"/>
      <c r="D821" s="116"/>
      <c r="E821" s="116"/>
      <c r="F821" s="116"/>
      <c r="G821" s="116"/>
      <c r="H821" s="116"/>
      <c r="I821" s="116"/>
      <c r="J821" s="116"/>
      <c r="K821" s="116"/>
      <c r="L821" s="116"/>
      <c r="M821" s="116"/>
      <c r="N821" s="116"/>
      <c r="O821" s="116"/>
      <c r="P821" s="116"/>
      <c r="Q821" s="312"/>
      <c r="R821" s="116"/>
      <c r="S821" s="116"/>
      <c r="T821" s="116"/>
      <c r="U821" s="116"/>
      <c r="V821" s="313"/>
      <c r="W821" s="314"/>
      <c r="X821" s="43"/>
      <c r="Y821" s="43"/>
      <c r="Z821" s="43"/>
      <c r="AA821" s="43"/>
      <c r="AB821" s="43"/>
    </row>
    <row r="822">
      <c r="A822" s="116"/>
      <c r="B822" s="116"/>
      <c r="C822" s="116"/>
      <c r="D822" s="116"/>
      <c r="E822" s="116"/>
      <c r="F822" s="116"/>
      <c r="G822" s="116"/>
      <c r="H822" s="116"/>
      <c r="I822" s="116"/>
      <c r="J822" s="116"/>
      <c r="K822" s="116"/>
      <c r="L822" s="116"/>
      <c r="M822" s="116"/>
      <c r="N822" s="116"/>
      <c r="O822" s="116"/>
      <c r="P822" s="116"/>
      <c r="Q822" s="312"/>
      <c r="R822" s="116"/>
      <c r="S822" s="116"/>
      <c r="T822" s="116"/>
      <c r="U822" s="116"/>
      <c r="V822" s="313"/>
      <c r="W822" s="314"/>
      <c r="X822" s="43"/>
      <c r="Y822" s="43"/>
      <c r="Z822" s="43"/>
      <c r="AA822" s="43"/>
      <c r="AB822" s="43"/>
    </row>
    <row r="823">
      <c r="A823" s="116"/>
      <c r="B823" s="116"/>
      <c r="C823" s="116"/>
      <c r="D823" s="116"/>
      <c r="E823" s="116"/>
      <c r="F823" s="116"/>
      <c r="G823" s="116"/>
      <c r="H823" s="116"/>
      <c r="I823" s="116"/>
      <c r="J823" s="116"/>
      <c r="K823" s="116"/>
      <c r="L823" s="116"/>
      <c r="M823" s="116"/>
      <c r="N823" s="116"/>
      <c r="O823" s="116"/>
      <c r="P823" s="116"/>
      <c r="Q823" s="312"/>
      <c r="R823" s="116"/>
      <c r="S823" s="116"/>
      <c r="T823" s="116"/>
      <c r="U823" s="116"/>
      <c r="V823" s="313"/>
      <c r="W823" s="314"/>
      <c r="X823" s="43"/>
      <c r="Y823" s="43"/>
      <c r="Z823" s="43"/>
      <c r="AA823" s="43"/>
      <c r="AB823" s="43"/>
    </row>
    <row r="824">
      <c r="A824" s="116"/>
      <c r="B824" s="116"/>
      <c r="C824" s="116"/>
      <c r="D824" s="116"/>
      <c r="E824" s="116"/>
      <c r="F824" s="116"/>
      <c r="G824" s="116"/>
      <c r="H824" s="116"/>
      <c r="I824" s="116"/>
      <c r="J824" s="116"/>
      <c r="K824" s="116"/>
      <c r="L824" s="116"/>
      <c r="M824" s="116"/>
      <c r="N824" s="116"/>
      <c r="O824" s="116"/>
      <c r="P824" s="116"/>
      <c r="Q824" s="312"/>
      <c r="R824" s="116"/>
      <c r="S824" s="116"/>
      <c r="T824" s="116"/>
      <c r="U824" s="116"/>
      <c r="V824" s="313"/>
      <c r="W824" s="314"/>
      <c r="X824" s="43"/>
      <c r="Y824" s="43"/>
      <c r="Z824" s="43"/>
      <c r="AA824" s="43"/>
      <c r="AB824" s="43"/>
    </row>
    <row r="825">
      <c r="A825" s="116"/>
      <c r="B825" s="116"/>
      <c r="C825" s="116"/>
      <c r="D825" s="116"/>
      <c r="E825" s="116"/>
      <c r="F825" s="116"/>
      <c r="G825" s="116"/>
      <c r="H825" s="116"/>
      <c r="I825" s="116"/>
      <c r="J825" s="116"/>
      <c r="K825" s="116"/>
      <c r="L825" s="116"/>
      <c r="M825" s="116"/>
      <c r="N825" s="116"/>
      <c r="O825" s="116"/>
      <c r="P825" s="116"/>
      <c r="Q825" s="312"/>
      <c r="R825" s="116"/>
      <c r="S825" s="116"/>
      <c r="T825" s="116"/>
      <c r="U825" s="116"/>
      <c r="V825" s="313"/>
      <c r="W825" s="314"/>
      <c r="X825" s="43"/>
      <c r="Y825" s="43"/>
      <c r="Z825" s="43"/>
      <c r="AA825" s="43"/>
      <c r="AB825" s="43"/>
    </row>
    <row r="826">
      <c r="A826" s="116"/>
      <c r="B826" s="116"/>
      <c r="C826" s="116"/>
      <c r="D826" s="116"/>
      <c r="E826" s="116"/>
      <c r="F826" s="116"/>
      <c r="G826" s="116"/>
      <c r="H826" s="116"/>
      <c r="I826" s="116"/>
      <c r="J826" s="116"/>
      <c r="K826" s="116"/>
      <c r="L826" s="116"/>
      <c r="M826" s="116"/>
      <c r="N826" s="116"/>
      <c r="O826" s="116"/>
      <c r="P826" s="116"/>
      <c r="Q826" s="312"/>
      <c r="R826" s="116"/>
      <c r="S826" s="116"/>
      <c r="T826" s="116"/>
      <c r="U826" s="116"/>
      <c r="V826" s="313"/>
      <c r="W826" s="314"/>
      <c r="X826" s="43"/>
      <c r="Y826" s="43"/>
      <c r="Z826" s="43"/>
      <c r="AA826" s="43"/>
      <c r="AB826" s="43"/>
    </row>
    <row r="827">
      <c r="A827" s="116"/>
      <c r="B827" s="116"/>
      <c r="C827" s="116"/>
      <c r="D827" s="116"/>
      <c r="E827" s="116"/>
      <c r="F827" s="116"/>
      <c r="G827" s="116"/>
      <c r="H827" s="116"/>
      <c r="I827" s="116"/>
      <c r="J827" s="116"/>
      <c r="K827" s="116"/>
      <c r="L827" s="116"/>
      <c r="M827" s="116"/>
      <c r="N827" s="116"/>
      <c r="O827" s="116"/>
      <c r="P827" s="116"/>
      <c r="Q827" s="312"/>
      <c r="R827" s="116"/>
      <c r="S827" s="116"/>
      <c r="T827" s="116"/>
      <c r="U827" s="116"/>
      <c r="V827" s="313"/>
      <c r="W827" s="314"/>
      <c r="X827" s="43"/>
      <c r="Y827" s="43"/>
      <c r="Z827" s="43"/>
      <c r="AA827" s="43"/>
      <c r="AB827" s="43"/>
    </row>
    <row r="828">
      <c r="A828" s="116"/>
      <c r="B828" s="116"/>
      <c r="C828" s="116"/>
      <c r="D828" s="116"/>
      <c r="E828" s="116"/>
      <c r="F828" s="116"/>
      <c r="G828" s="116"/>
      <c r="H828" s="116"/>
      <c r="I828" s="116"/>
      <c r="J828" s="116"/>
      <c r="K828" s="116"/>
      <c r="L828" s="116"/>
      <c r="M828" s="116"/>
      <c r="N828" s="116"/>
      <c r="O828" s="116"/>
      <c r="P828" s="116"/>
      <c r="Q828" s="312"/>
      <c r="R828" s="116"/>
      <c r="S828" s="116"/>
      <c r="T828" s="116"/>
      <c r="U828" s="116"/>
      <c r="V828" s="313"/>
      <c r="W828" s="314"/>
      <c r="X828" s="43"/>
      <c r="Y828" s="43"/>
      <c r="Z828" s="43"/>
      <c r="AA828" s="43"/>
      <c r="AB828" s="43"/>
    </row>
    <row r="829">
      <c r="A829" s="116"/>
      <c r="B829" s="116"/>
      <c r="C829" s="116"/>
      <c r="D829" s="116"/>
      <c r="E829" s="116"/>
      <c r="F829" s="116"/>
      <c r="G829" s="116"/>
      <c r="H829" s="116"/>
      <c r="I829" s="116"/>
      <c r="J829" s="116"/>
      <c r="K829" s="116"/>
      <c r="L829" s="116"/>
      <c r="M829" s="116"/>
      <c r="N829" s="116"/>
      <c r="O829" s="116"/>
      <c r="P829" s="116"/>
      <c r="Q829" s="312"/>
      <c r="R829" s="116"/>
      <c r="S829" s="116"/>
      <c r="T829" s="116"/>
      <c r="U829" s="116"/>
      <c r="V829" s="313"/>
      <c r="W829" s="314"/>
      <c r="X829" s="43"/>
      <c r="Y829" s="43"/>
      <c r="Z829" s="43"/>
      <c r="AA829" s="43"/>
      <c r="AB829" s="43"/>
    </row>
    <row r="830">
      <c r="A830" s="116"/>
      <c r="B830" s="116"/>
      <c r="C830" s="116"/>
      <c r="D830" s="116"/>
      <c r="E830" s="116"/>
      <c r="F830" s="116"/>
      <c r="G830" s="116"/>
      <c r="H830" s="116"/>
      <c r="I830" s="116"/>
      <c r="J830" s="116"/>
      <c r="K830" s="116"/>
      <c r="L830" s="116"/>
      <c r="M830" s="116"/>
      <c r="N830" s="116"/>
      <c r="O830" s="116"/>
      <c r="P830" s="116"/>
      <c r="Q830" s="312"/>
      <c r="R830" s="116"/>
      <c r="S830" s="116"/>
      <c r="T830" s="116"/>
      <c r="U830" s="116"/>
      <c r="V830" s="313"/>
      <c r="W830" s="314"/>
      <c r="X830" s="43"/>
      <c r="Y830" s="43"/>
      <c r="Z830" s="43"/>
      <c r="AA830" s="43"/>
      <c r="AB830" s="43"/>
    </row>
    <row r="831">
      <c r="A831" s="116"/>
      <c r="B831" s="116"/>
      <c r="C831" s="116"/>
      <c r="D831" s="116"/>
      <c r="E831" s="116"/>
      <c r="F831" s="116"/>
      <c r="G831" s="116"/>
      <c r="H831" s="116"/>
      <c r="I831" s="116"/>
      <c r="J831" s="116"/>
      <c r="K831" s="116"/>
      <c r="L831" s="116"/>
      <c r="M831" s="116"/>
      <c r="N831" s="116"/>
      <c r="O831" s="116"/>
      <c r="P831" s="116"/>
      <c r="Q831" s="312"/>
      <c r="R831" s="116"/>
      <c r="S831" s="116"/>
      <c r="T831" s="116"/>
      <c r="U831" s="116"/>
      <c r="V831" s="313"/>
      <c r="W831" s="314"/>
      <c r="X831" s="43"/>
      <c r="Y831" s="43"/>
      <c r="Z831" s="43"/>
      <c r="AA831" s="43"/>
      <c r="AB831" s="43"/>
    </row>
    <row r="832">
      <c r="A832" s="116"/>
      <c r="B832" s="116"/>
      <c r="C832" s="116"/>
      <c r="D832" s="116"/>
      <c r="E832" s="116"/>
      <c r="F832" s="116"/>
      <c r="G832" s="116"/>
      <c r="H832" s="116"/>
      <c r="I832" s="116"/>
      <c r="J832" s="116"/>
      <c r="K832" s="116"/>
      <c r="L832" s="116"/>
      <c r="M832" s="116"/>
      <c r="N832" s="116"/>
      <c r="O832" s="116"/>
      <c r="P832" s="116"/>
      <c r="Q832" s="312"/>
      <c r="R832" s="116"/>
      <c r="S832" s="116"/>
      <c r="T832" s="116"/>
      <c r="U832" s="116"/>
      <c r="V832" s="313"/>
      <c r="W832" s="314"/>
      <c r="X832" s="43"/>
      <c r="Y832" s="43"/>
      <c r="Z832" s="43"/>
      <c r="AA832" s="43"/>
      <c r="AB832" s="43"/>
    </row>
    <row r="833">
      <c r="A833" s="116"/>
      <c r="B833" s="116"/>
      <c r="C833" s="116"/>
      <c r="D833" s="116"/>
      <c r="E833" s="116"/>
      <c r="F833" s="116"/>
      <c r="G833" s="116"/>
      <c r="H833" s="116"/>
      <c r="I833" s="116"/>
      <c r="J833" s="116"/>
      <c r="K833" s="116"/>
      <c r="L833" s="116"/>
      <c r="M833" s="116"/>
      <c r="N833" s="116"/>
      <c r="O833" s="116"/>
      <c r="P833" s="116"/>
      <c r="Q833" s="312"/>
      <c r="R833" s="116"/>
      <c r="S833" s="116"/>
      <c r="T833" s="116"/>
      <c r="U833" s="116"/>
      <c r="V833" s="313"/>
      <c r="W833" s="314"/>
      <c r="X833" s="43"/>
      <c r="Y833" s="43"/>
      <c r="Z833" s="43"/>
      <c r="AA833" s="43"/>
      <c r="AB833" s="43"/>
    </row>
    <row r="834">
      <c r="A834" s="116"/>
      <c r="B834" s="116"/>
      <c r="C834" s="116"/>
      <c r="D834" s="116"/>
      <c r="E834" s="116"/>
      <c r="F834" s="116"/>
      <c r="G834" s="116"/>
      <c r="H834" s="116"/>
      <c r="I834" s="116"/>
      <c r="J834" s="116"/>
      <c r="K834" s="116"/>
      <c r="L834" s="116"/>
      <c r="M834" s="116"/>
      <c r="N834" s="116"/>
      <c r="O834" s="116"/>
      <c r="P834" s="116"/>
      <c r="Q834" s="312"/>
      <c r="R834" s="116"/>
      <c r="S834" s="116"/>
      <c r="T834" s="116"/>
      <c r="U834" s="116"/>
      <c r="V834" s="313"/>
      <c r="W834" s="314"/>
      <c r="X834" s="43"/>
      <c r="Y834" s="43"/>
      <c r="Z834" s="43"/>
      <c r="AA834" s="43"/>
      <c r="AB834" s="43"/>
    </row>
    <row r="835">
      <c r="A835" s="116"/>
      <c r="B835" s="116"/>
      <c r="C835" s="116"/>
      <c r="D835" s="116"/>
      <c r="E835" s="116"/>
      <c r="F835" s="116"/>
      <c r="G835" s="116"/>
      <c r="H835" s="116"/>
      <c r="I835" s="116"/>
      <c r="J835" s="116"/>
      <c r="K835" s="116"/>
      <c r="L835" s="116"/>
      <c r="M835" s="116"/>
      <c r="N835" s="116"/>
      <c r="O835" s="116"/>
      <c r="P835" s="116"/>
      <c r="Q835" s="312"/>
      <c r="R835" s="116"/>
      <c r="S835" s="116"/>
      <c r="T835" s="116"/>
      <c r="U835" s="116"/>
      <c r="V835" s="313"/>
      <c r="W835" s="314"/>
      <c r="X835" s="43"/>
      <c r="Y835" s="43"/>
      <c r="Z835" s="43"/>
      <c r="AA835" s="43"/>
      <c r="AB835" s="43"/>
    </row>
    <row r="836">
      <c r="A836" s="116"/>
      <c r="B836" s="116"/>
      <c r="C836" s="116"/>
      <c r="D836" s="116"/>
      <c r="E836" s="116"/>
      <c r="F836" s="116"/>
      <c r="G836" s="116"/>
      <c r="H836" s="116"/>
      <c r="I836" s="116"/>
      <c r="J836" s="116"/>
      <c r="K836" s="116"/>
      <c r="L836" s="116"/>
      <c r="M836" s="116"/>
      <c r="N836" s="116"/>
      <c r="O836" s="116"/>
      <c r="P836" s="116"/>
      <c r="Q836" s="312"/>
      <c r="R836" s="116"/>
      <c r="S836" s="116"/>
      <c r="T836" s="116"/>
      <c r="U836" s="116"/>
      <c r="V836" s="313"/>
      <c r="W836" s="314"/>
      <c r="X836" s="43"/>
      <c r="Y836" s="43"/>
      <c r="Z836" s="43"/>
      <c r="AA836" s="43"/>
      <c r="AB836" s="43"/>
    </row>
    <row r="837">
      <c r="A837" s="116"/>
      <c r="B837" s="116"/>
      <c r="C837" s="116"/>
      <c r="D837" s="116"/>
      <c r="E837" s="116"/>
      <c r="F837" s="116"/>
      <c r="G837" s="116"/>
      <c r="H837" s="116"/>
      <c r="I837" s="116"/>
      <c r="J837" s="116"/>
      <c r="K837" s="116"/>
      <c r="L837" s="116"/>
      <c r="M837" s="116"/>
      <c r="N837" s="116"/>
      <c r="O837" s="116"/>
      <c r="P837" s="116"/>
      <c r="Q837" s="312"/>
      <c r="R837" s="116"/>
      <c r="S837" s="116"/>
      <c r="T837" s="116"/>
      <c r="U837" s="116"/>
      <c r="V837" s="313"/>
      <c r="W837" s="314"/>
      <c r="X837" s="43"/>
      <c r="Y837" s="43"/>
      <c r="Z837" s="43"/>
      <c r="AA837" s="43"/>
      <c r="AB837" s="43"/>
    </row>
    <row r="838">
      <c r="A838" s="116"/>
      <c r="B838" s="116"/>
      <c r="C838" s="116"/>
      <c r="D838" s="116"/>
      <c r="E838" s="116"/>
      <c r="F838" s="116"/>
      <c r="G838" s="116"/>
      <c r="H838" s="116"/>
      <c r="I838" s="116"/>
      <c r="J838" s="116"/>
      <c r="K838" s="116"/>
      <c r="L838" s="116"/>
      <c r="M838" s="116"/>
      <c r="N838" s="116"/>
      <c r="O838" s="116"/>
      <c r="P838" s="116"/>
      <c r="Q838" s="312"/>
      <c r="R838" s="116"/>
      <c r="S838" s="116"/>
      <c r="T838" s="116"/>
      <c r="U838" s="116"/>
      <c r="V838" s="313"/>
      <c r="W838" s="314"/>
      <c r="X838" s="43"/>
      <c r="Y838" s="43"/>
      <c r="Z838" s="43"/>
      <c r="AA838" s="43"/>
      <c r="AB838" s="43"/>
    </row>
    <row r="839">
      <c r="A839" s="116"/>
      <c r="B839" s="116"/>
      <c r="C839" s="116"/>
      <c r="D839" s="116"/>
      <c r="E839" s="116"/>
      <c r="F839" s="116"/>
      <c r="G839" s="116"/>
      <c r="H839" s="116"/>
      <c r="I839" s="116"/>
      <c r="J839" s="116"/>
      <c r="K839" s="116"/>
      <c r="L839" s="116"/>
      <c r="M839" s="116"/>
      <c r="N839" s="116"/>
      <c r="O839" s="116"/>
      <c r="P839" s="116"/>
      <c r="Q839" s="312"/>
      <c r="R839" s="116"/>
      <c r="S839" s="116"/>
      <c r="T839" s="116"/>
      <c r="U839" s="116"/>
      <c r="V839" s="313"/>
      <c r="W839" s="314"/>
      <c r="X839" s="43"/>
      <c r="Y839" s="43"/>
      <c r="Z839" s="43"/>
      <c r="AA839" s="43"/>
      <c r="AB839" s="43"/>
    </row>
    <row r="840">
      <c r="A840" s="116"/>
      <c r="B840" s="116"/>
      <c r="C840" s="116"/>
      <c r="D840" s="116"/>
      <c r="E840" s="116"/>
      <c r="F840" s="116"/>
      <c r="G840" s="116"/>
      <c r="H840" s="116"/>
      <c r="I840" s="116"/>
      <c r="J840" s="116"/>
      <c r="K840" s="116"/>
      <c r="L840" s="116"/>
      <c r="M840" s="116"/>
      <c r="N840" s="116"/>
      <c r="O840" s="116"/>
      <c r="P840" s="116"/>
      <c r="Q840" s="312"/>
      <c r="R840" s="116"/>
      <c r="S840" s="116"/>
      <c r="T840" s="116"/>
      <c r="U840" s="116"/>
      <c r="V840" s="313"/>
      <c r="W840" s="314"/>
      <c r="X840" s="43"/>
      <c r="Y840" s="43"/>
      <c r="Z840" s="43"/>
      <c r="AA840" s="43"/>
      <c r="AB840" s="43"/>
    </row>
    <row r="841">
      <c r="A841" s="116"/>
      <c r="B841" s="116"/>
      <c r="C841" s="116"/>
      <c r="D841" s="116"/>
      <c r="E841" s="116"/>
      <c r="F841" s="116"/>
      <c r="G841" s="116"/>
      <c r="H841" s="116"/>
      <c r="I841" s="116"/>
      <c r="J841" s="116"/>
      <c r="K841" s="116"/>
      <c r="L841" s="116"/>
      <c r="M841" s="116"/>
      <c r="N841" s="116"/>
      <c r="O841" s="116"/>
      <c r="P841" s="116"/>
      <c r="Q841" s="312"/>
      <c r="R841" s="116"/>
      <c r="S841" s="116"/>
      <c r="T841" s="116"/>
      <c r="U841" s="116"/>
      <c r="V841" s="313"/>
      <c r="W841" s="314"/>
      <c r="X841" s="43"/>
      <c r="Y841" s="43"/>
      <c r="Z841" s="43"/>
      <c r="AA841" s="43"/>
      <c r="AB841" s="43"/>
    </row>
    <row r="842">
      <c r="A842" s="116"/>
      <c r="B842" s="116"/>
      <c r="C842" s="116"/>
      <c r="D842" s="116"/>
      <c r="E842" s="116"/>
      <c r="F842" s="116"/>
      <c r="G842" s="116"/>
      <c r="H842" s="116"/>
      <c r="I842" s="116"/>
      <c r="J842" s="116"/>
      <c r="K842" s="116"/>
      <c r="L842" s="116"/>
      <c r="M842" s="116"/>
      <c r="N842" s="116"/>
      <c r="O842" s="116"/>
      <c r="P842" s="116"/>
      <c r="Q842" s="312"/>
      <c r="R842" s="116"/>
      <c r="S842" s="116"/>
      <c r="T842" s="116"/>
      <c r="U842" s="116"/>
      <c r="V842" s="313"/>
      <c r="W842" s="314"/>
      <c r="X842" s="43"/>
      <c r="Y842" s="43"/>
      <c r="Z842" s="43"/>
      <c r="AA842" s="43"/>
      <c r="AB842" s="43"/>
    </row>
    <row r="843">
      <c r="A843" s="116"/>
      <c r="B843" s="116"/>
      <c r="C843" s="116"/>
      <c r="D843" s="116"/>
      <c r="E843" s="116"/>
      <c r="F843" s="116"/>
      <c r="G843" s="116"/>
      <c r="H843" s="116"/>
      <c r="I843" s="116"/>
      <c r="J843" s="116"/>
      <c r="K843" s="116"/>
      <c r="L843" s="116"/>
      <c r="M843" s="116"/>
      <c r="N843" s="116"/>
      <c r="O843" s="116"/>
      <c r="P843" s="116"/>
      <c r="Q843" s="312"/>
      <c r="R843" s="116"/>
      <c r="S843" s="116"/>
      <c r="T843" s="116"/>
      <c r="U843" s="116"/>
      <c r="V843" s="313"/>
      <c r="W843" s="314"/>
      <c r="X843" s="43"/>
      <c r="Y843" s="43"/>
      <c r="Z843" s="43"/>
      <c r="AA843" s="43"/>
      <c r="AB843" s="43"/>
    </row>
    <row r="844">
      <c r="A844" s="116"/>
      <c r="B844" s="116"/>
      <c r="C844" s="116"/>
      <c r="D844" s="116"/>
      <c r="E844" s="116"/>
      <c r="F844" s="116"/>
      <c r="G844" s="116"/>
      <c r="H844" s="116"/>
      <c r="I844" s="116"/>
      <c r="J844" s="116"/>
      <c r="K844" s="116"/>
      <c r="L844" s="116"/>
      <c r="M844" s="116"/>
      <c r="N844" s="116"/>
      <c r="O844" s="116"/>
      <c r="P844" s="116"/>
      <c r="Q844" s="312"/>
      <c r="R844" s="116"/>
      <c r="S844" s="116"/>
      <c r="T844" s="116"/>
      <c r="U844" s="116"/>
      <c r="V844" s="313"/>
      <c r="W844" s="314"/>
      <c r="X844" s="43"/>
      <c r="Y844" s="43"/>
      <c r="Z844" s="43"/>
      <c r="AA844" s="43"/>
      <c r="AB844" s="43"/>
    </row>
    <row r="845">
      <c r="A845" s="116"/>
      <c r="B845" s="116"/>
      <c r="C845" s="116"/>
      <c r="D845" s="116"/>
      <c r="E845" s="116"/>
      <c r="F845" s="116"/>
      <c r="G845" s="116"/>
      <c r="H845" s="116"/>
      <c r="I845" s="116"/>
      <c r="J845" s="116"/>
      <c r="K845" s="116"/>
      <c r="L845" s="116"/>
      <c r="M845" s="116"/>
      <c r="N845" s="116"/>
      <c r="O845" s="116"/>
      <c r="P845" s="116"/>
      <c r="Q845" s="312"/>
      <c r="R845" s="116"/>
      <c r="S845" s="116"/>
      <c r="T845" s="116"/>
      <c r="U845" s="116"/>
      <c r="V845" s="313"/>
      <c r="W845" s="314"/>
      <c r="X845" s="43"/>
      <c r="Y845" s="43"/>
      <c r="Z845" s="43"/>
      <c r="AA845" s="43"/>
      <c r="AB845" s="43"/>
    </row>
    <row r="846">
      <c r="A846" s="116"/>
      <c r="B846" s="116"/>
      <c r="C846" s="116"/>
      <c r="D846" s="116"/>
      <c r="E846" s="116"/>
      <c r="F846" s="116"/>
      <c r="G846" s="116"/>
      <c r="H846" s="116"/>
      <c r="I846" s="116"/>
      <c r="J846" s="116"/>
      <c r="K846" s="116"/>
      <c r="L846" s="116"/>
      <c r="M846" s="116"/>
      <c r="N846" s="116"/>
      <c r="O846" s="116"/>
      <c r="P846" s="116"/>
      <c r="Q846" s="312"/>
      <c r="R846" s="116"/>
      <c r="S846" s="116"/>
      <c r="T846" s="116"/>
      <c r="U846" s="116"/>
      <c r="V846" s="313"/>
      <c r="W846" s="314"/>
      <c r="X846" s="43"/>
      <c r="Y846" s="43"/>
      <c r="Z846" s="43"/>
      <c r="AA846" s="43"/>
      <c r="AB846" s="43"/>
    </row>
    <row r="847">
      <c r="A847" s="116"/>
      <c r="B847" s="116"/>
      <c r="C847" s="116"/>
      <c r="D847" s="116"/>
      <c r="E847" s="116"/>
      <c r="F847" s="116"/>
      <c r="G847" s="116"/>
      <c r="H847" s="116"/>
      <c r="I847" s="116"/>
      <c r="J847" s="116"/>
      <c r="K847" s="116"/>
      <c r="L847" s="116"/>
      <c r="M847" s="116"/>
      <c r="N847" s="116"/>
      <c r="O847" s="116"/>
      <c r="P847" s="116"/>
      <c r="Q847" s="312"/>
      <c r="R847" s="116"/>
      <c r="S847" s="116"/>
      <c r="T847" s="116"/>
      <c r="U847" s="116"/>
      <c r="V847" s="313"/>
      <c r="W847" s="314"/>
      <c r="X847" s="43"/>
      <c r="Y847" s="43"/>
      <c r="Z847" s="43"/>
      <c r="AA847" s="43"/>
      <c r="AB847" s="43"/>
    </row>
    <row r="848">
      <c r="A848" s="116"/>
      <c r="B848" s="116"/>
      <c r="C848" s="116"/>
      <c r="D848" s="116"/>
      <c r="E848" s="116"/>
      <c r="F848" s="116"/>
      <c r="G848" s="116"/>
      <c r="H848" s="116"/>
      <c r="I848" s="116"/>
      <c r="J848" s="116"/>
      <c r="K848" s="116"/>
      <c r="L848" s="116"/>
      <c r="M848" s="116"/>
      <c r="N848" s="116"/>
      <c r="O848" s="116"/>
      <c r="P848" s="116"/>
      <c r="Q848" s="312"/>
      <c r="R848" s="116"/>
      <c r="S848" s="116"/>
      <c r="T848" s="116"/>
      <c r="U848" s="116"/>
      <c r="V848" s="313"/>
      <c r="W848" s="314"/>
      <c r="X848" s="43"/>
      <c r="Y848" s="43"/>
      <c r="Z848" s="43"/>
      <c r="AA848" s="43"/>
      <c r="AB848" s="43"/>
    </row>
    <row r="849">
      <c r="A849" s="116"/>
      <c r="B849" s="116"/>
      <c r="C849" s="116"/>
      <c r="D849" s="116"/>
      <c r="E849" s="116"/>
      <c r="F849" s="116"/>
      <c r="G849" s="116"/>
      <c r="H849" s="116"/>
      <c r="I849" s="116"/>
      <c r="J849" s="116"/>
      <c r="K849" s="116"/>
      <c r="L849" s="116"/>
      <c r="M849" s="116"/>
      <c r="N849" s="116"/>
      <c r="O849" s="116"/>
      <c r="P849" s="116"/>
      <c r="Q849" s="312"/>
      <c r="R849" s="116"/>
      <c r="S849" s="116"/>
      <c r="T849" s="116"/>
      <c r="U849" s="116"/>
      <c r="V849" s="313"/>
      <c r="W849" s="314"/>
      <c r="X849" s="43"/>
      <c r="Y849" s="43"/>
      <c r="Z849" s="43"/>
      <c r="AA849" s="43"/>
      <c r="AB849" s="43"/>
    </row>
    <row r="850">
      <c r="A850" s="116"/>
      <c r="B850" s="116"/>
      <c r="C850" s="116"/>
      <c r="D850" s="116"/>
      <c r="E850" s="116"/>
      <c r="F850" s="116"/>
      <c r="G850" s="116"/>
      <c r="H850" s="116"/>
      <c r="I850" s="116"/>
      <c r="J850" s="116"/>
      <c r="K850" s="116"/>
      <c r="L850" s="116"/>
      <c r="M850" s="116"/>
      <c r="N850" s="116"/>
      <c r="O850" s="116"/>
      <c r="P850" s="116"/>
      <c r="Q850" s="312"/>
      <c r="R850" s="116"/>
      <c r="S850" s="116"/>
      <c r="T850" s="116"/>
      <c r="U850" s="116"/>
      <c r="V850" s="313"/>
      <c r="W850" s="314"/>
      <c r="X850" s="43"/>
      <c r="Y850" s="43"/>
      <c r="Z850" s="43"/>
      <c r="AA850" s="43"/>
      <c r="AB850" s="43"/>
    </row>
    <row r="851">
      <c r="A851" s="116"/>
      <c r="B851" s="116"/>
      <c r="C851" s="116"/>
      <c r="D851" s="116"/>
      <c r="E851" s="116"/>
      <c r="F851" s="116"/>
      <c r="G851" s="116"/>
      <c r="H851" s="116"/>
      <c r="I851" s="116"/>
      <c r="J851" s="116"/>
      <c r="K851" s="116"/>
      <c r="L851" s="116"/>
      <c r="M851" s="116"/>
      <c r="N851" s="116"/>
      <c r="O851" s="116"/>
      <c r="P851" s="116"/>
      <c r="Q851" s="312"/>
      <c r="R851" s="116"/>
      <c r="S851" s="116"/>
      <c r="T851" s="116"/>
      <c r="U851" s="116"/>
      <c r="V851" s="313"/>
      <c r="W851" s="314"/>
      <c r="X851" s="43"/>
      <c r="Y851" s="43"/>
      <c r="Z851" s="43"/>
      <c r="AA851" s="43"/>
      <c r="AB851" s="43"/>
    </row>
    <row r="852">
      <c r="A852" s="116"/>
      <c r="B852" s="116"/>
      <c r="C852" s="116"/>
      <c r="D852" s="116"/>
      <c r="E852" s="116"/>
      <c r="F852" s="116"/>
      <c r="G852" s="116"/>
      <c r="H852" s="116"/>
      <c r="I852" s="116"/>
      <c r="J852" s="116"/>
      <c r="K852" s="116"/>
      <c r="L852" s="116"/>
      <c r="M852" s="116"/>
      <c r="N852" s="116"/>
      <c r="O852" s="116"/>
      <c r="P852" s="116"/>
      <c r="Q852" s="312"/>
      <c r="R852" s="116"/>
      <c r="S852" s="116"/>
      <c r="T852" s="116"/>
      <c r="U852" s="116"/>
      <c r="V852" s="313"/>
      <c r="W852" s="314"/>
      <c r="X852" s="43"/>
      <c r="Y852" s="43"/>
      <c r="Z852" s="43"/>
      <c r="AA852" s="43"/>
      <c r="AB852" s="43"/>
    </row>
    <row r="853">
      <c r="A853" s="116"/>
      <c r="B853" s="116"/>
      <c r="C853" s="116"/>
      <c r="D853" s="116"/>
      <c r="E853" s="116"/>
      <c r="F853" s="116"/>
      <c r="G853" s="116"/>
      <c r="H853" s="116"/>
      <c r="I853" s="116"/>
      <c r="J853" s="116"/>
      <c r="K853" s="116"/>
      <c r="L853" s="116"/>
      <c r="M853" s="116"/>
      <c r="N853" s="116"/>
      <c r="O853" s="116"/>
      <c r="P853" s="116"/>
      <c r="Q853" s="312"/>
      <c r="R853" s="116"/>
      <c r="S853" s="116"/>
      <c r="T853" s="116"/>
      <c r="U853" s="116"/>
      <c r="V853" s="313"/>
      <c r="W853" s="314"/>
      <c r="X853" s="43"/>
      <c r="Y853" s="43"/>
      <c r="Z853" s="43"/>
      <c r="AA853" s="43"/>
      <c r="AB853" s="43"/>
    </row>
    <row r="854">
      <c r="A854" s="116"/>
      <c r="B854" s="116"/>
      <c r="C854" s="116"/>
      <c r="D854" s="116"/>
      <c r="E854" s="116"/>
      <c r="F854" s="116"/>
      <c r="G854" s="116"/>
      <c r="H854" s="116"/>
      <c r="I854" s="116"/>
      <c r="J854" s="116"/>
      <c r="K854" s="116"/>
      <c r="L854" s="116"/>
      <c r="M854" s="116"/>
      <c r="N854" s="116"/>
      <c r="O854" s="116"/>
      <c r="P854" s="116"/>
      <c r="Q854" s="312"/>
      <c r="R854" s="116"/>
      <c r="S854" s="116"/>
      <c r="T854" s="116"/>
      <c r="U854" s="116"/>
      <c r="V854" s="313"/>
      <c r="W854" s="314"/>
      <c r="X854" s="43"/>
      <c r="Y854" s="43"/>
      <c r="Z854" s="43"/>
      <c r="AA854" s="43"/>
      <c r="AB854" s="43"/>
    </row>
    <row r="855">
      <c r="A855" s="116"/>
      <c r="B855" s="116"/>
      <c r="C855" s="116"/>
      <c r="D855" s="116"/>
      <c r="E855" s="116"/>
      <c r="F855" s="116"/>
      <c r="G855" s="116"/>
      <c r="H855" s="116"/>
      <c r="I855" s="116"/>
      <c r="J855" s="116"/>
      <c r="K855" s="116"/>
      <c r="L855" s="116"/>
      <c r="M855" s="116"/>
      <c r="N855" s="116"/>
      <c r="O855" s="116"/>
      <c r="P855" s="116"/>
      <c r="Q855" s="312"/>
      <c r="R855" s="116"/>
      <c r="S855" s="116"/>
      <c r="T855" s="116"/>
      <c r="U855" s="116"/>
      <c r="V855" s="313"/>
      <c r="W855" s="314"/>
      <c r="X855" s="43"/>
      <c r="Y855" s="43"/>
      <c r="Z855" s="43"/>
      <c r="AA855" s="43"/>
      <c r="AB855" s="43"/>
    </row>
    <row r="856">
      <c r="A856" s="116"/>
      <c r="B856" s="116"/>
      <c r="C856" s="116"/>
      <c r="D856" s="116"/>
      <c r="E856" s="116"/>
      <c r="F856" s="116"/>
      <c r="G856" s="116"/>
      <c r="H856" s="116"/>
      <c r="I856" s="116"/>
      <c r="J856" s="116"/>
      <c r="K856" s="116"/>
      <c r="L856" s="116"/>
      <c r="M856" s="116"/>
      <c r="N856" s="116"/>
      <c r="O856" s="116"/>
      <c r="P856" s="116"/>
      <c r="Q856" s="312"/>
      <c r="R856" s="116"/>
      <c r="S856" s="116"/>
      <c r="T856" s="116"/>
      <c r="U856" s="116"/>
      <c r="V856" s="313"/>
      <c r="W856" s="314"/>
      <c r="X856" s="43"/>
      <c r="Y856" s="43"/>
      <c r="Z856" s="43"/>
      <c r="AA856" s="43"/>
      <c r="AB856" s="43"/>
    </row>
    <row r="857">
      <c r="A857" s="116"/>
      <c r="B857" s="116"/>
      <c r="C857" s="116"/>
      <c r="D857" s="116"/>
      <c r="E857" s="116"/>
      <c r="F857" s="116"/>
      <c r="G857" s="116"/>
      <c r="H857" s="116"/>
      <c r="I857" s="116"/>
      <c r="J857" s="116"/>
      <c r="K857" s="116"/>
      <c r="L857" s="116"/>
      <c r="M857" s="116"/>
      <c r="N857" s="116"/>
      <c r="O857" s="116"/>
      <c r="P857" s="116"/>
      <c r="Q857" s="312"/>
      <c r="R857" s="116"/>
      <c r="S857" s="116"/>
      <c r="T857" s="116"/>
      <c r="U857" s="116"/>
      <c r="V857" s="313"/>
      <c r="W857" s="314"/>
      <c r="X857" s="43"/>
      <c r="Y857" s="43"/>
      <c r="Z857" s="43"/>
      <c r="AA857" s="43"/>
      <c r="AB857" s="43"/>
    </row>
    <row r="858">
      <c r="A858" s="116"/>
      <c r="B858" s="116"/>
      <c r="C858" s="116"/>
      <c r="D858" s="116"/>
      <c r="E858" s="116"/>
      <c r="F858" s="116"/>
      <c r="G858" s="116"/>
      <c r="H858" s="116"/>
      <c r="I858" s="116"/>
      <c r="J858" s="116"/>
      <c r="K858" s="116"/>
      <c r="L858" s="116"/>
      <c r="M858" s="116"/>
      <c r="N858" s="116"/>
      <c r="O858" s="116"/>
      <c r="P858" s="116"/>
      <c r="Q858" s="312"/>
      <c r="R858" s="116"/>
      <c r="S858" s="116"/>
      <c r="T858" s="116"/>
      <c r="U858" s="116"/>
      <c r="V858" s="313"/>
      <c r="W858" s="314"/>
      <c r="X858" s="43"/>
      <c r="Y858" s="43"/>
      <c r="Z858" s="43"/>
      <c r="AA858" s="43"/>
      <c r="AB858" s="43"/>
    </row>
    <row r="859">
      <c r="A859" s="116"/>
      <c r="B859" s="116"/>
      <c r="C859" s="116"/>
      <c r="D859" s="116"/>
      <c r="E859" s="116"/>
      <c r="F859" s="116"/>
      <c r="G859" s="116"/>
      <c r="H859" s="116"/>
      <c r="I859" s="116"/>
      <c r="J859" s="116"/>
      <c r="K859" s="116"/>
      <c r="L859" s="116"/>
      <c r="M859" s="116"/>
      <c r="N859" s="116"/>
      <c r="O859" s="116"/>
      <c r="P859" s="116"/>
      <c r="Q859" s="312"/>
      <c r="R859" s="116"/>
      <c r="S859" s="116"/>
      <c r="T859" s="116"/>
      <c r="U859" s="116"/>
      <c r="V859" s="313"/>
      <c r="W859" s="314"/>
      <c r="X859" s="43"/>
      <c r="Y859" s="43"/>
      <c r="Z859" s="43"/>
      <c r="AA859" s="43"/>
      <c r="AB859" s="43"/>
    </row>
    <row r="860">
      <c r="A860" s="116"/>
      <c r="B860" s="116"/>
      <c r="C860" s="116"/>
      <c r="D860" s="116"/>
      <c r="E860" s="116"/>
      <c r="F860" s="116"/>
      <c r="G860" s="116"/>
      <c r="H860" s="116"/>
      <c r="I860" s="116"/>
      <c r="J860" s="116"/>
      <c r="K860" s="116"/>
      <c r="L860" s="116"/>
      <c r="M860" s="116"/>
      <c r="N860" s="116"/>
      <c r="O860" s="116"/>
      <c r="P860" s="116"/>
      <c r="Q860" s="312"/>
      <c r="R860" s="116"/>
      <c r="S860" s="116"/>
      <c r="T860" s="116"/>
      <c r="U860" s="116"/>
      <c r="V860" s="313"/>
      <c r="W860" s="314"/>
      <c r="X860" s="43"/>
      <c r="Y860" s="43"/>
      <c r="Z860" s="43"/>
      <c r="AA860" s="43"/>
      <c r="AB860" s="43"/>
    </row>
    <row r="861">
      <c r="A861" s="116"/>
      <c r="B861" s="116"/>
      <c r="C861" s="116"/>
      <c r="D861" s="116"/>
      <c r="E861" s="116"/>
      <c r="F861" s="116"/>
      <c r="G861" s="116"/>
      <c r="H861" s="116"/>
      <c r="I861" s="116"/>
      <c r="J861" s="116"/>
      <c r="K861" s="116"/>
      <c r="L861" s="116"/>
      <c r="M861" s="116"/>
      <c r="N861" s="116"/>
      <c r="O861" s="116"/>
      <c r="P861" s="116"/>
      <c r="Q861" s="312"/>
      <c r="R861" s="116"/>
      <c r="S861" s="116"/>
      <c r="T861" s="116"/>
      <c r="U861" s="116"/>
      <c r="V861" s="313"/>
      <c r="W861" s="314"/>
      <c r="X861" s="43"/>
      <c r="Y861" s="43"/>
      <c r="Z861" s="43"/>
      <c r="AA861" s="43"/>
      <c r="AB861" s="43"/>
    </row>
    <row r="862">
      <c r="A862" s="116"/>
      <c r="B862" s="116"/>
      <c r="C862" s="116"/>
      <c r="D862" s="116"/>
      <c r="E862" s="116"/>
      <c r="F862" s="116"/>
      <c r="G862" s="116"/>
      <c r="H862" s="116"/>
      <c r="I862" s="116"/>
      <c r="J862" s="116"/>
      <c r="K862" s="116"/>
      <c r="L862" s="116"/>
      <c r="M862" s="116"/>
      <c r="N862" s="116"/>
      <c r="O862" s="116"/>
      <c r="P862" s="116"/>
      <c r="Q862" s="312"/>
      <c r="R862" s="116"/>
      <c r="S862" s="116"/>
      <c r="T862" s="116"/>
      <c r="U862" s="116"/>
      <c r="V862" s="313"/>
      <c r="W862" s="314"/>
      <c r="X862" s="43"/>
      <c r="Y862" s="43"/>
      <c r="Z862" s="43"/>
      <c r="AA862" s="43"/>
      <c r="AB862" s="43"/>
    </row>
    <row r="863">
      <c r="A863" s="116"/>
      <c r="B863" s="116"/>
      <c r="C863" s="116"/>
      <c r="D863" s="116"/>
      <c r="E863" s="116"/>
      <c r="F863" s="116"/>
      <c r="G863" s="116"/>
      <c r="H863" s="116"/>
      <c r="I863" s="116"/>
      <c r="J863" s="116"/>
      <c r="K863" s="116"/>
      <c r="L863" s="116"/>
      <c r="M863" s="116"/>
      <c r="N863" s="116"/>
      <c r="O863" s="116"/>
      <c r="P863" s="116"/>
      <c r="Q863" s="312"/>
      <c r="R863" s="116"/>
      <c r="S863" s="116"/>
      <c r="T863" s="116"/>
      <c r="U863" s="116"/>
      <c r="V863" s="313"/>
      <c r="W863" s="314"/>
      <c r="X863" s="43"/>
      <c r="Y863" s="43"/>
      <c r="Z863" s="43"/>
      <c r="AA863" s="43"/>
      <c r="AB863" s="43"/>
    </row>
    <row r="864">
      <c r="A864" s="116"/>
      <c r="B864" s="116"/>
      <c r="C864" s="116"/>
      <c r="D864" s="116"/>
      <c r="E864" s="116"/>
      <c r="F864" s="116"/>
      <c r="G864" s="116"/>
      <c r="H864" s="116"/>
      <c r="I864" s="116"/>
      <c r="J864" s="116"/>
      <c r="K864" s="116"/>
      <c r="L864" s="116"/>
      <c r="M864" s="116"/>
      <c r="N864" s="116"/>
      <c r="O864" s="116"/>
      <c r="P864" s="116"/>
      <c r="Q864" s="312"/>
      <c r="R864" s="116"/>
      <c r="S864" s="116"/>
      <c r="T864" s="116"/>
      <c r="U864" s="116"/>
      <c r="V864" s="313"/>
      <c r="W864" s="314"/>
      <c r="X864" s="43"/>
      <c r="Y864" s="43"/>
      <c r="Z864" s="43"/>
      <c r="AA864" s="43"/>
      <c r="AB864" s="43"/>
    </row>
    <row r="865">
      <c r="A865" s="116"/>
      <c r="B865" s="116"/>
      <c r="C865" s="116"/>
      <c r="D865" s="116"/>
      <c r="E865" s="116"/>
      <c r="F865" s="116"/>
      <c r="G865" s="116"/>
      <c r="H865" s="116"/>
      <c r="I865" s="116"/>
      <c r="J865" s="116"/>
      <c r="K865" s="116"/>
      <c r="L865" s="116"/>
      <c r="M865" s="116"/>
      <c r="N865" s="116"/>
      <c r="O865" s="116"/>
      <c r="P865" s="116"/>
      <c r="Q865" s="312"/>
      <c r="R865" s="116"/>
      <c r="S865" s="116"/>
      <c r="T865" s="116"/>
      <c r="U865" s="116"/>
      <c r="V865" s="313"/>
      <c r="W865" s="314"/>
      <c r="X865" s="43"/>
      <c r="Y865" s="43"/>
      <c r="Z865" s="43"/>
      <c r="AA865" s="43"/>
      <c r="AB865" s="43"/>
    </row>
    <row r="866">
      <c r="A866" s="116"/>
      <c r="B866" s="116"/>
      <c r="C866" s="116"/>
      <c r="D866" s="116"/>
      <c r="E866" s="116"/>
      <c r="F866" s="116"/>
      <c r="G866" s="116"/>
      <c r="H866" s="116"/>
      <c r="I866" s="116"/>
      <c r="J866" s="116"/>
      <c r="K866" s="116"/>
      <c r="L866" s="116"/>
      <c r="M866" s="116"/>
      <c r="N866" s="116"/>
      <c r="O866" s="116"/>
      <c r="P866" s="116"/>
      <c r="Q866" s="312"/>
      <c r="R866" s="116"/>
      <c r="S866" s="116"/>
      <c r="T866" s="116"/>
      <c r="U866" s="116"/>
      <c r="V866" s="313"/>
      <c r="W866" s="314"/>
      <c r="X866" s="43"/>
      <c r="Y866" s="43"/>
      <c r="Z866" s="43"/>
      <c r="AA866" s="43"/>
      <c r="AB866" s="43"/>
    </row>
    <row r="867">
      <c r="A867" s="116"/>
      <c r="B867" s="116"/>
      <c r="C867" s="116"/>
      <c r="D867" s="116"/>
      <c r="E867" s="116"/>
      <c r="F867" s="116"/>
      <c r="G867" s="116"/>
      <c r="H867" s="116"/>
      <c r="I867" s="116"/>
      <c r="J867" s="116"/>
      <c r="K867" s="116"/>
      <c r="L867" s="116"/>
      <c r="M867" s="116"/>
      <c r="N867" s="116"/>
      <c r="O867" s="116"/>
      <c r="P867" s="116"/>
      <c r="Q867" s="312"/>
      <c r="R867" s="116"/>
      <c r="S867" s="116"/>
      <c r="T867" s="116"/>
      <c r="U867" s="116"/>
      <c r="V867" s="313"/>
      <c r="W867" s="314"/>
      <c r="X867" s="43"/>
      <c r="Y867" s="43"/>
      <c r="Z867" s="43"/>
      <c r="AA867" s="43"/>
      <c r="AB867" s="43"/>
    </row>
    <row r="868">
      <c r="A868" s="116"/>
      <c r="B868" s="116"/>
      <c r="C868" s="116"/>
      <c r="D868" s="116"/>
      <c r="E868" s="116"/>
      <c r="F868" s="116"/>
      <c r="G868" s="116"/>
      <c r="H868" s="116"/>
      <c r="I868" s="116"/>
      <c r="J868" s="116"/>
      <c r="K868" s="116"/>
      <c r="L868" s="116"/>
      <c r="M868" s="116"/>
      <c r="N868" s="116"/>
      <c r="O868" s="116"/>
      <c r="P868" s="116"/>
      <c r="Q868" s="312"/>
      <c r="R868" s="116"/>
      <c r="S868" s="116"/>
      <c r="T868" s="116"/>
      <c r="U868" s="116"/>
      <c r="V868" s="313"/>
      <c r="W868" s="314"/>
      <c r="X868" s="43"/>
      <c r="Y868" s="43"/>
      <c r="Z868" s="43"/>
      <c r="AA868" s="43"/>
      <c r="AB868" s="43"/>
    </row>
    <row r="869">
      <c r="A869" s="116"/>
      <c r="B869" s="116"/>
      <c r="C869" s="116"/>
      <c r="D869" s="116"/>
      <c r="E869" s="116"/>
      <c r="F869" s="116"/>
      <c r="G869" s="116"/>
      <c r="H869" s="116"/>
      <c r="I869" s="116"/>
      <c r="J869" s="116"/>
      <c r="K869" s="116"/>
      <c r="L869" s="116"/>
      <c r="M869" s="116"/>
      <c r="N869" s="116"/>
      <c r="O869" s="116"/>
      <c r="P869" s="116"/>
      <c r="Q869" s="312"/>
      <c r="R869" s="116"/>
      <c r="S869" s="116"/>
      <c r="T869" s="116"/>
      <c r="U869" s="116"/>
      <c r="V869" s="313"/>
      <c r="W869" s="314"/>
      <c r="X869" s="43"/>
      <c r="Y869" s="43"/>
      <c r="Z869" s="43"/>
      <c r="AA869" s="43"/>
      <c r="AB869" s="43"/>
    </row>
    <row r="870">
      <c r="A870" s="116"/>
      <c r="B870" s="116"/>
      <c r="C870" s="116"/>
      <c r="D870" s="116"/>
      <c r="E870" s="116"/>
      <c r="F870" s="116"/>
      <c r="G870" s="116"/>
      <c r="H870" s="116"/>
      <c r="I870" s="116"/>
      <c r="J870" s="116"/>
      <c r="K870" s="116"/>
      <c r="L870" s="116"/>
      <c r="M870" s="116"/>
      <c r="N870" s="116"/>
      <c r="O870" s="116"/>
      <c r="P870" s="116"/>
      <c r="Q870" s="312"/>
      <c r="R870" s="116"/>
      <c r="S870" s="116"/>
      <c r="T870" s="116"/>
      <c r="U870" s="116"/>
      <c r="V870" s="313"/>
      <c r="W870" s="314"/>
      <c r="X870" s="43"/>
      <c r="Y870" s="43"/>
      <c r="Z870" s="43"/>
      <c r="AA870" s="43"/>
      <c r="AB870" s="43"/>
    </row>
    <row r="871">
      <c r="A871" s="116"/>
      <c r="B871" s="116"/>
      <c r="C871" s="116"/>
      <c r="D871" s="116"/>
      <c r="E871" s="116"/>
      <c r="F871" s="116"/>
      <c r="G871" s="116"/>
      <c r="H871" s="116"/>
      <c r="I871" s="116"/>
      <c r="J871" s="116"/>
      <c r="K871" s="116"/>
      <c r="L871" s="116"/>
      <c r="M871" s="116"/>
      <c r="N871" s="116"/>
      <c r="O871" s="116"/>
      <c r="P871" s="116"/>
      <c r="Q871" s="312"/>
      <c r="R871" s="116"/>
      <c r="S871" s="116"/>
      <c r="T871" s="116"/>
      <c r="U871" s="116"/>
      <c r="V871" s="313"/>
      <c r="W871" s="314"/>
      <c r="X871" s="43"/>
      <c r="Y871" s="43"/>
      <c r="Z871" s="43"/>
      <c r="AA871" s="43"/>
      <c r="AB871" s="43"/>
    </row>
    <row r="872">
      <c r="A872" s="116"/>
      <c r="B872" s="116"/>
      <c r="C872" s="116"/>
      <c r="D872" s="116"/>
      <c r="E872" s="116"/>
      <c r="F872" s="116"/>
      <c r="G872" s="116"/>
      <c r="H872" s="116"/>
      <c r="I872" s="116"/>
      <c r="J872" s="116"/>
      <c r="K872" s="116"/>
      <c r="L872" s="116"/>
      <c r="M872" s="116"/>
      <c r="N872" s="116"/>
      <c r="O872" s="116"/>
      <c r="P872" s="116"/>
      <c r="Q872" s="312"/>
      <c r="R872" s="116"/>
      <c r="S872" s="116"/>
      <c r="T872" s="116"/>
      <c r="U872" s="116"/>
      <c r="V872" s="313"/>
      <c r="W872" s="314"/>
      <c r="X872" s="43"/>
      <c r="Y872" s="43"/>
      <c r="Z872" s="43"/>
      <c r="AA872" s="43"/>
      <c r="AB872" s="43"/>
    </row>
    <row r="873">
      <c r="A873" s="116"/>
      <c r="B873" s="116"/>
      <c r="C873" s="116"/>
      <c r="D873" s="116"/>
      <c r="E873" s="116"/>
      <c r="F873" s="116"/>
      <c r="G873" s="116"/>
      <c r="H873" s="116"/>
      <c r="I873" s="116"/>
      <c r="J873" s="116"/>
      <c r="K873" s="116"/>
      <c r="L873" s="116"/>
      <c r="M873" s="116"/>
      <c r="N873" s="116"/>
      <c r="O873" s="116"/>
      <c r="P873" s="116"/>
      <c r="Q873" s="312"/>
      <c r="R873" s="116"/>
      <c r="S873" s="116"/>
      <c r="T873" s="116"/>
      <c r="U873" s="116"/>
      <c r="V873" s="313"/>
      <c r="W873" s="314"/>
      <c r="X873" s="43"/>
      <c r="Y873" s="43"/>
      <c r="Z873" s="43"/>
      <c r="AA873" s="43"/>
      <c r="AB873" s="43"/>
    </row>
    <row r="874">
      <c r="A874" s="116"/>
      <c r="B874" s="116"/>
      <c r="C874" s="116"/>
      <c r="D874" s="116"/>
      <c r="E874" s="116"/>
      <c r="F874" s="116"/>
      <c r="G874" s="116"/>
      <c r="H874" s="116"/>
      <c r="I874" s="116"/>
      <c r="J874" s="116"/>
      <c r="K874" s="116"/>
      <c r="L874" s="116"/>
      <c r="M874" s="116"/>
      <c r="N874" s="116"/>
      <c r="O874" s="116"/>
      <c r="P874" s="116"/>
      <c r="Q874" s="312"/>
      <c r="R874" s="116"/>
      <c r="S874" s="116"/>
      <c r="T874" s="116"/>
      <c r="U874" s="116"/>
      <c r="V874" s="313"/>
      <c r="W874" s="314"/>
      <c r="X874" s="43"/>
      <c r="Y874" s="43"/>
      <c r="Z874" s="43"/>
      <c r="AA874" s="43"/>
      <c r="AB874" s="43"/>
    </row>
    <row r="875">
      <c r="A875" s="116"/>
      <c r="B875" s="116"/>
      <c r="C875" s="116"/>
      <c r="D875" s="116"/>
      <c r="E875" s="116"/>
      <c r="F875" s="116"/>
      <c r="G875" s="116"/>
      <c r="H875" s="116"/>
      <c r="I875" s="116"/>
      <c r="J875" s="116"/>
      <c r="K875" s="116"/>
      <c r="L875" s="116"/>
      <c r="M875" s="116"/>
      <c r="N875" s="116"/>
      <c r="O875" s="116"/>
      <c r="P875" s="116"/>
      <c r="Q875" s="312"/>
      <c r="R875" s="116"/>
      <c r="S875" s="116"/>
      <c r="T875" s="116"/>
      <c r="U875" s="116"/>
      <c r="V875" s="313"/>
      <c r="W875" s="314"/>
      <c r="X875" s="43"/>
      <c r="Y875" s="43"/>
      <c r="Z875" s="43"/>
      <c r="AA875" s="43"/>
      <c r="AB875" s="43"/>
    </row>
    <row r="876">
      <c r="A876" s="116"/>
      <c r="B876" s="116"/>
      <c r="C876" s="116"/>
      <c r="D876" s="116"/>
      <c r="E876" s="116"/>
      <c r="F876" s="116"/>
      <c r="G876" s="116"/>
      <c r="H876" s="116"/>
      <c r="I876" s="116"/>
      <c r="J876" s="116"/>
      <c r="K876" s="116"/>
      <c r="L876" s="116"/>
      <c r="M876" s="116"/>
      <c r="N876" s="116"/>
      <c r="O876" s="116"/>
      <c r="P876" s="116"/>
      <c r="Q876" s="312"/>
      <c r="R876" s="116"/>
      <c r="S876" s="116"/>
      <c r="T876" s="116"/>
      <c r="U876" s="116"/>
      <c r="V876" s="313"/>
      <c r="W876" s="314"/>
      <c r="X876" s="43"/>
      <c r="Y876" s="43"/>
      <c r="Z876" s="43"/>
      <c r="AA876" s="43"/>
      <c r="AB876" s="43"/>
    </row>
    <row r="877">
      <c r="A877" s="116"/>
      <c r="B877" s="116"/>
      <c r="C877" s="116"/>
      <c r="D877" s="116"/>
      <c r="E877" s="116"/>
      <c r="F877" s="116"/>
      <c r="G877" s="116"/>
      <c r="H877" s="116"/>
      <c r="I877" s="116"/>
      <c r="J877" s="116"/>
      <c r="K877" s="116"/>
      <c r="L877" s="116"/>
      <c r="M877" s="116"/>
      <c r="N877" s="116"/>
      <c r="O877" s="116"/>
      <c r="P877" s="116"/>
      <c r="Q877" s="312"/>
      <c r="R877" s="116"/>
      <c r="S877" s="116"/>
      <c r="T877" s="116"/>
      <c r="U877" s="116"/>
      <c r="V877" s="313"/>
      <c r="W877" s="314"/>
      <c r="X877" s="43"/>
      <c r="Y877" s="43"/>
      <c r="Z877" s="43"/>
      <c r="AA877" s="43"/>
      <c r="AB877" s="43"/>
    </row>
    <row r="878">
      <c r="A878" s="116"/>
      <c r="B878" s="116"/>
      <c r="C878" s="116"/>
      <c r="D878" s="116"/>
      <c r="E878" s="116"/>
      <c r="F878" s="116"/>
      <c r="G878" s="116"/>
      <c r="H878" s="116"/>
      <c r="I878" s="116"/>
      <c r="J878" s="116"/>
      <c r="K878" s="116"/>
      <c r="L878" s="116"/>
      <c r="M878" s="116"/>
      <c r="N878" s="116"/>
      <c r="O878" s="116"/>
      <c r="P878" s="116"/>
      <c r="Q878" s="312"/>
      <c r="R878" s="116"/>
      <c r="S878" s="116"/>
      <c r="T878" s="116"/>
      <c r="U878" s="116"/>
      <c r="V878" s="313"/>
      <c r="W878" s="314"/>
      <c r="X878" s="43"/>
      <c r="Y878" s="43"/>
      <c r="Z878" s="43"/>
      <c r="AA878" s="43"/>
      <c r="AB878" s="43"/>
    </row>
    <row r="879">
      <c r="A879" s="116"/>
      <c r="B879" s="116"/>
      <c r="C879" s="116"/>
      <c r="D879" s="116"/>
      <c r="E879" s="116"/>
      <c r="F879" s="116"/>
      <c r="G879" s="116"/>
      <c r="H879" s="116"/>
      <c r="I879" s="116"/>
      <c r="J879" s="116"/>
      <c r="K879" s="116"/>
      <c r="L879" s="116"/>
      <c r="M879" s="116"/>
      <c r="N879" s="116"/>
      <c r="O879" s="116"/>
      <c r="P879" s="116"/>
      <c r="Q879" s="312"/>
      <c r="R879" s="116"/>
      <c r="S879" s="116"/>
      <c r="T879" s="116"/>
      <c r="U879" s="116"/>
      <c r="V879" s="313"/>
      <c r="W879" s="314"/>
      <c r="X879" s="43"/>
      <c r="Y879" s="43"/>
      <c r="Z879" s="43"/>
      <c r="AA879" s="43"/>
      <c r="AB879" s="43"/>
    </row>
    <row r="880">
      <c r="A880" s="116"/>
      <c r="B880" s="116"/>
      <c r="C880" s="116"/>
      <c r="D880" s="116"/>
      <c r="E880" s="116"/>
      <c r="F880" s="116"/>
      <c r="G880" s="116"/>
      <c r="H880" s="116"/>
      <c r="I880" s="116"/>
      <c r="J880" s="116"/>
      <c r="K880" s="116"/>
      <c r="L880" s="116"/>
      <c r="M880" s="116"/>
      <c r="N880" s="116"/>
      <c r="O880" s="116"/>
      <c r="P880" s="116"/>
      <c r="Q880" s="312"/>
      <c r="R880" s="116"/>
      <c r="S880" s="116"/>
      <c r="T880" s="116"/>
      <c r="U880" s="116"/>
      <c r="V880" s="313"/>
      <c r="W880" s="314"/>
      <c r="X880" s="43"/>
      <c r="Y880" s="43"/>
      <c r="Z880" s="43"/>
      <c r="AA880" s="43"/>
      <c r="AB880" s="43"/>
    </row>
    <row r="881">
      <c r="A881" s="116"/>
      <c r="B881" s="116"/>
      <c r="C881" s="116"/>
      <c r="D881" s="116"/>
      <c r="E881" s="116"/>
      <c r="F881" s="116"/>
      <c r="G881" s="116"/>
      <c r="H881" s="116"/>
      <c r="I881" s="116"/>
      <c r="J881" s="116"/>
      <c r="K881" s="116"/>
      <c r="L881" s="116"/>
      <c r="M881" s="116"/>
      <c r="N881" s="116"/>
      <c r="O881" s="116"/>
      <c r="P881" s="116"/>
      <c r="Q881" s="312"/>
      <c r="R881" s="116"/>
      <c r="S881" s="116"/>
      <c r="T881" s="116"/>
      <c r="U881" s="116"/>
      <c r="V881" s="313"/>
      <c r="W881" s="314"/>
      <c r="X881" s="43"/>
      <c r="Y881" s="43"/>
      <c r="Z881" s="43"/>
      <c r="AA881" s="43"/>
      <c r="AB881" s="43"/>
    </row>
    <row r="882">
      <c r="A882" s="116"/>
      <c r="B882" s="116"/>
      <c r="C882" s="116"/>
      <c r="D882" s="116"/>
      <c r="E882" s="116"/>
      <c r="F882" s="116"/>
      <c r="G882" s="116"/>
      <c r="H882" s="116"/>
      <c r="I882" s="116"/>
      <c r="J882" s="116"/>
      <c r="K882" s="116"/>
      <c r="L882" s="116"/>
      <c r="M882" s="116"/>
      <c r="N882" s="116"/>
      <c r="O882" s="116"/>
      <c r="P882" s="116"/>
      <c r="Q882" s="312"/>
      <c r="R882" s="116"/>
      <c r="S882" s="116"/>
      <c r="T882" s="116"/>
      <c r="U882" s="116"/>
      <c r="V882" s="313"/>
      <c r="W882" s="314"/>
      <c r="X882" s="43"/>
      <c r="Y882" s="43"/>
      <c r="Z882" s="43"/>
      <c r="AA882" s="43"/>
      <c r="AB882" s="43"/>
    </row>
    <row r="883">
      <c r="A883" s="116"/>
      <c r="B883" s="116"/>
      <c r="C883" s="116"/>
      <c r="D883" s="116"/>
      <c r="E883" s="116"/>
      <c r="F883" s="116"/>
      <c r="G883" s="116"/>
      <c r="H883" s="116"/>
      <c r="I883" s="116"/>
      <c r="J883" s="116"/>
      <c r="K883" s="116"/>
      <c r="L883" s="116"/>
      <c r="M883" s="116"/>
      <c r="N883" s="116"/>
      <c r="O883" s="116"/>
      <c r="P883" s="116"/>
      <c r="Q883" s="312"/>
      <c r="R883" s="116"/>
      <c r="S883" s="116"/>
      <c r="T883" s="116"/>
      <c r="U883" s="116"/>
      <c r="V883" s="313"/>
      <c r="W883" s="314"/>
      <c r="X883" s="43"/>
      <c r="Y883" s="43"/>
      <c r="Z883" s="43"/>
      <c r="AA883" s="43"/>
      <c r="AB883" s="43"/>
    </row>
    <row r="884">
      <c r="A884" s="116"/>
      <c r="B884" s="116"/>
      <c r="C884" s="116"/>
      <c r="D884" s="116"/>
      <c r="E884" s="116"/>
      <c r="F884" s="116"/>
      <c r="G884" s="116"/>
      <c r="H884" s="116"/>
      <c r="I884" s="116"/>
      <c r="J884" s="116"/>
      <c r="K884" s="116"/>
      <c r="L884" s="116"/>
      <c r="M884" s="116"/>
      <c r="N884" s="116"/>
      <c r="O884" s="116"/>
      <c r="P884" s="116"/>
      <c r="Q884" s="312"/>
      <c r="R884" s="116"/>
      <c r="S884" s="116"/>
      <c r="T884" s="116"/>
      <c r="U884" s="116"/>
      <c r="V884" s="313"/>
      <c r="W884" s="314"/>
      <c r="X884" s="43"/>
      <c r="Y884" s="43"/>
      <c r="Z884" s="43"/>
      <c r="AA884" s="43"/>
      <c r="AB884" s="43"/>
    </row>
    <row r="885">
      <c r="A885" s="116"/>
      <c r="B885" s="116"/>
      <c r="C885" s="116"/>
      <c r="D885" s="116"/>
      <c r="E885" s="116"/>
      <c r="F885" s="116"/>
      <c r="G885" s="116"/>
      <c r="H885" s="116"/>
      <c r="I885" s="116"/>
      <c r="J885" s="116"/>
      <c r="K885" s="116"/>
      <c r="L885" s="116"/>
      <c r="M885" s="116"/>
      <c r="N885" s="116"/>
      <c r="O885" s="116"/>
      <c r="P885" s="116"/>
      <c r="Q885" s="312"/>
      <c r="R885" s="116"/>
      <c r="S885" s="116"/>
      <c r="T885" s="116"/>
      <c r="U885" s="116"/>
      <c r="V885" s="313"/>
      <c r="W885" s="314"/>
      <c r="X885" s="43"/>
      <c r="Y885" s="43"/>
      <c r="Z885" s="43"/>
      <c r="AA885" s="43"/>
      <c r="AB885" s="43"/>
    </row>
    <row r="886">
      <c r="A886" s="116"/>
      <c r="B886" s="116"/>
      <c r="C886" s="116"/>
      <c r="D886" s="116"/>
      <c r="E886" s="116"/>
      <c r="F886" s="116"/>
      <c r="G886" s="116"/>
      <c r="H886" s="116"/>
      <c r="I886" s="116"/>
      <c r="J886" s="116"/>
      <c r="K886" s="116"/>
      <c r="L886" s="116"/>
      <c r="M886" s="116"/>
      <c r="N886" s="116"/>
      <c r="O886" s="116"/>
      <c r="P886" s="116"/>
      <c r="Q886" s="312"/>
      <c r="R886" s="116"/>
      <c r="S886" s="116"/>
      <c r="T886" s="116"/>
      <c r="U886" s="116"/>
      <c r="V886" s="313"/>
      <c r="W886" s="314"/>
      <c r="X886" s="43"/>
      <c r="Y886" s="43"/>
      <c r="Z886" s="43"/>
      <c r="AA886" s="43"/>
      <c r="AB886" s="43"/>
    </row>
    <row r="887">
      <c r="A887" s="116"/>
      <c r="B887" s="116"/>
      <c r="C887" s="116"/>
      <c r="D887" s="116"/>
      <c r="E887" s="116"/>
      <c r="F887" s="116"/>
      <c r="G887" s="116"/>
      <c r="H887" s="116"/>
      <c r="I887" s="116"/>
      <c r="J887" s="116"/>
      <c r="K887" s="116"/>
      <c r="L887" s="116"/>
      <c r="M887" s="116"/>
      <c r="N887" s="116"/>
      <c r="O887" s="116"/>
      <c r="P887" s="116"/>
      <c r="Q887" s="312"/>
      <c r="R887" s="116"/>
      <c r="S887" s="116"/>
      <c r="T887" s="116"/>
      <c r="U887" s="116"/>
      <c r="V887" s="313"/>
      <c r="W887" s="314"/>
      <c r="X887" s="43"/>
      <c r="Y887" s="43"/>
      <c r="Z887" s="43"/>
      <c r="AA887" s="43"/>
      <c r="AB887" s="43"/>
    </row>
    <row r="888">
      <c r="A888" s="116"/>
      <c r="B888" s="116"/>
      <c r="C888" s="116"/>
      <c r="D888" s="116"/>
      <c r="E888" s="116"/>
      <c r="F888" s="116"/>
      <c r="G888" s="116"/>
      <c r="H888" s="116"/>
      <c r="I888" s="116"/>
      <c r="J888" s="116"/>
      <c r="K888" s="116"/>
      <c r="L888" s="116"/>
      <c r="M888" s="116"/>
      <c r="N888" s="116"/>
      <c r="O888" s="116"/>
      <c r="P888" s="116"/>
      <c r="Q888" s="312"/>
      <c r="R888" s="116"/>
      <c r="S888" s="116"/>
      <c r="T888" s="116"/>
      <c r="U888" s="116"/>
      <c r="V888" s="313"/>
      <c r="W888" s="314"/>
      <c r="X888" s="43"/>
      <c r="Y888" s="43"/>
      <c r="Z888" s="43"/>
      <c r="AA888" s="43"/>
      <c r="AB888" s="43"/>
    </row>
    <row r="889">
      <c r="A889" s="116"/>
      <c r="B889" s="116"/>
      <c r="C889" s="116"/>
      <c r="D889" s="116"/>
      <c r="E889" s="116"/>
      <c r="F889" s="116"/>
      <c r="G889" s="116"/>
      <c r="H889" s="116"/>
      <c r="I889" s="116"/>
      <c r="J889" s="116"/>
      <c r="K889" s="116"/>
      <c r="L889" s="116"/>
      <c r="M889" s="116"/>
      <c r="N889" s="116"/>
      <c r="O889" s="116"/>
      <c r="P889" s="116"/>
      <c r="Q889" s="312"/>
      <c r="R889" s="116"/>
      <c r="S889" s="116"/>
      <c r="T889" s="116"/>
      <c r="U889" s="116"/>
      <c r="V889" s="313"/>
      <c r="W889" s="314"/>
      <c r="X889" s="43"/>
      <c r="Y889" s="43"/>
      <c r="Z889" s="43"/>
      <c r="AA889" s="43"/>
      <c r="AB889" s="43"/>
    </row>
    <row r="890">
      <c r="A890" s="116"/>
      <c r="B890" s="116"/>
      <c r="C890" s="116"/>
      <c r="D890" s="116"/>
      <c r="E890" s="116"/>
      <c r="F890" s="116"/>
      <c r="G890" s="116"/>
      <c r="H890" s="116"/>
      <c r="I890" s="116"/>
      <c r="J890" s="116"/>
      <c r="K890" s="116"/>
      <c r="L890" s="116"/>
      <c r="M890" s="116"/>
      <c r="N890" s="116"/>
      <c r="O890" s="116"/>
      <c r="P890" s="116"/>
      <c r="Q890" s="312"/>
      <c r="R890" s="116"/>
      <c r="S890" s="116"/>
      <c r="T890" s="116"/>
      <c r="U890" s="116"/>
      <c r="V890" s="313"/>
      <c r="W890" s="314"/>
      <c r="X890" s="43"/>
      <c r="Y890" s="43"/>
      <c r="Z890" s="43"/>
      <c r="AA890" s="43"/>
      <c r="AB890" s="43"/>
    </row>
    <row r="891">
      <c r="A891" s="116"/>
      <c r="B891" s="116"/>
      <c r="C891" s="116"/>
      <c r="D891" s="116"/>
      <c r="E891" s="116"/>
      <c r="F891" s="116"/>
      <c r="G891" s="116"/>
      <c r="H891" s="116"/>
      <c r="I891" s="116"/>
      <c r="J891" s="116"/>
      <c r="K891" s="116"/>
      <c r="L891" s="116"/>
      <c r="M891" s="116"/>
      <c r="N891" s="116"/>
      <c r="O891" s="116"/>
      <c r="P891" s="116"/>
      <c r="Q891" s="312"/>
      <c r="R891" s="116"/>
      <c r="S891" s="116"/>
      <c r="T891" s="116"/>
      <c r="U891" s="116"/>
      <c r="V891" s="313"/>
      <c r="W891" s="314"/>
      <c r="X891" s="43"/>
      <c r="Y891" s="43"/>
      <c r="Z891" s="43"/>
      <c r="AA891" s="43"/>
      <c r="AB891" s="43"/>
    </row>
    <row r="892">
      <c r="A892" s="116"/>
      <c r="B892" s="116"/>
      <c r="C892" s="116"/>
      <c r="D892" s="116"/>
      <c r="E892" s="116"/>
      <c r="F892" s="116"/>
      <c r="G892" s="116"/>
      <c r="H892" s="116"/>
      <c r="I892" s="116"/>
      <c r="J892" s="116"/>
      <c r="K892" s="116"/>
      <c r="L892" s="116"/>
      <c r="M892" s="116"/>
      <c r="N892" s="116"/>
      <c r="O892" s="116"/>
      <c r="P892" s="116"/>
      <c r="Q892" s="312"/>
      <c r="R892" s="116"/>
      <c r="S892" s="116"/>
      <c r="T892" s="116"/>
      <c r="U892" s="116"/>
      <c r="V892" s="313"/>
      <c r="W892" s="314"/>
      <c r="X892" s="43"/>
      <c r="Y892" s="43"/>
      <c r="Z892" s="43"/>
      <c r="AA892" s="43"/>
      <c r="AB892" s="43"/>
    </row>
    <row r="893">
      <c r="A893" s="116"/>
      <c r="B893" s="116"/>
      <c r="C893" s="116"/>
      <c r="D893" s="116"/>
      <c r="E893" s="116"/>
      <c r="F893" s="116"/>
      <c r="G893" s="116"/>
      <c r="H893" s="116"/>
      <c r="I893" s="116"/>
      <c r="J893" s="116"/>
      <c r="K893" s="116"/>
      <c r="L893" s="116"/>
      <c r="M893" s="116"/>
      <c r="N893" s="116"/>
      <c r="O893" s="116"/>
      <c r="P893" s="116"/>
      <c r="Q893" s="312"/>
      <c r="R893" s="116"/>
      <c r="S893" s="116"/>
      <c r="T893" s="116"/>
      <c r="U893" s="116"/>
      <c r="V893" s="313"/>
      <c r="W893" s="314"/>
      <c r="X893" s="43"/>
      <c r="Y893" s="43"/>
      <c r="Z893" s="43"/>
      <c r="AA893" s="43"/>
      <c r="AB893" s="43"/>
    </row>
    <row r="894">
      <c r="A894" s="116"/>
      <c r="B894" s="116"/>
      <c r="C894" s="116"/>
      <c r="D894" s="116"/>
      <c r="E894" s="116"/>
      <c r="F894" s="116"/>
      <c r="G894" s="116"/>
      <c r="H894" s="116"/>
      <c r="I894" s="116"/>
      <c r="J894" s="116"/>
      <c r="K894" s="116"/>
      <c r="L894" s="116"/>
      <c r="M894" s="116"/>
      <c r="N894" s="116"/>
      <c r="O894" s="116"/>
      <c r="P894" s="116"/>
      <c r="Q894" s="312"/>
      <c r="R894" s="116"/>
      <c r="S894" s="116"/>
      <c r="T894" s="116"/>
      <c r="U894" s="116"/>
      <c r="V894" s="313"/>
      <c r="W894" s="314"/>
      <c r="X894" s="43"/>
      <c r="Y894" s="43"/>
      <c r="Z894" s="43"/>
      <c r="AA894" s="43"/>
      <c r="AB894" s="43"/>
    </row>
    <row r="895">
      <c r="A895" s="116"/>
      <c r="B895" s="116"/>
      <c r="C895" s="116"/>
      <c r="D895" s="116"/>
      <c r="E895" s="116"/>
      <c r="F895" s="116"/>
      <c r="G895" s="116"/>
      <c r="H895" s="116"/>
      <c r="I895" s="116"/>
      <c r="J895" s="116"/>
      <c r="K895" s="116"/>
      <c r="L895" s="116"/>
      <c r="M895" s="116"/>
      <c r="N895" s="116"/>
      <c r="O895" s="116"/>
      <c r="P895" s="116"/>
      <c r="Q895" s="312"/>
      <c r="R895" s="116"/>
      <c r="S895" s="116"/>
      <c r="T895" s="116"/>
      <c r="U895" s="116"/>
      <c r="V895" s="313"/>
      <c r="W895" s="314"/>
      <c r="X895" s="43"/>
      <c r="Y895" s="43"/>
      <c r="Z895" s="43"/>
      <c r="AA895" s="43"/>
      <c r="AB895" s="43"/>
    </row>
    <row r="896">
      <c r="A896" s="116"/>
      <c r="B896" s="116"/>
      <c r="C896" s="116"/>
      <c r="D896" s="116"/>
      <c r="E896" s="116"/>
      <c r="F896" s="116"/>
      <c r="G896" s="116"/>
      <c r="H896" s="116"/>
      <c r="I896" s="116"/>
      <c r="J896" s="116"/>
      <c r="K896" s="116"/>
      <c r="L896" s="116"/>
      <c r="M896" s="116"/>
      <c r="N896" s="116"/>
      <c r="O896" s="116"/>
      <c r="P896" s="116"/>
      <c r="Q896" s="312"/>
      <c r="R896" s="116"/>
      <c r="S896" s="116"/>
      <c r="T896" s="116"/>
      <c r="U896" s="116"/>
      <c r="V896" s="313"/>
      <c r="W896" s="314"/>
      <c r="X896" s="43"/>
      <c r="Y896" s="43"/>
      <c r="Z896" s="43"/>
      <c r="AA896" s="43"/>
      <c r="AB896" s="43"/>
    </row>
    <row r="897">
      <c r="A897" s="116"/>
      <c r="B897" s="116"/>
      <c r="C897" s="116"/>
      <c r="D897" s="116"/>
      <c r="E897" s="116"/>
      <c r="F897" s="116"/>
      <c r="G897" s="116"/>
      <c r="H897" s="116"/>
      <c r="I897" s="116"/>
      <c r="J897" s="116"/>
      <c r="K897" s="116"/>
      <c r="L897" s="116"/>
      <c r="M897" s="116"/>
      <c r="N897" s="116"/>
      <c r="O897" s="116"/>
      <c r="P897" s="116"/>
      <c r="Q897" s="312"/>
      <c r="R897" s="116"/>
      <c r="S897" s="116"/>
      <c r="T897" s="116"/>
      <c r="U897" s="116"/>
      <c r="V897" s="313"/>
      <c r="W897" s="314"/>
      <c r="X897" s="43"/>
      <c r="Y897" s="43"/>
      <c r="Z897" s="43"/>
      <c r="AA897" s="43"/>
      <c r="AB897" s="43"/>
    </row>
    <row r="898">
      <c r="A898" s="116"/>
      <c r="B898" s="116"/>
      <c r="C898" s="116"/>
      <c r="D898" s="116"/>
      <c r="E898" s="116"/>
      <c r="F898" s="116"/>
      <c r="G898" s="116"/>
      <c r="H898" s="116"/>
      <c r="I898" s="116"/>
      <c r="J898" s="116"/>
      <c r="K898" s="116"/>
      <c r="L898" s="116"/>
      <c r="M898" s="116"/>
      <c r="N898" s="116"/>
      <c r="O898" s="116"/>
      <c r="P898" s="116"/>
      <c r="Q898" s="312"/>
      <c r="R898" s="116"/>
      <c r="S898" s="116"/>
      <c r="T898" s="116"/>
      <c r="U898" s="116"/>
      <c r="V898" s="313"/>
      <c r="W898" s="314"/>
      <c r="X898" s="43"/>
      <c r="Y898" s="43"/>
      <c r="Z898" s="43"/>
      <c r="AA898" s="43"/>
      <c r="AB898" s="43"/>
    </row>
    <row r="899">
      <c r="A899" s="116"/>
      <c r="B899" s="116"/>
      <c r="C899" s="116"/>
      <c r="D899" s="116"/>
      <c r="E899" s="116"/>
      <c r="F899" s="116"/>
      <c r="G899" s="116"/>
      <c r="H899" s="116"/>
      <c r="I899" s="116"/>
      <c r="J899" s="116"/>
      <c r="K899" s="116"/>
      <c r="L899" s="116"/>
      <c r="M899" s="116"/>
      <c r="N899" s="116"/>
      <c r="O899" s="116"/>
      <c r="P899" s="116"/>
      <c r="Q899" s="312"/>
      <c r="R899" s="116"/>
      <c r="S899" s="116"/>
      <c r="T899" s="116"/>
      <c r="U899" s="116"/>
      <c r="V899" s="313"/>
      <c r="W899" s="314"/>
      <c r="X899" s="43"/>
      <c r="Y899" s="43"/>
      <c r="Z899" s="43"/>
      <c r="AA899" s="43"/>
      <c r="AB899" s="43"/>
    </row>
    <row r="900">
      <c r="A900" s="116"/>
      <c r="B900" s="116"/>
      <c r="C900" s="116"/>
      <c r="D900" s="116"/>
      <c r="E900" s="116"/>
      <c r="F900" s="116"/>
      <c r="G900" s="116"/>
      <c r="H900" s="116"/>
      <c r="I900" s="116"/>
      <c r="J900" s="116"/>
      <c r="K900" s="116"/>
      <c r="L900" s="116"/>
      <c r="M900" s="116"/>
      <c r="N900" s="116"/>
      <c r="O900" s="116"/>
      <c r="P900" s="116"/>
      <c r="Q900" s="312"/>
      <c r="R900" s="116"/>
      <c r="S900" s="116"/>
      <c r="T900" s="116"/>
      <c r="U900" s="116"/>
      <c r="V900" s="313"/>
      <c r="W900" s="314"/>
      <c r="X900" s="43"/>
      <c r="Y900" s="43"/>
      <c r="Z900" s="43"/>
      <c r="AA900" s="43"/>
      <c r="AB900" s="43"/>
    </row>
    <row r="901">
      <c r="A901" s="116"/>
      <c r="B901" s="116"/>
      <c r="C901" s="116"/>
      <c r="D901" s="116"/>
      <c r="E901" s="116"/>
      <c r="F901" s="116"/>
      <c r="G901" s="116"/>
      <c r="H901" s="116"/>
      <c r="I901" s="116"/>
      <c r="J901" s="116"/>
      <c r="K901" s="116"/>
      <c r="L901" s="116"/>
      <c r="M901" s="116"/>
      <c r="N901" s="116"/>
      <c r="O901" s="116"/>
      <c r="P901" s="116"/>
      <c r="Q901" s="312"/>
      <c r="R901" s="116"/>
      <c r="S901" s="116"/>
      <c r="T901" s="116"/>
      <c r="U901" s="116"/>
      <c r="V901" s="313"/>
      <c r="W901" s="314"/>
      <c r="X901" s="43"/>
      <c r="Y901" s="43"/>
      <c r="Z901" s="43"/>
      <c r="AA901" s="43"/>
      <c r="AB901" s="43"/>
    </row>
    <row r="902">
      <c r="A902" s="116"/>
      <c r="B902" s="116"/>
      <c r="C902" s="116"/>
      <c r="D902" s="116"/>
      <c r="E902" s="116"/>
      <c r="F902" s="116"/>
      <c r="G902" s="116"/>
      <c r="H902" s="116"/>
      <c r="I902" s="116"/>
      <c r="J902" s="116"/>
      <c r="K902" s="116"/>
      <c r="L902" s="116"/>
      <c r="M902" s="116"/>
      <c r="N902" s="116"/>
      <c r="O902" s="116"/>
      <c r="P902" s="116"/>
      <c r="Q902" s="312"/>
      <c r="R902" s="116"/>
      <c r="S902" s="116"/>
      <c r="T902" s="116"/>
      <c r="U902" s="116"/>
      <c r="V902" s="313"/>
      <c r="W902" s="314"/>
      <c r="X902" s="43"/>
      <c r="Y902" s="43"/>
      <c r="Z902" s="43"/>
      <c r="AA902" s="43"/>
      <c r="AB902" s="43"/>
    </row>
    <row r="903">
      <c r="A903" s="116"/>
      <c r="B903" s="116"/>
      <c r="C903" s="116"/>
      <c r="D903" s="116"/>
      <c r="E903" s="116"/>
      <c r="F903" s="116"/>
      <c r="G903" s="116"/>
      <c r="H903" s="116"/>
      <c r="I903" s="116"/>
      <c r="J903" s="116"/>
      <c r="K903" s="116"/>
      <c r="L903" s="116"/>
      <c r="M903" s="116"/>
      <c r="N903" s="116"/>
      <c r="O903" s="116"/>
      <c r="P903" s="116"/>
      <c r="Q903" s="312"/>
      <c r="R903" s="116"/>
      <c r="S903" s="116"/>
      <c r="T903" s="116"/>
      <c r="U903" s="116"/>
      <c r="V903" s="313"/>
      <c r="W903" s="314"/>
      <c r="X903" s="43"/>
      <c r="Y903" s="43"/>
      <c r="Z903" s="43"/>
      <c r="AA903" s="43"/>
      <c r="AB903" s="43"/>
    </row>
    <row r="904">
      <c r="A904" s="116"/>
      <c r="B904" s="116"/>
      <c r="C904" s="116"/>
      <c r="D904" s="116"/>
      <c r="E904" s="116"/>
      <c r="F904" s="116"/>
      <c r="G904" s="116"/>
      <c r="H904" s="116"/>
      <c r="I904" s="116"/>
      <c r="J904" s="116"/>
      <c r="K904" s="116"/>
      <c r="L904" s="116"/>
      <c r="M904" s="116"/>
      <c r="N904" s="116"/>
      <c r="O904" s="116"/>
      <c r="P904" s="116"/>
      <c r="Q904" s="312"/>
      <c r="R904" s="116"/>
      <c r="S904" s="116"/>
      <c r="T904" s="116"/>
      <c r="U904" s="116"/>
      <c r="V904" s="313"/>
      <c r="W904" s="314"/>
      <c r="X904" s="43"/>
      <c r="Y904" s="43"/>
      <c r="Z904" s="43"/>
      <c r="AA904" s="43"/>
      <c r="AB904" s="43"/>
    </row>
    <row r="905">
      <c r="A905" s="116"/>
      <c r="B905" s="116"/>
      <c r="C905" s="116"/>
      <c r="D905" s="116"/>
      <c r="E905" s="116"/>
      <c r="F905" s="116"/>
      <c r="G905" s="116"/>
      <c r="H905" s="116"/>
      <c r="I905" s="116"/>
      <c r="J905" s="116"/>
      <c r="K905" s="116"/>
      <c r="L905" s="116"/>
      <c r="M905" s="116"/>
      <c r="N905" s="116"/>
      <c r="O905" s="116"/>
      <c r="P905" s="116"/>
      <c r="Q905" s="312"/>
      <c r="R905" s="116"/>
      <c r="S905" s="116"/>
      <c r="T905" s="116"/>
      <c r="U905" s="116"/>
      <c r="V905" s="313"/>
      <c r="W905" s="314"/>
      <c r="X905" s="43"/>
      <c r="Y905" s="43"/>
      <c r="Z905" s="43"/>
      <c r="AA905" s="43"/>
      <c r="AB905" s="43"/>
    </row>
    <row r="906">
      <c r="A906" s="116"/>
      <c r="B906" s="116"/>
      <c r="C906" s="116"/>
      <c r="D906" s="116"/>
      <c r="E906" s="116"/>
      <c r="F906" s="116"/>
      <c r="G906" s="116"/>
      <c r="H906" s="116"/>
      <c r="I906" s="116"/>
      <c r="J906" s="116"/>
      <c r="K906" s="116"/>
      <c r="L906" s="116"/>
      <c r="M906" s="116"/>
      <c r="N906" s="116"/>
      <c r="O906" s="116"/>
      <c r="P906" s="116"/>
      <c r="Q906" s="312"/>
      <c r="R906" s="116"/>
      <c r="S906" s="116"/>
      <c r="T906" s="116"/>
      <c r="U906" s="116"/>
      <c r="V906" s="313"/>
      <c r="W906" s="314"/>
      <c r="X906" s="43"/>
      <c r="Y906" s="43"/>
      <c r="Z906" s="43"/>
      <c r="AA906" s="43"/>
      <c r="AB906" s="43"/>
    </row>
    <row r="907">
      <c r="A907" s="116"/>
      <c r="B907" s="116"/>
      <c r="C907" s="116"/>
      <c r="D907" s="116"/>
      <c r="E907" s="116"/>
      <c r="F907" s="116"/>
      <c r="G907" s="116"/>
      <c r="H907" s="116"/>
      <c r="I907" s="116"/>
      <c r="J907" s="116"/>
      <c r="K907" s="116"/>
      <c r="L907" s="116"/>
      <c r="M907" s="116"/>
      <c r="N907" s="116"/>
      <c r="O907" s="116"/>
      <c r="P907" s="116"/>
      <c r="Q907" s="312"/>
      <c r="R907" s="116"/>
      <c r="S907" s="116"/>
      <c r="T907" s="116"/>
      <c r="U907" s="116"/>
      <c r="V907" s="313"/>
      <c r="W907" s="314"/>
      <c r="X907" s="43"/>
      <c r="Y907" s="43"/>
      <c r="Z907" s="43"/>
      <c r="AA907" s="43"/>
      <c r="AB907" s="43"/>
    </row>
    <row r="908">
      <c r="A908" s="116"/>
      <c r="B908" s="116"/>
      <c r="C908" s="116"/>
      <c r="D908" s="116"/>
      <c r="E908" s="116"/>
      <c r="F908" s="116"/>
      <c r="G908" s="116"/>
      <c r="H908" s="116"/>
      <c r="I908" s="116"/>
      <c r="J908" s="116"/>
      <c r="K908" s="116"/>
      <c r="L908" s="116"/>
      <c r="M908" s="116"/>
      <c r="N908" s="116"/>
      <c r="O908" s="116"/>
      <c r="P908" s="116"/>
      <c r="Q908" s="312"/>
      <c r="R908" s="116"/>
      <c r="S908" s="116"/>
      <c r="T908" s="116"/>
      <c r="U908" s="116"/>
      <c r="V908" s="313"/>
      <c r="W908" s="314"/>
      <c r="X908" s="43"/>
      <c r="Y908" s="43"/>
      <c r="Z908" s="43"/>
      <c r="AA908" s="43"/>
      <c r="AB908" s="43"/>
    </row>
    <row r="909">
      <c r="A909" s="116"/>
      <c r="B909" s="116"/>
      <c r="C909" s="116"/>
      <c r="D909" s="116"/>
      <c r="E909" s="116"/>
      <c r="F909" s="116"/>
      <c r="G909" s="116"/>
      <c r="H909" s="116"/>
      <c r="I909" s="116"/>
      <c r="J909" s="116"/>
      <c r="K909" s="116"/>
      <c r="L909" s="116"/>
      <c r="M909" s="116"/>
      <c r="N909" s="116"/>
      <c r="O909" s="116"/>
      <c r="P909" s="116"/>
      <c r="Q909" s="312"/>
      <c r="R909" s="116"/>
      <c r="S909" s="116"/>
      <c r="T909" s="116"/>
      <c r="U909" s="116"/>
      <c r="V909" s="313"/>
      <c r="W909" s="314"/>
      <c r="X909" s="43"/>
      <c r="Y909" s="43"/>
      <c r="Z909" s="43"/>
      <c r="AA909" s="43"/>
      <c r="AB909" s="43"/>
    </row>
    <row r="910">
      <c r="A910" s="116"/>
      <c r="B910" s="116"/>
      <c r="C910" s="116"/>
      <c r="D910" s="116"/>
      <c r="E910" s="116"/>
      <c r="F910" s="116"/>
      <c r="G910" s="116"/>
      <c r="H910" s="116"/>
      <c r="I910" s="116"/>
      <c r="J910" s="116"/>
      <c r="K910" s="116"/>
      <c r="L910" s="116"/>
      <c r="M910" s="116"/>
      <c r="N910" s="116"/>
      <c r="O910" s="116"/>
      <c r="P910" s="116"/>
      <c r="Q910" s="312"/>
      <c r="R910" s="116"/>
      <c r="S910" s="116"/>
      <c r="T910" s="116"/>
      <c r="U910" s="116"/>
      <c r="V910" s="313"/>
      <c r="W910" s="314"/>
      <c r="X910" s="43"/>
      <c r="Y910" s="43"/>
      <c r="Z910" s="43"/>
      <c r="AA910" s="43"/>
      <c r="AB910" s="43"/>
    </row>
    <row r="911">
      <c r="A911" s="116"/>
      <c r="B911" s="116"/>
      <c r="C911" s="116"/>
      <c r="D911" s="116"/>
      <c r="E911" s="116"/>
      <c r="F911" s="116"/>
      <c r="G911" s="116"/>
      <c r="H911" s="116"/>
      <c r="I911" s="116"/>
      <c r="J911" s="116"/>
      <c r="K911" s="116"/>
      <c r="L911" s="116"/>
      <c r="M911" s="116"/>
      <c r="N911" s="116"/>
      <c r="O911" s="116"/>
      <c r="P911" s="116"/>
      <c r="Q911" s="312"/>
      <c r="R911" s="116"/>
      <c r="S911" s="116"/>
      <c r="T911" s="116"/>
      <c r="U911" s="116"/>
      <c r="V911" s="313"/>
      <c r="W911" s="314"/>
      <c r="X911" s="43"/>
      <c r="Y911" s="43"/>
      <c r="Z911" s="43"/>
      <c r="AA911" s="43"/>
      <c r="AB911" s="43"/>
    </row>
    <row r="912">
      <c r="A912" s="116"/>
      <c r="B912" s="116"/>
      <c r="C912" s="116"/>
      <c r="D912" s="116"/>
      <c r="E912" s="116"/>
      <c r="F912" s="116"/>
      <c r="G912" s="116"/>
      <c r="H912" s="116"/>
      <c r="I912" s="116"/>
      <c r="J912" s="116"/>
      <c r="K912" s="116"/>
      <c r="L912" s="116"/>
      <c r="M912" s="116"/>
      <c r="N912" s="116"/>
      <c r="O912" s="116"/>
      <c r="P912" s="116"/>
      <c r="Q912" s="312"/>
      <c r="R912" s="116"/>
      <c r="S912" s="116"/>
      <c r="T912" s="116"/>
      <c r="U912" s="116"/>
      <c r="V912" s="313"/>
      <c r="W912" s="314"/>
      <c r="X912" s="43"/>
      <c r="Y912" s="43"/>
      <c r="Z912" s="43"/>
      <c r="AA912" s="43"/>
      <c r="AB912" s="43"/>
    </row>
    <row r="913">
      <c r="A913" s="116"/>
      <c r="B913" s="116"/>
      <c r="C913" s="116"/>
      <c r="D913" s="116"/>
      <c r="E913" s="116"/>
      <c r="F913" s="116"/>
      <c r="G913" s="116"/>
      <c r="H913" s="116"/>
      <c r="I913" s="116"/>
      <c r="J913" s="116"/>
      <c r="K913" s="116"/>
      <c r="L913" s="116"/>
      <c r="M913" s="116"/>
      <c r="N913" s="116"/>
      <c r="O913" s="116"/>
      <c r="P913" s="116"/>
      <c r="Q913" s="312"/>
      <c r="R913" s="116"/>
      <c r="S913" s="116"/>
      <c r="T913" s="116"/>
      <c r="U913" s="116"/>
      <c r="V913" s="313"/>
      <c r="W913" s="314"/>
      <c r="X913" s="43"/>
      <c r="Y913" s="43"/>
      <c r="Z913" s="43"/>
      <c r="AA913" s="43"/>
      <c r="AB913" s="43"/>
    </row>
    <row r="914">
      <c r="A914" s="116"/>
      <c r="B914" s="116"/>
      <c r="C914" s="116"/>
      <c r="D914" s="116"/>
      <c r="E914" s="116"/>
      <c r="F914" s="116"/>
      <c r="G914" s="116"/>
      <c r="H914" s="116"/>
      <c r="I914" s="116"/>
      <c r="J914" s="116"/>
      <c r="K914" s="116"/>
      <c r="L914" s="116"/>
      <c r="M914" s="116"/>
      <c r="N914" s="116"/>
      <c r="O914" s="116"/>
      <c r="P914" s="116"/>
      <c r="Q914" s="312"/>
      <c r="R914" s="116"/>
      <c r="S914" s="116"/>
      <c r="T914" s="116"/>
      <c r="U914" s="116"/>
      <c r="V914" s="313"/>
      <c r="W914" s="314"/>
      <c r="X914" s="43"/>
      <c r="Y914" s="43"/>
      <c r="Z914" s="43"/>
      <c r="AA914" s="43"/>
      <c r="AB914" s="43"/>
    </row>
    <row r="915">
      <c r="A915" s="116"/>
      <c r="B915" s="116"/>
      <c r="C915" s="116"/>
      <c r="D915" s="116"/>
      <c r="E915" s="116"/>
      <c r="F915" s="116"/>
      <c r="G915" s="116"/>
      <c r="H915" s="116"/>
      <c r="I915" s="116"/>
      <c r="J915" s="116"/>
      <c r="K915" s="116"/>
      <c r="L915" s="116"/>
      <c r="M915" s="116"/>
      <c r="N915" s="116"/>
      <c r="O915" s="116"/>
      <c r="P915" s="116"/>
      <c r="Q915" s="312"/>
      <c r="R915" s="116"/>
      <c r="S915" s="116"/>
      <c r="T915" s="116"/>
      <c r="U915" s="116"/>
      <c r="V915" s="313"/>
      <c r="W915" s="314"/>
      <c r="X915" s="43"/>
      <c r="Y915" s="43"/>
      <c r="Z915" s="43"/>
      <c r="AA915" s="43"/>
      <c r="AB915" s="43"/>
    </row>
    <row r="916">
      <c r="A916" s="116"/>
      <c r="B916" s="116"/>
      <c r="C916" s="116"/>
      <c r="D916" s="116"/>
      <c r="E916" s="116"/>
      <c r="F916" s="116"/>
      <c r="G916" s="116"/>
      <c r="H916" s="116"/>
      <c r="I916" s="116"/>
      <c r="J916" s="116"/>
      <c r="K916" s="116"/>
      <c r="L916" s="116"/>
      <c r="M916" s="116"/>
      <c r="N916" s="116"/>
      <c r="O916" s="116"/>
      <c r="P916" s="116"/>
      <c r="Q916" s="312"/>
      <c r="R916" s="116"/>
      <c r="S916" s="116"/>
      <c r="T916" s="116"/>
      <c r="U916" s="116"/>
      <c r="V916" s="313"/>
      <c r="W916" s="314"/>
      <c r="X916" s="43"/>
      <c r="Y916" s="43"/>
      <c r="Z916" s="43"/>
      <c r="AA916" s="43"/>
      <c r="AB916" s="43"/>
    </row>
    <row r="917">
      <c r="A917" s="116"/>
      <c r="B917" s="116"/>
      <c r="C917" s="116"/>
      <c r="D917" s="116"/>
      <c r="E917" s="116"/>
      <c r="F917" s="116"/>
      <c r="G917" s="116"/>
      <c r="H917" s="116"/>
      <c r="I917" s="116"/>
      <c r="J917" s="116"/>
      <c r="K917" s="116"/>
      <c r="L917" s="116"/>
      <c r="M917" s="116"/>
      <c r="N917" s="116"/>
      <c r="O917" s="116"/>
      <c r="P917" s="116"/>
      <c r="Q917" s="312"/>
      <c r="R917" s="116"/>
      <c r="S917" s="116"/>
      <c r="T917" s="116"/>
      <c r="U917" s="116"/>
      <c r="V917" s="313"/>
      <c r="W917" s="314"/>
      <c r="X917" s="43"/>
      <c r="Y917" s="43"/>
      <c r="Z917" s="43"/>
      <c r="AA917" s="43"/>
      <c r="AB917" s="43"/>
    </row>
    <row r="918">
      <c r="A918" s="116"/>
      <c r="B918" s="116"/>
      <c r="C918" s="116"/>
      <c r="D918" s="116"/>
      <c r="E918" s="116"/>
      <c r="F918" s="116"/>
      <c r="G918" s="116"/>
      <c r="H918" s="116"/>
      <c r="I918" s="116"/>
      <c r="J918" s="116"/>
      <c r="K918" s="116"/>
      <c r="L918" s="116"/>
      <c r="M918" s="116"/>
      <c r="N918" s="116"/>
      <c r="O918" s="116"/>
      <c r="P918" s="116"/>
      <c r="Q918" s="312"/>
      <c r="R918" s="116"/>
      <c r="S918" s="116"/>
      <c r="T918" s="116"/>
      <c r="U918" s="116"/>
      <c r="V918" s="313"/>
      <c r="W918" s="314"/>
      <c r="X918" s="43"/>
      <c r="Y918" s="43"/>
      <c r="Z918" s="43"/>
      <c r="AA918" s="43"/>
      <c r="AB918" s="43"/>
    </row>
    <row r="919">
      <c r="A919" s="116"/>
      <c r="B919" s="116"/>
      <c r="C919" s="116"/>
      <c r="D919" s="116"/>
      <c r="E919" s="116"/>
      <c r="F919" s="116"/>
      <c r="G919" s="116"/>
      <c r="H919" s="116"/>
      <c r="I919" s="116"/>
      <c r="J919" s="116"/>
      <c r="K919" s="116"/>
      <c r="L919" s="116"/>
      <c r="M919" s="116"/>
      <c r="N919" s="116"/>
      <c r="O919" s="116"/>
      <c r="P919" s="116"/>
      <c r="Q919" s="312"/>
      <c r="R919" s="116"/>
      <c r="S919" s="116"/>
      <c r="T919" s="116"/>
      <c r="U919" s="116"/>
      <c r="V919" s="313"/>
      <c r="W919" s="314"/>
      <c r="X919" s="43"/>
      <c r="Y919" s="43"/>
      <c r="Z919" s="43"/>
      <c r="AA919" s="43"/>
      <c r="AB919" s="43"/>
    </row>
    <row r="920">
      <c r="A920" s="116"/>
      <c r="B920" s="116"/>
      <c r="C920" s="116"/>
      <c r="D920" s="116"/>
      <c r="E920" s="116"/>
      <c r="F920" s="116"/>
      <c r="G920" s="116"/>
      <c r="H920" s="116"/>
      <c r="I920" s="116"/>
      <c r="J920" s="116"/>
      <c r="K920" s="116"/>
      <c r="L920" s="116"/>
      <c r="M920" s="116"/>
      <c r="N920" s="116"/>
      <c r="O920" s="116"/>
      <c r="P920" s="116"/>
      <c r="Q920" s="312"/>
      <c r="R920" s="116"/>
      <c r="S920" s="116"/>
      <c r="T920" s="116"/>
      <c r="U920" s="116"/>
      <c r="V920" s="313"/>
      <c r="W920" s="314"/>
      <c r="X920" s="43"/>
      <c r="Y920" s="43"/>
      <c r="Z920" s="43"/>
      <c r="AA920" s="43"/>
      <c r="AB920" s="43"/>
    </row>
    <row r="921">
      <c r="A921" s="116"/>
      <c r="B921" s="116"/>
      <c r="C921" s="116"/>
      <c r="D921" s="116"/>
      <c r="E921" s="116"/>
      <c r="F921" s="116"/>
      <c r="G921" s="116"/>
      <c r="H921" s="116"/>
      <c r="I921" s="116"/>
      <c r="J921" s="116"/>
      <c r="K921" s="116"/>
      <c r="L921" s="116"/>
      <c r="M921" s="116"/>
      <c r="N921" s="116"/>
      <c r="O921" s="116"/>
      <c r="P921" s="116"/>
      <c r="Q921" s="312"/>
      <c r="R921" s="116"/>
      <c r="S921" s="116"/>
      <c r="T921" s="116"/>
      <c r="U921" s="116"/>
      <c r="V921" s="313"/>
      <c r="W921" s="314"/>
      <c r="X921" s="43"/>
      <c r="Y921" s="43"/>
      <c r="Z921" s="43"/>
      <c r="AA921" s="43"/>
      <c r="AB921" s="43"/>
    </row>
    <row r="922">
      <c r="A922" s="116"/>
      <c r="B922" s="116"/>
      <c r="C922" s="116"/>
      <c r="D922" s="116"/>
      <c r="E922" s="116"/>
      <c r="F922" s="116"/>
      <c r="G922" s="116"/>
      <c r="H922" s="116"/>
      <c r="I922" s="116"/>
      <c r="J922" s="116"/>
      <c r="K922" s="116"/>
      <c r="L922" s="116"/>
      <c r="M922" s="116"/>
      <c r="N922" s="116"/>
      <c r="O922" s="116"/>
      <c r="P922" s="116"/>
      <c r="Q922" s="312"/>
      <c r="R922" s="116"/>
      <c r="S922" s="116"/>
      <c r="T922" s="116"/>
      <c r="U922" s="116"/>
      <c r="V922" s="313"/>
      <c r="W922" s="314"/>
      <c r="X922" s="43"/>
      <c r="Y922" s="43"/>
      <c r="Z922" s="43"/>
      <c r="AA922" s="43"/>
      <c r="AB922" s="43"/>
    </row>
    <row r="923">
      <c r="A923" s="116"/>
      <c r="B923" s="116"/>
      <c r="C923" s="116"/>
      <c r="D923" s="116"/>
      <c r="E923" s="116"/>
      <c r="F923" s="116"/>
      <c r="G923" s="116"/>
      <c r="H923" s="116"/>
      <c r="I923" s="116"/>
      <c r="J923" s="116"/>
      <c r="K923" s="116"/>
      <c r="L923" s="116"/>
      <c r="M923" s="116"/>
      <c r="N923" s="116"/>
      <c r="O923" s="116"/>
      <c r="P923" s="116"/>
      <c r="Q923" s="312"/>
      <c r="R923" s="116"/>
      <c r="S923" s="116"/>
      <c r="T923" s="116"/>
      <c r="U923" s="116"/>
      <c r="V923" s="313"/>
      <c r="W923" s="314"/>
      <c r="X923" s="43"/>
      <c r="Y923" s="43"/>
      <c r="Z923" s="43"/>
      <c r="AA923" s="43"/>
      <c r="AB923" s="43"/>
    </row>
    <row r="924">
      <c r="A924" s="116"/>
      <c r="B924" s="116"/>
      <c r="C924" s="116"/>
      <c r="D924" s="116"/>
      <c r="E924" s="116"/>
      <c r="F924" s="116"/>
      <c r="G924" s="116"/>
      <c r="H924" s="116"/>
      <c r="I924" s="116"/>
      <c r="J924" s="116"/>
      <c r="K924" s="116"/>
      <c r="L924" s="116"/>
      <c r="M924" s="116"/>
      <c r="N924" s="116"/>
      <c r="O924" s="116"/>
      <c r="P924" s="116"/>
      <c r="Q924" s="312"/>
      <c r="R924" s="116"/>
      <c r="S924" s="116"/>
      <c r="T924" s="116"/>
      <c r="U924" s="116"/>
      <c r="V924" s="313"/>
      <c r="W924" s="314"/>
      <c r="X924" s="43"/>
      <c r="Y924" s="43"/>
      <c r="Z924" s="43"/>
      <c r="AA924" s="43"/>
      <c r="AB924" s="43"/>
    </row>
    <row r="925">
      <c r="A925" s="116"/>
      <c r="B925" s="116"/>
      <c r="C925" s="116"/>
      <c r="D925" s="116"/>
      <c r="E925" s="116"/>
      <c r="F925" s="116"/>
      <c r="G925" s="116"/>
      <c r="H925" s="116"/>
      <c r="I925" s="116"/>
      <c r="J925" s="116"/>
      <c r="K925" s="116"/>
      <c r="L925" s="116"/>
      <c r="M925" s="116"/>
      <c r="N925" s="116"/>
      <c r="O925" s="116"/>
      <c r="P925" s="116"/>
      <c r="Q925" s="312"/>
      <c r="R925" s="116"/>
      <c r="S925" s="116"/>
      <c r="T925" s="116"/>
      <c r="U925" s="116"/>
      <c r="V925" s="313"/>
      <c r="W925" s="314"/>
      <c r="X925" s="43"/>
      <c r="Y925" s="43"/>
      <c r="Z925" s="43"/>
      <c r="AA925" s="43"/>
      <c r="AB925" s="43"/>
    </row>
    <row r="926">
      <c r="A926" s="116"/>
      <c r="B926" s="116"/>
      <c r="C926" s="116"/>
      <c r="D926" s="116"/>
      <c r="E926" s="116"/>
      <c r="F926" s="116"/>
      <c r="G926" s="116"/>
      <c r="H926" s="116"/>
      <c r="I926" s="116"/>
      <c r="J926" s="116"/>
      <c r="K926" s="116"/>
      <c r="L926" s="116"/>
      <c r="M926" s="116"/>
      <c r="N926" s="116"/>
      <c r="O926" s="116"/>
      <c r="P926" s="116"/>
      <c r="Q926" s="312"/>
      <c r="R926" s="116"/>
      <c r="S926" s="116"/>
      <c r="T926" s="116"/>
      <c r="U926" s="116"/>
      <c r="V926" s="313"/>
      <c r="W926" s="314"/>
      <c r="X926" s="43"/>
      <c r="Y926" s="43"/>
      <c r="Z926" s="43"/>
      <c r="AA926" s="43"/>
      <c r="AB926" s="43"/>
    </row>
    <row r="927">
      <c r="A927" s="116"/>
      <c r="B927" s="116"/>
      <c r="C927" s="116"/>
      <c r="D927" s="116"/>
      <c r="E927" s="116"/>
      <c r="F927" s="116"/>
      <c r="G927" s="116"/>
      <c r="H927" s="116"/>
      <c r="I927" s="116"/>
      <c r="J927" s="116"/>
      <c r="K927" s="116"/>
      <c r="L927" s="116"/>
      <c r="M927" s="116"/>
      <c r="N927" s="116"/>
      <c r="O927" s="116"/>
      <c r="P927" s="116"/>
      <c r="Q927" s="312"/>
      <c r="R927" s="116"/>
      <c r="S927" s="116"/>
      <c r="T927" s="116"/>
      <c r="U927" s="116"/>
      <c r="V927" s="313"/>
      <c r="W927" s="314"/>
      <c r="X927" s="43"/>
      <c r="Y927" s="43"/>
      <c r="Z927" s="43"/>
      <c r="AA927" s="43"/>
      <c r="AB927" s="43"/>
    </row>
    <row r="928">
      <c r="A928" s="116"/>
      <c r="B928" s="116"/>
      <c r="C928" s="116"/>
      <c r="D928" s="116"/>
      <c r="E928" s="116"/>
      <c r="F928" s="116"/>
      <c r="G928" s="116"/>
      <c r="H928" s="116"/>
      <c r="I928" s="116"/>
      <c r="J928" s="116"/>
      <c r="K928" s="116"/>
      <c r="L928" s="116"/>
      <c r="M928" s="116"/>
      <c r="N928" s="116"/>
      <c r="O928" s="116"/>
      <c r="P928" s="116"/>
      <c r="Q928" s="312"/>
      <c r="R928" s="116"/>
      <c r="S928" s="116"/>
      <c r="T928" s="116"/>
      <c r="U928" s="116"/>
      <c r="V928" s="313"/>
      <c r="W928" s="314"/>
      <c r="X928" s="43"/>
      <c r="Y928" s="43"/>
      <c r="Z928" s="43"/>
      <c r="AA928" s="43"/>
      <c r="AB928" s="43"/>
    </row>
    <row r="929">
      <c r="A929" s="116"/>
      <c r="B929" s="116"/>
      <c r="C929" s="116"/>
      <c r="D929" s="116"/>
      <c r="E929" s="116"/>
      <c r="F929" s="116"/>
      <c r="G929" s="116"/>
      <c r="H929" s="116"/>
      <c r="I929" s="116"/>
      <c r="J929" s="116"/>
      <c r="K929" s="116"/>
      <c r="L929" s="116"/>
      <c r="M929" s="116"/>
      <c r="N929" s="116"/>
      <c r="O929" s="116"/>
      <c r="P929" s="116"/>
      <c r="Q929" s="312"/>
      <c r="R929" s="116"/>
      <c r="S929" s="116"/>
      <c r="T929" s="116"/>
      <c r="U929" s="116"/>
      <c r="V929" s="313"/>
      <c r="W929" s="314"/>
      <c r="X929" s="43"/>
      <c r="Y929" s="43"/>
      <c r="Z929" s="43"/>
      <c r="AA929" s="43"/>
      <c r="AB929" s="43"/>
    </row>
    <row r="930">
      <c r="A930" s="116"/>
      <c r="B930" s="116"/>
      <c r="C930" s="116"/>
      <c r="D930" s="116"/>
      <c r="E930" s="116"/>
      <c r="F930" s="116"/>
      <c r="G930" s="116"/>
      <c r="H930" s="116"/>
      <c r="I930" s="116"/>
      <c r="J930" s="116"/>
      <c r="K930" s="116"/>
      <c r="L930" s="116"/>
      <c r="M930" s="116"/>
      <c r="N930" s="116"/>
      <c r="O930" s="116"/>
      <c r="P930" s="116"/>
      <c r="Q930" s="312"/>
      <c r="R930" s="116"/>
      <c r="S930" s="116"/>
      <c r="T930" s="116"/>
      <c r="U930" s="116"/>
      <c r="V930" s="313"/>
      <c r="W930" s="314"/>
      <c r="X930" s="43"/>
      <c r="Y930" s="43"/>
      <c r="Z930" s="43"/>
      <c r="AA930" s="43"/>
      <c r="AB930" s="43"/>
    </row>
    <row r="931">
      <c r="A931" s="116"/>
      <c r="B931" s="116"/>
      <c r="C931" s="116"/>
      <c r="D931" s="116"/>
      <c r="E931" s="116"/>
      <c r="F931" s="116"/>
      <c r="G931" s="116"/>
      <c r="H931" s="116"/>
      <c r="I931" s="116"/>
      <c r="J931" s="116"/>
      <c r="K931" s="116"/>
      <c r="L931" s="116"/>
      <c r="M931" s="116"/>
      <c r="N931" s="116"/>
      <c r="O931" s="116"/>
      <c r="P931" s="116"/>
      <c r="Q931" s="312"/>
      <c r="R931" s="116"/>
      <c r="S931" s="116"/>
      <c r="T931" s="116"/>
      <c r="U931" s="116"/>
      <c r="V931" s="313"/>
      <c r="W931" s="314"/>
      <c r="X931" s="43"/>
      <c r="Y931" s="43"/>
      <c r="Z931" s="43"/>
      <c r="AA931" s="43"/>
      <c r="AB931" s="43"/>
    </row>
    <row r="932">
      <c r="A932" s="116"/>
      <c r="B932" s="116"/>
      <c r="C932" s="116"/>
      <c r="D932" s="116"/>
      <c r="E932" s="116"/>
      <c r="F932" s="116"/>
      <c r="G932" s="116"/>
      <c r="H932" s="116"/>
      <c r="I932" s="116"/>
      <c r="J932" s="116"/>
      <c r="K932" s="116"/>
      <c r="L932" s="116"/>
      <c r="M932" s="116"/>
      <c r="N932" s="116"/>
      <c r="O932" s="116"/>
      <c r="P932" s="116"/>
      <c r="Q932" s="312"/>
      <c r="R932" s="116"/>
      <c r="S932" s="116"/>
      <c r="T932" s="116"/>
      <c r="U932" s="116"/>
      <c r="V932" s="313"/>
      <c r="W932" s="314"/>
      <c r="X932" s="43"/>
      <c r="Y932" s="43"/>
      <c r="Z932" s="43"/>
      <c r="AA932" s="43"/>
      <c r="AB932" s="43"/>
    </row>
    <row r="933">
      <c r="A933" s="116"/>
      <c r="B933" s="116"/>
      <c r="C933" s="116"/>
      <c r="D933" s="116"/>
      <c r="E933" s="116"/>
      <c r="F933" s="116"/>
      <c r="G933" s="116"/>
      <c r="H933" s="116"/>
      <c r="I933" s="116"/>
      <c r="J933" s="116"/>
      <c r="K933" s="116"/>
      <c r="L933" s="116"/>
      <c r="M933" s="116"/>
      <c r="N933" s="116"/>
      <c r="O933" s="116"/>
      <c r="P933" s="116"/>
      <c r="Q933" s="312"/>
      <c r="R933" s="116"/>
      <c r="S933" s="116"/>
      <c r="T933" s="116"/>
      <c r="U933" s="116"/>
      <c r="V933" s="313"/>
      <c r="W933" s="314"/>
      <c r="X933" s="43"/>
      <c r="Y933" s="43"/>
      <c r="Z933" s="43"/>
      <c r="AA933" s="43"/>
      <c r="AB933" s="43"/>
    </row>
    <row r="934">
      <c r="A934" s="116"/>
      <c r="B934" s="116"/>
      <c r="C934" s="116"/>
      <c r="D934" s="116"/>
      <c r="E934" s="116"/>
      <c r="F934" s="116"/>
      <c r="G934" s="116"/>
      <c r="H934" s="116"/>
      <c r="I934" s="116"/>
      <c r="J934" s="116"/>
      <c r="K934" s="116"/>
      <c r="L934" s="116"/>
      <c r="M934" s="116"/>
      <c r="N934" s="116"/>
      <c r="O934" s="116"/>
      <c r="P934" s="116"/>
      <c r="Q934" s="312"/>
      <c r="R934" s="116"/>
      <c r="S934" s="116"/>
      <c r="T934" s="116"/>
      <c r="U934" s="116"/>
      <c r="V934" s="313"/>
      <c r="W934" s="314"/>
      <c r="X934" s="43"/>
      <c r="Y934" s="43"/>
      <c r="Z934" s="43"/>
      <c r="AA934" s="43"/>
      <c r="AB934" s="43"/>
    </row>
    <row r="935">
      <c r="A935" s="116"/>
      <c r="B935" s="116"/>
      <c r="C935" s="116"/>
      <c r="D935" s="116"/>
      <c r="E935" s="116"/>
      <c r="F935" s="116"/>
      <c r="G935" s="116"/>
      <c r="H935" s="116"/>
      <c r="I935" s="116"/>
      <c r="J935" s="116"/>
      <c r="K935" s="116"/>
      <c r="L935" s="116"/>
      <c r="M935" s="116"/>
      <c r="N935" s="116"/>
      <c r="O935" s="116"/>
      <c r="P935" s="116"/>
      <c r="Q935" s="312"/>
      <c r="R935" s="116"/>
      <c r="S935" s="116"/>
      <c r="T935" s="116"/>
      <c r="U935" s="116"/>
      <c r="V935" s="313"/>
      <c r="W935" s="314"/>
      <c r="X935" s="43"/>
      <c r="Y935" s="43"/>
      <c r="Z935" s="43"/>
      <c r="AA935" s="43"/>
      <c r="AB935" s="43"/>
    </row>
    <row r="936">
      <c r="A936" s="116"/>
      <c r="B936" s="116"/>
      <c r="C936" s="116"/>
      <c r="D936" s="116"/>
      <c r="E936" s="116"/>
      <c r="F936" s="116"/>
      <c r="G936" s="116"/>
      <c r="H936" s="116"/>
      <c r="I936" s="116"/>
      <c r="J936" s="116"/>
      <c r="K936" s="116"/>
      <c r="L936" s="116"/>
      <c r="M936" s="116"/>
      <c r="N936" s="116"/>
      <c r="O936" s="116"/>
      <c r="P936" s="116"/>
      <c r="Q936" s="312"/>
      <c r="R936" s="116"/>
      <c r="S936" s="116"/>
      <c r="T936" s="116"/>
      <c r="U936" s="116"/>
      <c r="V936" s="313"/>
      <c r="W936" s="314"/>
      <c r="X936" s="43"/>
      <c r="Y936" s="43"/>
      <c r="Z936" s="43"/>
      <c r="AA936" s="43"/>
      <c r="AB936" s="43"/>
    </row>
    <row r="937">
      <c r="A937" s="116"/>
      <c r="B937" s="116"/>
      <c r="C937" s="116"/>
      <c r="D937" s="116"/>
      <c r="E937" s="116"/>
      <c r="F937" s="116"/>
      <c r="G937" s="116"/>
      <c r="H937" s="116"/>
      <c r="I937" s="116"/>
      <c r="J937" s="116"/>
      <c r="K937" s="116"/>
      <c r="L937" s="116"/>
      <c r="M937" s="116"/>
      <c r="N937" s="116"/>
      <c r="O937" s="116"/>
      <c r="P937" s="116"/>
      <c r="Q937" s="312"/>
      <c r="R937" s="116"/>
      <c r="S937" s="116"/>
      <c r="T937" s="116"/>
      <c r="U937" s="116"/>
      <c r="V937" s="313"/>
      <c r="W937" s="314"/>
      <c r="X937" s="43"/>
      <c r="Y937" s="43"/>
      <c r="Z937" s="43"/>
      <c r="AA937" s="43"/>
      <c r="AB937" s="43"/>
    </row>
    <row r="938">
      <c r="A938" s="116"/>
      <c r="B938" s="116"/>
      <c r="C938" s="116"/>
      <c r="D938" s="116"/>
      <c r="E938" s="116"/>
      <c r="F938" s="116"/>
      <c r="G938" s="116"/>
      <c r="H938" s="116"/>
      <c r="I938" s="116"/>
      <c r="J938" s="116"/>
      <c r="K938" s="116"/>
      <c r="L938" s="116"/>
      <c r="M938" s="116"/>
      <c r="N938" s="116"/>
      <c r="O938" s="116"/>
      <c r="P938" s="116"/>
      <c r="Q938" s="312"/>
      <c r="R938" s="116"/>
      <c r="S938" s="116"/>
      <c r="T938" s="116"/>
      <c r="U938" s="116"/>
      <c r="V938" s="313"/>
      <c r="W938" s="314"/>
      <c r="X938" s="43"/>
      <c r="Y938" s="43"/>
      <c r="Z938" s="43"/>
      <c r="AA938" s="43"/>
      <c r="AB938" s="43"/>
    </row>
    <row r="939">
      <c r="A939" s="116"/>
      <c r="B939" s="116"/>
      <c r="C939" s="116"/>
      <c r="D939" s="116"/>
      <c r="E939" s="116"/>
      <c r="F939" s="116"/>
      <c r="G939" s="116"/>
      <c r="H939" s="116"/>
      <c r="I939" s="116"/>
      <c r="J939" s="116"/>
      <c r="K939" s="116"/>
      <c r="L939" s="116"/>
      <c r="M939" s="116"/>
      <c r="N939" s="116"/>
      <c r="O939" s="116"/>
      <c r="P939" s="116"/>
      <c r="Q939" s="312"/>
      <c r="R939" s="116"/>
      <c r="S939" s="116"/>
      <c r="T939" s="116"/>
      <c r="U939" s="116"/>
      <c r="V939" s="313"/>
      <c r="W939" s="314"/>
      <c r="X939" s="43"/>
      <c r="Y939" s="43"/>
      <c r="Z939" s="43"/>
      <c r="AA939" s="43"/>
      <c r="AB939" s="43"/>
    </row>
    <row r="940">
      <c r="A940" s="116"/>
      <c r="B940" s="116"/>
      <c r="C940" s="116"/>
      <c r="D940" s="116"/>
      <c r="E940" s="116"/>
      <c r="F940" s="116"/>
      <c r="G940" s="116"/>
      <c r="H940" s="116"/>
      <c r="I940" s="116"/>
      <c r="J940" s="116"/>
      <c r="K940" s="116"/>
      <c r="L940" s="116"/>
      <c r="M940" s="116"/>
      <c r="N940" s="116"/>
      <c r="O940" s="116"/>
      <c r="P940" s="116"/>
      <c r="Q940" s="312"/>
      <c r="R940" s="116"/>
      <c r="S940" s="116"/>
      <c r="T940" s="116"/>
      <c r="U940" s="116"/>
      <c r="V940" s="313"/>
      <c r="W940" s="314"/>
      <c r="X940" s="43"/>
      <c r="Y940" s="43"/>
      <c r="Z940" s="43"/>
      <c r="AA940" s="43"/>
      <c r="AB940" s="43"/>
    </row>
    <row r="941">
      <c r="A941" s="116"/>
      <c r="B941" s="116"/>
      <c r="C941" s="116"/>
      <c r="D941" s="116"/>
      <c r="E941" s="116"/>
      <c r="F941" s="116"/>
      <c r="G941" s="116"/>
      <c r="H941" s="116"/>
      <c r="I941" s="116"/>
      <c r="J941" s="116"/>
      <c r="K941" s="116"/>
      <c r="L941" s="116"/>
      <c r="M941" s="116"/>
      <c r="N941" s="116"/>
      <c r="O941" s="116"/>
      <c r="P941" s="116"/>
      <c r="Q941" s="312"/>
      <c r="R941" s="116"/>
      <c r="S941" s="116"/>
      <c r="T941" s="116"/>
      <c r="U941" s="116"/>
      <c r="V941" s="313"/>
      <c r="W941" s="314"/>
      <c r="X941" s="43"/>
      <c r="Y941" s="43"/>
      <c r="Z941" s="43"/>
      <c r="AA941" s="43"/>
      <c r="AB941" s="43"/>
    </row>
    <row r="942">
      <c r="A942" s="116"/>
      <c r="B942" s="116"/>
      <c r="C942" s="116"/>
      <c r="D942" s="116"/>
      <c r="E942" s="116"/>
      <c r="F942" s="116"/>
      <c r="G942" s="116"/>
      <c r="H942" s="116"/>
      <c r="I942" s="116"/>
      <c r="J942" s="116"/>
      <c r="K942" s="116"/>
      <c r="L942" s="116"/>
      <c r="M942" s="116"/>
      <c r="N942" s="116"/>
      <c r="O942" s="116"/>
      <c r="P942" s="116"/>
      <c r="Q942" s="312"/>
      <c r="R942" s="116"/>
      <c r="S942" s="116"/>
      <c r="T942" s="116"/>
      <c r="U942" s="116"/>
      <c r="V942" s="313"/>
      <c r="W942" s="314"/>
      <c r="X942" s="43"/>
      <c r="Y942" s="43"/>
      <c r="Z942" s="43"/>
      <c r="AA942" s="43"/>
      <c r="AB942" s="43"/>
    </row>
    <row r="943">
      <c r="A943" s="116"/>
      <c r="B943" s="116"/>
      <c r="C943" s="116"/>
      <c r="D943" s="116"/>
      <c r="E943" s="116"/>
      <c r="F943" s="116"/>
      <c r="G943" s="116"/>
      <c r="H943" s="116"/>
      <c r="I943" s="116"/>
      <c r="J943" s="116"/>
      <c r="K943" s="116"/>
      <c r="L943" s="116"/>
      <c r="M943" s="116"/>
      <c r="N943" s="116"/>
      <c r="O943" s="116"/>
      <c r="P943" s="116"/>
      <c r="Q943" s="312"/>
      <c r="R943" s="116"/>
      <c r="S943" s="116"/>
      <c r="T943" s="116"/>
      <c r="U943" s="116"/>
      <c r="V943" s="313"/>
      <c r="W943" s="314"/>
      <c r="X943" s="43"/>
      <c r="Y943" s="43"/>
      <c r="Z943" s="43"/>
      <c r="AA943" s="43"/>
      <c r="AB943" s="43"/>
    </row>
    <row r="944">
      <c r="A944" s="116"/>
      <c r="B944" s="116"/>
      <c r="C944" s="116"/>
      <c r="D944" s="116"/>
      <c r="E944" s="116"/>
      <c r="F944" s="116"/>
      <c r="G944" s="116"/>
      <c r="H944" s="116"/>
      <c r="I944" s="116"/>
      <c r="J944" s="116"/>
      <c r="K944" s="116"/>
      <c r="L944" s="116"/>
      <c r="M944" s="116"/>
      <c r="N944" s="116"/>
      <c r="O944" s="116"/>
      <c r="P944" s="116"/>
      <c r="Q944" s="312"/>
      <c r="R944" s="116"/>
      <c r="S944" s="116"/>
      <c r="T944" s="116"/>
      <c r="U944" s="116"/>
      <c r="V944" s="313"/>
      <c r="W944" s="314"/>
      <c r="X944" s="43"/>
      <c r="Y944" s="43"/>
      <c r="Z944" s="43"/>
      <c r="AA944" s="43"/>
      <c r="AB944" s="43"/>
    </row>
    <row r="945">
      <c r="A945" s="116"/>
      <c r="B945" s="116"/>
      <c r="C945" s="116"/>
      <c r="D945" s="116"/>
      <c r="E945" s="116"/>
      <c r="F945" s="116"/>
      <c r="G945" s="116"/>
      <c r="H945" s="116"/>
      <c r="I945" s="116"/>
      <c r="J945" s="116"/>
      <c r="K945" s="116"/>
      <c r="L945" s="116"/>
      <c r="M945" s="116"/>
      <c r="N945" s="116"/>
      <c r="O945" s="116"/>
      <c r="P945" s="116"/>
      <c r="Q945" s="312"/>
      <c r="R945" s="116"/>
      <c r="S945" s="116"/>
      <c r="T945" s="116"/>
      <c r="U945" s="116"/>
      <c r="V945" s="313"/>
      <c r="W945" s="314"/>
      <c r="X945" s="43"/>
      <c r="Y945" s="43"/>
      <c r="Z945" s="43"/>
      <c r="AA945" s="43"/>
      <c r="AB945" s="43"/>
    </row>
    <row r="946">
      <c r="A946" s="116"/>
      <c r="B946" s="116"/>
      <c r="C946" s="116"/>
      <c r="D946" s="116"/>
      <c r="E946" s="116"/>
      <c r="F946" s="116"/>
      <c r="G946" s="116"/>
      <c r="H946" s="116"/>
      <c r="I946" s="116"/>
      <c r="J946" s="116"/>
      <c r="K946" s="116"/>
      <c r="L946" s="116"/>
      <c r="M946" s="116"/>
      <c r="N946" s="116"/>
      <c r="O946" s="116"/>
      <c r="P946" s="116"/>
      <c r="Q946" s="312"/>
      <c r="R946" s="116"/>
      <c r="S946" s="116"/>
      <c r="T946" s="116"/>
      <c r="U946" s="116"/>
      <c r="V946" s="313"/>
      <c r="W946" s="314"/>
      <c r="X946" s="43"/>
      <c r="Y946" s="43"/>
      <c r="Z946" s="43"/>
      <c r="AA946" s="43"/>
      <c r="AB946" s="43"/>
    </row>
    <row r="947">
      <c r="A947" s="116"/>
      <c r="B947" s="116"/>
      <c r="C947" s="116"/>
      <c r="D947" s="116"/>
      <c r="E947" s="116"/>
      <c r="F947" s="116"/>
      <c r="G947" s="116"/>
      <c r="H947" s="116"/>
      <c r="I947" s="116"/>
      <c r="J947" s="116"/>
      <c r="K947" s="116"/>
      <c r="L947" s="116"/>
      <c r="M947" s="116"/>
      <c r="N947" s="116"/>
      <c r="O947" s="116"/>
      <c r="P947" s="116"/>
      <c r="Q947" s="312"/>
      <c r="R947" s="116"/>
      <c r="S947" s="116"/>
      <c r="T947" s="116"/>
      <c r="U947" s="116"/>
      <c r="V947" s="313"/>
      <c r="W947" s="314"/>
      <c r="X947" s="43"/>
      <c r="Y947" s="43"/>
      <c r="Z947" s="43"/>
      <c r="AA947" s="43"/>
      <c r="AB947" s="43"/>
    </row>
    <row r="948">
      <c r="A948" s="116"/>
      <c r="B948" s="116"/>
      <c r="C948" s="116"/>
      <c r="D948" s="116"/>
      <c r="E948" s="116"/>
      <c r="F948" s="116"/>
      <c r="G948" s="116"/>
      <c r="H948" s="116"/>
      <c r="I948" s="116"/>
      <c r="J948" s="116"/>
      <c r="K948" s="116"/>
      <c r="L948" s="116"/>
      <c r="M948" s="116"/>
      <c r="N948" s="116"/>
      <c r="O948" s="116"/>
      <c r="P948" s="116"/>
      <c r="Q948" s="312"/>
      <c r="R948" s="116"/>
      <c r="S948" s="116"/>
      <c r="T948" s="116"/>
      <c r="U948" s="116"/>
      <c r="V948" s="313"/>
      <c r="W948" s="314"/>
      <c r="X948" s="43"/>
      <c r="Y948" s="43"/>
      <c r="Z948" s="43"/>
      <c r="AA948" s="43"/>
      <c r="AB948" s="43"/>
    </row>
    <row r="949">
      <c r="A949" s="116"/>
      <c r="B949" s="116"/>
      <c r="C949" s="116"/>
      <c r="D949" s="116"/>
      <c r="E949" s="116"/>
      <c r="F949" s="116"/>
      <c r="G949" s="116"/>
      <c r="H949" s="116"/>
      <c r="I949" s="116"/>
      <c r="J949" s="116"/>
      <c r="K949" s="116"/>
      <c r="L949" s="116"/>
      <c r="M949" s="116"/>
      <c r="N949" s="116"/>
      <c r="O949" s="116"/>
      <c r="P949" s="116"/>
      <c r="Q949" s="312"/>
      <c r="R949" s="116"/>
      <c r="S949" s="116"/>
      <c r="T949" s="116"/>
      <c r="U949" s="116"/>
      <c r="V949" s="313"/>
      <c r="W949" s="314"/>
      <c r="X949" s="43"/>
      <c r="Y949" s="43"/>
      <c r="Z949" s="43"/>
      <c r="AA949" s="43"/>
      <c r="AB949" s="43"/>
    </row>
    <row r="950">
      <c r="A950" s="116"/>
      <c r="B950" s="116"/>
      <c r="C950" s="116"/>
      <c r="D950" s="116"/>
      <c r="E950" s="116"/>
      <c r="F950" s="116"/>
      <c r="G950" s="116"/>
      <c r="H950" s="116"/>
      <c r="I950" s="116"/>
      <c r="J950" s="116"/>
      <c r="K950" s="116"/>
      <c r="L950" s="116"/>
      <c r="M950" s="116"/>
      <c r="N950" s="116"/>
      <c r="O950" s="116"/>
      <c r="P950" s="116"/>
      <c r="Q950" s="312"/>
      <c r="R950" s="116"/>
      <c r="S950" s="116"/>
      <c r="T950" s="116"/>
      <c r="U950" s="116"/>
      <c r="V950" s="313"/>
      <c r="W950" s="314"/>
      <c r="X950" s="43"/>
      <c r="Y950" s="43"/>
      <c r="Z950" s="43"/>
      <c r="AA950" s="43"/>
      <c r="AB950" s="43"/>
    </row>
    <row r="951">
      <c r="A951" s="116"/>
      <c r="B951" s="116"/>
      <c r="C951" s="116"/>
      <c r="D951" s="116"/>
      <c r="E951" s="116"/>
      <c r="F951" s="116"/>
      <c r="G951" s="116"/>
      <c r="H951" s="116"/>
      <c r="I951" s="116"/>
      <c r="J951" s="116"/>
      <c r="K951" s="116"/>
      <c r="L951" s="116"/>
      <c r="M951" s="116"/>
      <c r="N951" s="116"/>
      <c r="O951" s="116"/>
      <c r="P951" s="116"/>
      <c r="Q951" s="312"/>
      <c r="R951" s="116"/>
      <c r="S951" s="116"/>
      <c r="T951" s="116"/>
      <c r="U951" s="116"/>
      <c r="V951" s="313"/>
      <c r="W951" s="314"/>
      <c r="X951" s="43"/>
      <c r="Y951" s="43"/>
      <c r="Z951" s="43"/>
      <c r="AA951" s="43"/>
      <c r="AB951" s="43"/>
    </row>
    <row r="952">
      <c r="A952" s="116"/>
      <c r="B952" s="116"/>
      <c r="C952" s="116"/>
      <c r="D952" s="116"/>
      <c r="E952" s="116"/>
      <c r="F952" s="116"/>
      <c r="G952" s="116"/>
      <c r="H952" s="116"/>
      <c r="I952" s="116"/>
      <c r="J952" s="116"/>
      <c r="K952" s="116"/>
      <c r="L952" s="116"/>
      <c r="M952" s="116"/>
      <c r="N952" s="116"/>
      <c r="O952" s="116"/>
      <c r="P952" s="116"/>
      <c r="Q952" s="312"/>
      <c r="R952" s="116"/>
      <c r="S952" s="116"/>
      <c r="T952" s="116"/>
      <c r="U952" s="116"/>
      <c r="V952" s="313"/>
      <c r="W952" s="314"/>
      <c r="X952" s="43"/>
      <c r="Y952" s="43"/>
      <c r="Z952" s="43"/>
      <c r="AA952" s="43"/>
      <c r="AB952" s="43"/>
    </row>
    <row r="953">
      <c r="A953" s="116"/>
      <c r="B953" s="116"/>
      <c r="C953" s="116"/>
      <c r="D953" s="116"/>
      <c r="E953" s="116"/>
      <c r="F953" s="116"/>
      <c r="G953" s="116"/>
      <c r="H953" s="116"/>
      <c r="I953" s="116"/>
      <c r="J953" s="116"/>
      <c r="K953" s="116"/>
      <c r="L953" s="116"/>
      <c r="M953" s="116"/>
      <c r="N953" s="116"/>
      <c r="O953" s="116"/>
      <c r="P953" s="116"/>
      <c r="Q953" s="312"/>
      <c r="R953" s="116"/>
      <c r="S953" s="116"/>
      <c r="T953" s="116"/>
      <c r="U953" s="116"/>
      <c r="V953" s="313"/>
      <c r="W953" s="314"/>
      <c r="X953" s="43"/>
      <c r="Y953" s="43"/>
      <c r="Z953" s="43"/>
      <c r="AA953" s="43"/>
      <c r="AB953" s="43"/>
    </row>
    <row r="954">
      <c r="A954" s="116"/>
      <c r="B954" s="116"/>
      <c r="C954" s="116"/>
      <c r="D954" s="116"/>
      <c r="E954" s="116"/>
      <c r="F954" s="116"/>
      <c r="G954" s="116"/>
      <c r="H954" s="116"/>
      <c r="I954" s="116"/>
      <c r="J954" s="116"/>
      <c r="K954" s="116"/>
      <c r="L954" s="116"/>
      <c r="M954" s="116"/>
      <c r="N954" s="116"/>
      <c r="O954" s="116"/>
      <c r="P954" s="116"/>
      <c r="Q954" s="312"/>
      <c r="R954" s="116"/>
      <c r="S954" s="116"/>
      <c r="T954" s="116"/>
      <c r="U954" s="116"/>
      <c r="V954" s="313"/>
      <c r="W954" s="314"/>
      <c r="X954" s="43"/>
      <c r="Y954" s="43"/>
      <c r="Z954" s="43"/>
      <c r="AA954" s="43"/>
      <c r="AB954" s="43"/>
    </row>
    <row r="955">
      <c r="A955" s="116"/>
      <c r="B955" s="116"/>
      <c r="C955" s="116"/>
      <c r="D955" s="116"/>
      <c r="E955" s="116"/>
      <c r="F955" s="116"/>
      <c r="G955" s="116"/>
      <c r="H955" s="116"/>
      <c r="I955" s="116"/>
      <c r="J955" s="116"/>
      <c r="K955" s="116"/>
      <c r="L955" s="116"/>
      <c r="M955" s="116"/>
      <c r="N955" s="116"/>
      <c r="O955" s="116"/>
      <c r="P955" s="116"/>
      <c r="Q955" s="312"/>
      <c r="R955" s="116"/>
      <c r="S955" s="116"/>
      <c r="T955" s="116"/>
      <c r="U955" s="116"/>
      <c r="V955" s="313"/>
      <c r="W955" s="314"/>
      <c r="X955" s="43"/>
      <c r="Y955" s="43"/>
      <c r="Z955" s="43"/>
      <c r="AA955" s="43"/>
      <c r="AB955" s="43"/>
    </row>
    <row r="956">
      <c r="A956" s="116"/>
      <c r="B956" s="116"/>
      <c r="C956" s="116"/>
      <c r="D956" s="116"/>
      <c r="E956" s="116"/>
      <c r="F956" s="116"/>
      <c r="G956" s="116"/>
      <c r="H956" s="116"/>
      <c r="I956" s="116"/>
      <c r="J956" s="116"/>
      <c r="K956" s="116"/>
      <c r="L956" s="116"/>
      <c r="M956" s="116"/>
      <c r="N956" s="116"/>
      <c r="O956" s="116"/>
      <c r="P956" s="116"/>
      <c r="Q956" s="312"/>
      <c r="R956" s="116"/>
      <c r="S956" s="116"/>
      <c r="T956" s="116"/>
      <c r="U956" s="116"/>
      <c r="V956" s="313"/>
      <c r="W956" s="314"/>
      <c r="X956" s="43"/>
      <c r="Y956" s="43"/>
      <c r="Z956" s="43"/>
      <c r="AA956" s="43"/>
      <c r="AB956" s="43"/>
    </row>
    <row r="957">
      <c r="A957" s="116"/>
      <c r="B957" s="116"/>
      <c r="C957" s="116"/>
      <c r="D957" s="116"/>
      <c r="E957" s="116"/>
      <c r="F957" s="116"/>
      <c r="G957" s="116"/>
      <c r="H957" s="116"/>
      <c r="I957" s="116"/>
      <c r="J957" s="116"/>
      <c r="K957" s="116"/>
      <c r="L957" s="116"/>
      <c r="M957" s="116"/>
      <c r="N957" s="116"/>
      <c r="O957" s="116"/>
      <c r="P957" s="116"/>
      <c r="Q957" s="312"/>
      <c r="R957" s="116"/>
      <c r="S957" s="116"/>
      <c r="T957" s="116"/>
      <c r="U957" s="116"/>
      <c r="V957" s="313"/>
      <c r="W957" s="314"/>
      <c r="X957" s="43"/>
      <c r="Y957" s="43"/>
      <c r="Z957" s="43"/>
      <c r="AA957" s="43"/>
      <c r="AB957" s="43"/>
    </row>
    <row r="958">
      <c r="A958" s="116"/>
      <c r="B958" s="116"/>
      <c r="C958" s="116"/>
      <c r="D958" s="116"/>
      <c r="E958" s="116"/>
      <c r="F958" s="116"/>
      <c r="G958" s="116"/>
      <c r="H958" s="116"/>
      <c r="I958" s="116"/>
      <c r="J958" s="116"/>
      <c r="K958" s="116"/>
      <c r="L958" s="116"/>
      <c r="M958" s="116"/>
      <c r="N958" s="116"/>
      <c r="O958" s="116"/>
      <c r="P958" s="116"/>
      <c r="Q958" s="312"/>
      <c r="R958" s="116"/>
      <c r="S958" s="116"/>
      <c r="T958" s="116"/>
      <c r="U958" s="116"/>
      <c r="V958" s="313"/>
      <c r="W958" s="314"/>
      <c r="X958" s="43"/>
      <c r="Y958" s="43"/>
      <c r="Z958" s="43"/>
      <c r="AA958" s="43"/>
      <c r="AB958" s="43"/>
    </row>
    <row r="959">
      <c r="A959" s="116"/>
      <c r="B959" s="116"/>
      <c r="C959" s="116"/>
      <c r="D959" s="116"/>
      <c r="E959" s="116"/>
      <c r="F959" s="116"/>
      <c r="G959" s="116"/>
      <c r="H959" s="116"/>
      <c r="I959" s="116"/>
      <c r="J959" s="116"/>
      <c r="K959" s="116"/>
      <c r="L959" s="116"/>
      <c r="M959" s="116"/>
      <c r="N959" s="116"/>
      <c r="O959" s="116"/>
      <c r="P959" s="116"/>
      <c r="Q959" s="312"/>
      <c r="R959" s="116"/>
      <c r="S959" s="116"/>
      <c r="T959" s="116"/>
      <c r="U959" s="116"/>
      <c r="V959" s="313"/>
      <c r="W959" s="314"/>
      <c r="X959" s="43"/>
      <c r="Y959" s="43"/>
      <c r="Z959" s="43"/>
      <c r="AA959" s="43"/>
      <c r="AB959" s="43"/>
    </row>
    <row r="960">
      <c r="A960" s="116"/>
      <c r="B960" s="116"/>
      <c r="C960" s="116"/>
      <c r="D960" s="116"/>
      <c r="E960" s="116"/>
      <c r="F960" s="116"/>
      <c r="G960" s="116"/>
      <c r="H960" s="116"/>
      <c r="I960" s="116"/>
      <c r="J960" s="116"/>
      <c r="K960" s="116"/>
      <c r="L960" s="116"/>
      <c r="M960" s="116"/>
      <c r="N960" s="116"/>
      <c r="O960" s="116"/>
      <c r="P960" s="116"/>
      <c r="Q960" s="312"/>
      <c r="R960" s="116"/>
      <c r="S960" s="116"/>
      <c r="T960" s="116"/>
      <c r="U960" s="116"/>
      <c r="V960" s="313"/>
      <c r="W960" s="314"/>
      <c r="X960" s="43"/>
      <c r="Y960" s="43"/>
      <c r="Z960" s="43"/>
      <c r="AA960" s="43"/>
      <c r="AB960" s="43"/>
    </row>
    <row r="961">
      <c r="A961" s="116"/>
      <c r="B961" s="116"/>
      <c r="C961" s="116"/>
      <c r="D961" s="116"/>
      <c r="E961" s="116"/>
      <c r="F961" s="116"/>
      <c r="G961" s="116"/>
      <c r="H961" s="116"/>
      <c r="I961" s="116"/>
      <c r="J961" s="116"/>
      <c r="K961" s="116"/>
      <c r="L961" s="116"/>
      <c r="M961" s="116"/>
      <c r="N961" s="116"/>
      <c r="O961" s="116"/>
      <c r="P961" s="116"/>
      <c r="Q961" s="312"/>
      <c r="R961" s="116"/>
      <c r="S961" s="116"/>
      <c r="T961" s="116"/>
      <c r="U961" s="116"/>
      <c r="V961" s="313"/>
      <c r="W961" s="314"/>
      <c r="X961" s="43"/>
      <c r="Y961" s="43"/>
      <c r="Z961" s="43"/>
      <c r="AA961" s="43"/>
      <c r="AB961" s="43"/>
    </row>
    <row r="962">
      <c r="A962" s="116"/>
      <c r="B962" s="116"/>
      <c r="C962" s="116"/>
      <c r="D962" s="116"/>
      <c r="E962" s="116"/>
      <c r="F962" s="116"/>
      <c r="G962" s="116"/>
      <c r="H962" s="116"/>
      <c r="I962" s="116"/>
      <c r="J962" s="116"/>
      <c r="K962" s="116"/>
      <c r="L962" s="116"/>
      <c r="M962" s="116"/>
      <c r="N962" s="116"/>
      <c r="O962" s="116"/>
      <c r="P962" s="116"/>
      <c r="Q962" s="312"/>
      <c r="R962" s="116"/>
      <c r="S962" s="116"/>
      <c r="T962" s="116"/>
      <c r="U962" s="116"/>
      <c r="V962" s="313"/>
      <c r="W962" s="314"/>
      <c r="X962" s="43"/>
      <c r="Y962" s="43"/>
      <c r="Z962" s="43"/>
      <c r="AA962" s="43"/>
      <c r="AB962" s="43"/>
    </row>
    <row r="963">
      <c r="A963" s="116"/>
      <c r="B963" s="116"/>
      <c r="C963" s="116"/>
      <c r="D963" s="116"/>
      <c r="E963" s="116"/>
      <c r="F963" s="116"/>
      <c r="G963" s="116"/>
      <c r="H963" s="116"/>
      <c r="I963" s="116"/>
      <c r="J963" s="116"/>
      <c r="K963" s="116"/>
      <c r="L963" s="116"/>
      <c r="M963" s="116"/>
      <c r="N963" s="116"/>
      <c r="O963" s="116"/>
      <c r="P963" s="116"/>
      <c r="Q963" s="312"/>
      <c r="R963" s="116"/>
      <c r="S963" s="116"/>
      <c r="T963" s="116"/>
      <c r="U963" s="116"/>
      <c r="V963" s="313"/>
      <c r="W963" s="314"/>
      <c r="X963" s="43"/>
      <c r="Y963" s="43"/>
      <c r="Z963" s="43"/>
      <c r="AA963" s="43"/>
      <c r="AB963" s="43"/>
    </row>
    <row r="964">
      <c r="A964" s="116"/>
      <c r="B964" s="116"/>
      <c r="C964" s="116"/>
      <c r="D964" s="116"/>
      <c r="E964" s="116"/>
      <c r="F964" s="116"/>
      <c r="G964" s="116"/>
      <c r="H964" s="116"/>
      <c r="I964" s="116"/>
      <c r="J964" s="116"/>
      <c r="K964" s="116"/>
      <c r="L964" s="116"/>
      <c r="M964" s="116"/>
      <c r="N964" s="116"/>
      <c r="O964" s="116"/>
      <c r="P964" s="116"/>
      <c r="Q964" s="312"/>
      <c r="R964" s="116"/>
      <c r="S964" s="116"/>
      <c r="T964" s="116"/>
      <c r="U964" s="116"/>
      <c r="V964" s="313"/>
      <c r="W964" s="314"/>
      <c r="X964" s="43"/>
      <c r="Y964" s="43"/>
      <c r="Z964" s="43"/>
      <c r="AA964" s="43"/>
      <c r="AB964" s="43"/>
    </row>
    <row r="965">
      <c r="A965" s="116"/>
      <c r="B965" s="116"/>
      <c r="C965" s="116"/>
      <c r="D965" s="116"/>
      <c r="E965" s="116"/>
      <c r="F965" s="116"/>
      <c r="G965" s="116"/>
      <c r="H965" s="116"/>
      <c r="I965" s="116"/>
      <c r="J965" s="116"/>
      <c r="K965" s="116"/>
      <c r="L965" s="116"/>
      <c r="M965" s="116"/>
      <c r="N965" s="116"/>
      <c r="O965" s="116"/>
      <c r="P965" s="116"/>
      <c r="Q965" s="312"/>
      <c r="R965" s="116"/>
      <c r="S965" s="116"/>
      <c r="T965" s="116"/>
      <c r="U965" s="116"/>
      <c r="V965" s="313"/>
      <c r="W965" s="314"/>
      <c r="X965" s="43"/>
      <c r="Y965" s="43"/>
      <c r="Z965" s="43"/>
      <c r="AA965" s="43"/>
      <c r="AB965" s="43"/>
    </row>
    <row r="966">
      <c r="A966" s="116"/>
      <c r="B966" s="116"/>
      <c r="C966" s="116"/>
      <c r="D966" s="116"/>
      <c r="E966" s="116"/>
      <c r="F966" s="116"/>
      <c r="G966" s="116"/>
      <c r="H966" s="116"/>
      <c r="I966" s="116"/>
      <c r="J966" s="116"/>
      <c r="K966" s="116"/>
      <c r="L966" s="116"/>
      <c r="M966" s="116"/>
      <c r="N966" s="116"/>
      <c r="O966" s="116"/>
      <c r="P966" s="116"/>
      <c r="Q966" s="312"/>
      <c r="R966" s="116"/>
      <c r="S966" s="116"/>
      <c r="T966" s="116"/>
      <c r="U966" s="116"/>
      <c r="V966" s="313"/>
      <c r="W966" s="314"/>
      <c r="X966" s="43"/>
      <c r="Y966" s="43"/>
      <c r="Z966" s="43"/>
      <c r="AA966" s="43"/>
      <c r="AB966" s="43"/>
    </row>
    <row r="967">
      <c r="A967" s="116"/>
      <c r="B967" s="116"/>
      <c r="C967" s="116"/>
      <c r="D967" s="116"/>
      <c r="E967" s="116"/>
      <c r="F967" s="116"/>
      <c r="G967" s="116"/>
      <c r="H967" s="116"/>
      <c r="I967" s="116"/>
      <c r="J967" s="116"/>
      <c r="K967" s="116"/>
      <c r="L967" s="116"/>
      <c r="M967" s="116"/>
      <c r="N967" s="116"/>
      <c r="O967" s="116"/>
      <c r="P967" s="116"/>
      <c r="Q967" s="312"/>
      <c r="R967" s="116"/>
      <c r="S967" s="116"/>
      <c r="T967" s="116"/>
      <c r="U967" s="116"/>
      <c r="V967" s="313"/>
      <c r="W967" s="314"/>
      <c r="X967" s="43"/>
      <c r="Y967" s="43"/>
      <c r="Z967" s="43"/>
      <c r="AA967" s="43"/>
      <c r="AB967" s="43"/>
    </row>
    <row r="968">
      <c r="A968" s="116"/>
      <c r="B968" s="116"/>
      <c r="C968" s="116"/>
      <c r="D968" s="116"/>
      <c r="E968" s="116"/>
      <c r="F968" s="116"/>
      <c r="G968" s="116"/>
      <c r="H968" s="116"/>
      <c r="I968" s="116"/>
      <c r="J968" s="116"/>
      <c r="K968" s="116"/>
      <c r="L968" s="116"/>
      <c r="M968" s="116"/>
      <c r="N968" s="116"/>
      <c r="O968" s="116"/>
      <c r="P968" s="116"/>
      <c r="Q968" s="312"/>
      <c r="R968" s="116"/>
      <c r="S968" s="116"/>
      <c r="T968" s="116"/>
      <c r="U968" s="116"/>
      <c r="V968" s="313"/>
      <c r="W968" s="314"/>
      <c r="X968" s="43"/>
      <c r="Y968" s="43"/>
      <c r="Z968" s="43"/>
      <c r="AA968" s="43"/>
      <c r="AB968" s="43"/>
    </row>
    <row r="969">
      <c r="A969" s="116"/>
      <c r="B969" s="116"/>
      <c r="C969" s="116"/>
      <c r="D969" s="116"/>
      <c r="E969" s="116"/>
      <c r="F969" s="116"/>
      <c r="G969" s="116"/>
      <c r="H969" s="116"/>
      <c r="I969" s="116"/>
      <c r="J969" s="116"/>
      <c r="K969" s="116"/>
      <c r="L969" s="116"/>
      <c r="M969" s="116"/>
      <c r="N969" s="116"/>
      <c r="O969" s="116"/>
      <c r="P969" s="116"/>
      <c r="Q969" s="312"/>
      <c r="R969" s="116"/>
      <c r="S969" s="116"/>
      <c r="T969" s="116"/>
      <c r="U969" s="116"/>
      <c r="V969" s="313"/>
      <c r="W969" s="314"/>
      <c r="X969" s="43"/>
      <c r="Y969" s="43"/>
      <c r="Z969" s="43"/>
      <c r="AA969" s="43"/>
      <c r="AB969" s="43"/>
    </row>
    <row r="970">
      <c r="A970" s="116"/>
      <c r="B970" s="116"/>
      <c r="C970" s="116"/>
      <c r="D970" s="116"/>
      <c r="E970" s="116"/>
      <c r="F970" s="116"/>
      <c r="G970" s="116"/>
      <c r="H970" s="116"/>
      <c r="I970" s="116"/>
      <c r="J970" s="116"/>
      <c r="K970" s="116"/>
      <c r="L970" s="116"/>
      <c r="M970" s="116"/>
      <c r="N970" s="116"/>
      <c r="O970" s="116"/>
      <c r="P970" s="116"/>
      <c r="Q970" s="312"/>
      <c r="R970" s="116"/>
      <c r="S970" s="116"/>
      <c r="T970" s="116"/>
      <c r="U970" s="116"/>
      <c r="V970" s="313"/>
      <c r="W970" s="314"/>
      <c r="X970" s="43"/>
      <c r="Y970" s="43"/>
      <c r="Z970" s="43"/>
      <c r="AA970" s="43"/>
      <c r="AB970" s="43"/>
    </row>
    <row r="971">
      <c r="A971" s="116"/>
      <c r="B971" s="116"/>
      <c r="C971" s="116"/>
      <c r="D971" s="116"/>
      <c r="E971" s="116"/>
      <c r="F971" s="116"/>
      <c r="G971" s="116"/>
      <c r="H971" s="116"/>
      <c r="I971" s="116"/>
      <c r="J971" s="116"/>
      <c r="K971" s="116"/>
      <c r="L971" s="116"/>
      <c r="M971" s="116"/>
      <c r="N971" s="116"/>
      <c r="O971" s="116"/>
      <c r="P971" s="116"/>
      <c r="Q971" s="312"/>
      <c r="R971" s="116"/>
      <c r="S971" s="116"/>
      <c r="T971" s="116"/>
      <c r="U971" s="116"/>
      <c r="V971" s="313"/>
      <c r="W971" s="314"/>
      <c r="X971" s="43"/>
      <c r="Y971" s="43"/>
      <c r="Z971" s="43"/>
      <c r="AA971" s="43"/>
      <c r="AB971" s="43"/>
    </row>
    <row r="972">
      <c r="A972" s="116"/>
      <c r="B972" s="116"/>
      <c r="C972" s="116"/>
      <c r="D972" s="116"/>
      <c r="E972" s="116"/>
      <c r="F972" s="116"/>
      <c r="G972" s="116"/>
      <c r="H972" s="116"/>
      <c r="I972" s="116"/>
      <c r="J972" s="116"/>
      <c r="K972" s="116"/>
      <c r="L972" s="116"/>
      <c r="M972" s="116"/>
      <c r="N972" s="116"/>
      <c r="O972" s="116"/>
      <c r="P972" s="116"/>
      <c r="Q972" s="312"/>
      <c r="R972" s="116"/>
      <c r="S972" s="116"/>
      <c r="T972" s="116"/>
      <c r="U972" s="116"/>
      <c r="V972" s="313"/>
      <c r="W972" s="314"/>
      <c r="X972" s="43"/>
      <c r="Y972" s="43"/>
      <c r="Z972" s="43"/>
      <c r="AA972" s="43"/>
      <c r="AB972" s="43"/>
    </row>
    <row r="973">
      <c r="A973" s="116"/>
      <c r="B973" s="116"/>
      <c r="C973" s="116"/>
      <c r="D973" s="116"/>
      <c r="E973" s="116"/>
      <c r="F973" s="116"/>
      <c r="G973" s="116"/>
      <c r="H973" s="116"/>
      <c r="I973" s="116"/>
      <c r="J973" s="116"/>
      <c r="K973" s="116"/>
      <c r="L973" s="116"/>
      <c r="M973" s="116"/>
      <c r="N973" s="116"/>
      <c r="O973" s="116"/>
      <c r="P973" s="116"/>
      <c r="Q973" s="312"/>
      <c r="R973" s="116"/>
      <c r="S973" s="116"/>
      <c r="T973" s="116"/>
      <c r="U973" s="116"/>
      <c r="V973" s="313"/>
      <c r="W973" s="314"/>
      <c r="X973" s="43"/>
      <c r="Y973" s="43"/>
      <c r="Z973" s="43"/>
      <c r="AA973" s="43"/>
      <c r="AB973" s="43"/>
    </row>
    <row r="974">
      <c r="A974" s="116"/>
      <c r="B974" s="116"/>
      <c r="C974" s="116"/>
      <c r="D974" s="116"/>
      <c r="E974" s="116"/>
      <c r="F974" s="116"/>
      <c r="G974" s="116"/>
      <c r="H974" s="116"/>
      <c r="I974" s="116"/>
      <c r="J974" s="116"/>
      <c r="K974" s="116"/>
      <c r="L974" s="116"/>
      <c r="M974" s="116"/>
      <c r="N974" s="116"/>
      <c r="O974" s="116"/>
      <c r="P974" s="116"/>
      <c r="Q974" s="312"/>
      <c r="R974" s="116"/>
      <c r="S974" s="116"/>
      <c r="T974" s="116"/>
      <c r="U974" s="116"/>
      <c r="V974" s="313"/>
      <c r="W974" s="314"/>
      <c r="X974" s="43"/>
      <c r="Y974" s="43"/>
      <c r="Z974" s="43"/>
      <c r="AA974" s="43"/>
      <c r="AB974" s="43"/>
    </row>
    <row r="975">
      <c r="A975" s="116"/>
      <c r="B975" s="116"/>
      <c r="C975" s="116"/>
      <c r="D975" s="116"/>
      <c r="E975" s="116"/>
      <c r="F975" s="116"/>
      <c r="G975" s="116"/>
      <c r="H975" s="116"/>
      <c r="I975" s="116"/>
      <c r="J975" s="116"/>
      <c r="K975" s="116"/>
      <c r="L975" s="116"/>
      <c r="M975" s="116"/>
      <c r="N975" s="116"/>
      <c r="O975" s="116"/>
      <c r="P975" s="116"/>
      <c r="Q975" s="312"/>
      <c r="R975" s="116"/>
      <c r="S975" s="116"/>
      <c r="T975" s="116"/>
      <c r="U975" s="116"/>
      <c r="V975" s="313"/>
      <c r="W975" s="314"/>
      <c r="X975" s="43"/>
      <c r="Y975" s="43"/>
      <c r="Z975" s="43"/>
      <c r="AA975" s="43"/>
      <c r="AB975" s="43"/>
    </row>
    <row r="976">
      <c r="A976" s="116"/>
      <c r="B976" s="116"/>
      <c r="C976" s="116"/>
      <c r="D976" s="116"/>
      <c r="E976" s="116"/>
      <c r="F976" s="116"/>
      <c r="G976" s="116"/>
      <c r="H976" s="116"/>
      <c r="I976" s="116"/>
      <c r="J976" s="116"/>
      <c r="K976" s="116"/>
      <c r="L976" s="116"/>
      <c r="M976" s="116"/>
      <c r="N976" s="116"/>
      <c r="O976" s="116"/>
      <c r="P976" s="116"/>
      <c r="Q976" s="312"/>
      <c r="R976" s="116"/>
      <c r="S976" s="116"/>
      <c r="T976" s="116"/>
      <c r="U976" s="116"/>
      <c r="V976" s="313"/>
      <c r="W976" s="314"/>
      <c r="X976" s="43"/>
      <c r="Y976" s="43"/>
      <c r="Z976" s="43"/>
      <c r="AA976" s="43"/>
      <c r="AB976" s="43"/>
    </row>
    <row r="977">
      <c r="A977" s="116"/>
      <c r="B977" s="116"/>
      <c r="C977" s="116"/>
      <c r="D977" s="116"/>
      <c r="E977" s="116"/>
      <c r="F977" s="116"/>
      <c r="G977" s="116"/>
      <c r="H977" s="116"/>
      <c r="I977" s="116"/>
      <c r="J977" s="116"/>
      <c r="K977" s="116"/>
      <c r="L977" s="116"/>
      <c r="M977" s="116"/>
      <c r="N977" s="116"/>
      <c r="O977" s="116"/>
      <c r="P977" s="116"/>
      <c r="Q977" s="312"/>
      <c r="R977" s="116"/>
      <c r="S977" s="116"/>
      <c r="T977" s="116"/>
      <c r="U977" s="116"/>
      <c r="V977" s="313"/>
      <c r="W977" s="314"/>
      <c r="X977" s="43"/>
      <c r="Y977" s="43"/>
      <c r="Z977" s="43"/>
      <c r="AA977" s="43"/>
      <c r="AB977" s="43"/>
    </row>
    <row r="978">
      <c r="A978" s="116"/>
      <c r="B978" s="116"/>
      <c r="C978" s="116"/>
      <c r="D978" s="116"/>
      <c r="E978" s="116"/>
      <c r="F978" s="116"/>
      <c r="G978" s="116"/>
      <c r="H978" s="116"/>
      <c r="I978" s="116"/>
      <c r="J978" s="116"/>
      <c r="K978" s="116"/>
      <c r="L978" s="116"/>
      <c r="M978" s="116"/>
      <c r="N978" s="116"/>
      <c r="O978" s="116"/>
      <c r="P978" s="116"/>
      <c r="Q978" s="312"/>
      <c r="R978" s="116"/>
      <c r="S978" s="116"/>
      <c r="T978" s="116"/>
      <c r="U978" s="116"/>
      <c r="V978" s="313"/>
      <c r="W978" s="314"/>
      <c r="X978" s="43"/>
      <c r="Y978" s="43"/>
      <c r="Z978" s="43"/>
      <c r="AA978" s="43"/>
      <c r="AB978" s="43"/>
    </row>
    <row r="979">
      <c r="A979" s="116"/>
      <c r="B979" s="116"/>
      <c r="C979" s="116"/>
      <c r="D979" s="116"/>
      <c r="E979" s="116"/>
      <c r="F979" s="116"/>
      <c r="G979" s="116"/>
      <c r="H979" s="116"/>
      <c r="I979" s="116"/>
      <c r="J979" s="116"/>
      <c r="K979" s="116"/>
      <c r="L979" s="116"/>
      <c r="M979" s="116"/>
      <c r="N979" s="116"/>
      <c r="O979" s="116"/>
      <c r="P979" s="116"/>
      <c r="Q979" s="312"/>
      <c r="R979" s="116"/>
      <c r="S979" s="116"/>
      <c r="T979" s="116"/>
      <c r="U979" s="116"/>
      <c r="V979" s="313"/>
      <c r="W979" s="314"/>
      <c r="X979" s="43"/>
      <c r="Y979" s="43"/>
      <c r="Z979" s="43"/>
      <c r="AA979" s="43"/>
      <c r="AB979" s="43"/>
    </row>
    <row r="980">
      <c r="A980" s="116"/>
      <c r="B980" s="116"/>
      <c r="C980" s="116"/>
      <c r="D980" s="116"/>
      <c r="E980" s="116"/>
      <c r="F980" s="116"/>
      <c r="G980" s="116"/>
      <c r="H980" s="116"/>
      <c r="I980" s="116"/>
      <c r="J980" s="116"/>
      <c r="K980" s="116"/>
      <c r="L980" s="116"/>
      <c r="M980" s="116"/>
      <c r="N980" s="116"/>
      <c r="O980" s="116"/>
      <c r="P980" s="116"/>
      <c r="Q980" s="312"/>
      <c r="R980" s="116"/>
      <c r="S980" s="116"/>
      <c r="T980" s="116"/>
      <c r="U980" s="116"/>
      <c r="V980" s="313"/>
      <c r="W980" s="314"/>
      <c r="X980" s="43"/>
      <c r="Y980" s="43"/>
      <c r="Z980" s="43"/>
      <c r="AA980" s="43"/>
      <c r="AB980" s="43"/>
    </row>
    <row r="981">
      <c r="A981" s="116"/>
      <c r="B981" s="116"/>
      <c r="C981" s="116"/>
      <c r="D981" s="116"/>
      <c r="E981" s="116"/>
      <c r="F981" s="116"/>
      <c r="G981" s="116"/>
      <c r="H981" s="116"/>
      <c r="I981" s="116"/>
      <c r="J981" s="116"/>
      <c r="K981" s="116"/>
      <c r="L981" s="116"/>
      <c r="M981" s="116"/>
      <c r="N981" s="116"/>
      <c r="O981" s="116"/>
      <c r="P981" s="116"/>
      <c r="Q981" s="312"/>
      <c r="R981" s="116"/>
      <c r="S981" s="116"/>
      <c r="T981" s="116"/>
      <c r="U981" s="116"/>
      <c r="V981" s="313"/>
      <c r="W981" s="314"/>
      <c r="X981" s="43"/>
      <c r="Y981" s="43"/>
      <c r="Z981" s="43"/>
      <c r="AA981" s="43"/>
      <c r="AB981" s="43"/>
    </row>
    <row r="982">
      <c r="A982" s="116"/>
      <c r="B982" s="116"/>
      <c r="C982" s="116"/>
      <c r="D982" s="116"/>
      <c r="E982" s="116"/>
      <c r="F982" s="116"/>
      <c r="G982" s="116"/>
      <c r="H982" s="116"/>
      <c r="I982" s="116"/>
      <c r="J982" s="116"/>
      <c r="K982" s="116"/>
      <c r="L982" s="116"/>
      <c r="M982" s="116"/>
      <c r="N982" s="116"/>
      <c r="O982" s="116"/>
      <c r="P982" s="116"/>
      <c r="Q982" s="312"/>
      <c r="R982" s="116"/>
      <c r="S982" s="116"/>
      <c r="T982" s="116"/>
      <c r="U982" s="116"/>
      <c r="V982" s="313"/>
      <c r="W982" s="314"/>
      <c r="X982" s="43"/>
      <c r="Y982" s="43"/>
      <c r="Z982" s="43"/>
      <c r="AA982" s="43"/>
      <c r="AB982" s="43"/>
    </row>
    <row r="983">
      <c r="A983" s="116"/>
      <c r="B983" s="116"/>
      <c r="C983" s="116"/>
      <c r="D983" s="116"/>
      <c r="E983" s="116"/>
      <c r="F983" s="116"/>
      <c r="G983" s="116"/>
      <c r="H983" s="116"/>
      <c r="I983" s="116"/>
      <c r="J983" s="116"/>
      <c r="K983" s="116"/>
      <c r="L983" s="116"/>
      <c r="M983" s="116"/>
      <c r="N983" s="116"/>
      <c r="O983" s="116"/>
      <c r="P983" s="116"/>
      <c r="Q983" s="312"/>
      <c r="R983" s="116"/>
      <c r="S983" s="116"/>
      <c r="T983" s="116"/>
      <c r="U983" s="116"/>
      <c r="V983" s="313"/>
      <c r="W983" s="314"/>
      <c r="X983" s="43"/>
      <c r="Y983" s="43"/>
      <c r="Z983" s="43"/>
      <c r="AA983" s="43"/>
      <c r="AB983" s="43"/>
    </row>
    <row r="984">
      <c r="A984" s="116"/>
      <c r="B984" s="116"/>
      <c r="C984" s="116"/>
      <c r="D984" s="116"/>
      <c r="E984" s="116"/>
      <c r="F984" s="116"/>
      <c r="G984" s="116"/>
      <c r="H984" s="116"/>
      <c r="I984" s="116"/>
      <c r="J984" s="116"/>
      <c r="K984" s="116"/>
      <c r="L984" s="116"/>
      <c r="M984" s="116"/>
      <c r="N984" s="116"/>
      <c r="O984" s="116"/>
      <c r="P984" s="116"/>
      <c r="Q984" s="312"/>
      <c r="R984" s="116"/>
      <c r="S984" s="116"/>
      <c r="T984" s="116"/>
      <c r="U984" s="116"/>
      <c r="V984" s="313"/>
      <c r="W984" s="314"/>
      <c r="X984" s="43"/>
      <c r="Y984" s="43"/>
      <c r="Z984" s="43"/>
      <c r="AA984" s="43"/>
      <c r="AB984" s="43"/>
    </row>
    <row r="985">
      <c r="A985" s="116"/>
      <c r="B985" s="116"/>
      <c r="C985" s="116"/>
      <c r="D985" s="116"/>
      <c r="E985" s="116"/>
      <c r="F985" s="116"/>
      <c r="G985" s="116"/>
      <c r="H985" s="116"/>
      <c r="I985" s="116"/>
      <c r="J985" s="116"/>
      <c r="K985" s="116"/>
      <c r="L985" s="116"/>
      <c r="M985" s="116"/>
      <c r="N985" s="116"/>
      <c r="O985" s="116"/>
      <c r="P985" s="116"/>
      <c r="Q985" s="312"/>
      <c r="R985" s="116"/>
      <c r="S985" s="116"/>
      <c r="T985" s="116"/>
      <c r="U985" s="116"/>
      <c r="V985" s="313"/>
      <c r="W985" s="314"/>
      <c r="X985" s="43"/>
      <c r="Y985" s="43"/>
      <c r="Z985" s="43"/>
      <c r="AA985" s="43"/>
      <c r="AB985" s="43"/>
    </row>
    <row r="986">
      <c r="A986" s="116"/>
      <c r="B986" s="116"/>
      <c r="C986" s="116"/>
      <c r="D986" s="116"/>
      <c r="E986" s="116"/>
      <c r="F986" s="116"/>
      <c r="G986" s="116"/>
      <c r="H986" s="116"/>
      <c r="I986" s="116"/>
      <c r="J986" s="116"/>
      <c r="K986" s="116"/>
      <c r="L986" s="116"/>
      <c r="M986" s="116"/>
      <c r="N986" s="116"/>
      <c r="O986" s="116"/>
      <c r="P986" s="116"/>
      <c r="Q986" s="312"/>
      <c r="R986" s="116"/>
      <c r="S986" s="116"/>
      <c r="T986" s="116"/>
      <c r="U986" s="116"/>
      <c r="V986" s="313"/>
      <c r="W986" s="314"/>
      <c r="X986" s="43"/>
      <c r="Y986" s="43"/>
      <c r="Z986" s="43"/>
      <c r="AA986" s="43"/>
      <c r="AB986" s="43"/>
    </row>
    <row r="987">
      <c r="A987" s="116"/>
      <c r="B987" s="116"/>
      <c r="C987" s="116"/>
      <c r="D987" s="116"/>
      <c r="E987" s="116"/>
      <c r="F987" s="116"/>
      <c r="G987" s="116"/>
      <c r="H987" s="116"/>
      <c r="I987" s="116"/>
      <c r="J987" s="116"/>
      <c r="K987" s="116"/>
      <c r="L987" s="116"/>
      <c r="M987" s="116"/>
      <c r="N987" s="116"/>
      <c r="O987" s="116"/>
      <c r="P987" s="116"/>
      <c r="Q987" s="312"/>
      <c r="R987" s="116"/>
      <c r="S987" s="116"/>
      <c r="T987" s="116"/>
      <c r="U987" s="116"/>
      <c r="V987" s="313"/>
      <c r="W987" s="314"/>
      <c r="X987" s="43"/>
      <c r="Y987" s="43"/>
      <c r="Z987" s="43"/>
      <c r="AA987" s="43"/>
      <c r="AB987" s="43"/>
    </row>
    <row r="988">
      <c r="A988" s="116"/>
      <c r="B988" s="116"/>
      <c r="C988" s="116"/>
      <c r="D988" s="116"/>
      <c r="E988" s="116"/>
      <c r="F988" s="116"/>
      <c r="G988" s="116"/>
      <c r="H988" s="116"/>
      <c r="I988" s="116"/>
      <c r="J988" s="116"/>
      <c r="K988" s="116"/>
      <c r="L988" s="116"/>
      <c r="M988" s="116"/>
      <c r="N988" s="116"/>
      <c r="O988" s="116"/>
      <c r="P988" s="116"/>
      <c r="Q988" s="312"/>
      <c r="R988" s="116"/>
      <c r="S988" s="116"/>
      <c r="T988" s="116"/>
      <c r="U988" s="116"/>
      <c r="V988" s="313"/>
      <c r="W988" s="314"/>
      <c r="X988" s="43"/>
      <c r="Y988" s="43"/>
      <c r="Z988" s="43"/>
      <c r="AA988" s="43"/>
      <c r="AB988" s="43"/>
    </row>
    <row r="989">
      <c r="A989" s="116"/>
      <c r="B989" s="116"/>
      <c r="C989" s="116"/>
      <c r="D989" s="116"/>
      <c r="E989" s="116"/>
      <c r="F989" s="116"/>
      <c r="G989" s="116"/>
      <c r="H989" s="116"/>
      <c r="I989" s="116"/>
      <c r="J989" s="116"/>
      <c r="K989" s="116"/>
      <c r="L989" s="116"/>
      <c r="M989" s="116"/>
      <c r="N989" s="116"/>
      <c r="O989" s="116"/>
      <c r="P989" s="116"/>
      <c r="Q989" s="312"/>
      <c r="R989" s="116"/>
      <c r="S989" s="116"/>
      <c r="T989" s="116"/>
      <c r="U989" s="116"/>
      <c r="V989" s="313"/>
      <c r="W989" s="314"/>
      <c r="X989" s="43"/>
      <c r="Y989" s="43"/>
      <c r="Z989" s="43"/>
      <c r="AA989" s="43"/>
      <c r="AB989" s="43"/>
    </row>
    <row r="990">
      <c r="A990" s="116"/>
      <c r="B990" s="116"/>
      <c r="C990" s="116"/>
      <c r="D990" s="116"/>
      <c r="E990" s="116"/>
      <c r="F990" s="116"/>
      <c r="G990" s="116"/>
      <c r="H990" s="116"/>
      <c r="I990" s="116"/>
      <c r="J990" s="116"/>
      <c r="K990" s="116"/>
      <c r="L990" s="116"/>
      <c r="M990" s="116"/>
      <c r="N990" s="116"/>
      <c r="O990" s="116"/>
      <c r="P990" s="116"/>
      <c r="Q990" s="312"/>
      <c r="R990" s="116"/>
      <c r="S990" s="116"/>
      <c r="T990" s="116"/>
      <c r="U990" s="116"/>
      <c r="V990" s="313"/>
      <c r="W990" s="314"/>
      <c r="X990" s="43"/>
      <c r="Y990" s="43"/>
      <c r="Z990" s="43"/>
      <c r="AA990" s="43"/>
      <c r="AB990" s="43"/>
    </row>
    <row r="991">
      <c r="A991" s="116"/>
      <c r="B991" s="116"/>
      <c r="C991" s="116"/>
      <c r="D991" s="116"/>
      <c r="E991" s="116"/>
      <c r="F991" s="116"/>
      <c r="G991" s="116"/>
      <c r="H991" s="116"/>
      <c r="I991" s="116"/>
      <c r="J991" s="116"/>
      <c r="K991" s="116"/>
      <c r="L991" s="116"/>
      <c r="M991" s="116"/>
      <c r="N991" s="116"/>
      <c r="O991" s="116"/>
      <c r="P991" s="116"/>
      <c r="Q991" s="312"/>
      <c r="R991" s="116"/>
      <c r="S991" s="116"/>
      <c r="T991" s="116"/>
      <c r="U991" s="116"/>
      <c r="V991" s="313"/>
      <c r="W991" s="314"/>
      <c r="X991" s="43"/>
      <c r="Y991" s="43"/>
      <c r="Z991" s="43"/>
      <c r="AA991" s="43"/>
      <c r="AB991" s="43"/>
    </row>
    <row r="992">
      <c r="A992" s="116"/>
      <c r="B992" s="116"/>
      <c r="C992" s="116"/>
      <c r="D992" s="116"/>
      <c r="E992" s="116"/>
      <c r="F992" s="116"/>
      <c r="G992" s="116"/>
      <c r="H992" s="116"/>
      <c r="I992" s="116"/>
      <c r="J992" s="116"/>
      <c r="K992" s="116"/>
      <c r="L992" s="116"/>
      <c r="M992" s="116"/>
      <c r="N992" s="116"/>
      <c r="O992" s="116"/>
      <c r="P992" s="116"/>
      <c r="Q992" s="312"/>
      <c r="R992" s="116"/>
      <c r="S992" s="116"/>
      <c r="T992" s="116"/>
      <c r="U992" s="116"/>
      <c r="V992" s="313"/>
      <c r="W992" s="314"/>
      <c r="X992" s="43"/>
      <c r="Y992" s="43"/>
      <c r="Z992" s="43"/>
      <c r="AA992" s="43"/>
      <c r="AB992" s="43"/>
    </row>
    <row r="993">
      <c r="A993" s="116"/>
      <c r="B993" s="116"/>
      <c r="C993" s="116"/>
      <c r="D993" s="116"/>
      <c r="E993" s="116"/>
      <c r="F993" s="116"/>
      <c r="G993" s="116"/>
      <c r="H993" s="116"/>
      <c r="I993" s="116"/>
      <c r="J993" s="116"/>
      <c r="K993" s="116"/>
      <c r="L993" s="116"/>
      <c r="M993" s="116"/>
      <c r="N993" s="116"/>
      <c r="O993" s="116"/>
      <c r="P993" s="116"/>
      <c r="Q993" s="312"/>
      <c r="R993" s="116"/>
      <c r="S993" s="116"/>
      <c r="T993" s="116"/>
      <c r="U993" s="116"/>
      <c r="V993" s="313"/>
      <c r="W993" s="314"/>
      <c r="X993" s="43"/>
      <c r="Y993" s="43"/>
      <c r="Z993" s="43"/>
      <c r="AA993" s="43"/>
      <c r="AB993" s="43"/>
    </row>
    <row r="994">
      <c r="A994" s="116"/>
      <c r="B994" s="116"/>
      <c r="C994" s="116"/>
      <c r="D994" s="116"/>
      <c r="E994" s="116"/>
      <c r="F994" s="116"/>
      <c r="G994" s="116"/>
      <c r="H994" s="116"/>
      <c r="I994" s="116"/>
      <c r="J994" s="116"/>
      <c r="K994" s="116"/>
      <c r="L994" s="116"/>
      <c r="M994" s="116"/>
      <c r="N994" s="116"/>
      <c r="O994" s="116"/>
      <c r="P994" s="116"/>
      <c r="Q994" s="312"/>
      <c r="R994" s="116"/>
      <c r="S994" s="116"/>
      <c r="T994" s="116"/>
      <c r="U994" s="116"/>
      <c r="V994" s="313"/>
      <c r="W994" s="314"/>
      <c r="X994" s="43"/>
      <c r="Y994" s="43"/>
      <c r="Z994" s="43"/>
      <c r="AA994" s="43"/>
      <c r="AB994" s="43"/>
    </row>
    <row r="995">
      <c r="A995" s="116"/>
      <c r="B995" s="116"/>
      <c r="C995" s="116"/>
      <c r="D995" s="116"/>
      <c r="E995" s="116"/>
      <c r="F995" s="116"/>
      <c r="G995" s="116"/>
      <c r="H995" s="116"/>
      <c r="I995" s="116"/>
      <c r="J995" s="116"/>
      <c r="K995" s="116"/>
      <c r="L995" s="116"/>
      <c r="M995" s="116"/>
      <c r="N995" s="116"/>
      <c r="O995" s="116"/>
      <c r="P995" s="116"/>
      <c r="Q995" s="312"/>
      <c r="R995" s="116"/>
      <c r="S995" s="116"/>
      <c r="T995" s="116"/>
      <c r="U995" s="116"/>
      <c r="V995" s="313"/>
      <c r="W995" s="314"/>
      <c r="X995" s="43"/>
      <c r="Y995" s="43"/>
      <c r="Z995" s="43"/>
      <c r="AA995" s="43"/>
      <c r="AB995" s="43"/>
    </row>
    <row r="996">
      <c r="A996" s="116"/>
      <c r="B996" s="116"/>
      <c r="C996" s="116"/>
      <c r="D996" s="116"/>
      <c r="E996" s="116"/>
      <c r="F996" s="116"/>
      <c r="G996" s="116"/>
      <c r="H996" s="116"/>
      <c r="I996" s="116"/>
      <c r="J996" s="116"/>
      <c r="K996" s="116"/>
      <c r="L996" s="116"/>
      <c r="M996" s="116"/>
      <c r="N996" s="116"/>
      <c r="O996" s="116"/>
      <c r="P996" s="116"/>
      <c r="Q996" s="312"/>
      <c r="R996" s="116"/>
      <c r="S996" s="116"/>
      <c r="T996" s="116"/>
      <c r="U996" s="116"/>
      <c r="V996" s="313"/>
      <c r="W996" s="314"/>
      <c r="X996" s="43"/>
      <c r="Y996" s="43"/>
      <c r="Z996" s="43"/>
      <c r="AA996" s="43"/>
      <c r="AB996" s="43"/>
    </row>
    <row r="997">
      <c r="A997" s="116"/>
      <c r="B997" s="116"/>
      <c r="C997" s="116"/>
      <c r="D997" s="116"/>
      <c r="E997" s="116"/>
      <c r="F997" s="116"/>
      <c r="G997" s="116"/>
      <c r="H997" s="116"/>
      <c r="I997" s="116"/>
      <c r="J997" s="116"/>
      <c r="K997" s="116"/>
      <c r="L997" s="116"/>
      <c r="M997" s="116"/>
      <c r="N997" s="116"/>
      <c r="O997" s="116"/>
      <c r="P997" s="116"/>
      <c r="Q997" s="312"/>
      <c r="R997" s="116"/>
      <c r="S997" s="116"/>
      <c r="T997" s="116"/>
      <c r="U997" s="116"/>
      <c r="V997" s="313"/>
      <c r="W997" s="314"/>
      <c r="X997" s="43"/>
      <c r="Y997" s="43"/>
      <c r="Z997" s="43"/>
      <c r="AA997" s="43"/>
      <c r="AB997" s="43"/>
    </row>
    <row r="998">
      <c r="A998" s="116"/>
      <c r="B998" s="116"/>
      <c r="C998" s="116"/>
      <c r="D998" s="116"/>
      <c r="E998" s="116"/>
      <c r="F998" s="116"/>
      <c r="G998" s="116"/>
      <c r="H998" s="116"/>
      <c r="I998" s="116"/>
      <c r="J998" s="116"/>
      <c r="K998" s="116"/>
      <c r="L998" s="116"/>
      <c r="M998" s="116"/>
      <c r="N998" s="116"/>
      <c r="O998" s="116"/>
      <c r="P998" s="116"/>
      <c r="Q998" s="312"/>
      <c r="R998" s="116"/>
      <c r="S998" s="116"/>
      <c r="T998" s="116"/>
      <c r="U998" s="116"/>
      <c r="V998" s="313"/>
      <c r="W998" s="314"/>
      <c r="X998" s="43"/>
      <c r="Y998" s="43"/>
      <c r="Z998" s="43"/>
      <c r="AA998" s="43"/>
      <c r="AB998" s="43"/>
    </row>
    <row r="999">
      <c r="A999" s="116"/>
      <c r="B999" s="116"/>
      <c r="C999" s="116"/>
      <c r="D999" s="116"/>
      <c r="E999" s="116"/>
      <c r="F999" s="116"/>
      <c r="G999" s="116"/>
      <c r="H999" s="116"/>
      <c r="I999" s="116"/>
      <c r="J999" s="116"/>
      <c r="K999" s="116"/>
      <c r="L999" s="116"/>
      <c r="M999" s="116"/>
      <c r="N999" s="116"/>
      <c r="O999" s="116"/>
      <c r="P999" s="116"/>
      <c r="Q999" s="312"/>
      <c r="R999" s="116"/>
      <c r="S999" s="116"/>
      <c r="T999" s="116"/>
      <c r="U999" s="116"/>
      <c r="V999" s="313"/>
      <c r="W999" s="314"/>
      <c r="X999" s="43"/>
      <c r="Y999" s="43"/>
      <c r="Z999" s="43"/>
      <c r="AA999" s="43"/>
      <c r="AB999" s="43"/>
    </row>
    <row r="1000">
      <c r="A1000" s="116"/>
      <c r="B1000" s="116"/>
      <c r="C1000" s="116"/>
      <c r="D1000" s="116"/>
      <c r="E1000" s="116"/>
      <c r="F1000" s="116"/>
      <c r="G1000" s="116"/>
      <c r="H1000" s="116"/>
      <c r="I1000" s="116"/>
      <c r="J1000" s="116"/>
      <c r="K1000" s="116"/>
      <c r="L1000" s="116"/>
      <c r="M1000" s="116"/>
      <c r="N1000" s="116"/>
      <c r="O1000" s="116"/>
      <c r="P1000" s="116"/>
      <c r="Q1000" s="312"/>
      <c r="R1000" s="116"/>
      <c r="S1000" s="116"/>
      <c r="T1000" s="116"/>
      <c r="U1000" s="116"/>
      <c r="V1000" s="313"/>
      <c r="W1000" s="314"/>
      <c r="X1000" s="43"/>
      <c r="Y1000" s="43"/>
      <c r="Z1000" s="43"/>
      <c r="AA1000" s="43"/>
      <c r="AB1000" s="43"/>
    </row>
    <row r="1001">
      <c r="A1001" s="116"/>
      <c r="B1001" s="116"/>
      <c r="C1001" s="116"/>
      <c r="D1001" s="116"/>
      <c r="E1001" s="116"/>
      <c r="F1001" s="116"/>
      <c r="G1001" s="116"/>
      <c r="H1001" s="116"/>
      <c r="I1001" s="116"/>
      <c r="J1001" s="116"/>
      <c r="K1001" s="116"/>
      <c r="L1001" s="116"/>
      <c r="M1001" s="116"/>
      <c r="N1001" s="116"/>
      <c r="O1001" s="116"/>
      <c r="P1001" s="116"/>
      <c r="Q1001" s="312"/>
      <c r="R1001" s="116"/>
      <c r="S1001" s="116"/>
      <c r="T1001" s="116"/>
      <c r="U1001" s="116"/>
      <c r="V1001" s="313"/>
      <c r="W1001" s="314"/>
      <c r="X1001" s="43"/>
      <c r="Y1001" s="43"/>
      <c r="Z1001" s="43"/>
      <c r="AA1001" s="43"/>
      <c r="AB1001" s="43"/>
    </row>
  </sheetData>
  <drawing r:id="rId1"/>
</worksheet>
</file>